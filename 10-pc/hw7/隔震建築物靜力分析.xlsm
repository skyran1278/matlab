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matlab\10-pc\hw7\"/>
    </mc:Choice>
  </mc:AlternateContent>
  <bookViews>
    <workbookView xWindow="0" yWindow="465" windowWidth="28800" windowHeight="15945"/>
  </bookViews>
  <sheets>
    <sheet name="隔震建築物靜力分析" sheetId="2" r:id="rId1"/>
    <sheet name="工作表2" sheetId="4" r:id="rId2"/>
  </sheets>
  <calcPr calcId="162913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4" i="2" l="1"/>
  <c r="K23" i="2"/>
  <c r="M41" i="2"/>
  <c r="G35" i="2"/>
  <c r="M42" i="2"/>
  <c r="M43" i="2"/>
  <c r="M44" i="2"/>
  <c r="G36" i="2"/>
  <c r="G41" i="2"/>
  <c r="G43" i="2"/>
  <c r="G42" i="2"/>
  <c r="G44" i="2"/>
</calcChain>
</file>

<file path=xl/sharedStrings.xml><?xml version="1.0" encoding="utf-8"?>
<sst xmlns="http://schemas.openxmlformats.org/spreadsheetml/2006/main" count="81" uniqueCount="70">
  <si>
    <r>
      <t>T</t>
    </r>
    <r>
      <rPr>
        <vertAlign val="subscript"/>
        <sz val="14"/>
        <color theme="1"/>
        <rFont val="微軟正黑體"/>
        <family val="2"/>
        <charset val="136"/>
      </rPr>
      <t>0</t>
    </r>
    <r>
      <rPr>
        <vertAlign val="superscript"/>
        <sz val="14"/>
        <color theme="1"/>
        <rFont val="微軟正黑體"/>
        <family val="2"/>
        <charset val="136"/>
      </rPr>
      <t>D</t>
    </r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</si>
  <si>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aD</t>
    </r>
    <phoneticPr fontId="1" type="noConversion"/>
  </si>
  <si>
    <t>Kd</t>
    <phoneticPr fontId="1" type="noConversion"/>
  </si>
  <si>
    <t>Ku</t>
    <phoneticPr fontId="1" type="noConversion"/>
  </si>
  <si>
    <t>Qd</t>
    <phoneticPr fontId="1" type="noConversion"/>
  </si>
  <si>
    <t>基本資料</t>
    <phoneticPr fontId="1" type="noConversion"/>
  </si>
  <si>
    <t>隔震墊性質</t>
    <phoneticPr fontId="1" type="noConversion"/>
  </si>
  <si>
    <t>共配置</t>
    <phoneticPr fontId="1" type="noConversion"/>
  </si>
  <si>
    <t>+</t>
    <phoneticPr fontId="1" type="noConversion"/>
  </si>
  <si>
    <t>顆LRB</t>
    <phoneticPr fontId="1" type="noConversion"/>
  </si>
  <si>
    <t>顆RB</t>
    <phoneticPr fontId="1" type="noConversion"/>
  </si>
  <si>
    <t>ton</t>
    <phoneticPr fontId="1" type="noConversion"/>
  </si>
  <si>
    <t>sec</t>
    <phoneticPr fontId="1" type="noConversion"/>
  </si>
  <si>
    <t>t/m</t>
    <phoneticPr fontId="1" type="noConversion"/>
  </si>
  <si>
    <t>t/m</t>
    <phoneticPr fontId="1" type="noConversion"/>
  </si>
  <si>
    <t>t</t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</si>
  <si>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DS</t>
    </r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</si>
  <si>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D1</t>
    </r>
    <phoneticPr fontId="1" type="noConversion"/>
  </si>
  <si>
    <t>設計位移</t>
    <phoneticPr fontId="1" type="noConversion"/>
  </si>
  <si>
    <r>
      <t>D</t>
    </r>
    <r>
      <rPr>
        <vertAlign val="subscript"/>
        <sz val="14"/>
        <color theme="1"/>
        <rFont val="微軟正黑體"/>
        <family val="2"/>
        <charset val="136"/>
      </rPr>
      <t>D</t>
    </r>
    <phoneticPr fontId="1" type="noConversion"/>
  </si>
  <si>
    <t>水平總橫力</t>
    <phoneticPr fontId="1" type="noConversion"/>
  </si>
  <si>
    <r>
      <t>V</t>
    </r>
    <r>
      <rPr>
        <vertAlign val="subscript"/>
        <sz val="14"/>
        <color theme="1"/>
        <rFont val="微軟正黑體"/>
        <family val="2"/>
        <charset val="136"/>
      </rPr>
      <t>b</t>
    </r>
    <phoneticPr fontId="1" type="noConversion"/>
  </si>
  <si>
    <r>
      <t>V</t>
    </r>
    <r>
      <rPr>
        <vertAlign val="subscript"/>
        <sz val="14"/>
        <color theme="1"/>
        <rFont val="微軟正黑體"/>
        <family val="2"/>
        <charset val="136"/>
      </rPr>
      <t>S</t>
    </r>
    <phoneticPr fontId="1" type="noConversion"/>
  </si>
  <si>
    <t>B</t>
    <phoneticPr fontId="1" type="noConversion"/>
  </si>
  <si>
    <r>
      <t>K</t>
    </r>
    <r>
      <rPr>
        <vertAlign val="subscript"/>
        <sz val="14"/>
        <color theme="1"/>
        <rFont val="微軟正黑體"/>
        <family val="2"/>
        <charset val="136"/>
      </rPr>
      <t>eD</t>
    </r>
    <phoneticPr fontId="1" type="noConversion"/>
  </si>
  <si>
    <r>
      <t>T</t>
    </r>
    <r>
      <rPr>
        <vertAlign val="subscript"/>
        <sz val="14"/>
        <color theme="1"/>
        <rFont val="微軟正黑體"/>
        <family val="2"/>
        <charset val="136"/>
      </rPr>
      <t>eD</t>
    </r>
    <phoneticPr fontId="1" type="noConversion"/>
  </si>
  <si>
    <r>
      <t>α</t>
    </r>
    <r>
      <rPr>
        <vertAlign val="subscript"/>
        <sz val="14"/>
        <color theme="1"/>
        <rFont val="微軟正黑體"/>
        <family val="2"/>
        <charset val="136"/>
      </rPr>
      <t>y</t>
    </r>
    <phoneticPr fontId="1" type="noConversion"/>
  </si>
  <si>
    <t>地震力之豎向分配</t>
    <phoneticPr fontId="1" type="noConversion"/>
  </si>
  <si>
    <r>
      <t>f</t>
    </r>
    <r>
      <rPr>
        <vertAlign val="subscript"/>
        <sz val="14"/>
        <color theme="1"/>
        <rFont val="微軟正黑體"/>
        <family val="2"/>
        <charset val="136"/>
      </rPr>
      <t>x</t>
    </r>
    <phoneticPr fontId="1" type="noConversion"/>
  </si>
  <si>
    <t>W</t>
    <phoneticPr fontId="1" type="noConversion"/>
  </si>
  <si>
    <t>隔震墊上方重量</t>
    <phoneticPr fontId="1" type="noConversion"/>
  </si>
  <si>
    <t>RF</t>
    <phoneticPr fontId="1" type="noConversion"/>
  </si>
  <si>
    <t>3F</t>
    <phoneticPr fontId="1" type="noConversion"/>
  </si>
  <si>
    <t>2F</t>
    <phoneticPr fontId="1" type="noConversion"/>
  </si>
  <si>
    <t>1F</t>
    <phoneticPr fontId="1" type="noConversion"/>
  </si>
  <si>
    <t>Total</t>
    <phoneticPr fontId="1" type="noConversion"/>
  </si>
  <si>
    <t>Fx</t>
    <phoneticPr fontId="1" type="noConversion"/>
  </si>
  <si>
    <t>m</t>
    <phoneticPr fontId="1" type="noConversion"/>
  </si>
  <si>
    <t>sec</t>
    <phoneticPr fontId="1" type="noConversion"/>
  </si>
  <si>
    <t>UPDATE</t>
  </si>
  <si>
    <t>PROJECT</t>
  </si>
  <si>
    <t>SUBJECT</t>
  </si>
  <si>
    <t>隔震建築物靜力分析</t>
  </si>
  <si>
    <t>驗證</t>
    <phoneticPr fontId="1" type="noConversion"/>
  </si>
  <si>
    <t>Ku 可假設為 Kd 的 10 倍</t>
    <phoneticPr fontId="1" type="noConversion"/>
  </si>
  <si>
    <t>Keff = Kd + Qd / D</t>
    <phoneticPr fontId="1" type="noConversion"/>
  </si>
  <si>
    <t>sec</t>
    <phoneticPr fontId="1" type="noConversion"/>
  </si>
  <si>
    <t>ξ</t>
  </si>
  <si>
    <t>%</t>
    <phoneticPr fontId="1" type="noConversion"/>
  </si>
  <si>
    <t>KeD</t>
    <phoneticPr fontId="1" type="noConversion"/>
  </si>
  <si>
    <t>B</t>
    <phoneticPr fontId="1" type="noConversion"/>
  </si>
  <si>
    <t>DD</t>
    <phoneticPr fontId="1" type="noConversion"/>
  </si>
  <si>
    <t>Ku</t>
    <phoneticPr fontId="1" type="noConversion"/>
  </si>
  <si>
    <t>Kd</t>
    <phoneticPr fontId="1" type="noConversion"/>
  </si>
  <si>
    <t>tf/m</t>
    <phoneticPr fontId="1" type="noConversion"/>
  </si>
  <si>
    <t>tf/m</t>
    <phoneticPr fontId="1" type="noConversion"/>
  </si>
  <si>
    <t>tf</t>
    <phoneticPr fontId="1" type="noConversion"/>
  </si>
  <si>
    <t>tf</t>
    <phoneticPr fontId="1" type="noConversion"/>
  </si>
  <si>
    <t>m</t>
    <phoneticPr fontId="1" type="noConversion"/>
  </si>
  <si>
    <r>
      <rPr>
        <sz val="12"/>
        <color theme="1"/>
        <rFont val="微軟正黑體"/>
        <family val="2"/>
        <charset val="136"/>
      </rPr>
      <t>隔震建築物靜力分析</t>
    </r>
  </si>
  <si>
    <r>
      <rPr>
        <sz val="14"/>
        <color theme="1"/>
        <rFont val="微軟正黑體"/>
        <family val="2"/>
        <charset val="136"/>
      </rPr>
      <t>基本資料</t>
    </r>
    <phoneticPr fontId="1" type="noConversion"/>
  </si>
  <si>
    <r>
      <t>T</t>
    </r>
    <r>
      <rPr>
        <vertAlign val="subscript"/>
        <sz val="14"/>
        <color theme="1"/>
        <rFont val="Calibri"/>
        <family val="2"/>
      </rPr>
      <t>0</t>
    </r>
    <r>
      <rPr>
        <vertAlign val="superscript"/>
        <sz val="14"/>
        <color theme="1"/>
        <rFont val="Calibri"/>
        <family val="2"/>
      </rPr>
      <t>D</t>
    </r>
    <phoneticPr fontId="1" type="noConversion"/>
  </si>
  <si>
    <r>
      <t>S</t>
    </r>
    <r>
      <rPr>
        <vertAlign val="subscript"/>
        <sz val="14"/>
        <color theme="1"/>
        <rFont val="Calibri"/>
        <family val="2"/>
      </rPr>
      <t>DS</t>
    </r>
    <phoneticPr fontId="1" type="noConversion"/>
  </si>
  <si>
    <r>
      <t>S</t>
    </r>
    <r>
      <rPr>
        <vertAlign val="subscript"/>
        <sz val="14"/>
        <color theme="1"/>
        <rFont val="Calibri"/>
        <family val="2"/>
      </rPr>
      <t>D1</t>
    </r>
    <phoneticPr fontId="1" type="noConversion"/>
  </si>
  <si>
    <r>
      <t>S</t>
    </r>
    <r>
      <rPr>
        <vertAlign val="subscript"/>
        <sz val="14"/>
        <color theme="1"/>
        <rFont val="Calibri"/>
        <family val="2"/>
      </rPr>
      <t>aD</t>
    </r>
    <phoneticPr fontId="1" type="noConversion"/>
  </si>
  <si>
    <r>
      <rPr>
        <sz val="14"/>
        <color theme="1"/>
        <rFont val="微軟正黑體"/>
        <family val="2"/>
        <charset val="136"/>
      </rPr>
      <t>隔震墊上方重量</t>
    </r>
    <phoneticPr fontId="1" type="noConversion"/>
  </si>
  <si>
    <r>
      <rPr>
        <sz val="12"/>
        <color theme="1"/>
        <rFont val="微軟正黑體"/>
        <family val="2"/>
        <charset val="136"/>
      </rPr>
      <t>目標</t>
    </r>
    <phoneticPr fontId="1" type="noConversion"/>
  </si>
  <si>
    <r>
      <t>T</t>
    </r>
    <r>
      <rPr>
        <vertAlign val="subscript"/>
        <sz val="12"/>
        <color theme="1"/>
        <rFont val="Calibri"/>
        <family val="2"/>
      </rPr>
      <t>eD</t>
    </r>
    <phoneticPr fontId="1" type="noConversion"/>
  </si>
  <si>
    <r>
      <rPr>
        <sz val="12"/>
        <color theme="1"/>
        <rFont val="微軟正黑體"/>
        <family val="2"/>
        <charset val="136"/>
      </rPr>
      <t>設計位移</t>
    </r>
  </si>
  <si>
    <r>
      <rPr>
        <sz val="12"/>
        <color theme="1"/>
        <rFont val="微軟正黑體"/>
        <family val="2"/>
        <charset val="136"/>
      </rPr>
      <t>設計隔震墊性質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</si>
</sst>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1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vertAlign val="subscript"/>
      <sz val="14"/>
      <color theme="1"/>
      <name val="微軟正黑體"/>
      <family val="2"/>
      <charset val="136"/>
    </font>
    <font>
      <vertAlign val="superscript"/>
      <sz val="14"/>
      <color theme="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color theme="5"/>
      <name val="微軟正黑體"/>
      <family val="2"/>
      <charset val="136"/>
    </font>
    <font>
      <sz val="12"/>
      <color theme="1"/>
      <name val="Calibri"/>
      <family val="2"/>
    </font>
    <font>
      <sz val="14"/>
      <color theme="1"/>
      <name val="Calibri"/>
      <family val="2"/>
    </font>
    <font>
      <vertAlign val="subscript"/>
      <sz val="14"/>
      <color theme="1"/>
      <name val="Calibri"/>
      <family val="2"/>
    </font>
    <font>
      <vertAlign val="superscript"/>
      <sz val="14"/>
      <color theme="1"/>
      <name val="Calibri"/>
      <family val="2"/>
    </font>
    <font>
      <sz val="14"/>
      <color rgb="FFFF0000"/>
      <name val="Calibri"/>
      <family val="2"/>
    </font>
    <font>
      <vertAlign val="subscript"/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theme="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176" fontId="5" fillId="3" borderId="0" xfId="0" applyNumberFormat="1" applyFont="1" applyFill="1">
      <alignment vertical="center"/>
    </xf>
    <xf numFmtId="0" fontId="2" fillId="3" borderId="10" xfId="0" applyFont="1" applyFill="1" applyBorder="1">
      <alignment vertical="center"/>
    </xf>
    <xf numFmtId="14" fontId="2" fillId="3" borderId="0" xfId="0" applyNumberFormat="1" applyFont="1" applyFill="1">
      <alignment vertical="center"/>
    </xf>
    <xf numFmtId="0" fontId="6" fillId="3" borderId="0" xfId="0" applyFont="1" applyFill="1">
      <alignment vertical="center"/>
    </xf>
    <xf numFmtId="0" fontId="7" fillId="0" borderId="0" xfId="0" applyFont="1" applyFill="1">
      <alignment vertical="center"/>
    </xf>
    <xf numFmtId="14" fontId="7" fillId="0" borderId="0" xfId="0" applyNumberFormat="1" applyFont="1" applyFill="1">
      <alignment vertical="center"/>
    </xf>
    <xf numFmtId="0" fontId="8" fillId="0" borderId="0" xfId="0" applyFont="1" applyFill="1">
      <alignment vertical="center"/>
    </xf>
    <xf numFmtId="0" fontId="11" fillId="0" borderId="0" xfId="0" applyFont="1" applyFill="1">
      <alignment vertical="center"/>
    </xf>
    <xf numFmtId="0" fontId="13" fillId="0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22</xdr:row>
      <xdr:rowOff>190500</xdr:rowOff>
    </xdr:from>
    <xdr:to>
      <xdr:col>4</xdr:col>
      <xdr:colOff>114300</xdr:colOff>
      <xdr:row>25</xdr:row>
      <xdr:rowOff>200025</xdr:rowOff>
    </xdr:to>
    <xdr:sp macro="[0]!caculate_DD.caculate_DD" textlink="">
      <xdr:nvSpPr>
        <xdr:cNvPr id="2" name="矩形 1">
          <a:extLst>
            <a:ext uri="{FF2B5EF4-FFF2-40B4-BE49-F238E27FC236}">
              <a16:creationId xmlns:a16="http://schemas.microsoft.com/office/drawing/2014/main" id="{DBF38396-D605-4BE8-B55D-5187A94EFC93}"/>
            </a:ext>
          </a:extLst>
        </xdr:cNvPr>
        <xdr:cNvSpPr/>
      </xdr:nvSpPr>
      <xdr:spPr>
        <a:xfrm>
          <a:off x="1943100" y="5591175"/>
          <a:ext cx="2057400" cy="8001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Caculate</a:t>
          </a:r>
          <a:r>
            <a:rPr lang="en-US" altLang="zh-TW" sz="1400" b="0" i="0" baseline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 DD</a:t>
          </a:r>
          <a:endParaRPr lang="zh-TW" altLang="zh-TW" sz="1400" b="0" i="0">
            <a:solidFill>
              <a:schemeClr val="lt1"/>
            </a:solidFill>
            <a:effectLst/>
            <a:latin typeface="+mn-lt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 editAs="oneCell">
    <xdr:from>
      <xdr:col>12</xdr:col>
      <xdr:colOff>0</xdr:colOff>
      <xdr:row>23</xdr:row>
      <xdr:rowOff>0</xdr:rowOff>
    </xdr:from>
    <xdr:to>
      <xdr:col>16</xdr:col>
      <xdr:colOff>19424</xdr:colOff>
      <xdr:row>27</xdr:row>
      <xdr:rowOff>166595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6FC7E4FB-0B3B-8D4A-BC4F-E2057FE6B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0130118" y="6230471"/>
          <a:ext cx="2768600" cy="1257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P45"/>
  <sheetViews>
    <sheetView tabSelected="1" zoomScale="85" zoomScaleNormal="85" workbookViewId="0">
      <selection activeCell="T25" sqref="T25"/>
    </sheetView>
  </sheetViews>
  <sheetFormatPr defaultColWidth="9" defaultRowHeight="18.75" x14ac:dyDescent="0.25"/>
  <cols>
    <col min="1" max="1" width="11.625" style="10" bestFit="1" customWidth="1"/>
    <col min="2" max="2" width="13.625" style="10" customWidth="1"/>
    <col min="3" max="3" width="9" style="10"/>
    <col min="4" max="5" width="16.5" style="10" customWidth="1"/>
    <col min="6" max="6" width="11.375" style="10" customWidth="1"/>
    <col min="7" max="16384" width="9" style="10"/>
  </cols>
  <sheetData>
    <row r="1" spans="1:10" x14ac:dyDescent="0.25">
      <c r="A1" s="10" t="s">
        <v>39</v>
      </c>
      <c r="B1" s="15">
        <v>42851</v>
      </c>
    </row>
    <row r="2" spans="1:10" x14ac:dyDescent="0.25">
      <c r="A2" s="10" t="s">
        <v>40</v>
      </c>
      <c r="B2" s="10" t="s">
        <v>42</v>
      </c>
    </row>
    <row r="3" spans="1:10" x14ac:dyDescent="0.25">
      <c r="A3" s="10" t="s">
        <v>41</v>
      </c>
    </row>
    <row r="5" spans="1:10" x14ac:dyDescent="0.25">
      <c r="D5" s="10" t="s">
        <v>5</v>
      </c>
    </row>
    <row r="6" spans="1:10" ht="21.75" x14ac:dyDescent="0.25">
      <c r="F6" s="10" t="s">
        <v>0</v>
      </c>
      <c r="G6" s="11">
        <v>0.626</v>
      </c>
      <c r="H6" s="10" t="s">
        <v>12</v>
      </c>
    </row>
    <row r="7" spans="1:10" ht="21.75" x14ac:dyDescent="0.25">
      <c r="F7" s="10" t="s">
        <v>16</v>
      </c>
      <c r="G7" s="11">
        <v>0.2321</v>
      </c>
    </row>
    <row r="8" spans="1:10" ht="21.75" x14ac:dyDescent="0.25">
      <c r="F8" s="10" t="s">
        <v>17</v>
      </c>
      <c r="G8" s="11">
        <v>0.2</v>
      </c>
    </row>
    <row r="9" spans="1:10" ht="21.75" x14ac:dyDescent="0.25">
      <c r="F9" s="10" t="s">
        <v>1</v>
      </c>
      <c r="G9" s="11">
        <v>0.2321</v>
      </c>
    </row>
    <row r="10" spans="1:10" x14ac:dyDescent="0.25">
      <c r="F10" s="10" t="s">
        <v>29</v>
      </c>
      <c r="G10" s="11">
        <v>35.534213639999997</v>
      </c>
      <c r="H10" s="10" t="s">
        <v>11</v>
      </c>
      <c r="J10" s="10" t="s">
        <v>30</v>
      </c>
    </row>
    <row r="12" spans="1:10" s="14" customFormat="1" x14ac:dyDescent="0.25"/>
    <row r="16" spans="1:10" x14ac:dyDescent="0.25">
      <c r="D16" s="10" t="s">
        <v>6</v>
      </c>
    </row>
    <row r="17" spans="4:16" x14ac:dyDescent="0.25">
      <c r="F17" s="10" t="s">
        <v>3</v>
      </c>
      <c r="G17" s="11">
        <v>130.79060000000001</v>
      </c>
      <c r="H17" s="10" t="s">
        <v>13</v>
      </c>
      <c r="J17" s="10" t="s">
        <v>7</v>
      </c>
      <c r="K17" s="12">
        <v>7</v>
      </c>
      <c r="L17" s="10" t="s">
        <v>9</v>
      </c>
      <c r="M17" s="12" t="s">
        <v>8</v>
      </c>
      <c r="N17" s="12">
        <v>6</v>
      </c>
      <c r="O17" s="10" t="s">
        <v>10</v>
      </c>
      <c r="P17" s="16" t="s">
        <v>44</v>
      </c>
    </row>
    <row r="18" spans="4:16" x14ac:dyDescent="0.25">
      <c r="F18" s="10" t="s">
        <v>2</v>
      </c>
      <c r="G18" s="11">
        <v>13.0791</v>
      </c>
      <c r="H18" s="10" t="s">
        <v>14</v>
      </c>
    </row>
    <row r="19" spans="4:16" x14ac:dyDescent="0.25">
      <c r="F19" s="10" t="s">
        <v>4</v>
      </c>
      <c r="G19" s="11">
        <v>2.2574999999999998</v>
      </c>
      <c r="H19" s="10" t="s">
        <v>15</v>
      </c>
    </row>
    <row r="20" spans="4:16" s="14" customFormat="1" x14ac:dyDescent="0.25"/>
    <row r="22" spans="4:16" ht="19.5" thickBot="1" x14ac:dyDescent="0.3">
      <c r="D22" s="10" t="s">
        <v>18</v>
      </c>
    </row>
    <row r="23" spans="4:16" ht="21.75" x14ac:dyDescent="0.25">
      <c r="F23" s="1" t="s">
        <v>24</v>
      </c>
      <c r="G23" s="8">
        <v>22.937178602620083</v>
      </c>
      <c r="H23" s="4"/>
      <c r="K23" s="16">
        <f>G18+G19/G26</f>
        <v>22.911445054304981</v>
      </c>
      <c r="L23" s="16" t="s">
        <v>43</v>
      </c>
      <c r="M23" s="16" t="s">
        <v>45</v>
      </c>
    </row>
    <row r="24" spans="4:16" ht="21.75" x14ac:dyDescent="0.25">
      <c r="F24" s="2" t="s">
        <v>25</v>
      </c>
      <c r="G24" s="7">
        <v>2.4956202242968053</v>
      </c>
      <c r="H24" s="5" t="s">
        <v>38</v>
      </c>
      <c r="K24" s="16">
        <f>2*PI()/SQRT((G23*9.81/G10))</f>
        <v>2.4968860391085843</v>
      </c>
      <c r="L24" s="16" t="s">
        <v>43</v>
      </c>
    </row>
    <row r="25" spans="4:16" x14ac:dyDescent="0.25">
      <c r="F25" s="2" t="s">
        <v>23</v>
      </c>
      <c r="G25" s="7">
        <v>1.5660701272370265</v>
      </c>
      <c r="H25" s="5"/>
    </row>
    <row r="26" spans="4:16" ht="22.5" thickBot="1" x14ac:dyDescent="0.3">
      <c r="F26" s="3" t="s">
        <v>19</v>
      </c>
      <c r="G26" s="9">
        <v>0.22959934659855935</v>
      </c>
      <c r="H26" s="6" t="s">
        <v>37</v>
      </c>
    </row>
    <row r="29" spans="4:16" s="14" customFormat="1" x14ac:dyDescent="0.25"/>
    <row r="33" spans="4:13" x14ac:dyDescent="0.25">
      <c r="D33" s="10" t="s">
        <v>20</v>
      </c>
    </row>
    <row r="34" spans="4:13" ht="22.5" thickBot="1" x14ac:dyDescent="0.3">
      <c r="F34" s="10" t="s">
        <v>26</v>
      </c>
      <c r="G34" s="13">
        <v>1</v>
      </c>
    </row>
    <row r="35" spans="4:13" ht="21.75" x14ac:dyDescent="0.25">
      <c r="F35" s="8" t="s">
        <v>21</v>
      </c>
      <c r="G35" s="1">
        <f>G23*G26/0.8/G34</f>
        <v>6.5829515249700341</v>
      </c>
    </row>
    <row r="36" spans="4:13" ht="22.5" thickBot="1" x14ac:dyDescent="0.3">
      <c r="F36" s="9" t="s">
        <v>22</v>
      </c>
      <c r="G36" s="3">
        <f>G23*G26/G34</f>
        <v>5.2663612199760275</v>
      </c>
    </row>
    <row r="37" spans="4:13" s="14" customFormat="1" x14ac:dyDescent="0.25"/>
    <row r="40" spans="4:13" ht="22.5" thickBot="1" x14ac:dyDescent="0.3">
      <c r="D40" s="10" t="s">
        <v>27</v>
      </c>
      <c r="M40" s="10" t="s">
        <v>28</v>
      </c>
    </row>
    <row r="41" spans="4:13" x14ac:dyDescent="0.25">
      <c r="E41" s="10" t="s">
        <v>36</v>
      </c>
      <c r="F41" s="8" t="s">
        <v>31</v>
      </c>
      <c r="G41" s="1">
        <f>G$36*K41/K$45</f>
        <v>0.84013570645173474</v>
      </c>
      <c r="J41" s="10" t="s">
        <v>31</v>
      </c>
      <c r="K41" s="11">
        <v>156.16756762</v>
      </c>
      <c r="M41" s="10">
        <f>G$23*G$26*K41/K$45</f>
        <v>0.84013570645173474</v>
      </c>
    </row>
    <row r="42" spans="4:13" x14ac:dyDescent="0.25">
      <c r="F42" s="7" t="s">
        <v>32</v>
      </c>
      <c r="G42" s="2">
        <f t="shared" ref="G42:G44" si="0">G$36*K42/K$45</f>
        <v>0.94505473283023944</v>
      </c>
      <c r="J42" s="10" t="s">
        <v>32</v>
      </c>
      <c r="K42" s="11">
        <v>175.67030869000001</v>
      </c>
      <c r="M42" s="10">
        <f t="shared" ref="M42:M44" si="1">G$23*G$26*K42/K$45</f>
        <v>0.94505473283023944</v>
      </c>
    </row>
    <row r="43" spans="4:13" x14ac:dyDescent="0.25">
      <c r="F43" s="7" t="s">
        <v>33</v>
      </c>
      <c r="G43" s="2">
        <f t="shared" si="0"/>
        <v>1.2716519713815375</v>
      </c>
      <c r="J43" s="10" t="s">
        <v>33</v>
      </c>
      <c r="K43" s="11">
        <v>236.37942502000001</v>
      </c>
      <c r="M43" s="10">
        <f t="shared" si="1"/>
        <v>1.2716519713815375</v>
      </c>
    </row>
    <row r="44" spans="4:13" ht="19.5" thickBot="1" x14ac:dyDescent="0.3">
      <c r="F44" s="9" t="s">
        <v>34</v>
      </c>
      <c r="G44" s="3">
        <f t="shared" si="0"/>
        <v>2.2095188093125158</v>
      </c>
      <c r="J44" s="10" t="s">
        <v>34</v>
      </c>
      <c r="K44" s="11">
        <v>410.71362092000004</v>
      </c>
      <c r="M44" s="10">
        <f t="shared" si="1"/>
        <v>2.2095188093125158</v>
      </c>
    </row>
    <row r="45" spans="4:13" x14ac:dyDescent="0.25">
      <c r="J45" s="10" t="s">
        <v>35</v>
      </c>
      <c r="K45" s="11">
        <v>978.93092225000009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24"/>
  <sheetViews>
    <sheetView workbookViewId="0"/>
  </sheetViews>
  <sheetFormatPr defaultRowHeight="15.75" x14ac:dyDescent="0.25"/>
  <cols>
    <col min="1" max="1" width="9.375" style="17" bestFit="1" customWidth="1"/>
    <col min="2" max="2" width="20.5" style="17" bestFit="1" customWidth="1"/>
    <col min="3" max="16384" width="9" style="17"/>
  </cols>
  <sheetData>
    <row r="1" spans="1:9" x14ac:dyDescent="0.25">
      <c r="A1" s="17" t="s">
        <v>39</v>
      </c>
      <c r="B1" s="18">
        <v>43258</v>
      </c>
    </row>
    <row r="2" spans="1:9" x14ac:dyDescent="0.25">
      <c r="A2" s="17" t="s">
        <v>40</v>
      </c>
      <c r="B2" s="17" t="s">
        <v>59</v>
      </c>
    </row>
    <row r="3" spans="1:9" x14ac:dyDescent="0.25">
      <c r="A3" s="17" t="s">
        <v>41</v>
      </c>
    </row>
    <row r="5" spans="1:9" ht="18.75" x14ac:dyDescent="0.25">
      <c r="D5" s="19" t="s">
        <v>60</v>
      </c>
    </row>
    <row r="6" spans="1:9" ht="21" x14ac:dyDescent="0.25">
      <c r="E6" s="19" t="s">
        <v>61</v>
      </c>
      <c r="F6" s="20">
        <v>0.626</v>
      </c>
      <c r="G6" s="19" t="s">
        <v>12</v>
      </c>
      <c r="H6" s="19"/>
      <c r="I6" s="19"/>
    </row>
    <row r="7" spans="1:9" ht="20.25" x14ac:dyDescent="0.25">
      <c r="E7" s="19" t="s">
        <v>62</v>
      </c>
      <c r="F7" s="20">
        <v>1.1359999999999999</v>
      </c>
      <c r="G7" s="19"/>
      <c r="H7" s="19"/>
      <c r="I7" s="19"/>
    </row>
    <row r="8" spans="1:9" ht="20.25" x14ac:dyDescent="0.25">
      <c r="E8" s="19" t="s">
        <v>63</v>
      </c>
      <c r="F8" s="20">
        <v>0.71099999999999997</v>
      </c>
      <c r="G8" s="19"/>
      <c r="H8" s="19"/>
      <c r="I8" s="19"/>
    </row>
    <row r="9" spans="1:9" ht="20.25" x14ac:dyDescent="0.25">
      <c r="E9" s="19" t="s">
        <v>64</v>
      </c>
      <c r="F9" s="20">
        <v>1.1359999999999999</v>
      </c>
      <c r="G9" s="19"/>
      <c r="H9" s="19"/>
      <c r="I9" s="19"/>
    </row>
    <row r="10" spans="1:9" ht="18.75" x14ac:dyDescent="0.25">
      <c r="E10" s="19" t="s">
        <v>29</v>
      </c>
      <c r="F10" s="20">
        <v>978</v>
      </c>
      <c r="G10" s="19" t="s">
        <v>57</v>
      </c>
      <c r="H10" s="19"/>
      <c r="I10" s="19" t="s">
        <v>65</v>
      </c>
    </row>
    <row r="12" spans="1:9" x14ac:dyDescent="0.25">
      <c r="D12" s="17" t="s">
        <v>66</v>
      </c>
    </row>
    <row r="13" spans="1:9" ht="18.75" x14ac:dyDescent="0.25">
      <c r="E13" s="17" t="s">
        <v>67</v>
      </c>
      <c r="F13" s="21"/>
      <c r="G13" s="17" t="s">
        <v>46</v>
      </c>
    </row>
    <row r="14" spans="1:9" x14ac:dyDescent="0.25">
      <c r="E14" s="17" t="s">
        <v>47</v>
      </c>
      <c r="F14" s="21"/>
      <c r="G14" s="17" t="s">
        <v>48</v>
      </c>
    </row>
    <row r="16" spans="1:9" x14ac:dyDescent="0.25">
      <c r="D16" s="17" t="s">
        <v>68</v>
      </c>
    </row>
    <row r="17" spans="4:7" x14ac:dyDescent="0.25">
      <c r="E17" s="17" t="s">
        <v>49</v>
      </c>
    </row>
    <row r="18" spans="4:7" x14ac:dyDescent="0.25">
      <c r="E18" s="17" t="s">
        <v>50</v>
      </c>
    </row>
    <row r="19" spans="4:7" x14ac:dyDescent="0.25">
      <c r="E19" s="17" t="s">
        <v>51</v>
      </c>
      <c r="G19" s="17" t="s">
        <v>58</v>
      </c>
    </row>
    <row r="21" spans="4:7" x14ac:dyDescent="0.25">
      <c r="D21" s="17" t="s">
        <v>69</v>
      </c>
    </row>
    <row r="22" spans="4:7" x14ac:dyDescent="0.25">
      <c r="E22" s="17" t="s">
        <v>52</v>
      </c>
      <c r="G22" s="17" t="s">
        <v>54</v>
      </c>
    </row>
    <row r="23" spans="4:7" x14ac:dyDescent="0.25">
      <c r="E23" s="17" t="s">
        <v>53</v>
      </c>
      <c r="G23" s="17" t="s">
        <v>55</v>
      </c>
    </row>
    <row r="24" spans="4:7" x14ac:dyDescent="0.25">
      <c r="E24" s="17" t="s">
        <v>4</v>
      </c>
      <c r="G24" s="17" t="s">
        <v>56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隔震建築物靜力分析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使用者</cp:lastModifiedBy>
  <dcterms:created xsi:type="dcterms:W3CDTF">2016-10-06T03:53:05Z</dcterms:created>
  <dcterms:modified xsi:type="dcterms:W3CDTF">2018-06-08T10:23:57Z</dcterms:modified>
</cp:coreProperties>
</file>