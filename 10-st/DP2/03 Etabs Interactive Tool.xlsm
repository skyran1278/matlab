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tlab\10-st\DP2\"/>
    </mc:Choice>
  </mc:AlternateContent>
  <bookViews>
    <workbookView xWindow="0" yWindow="45" windowWidth="28800" windowHeight="11685" tabRatio="777" activeTab="2"/>
  </bookViews>
  <sheets>
    <sheet name="COVER" sheetId="1" r:id="rId1"/>
    <sheet name="Model Check" sheetId="18" r:id="rId2"/>
    <sheet name="Width-Thk Ratio Check" sheetId="19" r:id="rId3"/>
    <sheet name="Grid &amp; Story" sheetId="14" r:id="rId4"/>
    <sheet name="Material" sheetId="11" r:id="rId5"/>
    <sheet name="Frame Section" sheetId="12" r:id="rId6"/>
    <sheet name="Area Section" sheetId="13" r:id="rId7"/>
    <sheet name="Load Case" sheetId="15" r:id="rId8"/>
    <sheet name="Dynamic Seismic Case" sheetId="16" r:id="rId9"/>
    <sheet name="Load Comb" sheetId="10" r:id="rId10"/>
  </sheets>
  <functionGroups builtInGroupCount="18"/>
  <calcPr calcId="162913"/>
</workbook>
</file>

<file path=xl/calcChain.xml><?xml version="1.0" encoding="utf-8"?>
<calcChain xmlns="http://schemas.openxmlformats.org/spreadsheetml/2006/main">
  <c r="I10" i="16" l="1"/>
  <c r="F10" i="16" l="1"/>
  <c r="S12" i="16"/>
  <c r="S11" i="16"/>
  <c r="P112" i="19"/>
  <c r="M97" i="19"/>
  <c r="L91" i="19"/>
  <c r="M143" i="19"/>
  <c r="L149" i="19"/>
  <c r="L126" i="19"/>
  <c r="M122" i="19"/>
  <c r="O72" i="19"/>
  <c r="L74" i="19"/>
  <c r="O106" i="19"/>
  <c r="P128" i="19"/>
  <c r="L121" i="19"/>
  <c r="M88" i="19"/>
  <c r="P104" i="19"/>
  <c r="M99" i="19"/>
  <c r="O138" i="19"/>
  <c r="P136" i="19"/>
  <c r="L109" i="19"/>
  <c r="O149" i="19"/>
  <c r="M136" i="19"/>
  <c r="P71" i="19"/>
  <c r="M100" i="19"/>
  <c r="M114" i="19"/>
  <c r="L129" i="19"/>
  <c r="P95" i="19"/>
  <c r="L69" i="19"/>
  <c r="L159" i="19"/>
  <c r="M158" i="19"/>
  <c r="M128" i="19"/>
  <c r="L15" i="19"/>
  <c r="P144" i="19"/>
  <c r="L84" i="19"/>
  <c r="O91" i="19"/>
  <c r="P155" i="19"/>
  <c r="M103" i="19"/>
  <c r="M132" i="19"/>
  <c r="L116" i="19"/>
  <c r="O159" i="19"/>
  <c r="M144" i="19"/>
  <c r="L100" i="19"/>
  <c r="O103" i="19"/>
  <c r="P77" i="19"/>
  <c r="P93" i="19"/>
  <c r="M82" i="19"/>
  <c r="O137" i="19"/>
  <c r="O76" i="19"/>
  <c r="P83" i="19"/>
  <c r="O152" i="19"/>
  <c r="M147" i="19"/>
  <c r="O75" i="19"/>
  <c r="M60" i="19"/>
  <c r="M52" i="19"/>
  <c r="L40" i="19"/>
  <c r="O15" i="19"/>
  <c r="L60" i="19"/>
  <c r="P37" i="19"/>
  <c r="M53" i="19"/>
  <c r="M12" i="19"/>
  <c r="M56" i="19"/>
  <c r="O59" i="19"/>
  <c r="L35" i="19"/>
  <c r="O46" i="19"/>
  <c r="P41" i="19"/>
  <c r="O51" i="19"/>
  <c r="O36" i="19"/>
  <c r="L30" i="19"/>
  <c r="M13" i="19"/>
  <c r="O44" i="19"/>
  <c r="M36" i="19"/>
  <c r="P55" i="19"/>
  <c r="O39" i="19"/>
  <c r="P21" i="19"/>
  <c r="L38" i="19"/>
  <c r="L33" i="19"/>
  <c r="M62" i="19"/>
  <c r="O61" i="19"/>
  <c r="M48" i="19"/>
  <c r="P59" i="19"/>
  <c r="M43" i="19"/>
  <c r="M26" i="19"/>
  <c r="L42" i="19"/>
  <c r="O80" i="19"/>
  <c r="O128" i="19"/>
  <c r="M86" i="19"/>
  <c r="L105" i="19"/>
  <c r="O70" i="19"/>
  <c r="O130" i="19"/>
  <c r="L56" i="19"/>
  <c r="M44" i="19"/>
  <c r="M19" i="19"/>
  <c r="L48" i="19"/>
  <c r="O43" i="19"/>
  <c r="M85" i="19"/>
  <c r="L119" i="19"/>
  <c r="M71" i="19"/>
  <c r="M121" i="19"/>
  <c r="L87" i="19"/>
  <c r="M70" i="19"/>
  <c r="L98" i="19"/>
  <c r="L77" i="19"/>
  <c r="M94" i="19"/>
  <c r="O100" i="19"/>
  <c r="P142" i="19"/>
  <c r="P26" i="19"/>
  <c r="P57" i="19"/>
  <c r="O13" i="19"/>
  <c r="P33" i="19"/>
  <c r="P60" i="19"/>
  <c r="L63" i="19"/>
  <c r="O122" i="19"/>
  <c r="O133" i="19"/>
  <c r="M135" i="19"/>
  <c r="M109" i="19"/>
  <c r="L102" i="19"/>
  <c r="P110" i="19"/>
  <c r="O94" i="19"/>
  <c r="L66" i="19"/>
  <c r="M90" i="19"/>
  <c r="O83" i="19"/>
  <c r="P129" i="19"/>
  <c r="O95" i="19"/>
  <c r="P88" i="19"/>
  <c r="L136" i="19"/>
  <c r="P145" i="19"/>
  <c r="P126" i="19"/>
  <c r="L110" i="19"/>
  <c r="O141" i="19"/>
  <c r="P91" i="19"/>
  <c r="M64" i="19"/>
  <c r="L94" i="19"/>
  <c r="P125" i="19"/>
  <c r="L113" i="19"/>
  <c r="P82" i="19"/>
  <c r="L128" i="19"/>
  <c r="P157" i="19"/>
  <c r="L101" i="19"/>
  <c r="M113" i="19"/>
  <c r="M130" i="19"/>
  <c r="L152" i="19"/>
  <c r="P99" i="19"/>
  <c r="L142" i="19"/>
  <c r="O67" i="19"/>
  <c r="O89" i="19"/>
  <c r="O74" i="19"/>
  <c r="M72" i="19"/>
  <c r="L135" i="19"/>
  <c r="M73" i="19"/>
  <c r="P73" i="19"/>
  <c r="O124" i="19"/>
  <c r="M107" i="19"/>
  <c r="P140" i="19"/>
  <c r="L71" i="19"/>
  <c r="O68" i="19"/>
  <c r="P131" i="19"/>
  <c r="O113" i="19"/>
  <c r="P114" i="19"/>
  <c r="O146" i="19"/>
  <c r="M80" i="19"/>
  <c r="L20" i="19"/>
  <c r="M61" i="19"/>
  <c r="L25" i="19"/>
  <c r="P51" i="19"/>
  <c r="O53" i="19"/>
  <c r="M18" i="19"/>
  <c r="L29" i="19"/>
  <c r="L16" i="19"/>
  <c r="O41" i="19"/>
  <c r="O17" i="19"/>
  <c r="L23" i="19"/>
  <c r="M47" i="19"/>
  <c r="P13" i="19"/>
  <c r="P40" i="19"/>
  <c r="O60" i="19"/>
  <c r="M40" i="19"/>
  <c r="M14" i="19"/>
  <c r="M31" i="19"/>
  <c r="P27" i="19"/>
  <c r="P54" i="19"/>
  <c r="L108" i="19"/>
  <c r="P87" i="19"/>
  <c r="M84" i="19"/>
  <c r="L78" i="19"/>
  <c r="M101" i="19"/>
  <c r="L79" i="19"/>
  <c r="L89" i="19"/>
  <c r="O142" i="19"/>
  <c r="P158" i="19"/>
  <c r="M74" i="19"/>
  <c r="L140" i="19"/>
  <c r="L67" i="19"/>
  <c r="M115" i="19"/>
  <c r="P141" i="19"/>
  <c r="M146" i="19"/>
  <c r="L138" i="19"/>
  <c r="P150" i="19"/>
  <c r="M129" i="19"/>
  <c r="M68" i="19"/>
  <c r="O85" i="19"/>
  <c r="O86" i="19"/>
  <c r="L70" i="19"/>
  <c r="L12" i="19"/>
  <c r="P107" i="19"/>
  <c r="P109" i="19"/>
  <c r="L154" i="19"/>
  <c r="P134" i="19"/>
  <c r="P85" i="19"/>
  <c r="P121" i="19"/>
  <c r="O104" i="19"/>
  <c r="L127" i="19"/>
  <c r="P78" i="19"/>
  <c r="L118" i="19"/>
  <c r="P69" i="19"/>
  <c r="M79" i="19"/>
  <c r="P80" i="19"/>
  <c r="L83" i="19"/>
  <c r="L160" i="19"/>
  <c r="P124" i="19"/>
  <c r="P122" i="19"/>
  <c r="O116" i="19"/>
  <c r="M91" i="19"/>
  <c r="M134" i="19"/>
  <c r="P115" i="19"/>
  <c r="L93" i="19"/>
  <c r="L106" i="19"/>
  <c r="O118" i="19"/>
  <c r="P123" i="19"/>
  <c r="O65" i="19"/>
  <c r="M157" i="19"/>
  <c r="M119" i="19"/>
  <c r="O42" i="19"/>
  <c r="L21" i="19"/>
  <c r="P47" i="19"/>
  <c r="P18" i="19"/>
  <c r="L54" i="19"/>
  <c r="O49" i="19"/>
  <c r="O55" i="19"/>
  <c r="L39" i="19"/>
  <c r="M16" i="19"/>
  <c r="P22" i="19"/>
  <c r="L59" i="19"/>
  <c r="O18" i="19"/>
  <c r="O34" i="19"/>
  <c r="O54" i="19"/>
  <c r="L50" i="19"/>
  <c r="O52" i="19"/>
  <c r="M23" i="19"/>
  <c r="P36" i="19"/>
  <c r="P34" i="19"/>
  <c r="P62" i="19"/>
  <c r="O57" i="19"/>
  <c r="P29" i="19"/>
  <c r="O20" i="19"/>
  <c r="P32" i="19"/>
  <c r="P39" i="19"/>
  <c r="L46" i="19"/>
  <c r="O161" i="19"/>
  <c r="M124" i="19"/>
  <c r="M131" i="19"/>
  <c r="P79" i="19"/>
  <c r="P74" i="19"/>
  <c r="O156" i="19"/>
  <c r="L90" i="19"/>
  <c r="M138" i="19"/>
  <c r="O155" i="19"/>
  <c r="O90" i="19"/>
  <c r="P75" i="19"/>
  <c r="O112" i="19"/>
  <c r="P28" i="19"/>
  <c r="O19" i="19"/>
  <c r="O48" i="19"/>
  <c r="P24" i="19"/>
  <c r="M28" i="19"/>
  <c r="L65" i="19"/>
  <c r="P138" i="19"/>
  <c r="M87" i="19"/>
  <c r="O135" i="19"/>
  <c r="M104" i="19"/>
  <c r="P130" i="19"/>
  <c r="M111" i="19"/>
  <c r="L97" i="19"/>
  <c r="M69" i="19"/>
  <c r="L26" i="19"/>
  <c r="L14" i="19"/>
  <c r="P50" i="19"/>
  <c r="O12" i="19"/>
  <c r="M32" i="19"/>
  <c r="P153" i="19"/>
  <c r="M75" i="19"/>
  <c r="P89" i="19"/>
  <c r="L73" i="19"/>
  <c r="O150" i="19"/>
  <c r="M96" i="19"/>
  <c r="M148" i="19"/>
  <c r="L96" i="19"/>
  <c r="P118" i="19"/>
  <c r="P86" i="19"/>
  <c r="M78" i="19"/>
  <c r="L148" i="19"/>
  <c r="L147" i="19"/>
  <c r="L130" i="19"/>
  <c r="P149" i="19"/>
  <c r="M105" i="19"/>
  <c r="M98" i="19"/>
  <c r="M123" i="19"/>
  <c r="L137" i="19"/>
  <c r="P64" i="19"/>
  <c r="M151" i="19"/>
  <c r="O110" i="19"/>
  <c r="M142" i="19"/>
  <c r="L146" i="19"/>
  <c r="M116" i="19"/>
  <c r="O96" i="19"/>
  <c r="O102" i="19"/>
  <c r="M108" i="19"/>
  <c r="M155" i="19"/>
  <c r="M156" i="19"/>
  <c r="L68" i="19"/>
  <c r="O78" i="19"/>
  <c r="O158" i="19"/>
  <c r="O73" i="19"/>
  <c r="O84" i="19"/>
  <c r="L145" i="19"/>
  <c r="P132" i="19"/>
  <c r="O117" i="19"/>
  <c r="P70" i="19"/>
  <c r="M66" i="19"/>
  <c r="O125" i="19"/>
  <c r="L141" i="19"/>
  <c r="O105" i="19"/>
  <c r="P113" i="19"/>
  <c r="L82" i="19"/>
  <c r="O136" i="19"/>
  <c r="O82" i="19"/>
  <c r="M154" i="19"/>
  <c r="O144" i="19"/>
  <c r="M102" i="19"/>
  <c r="P43" i="19"/>
  <c r="P53" i="19"/>
  <c r="M30" i="19"/>
  <c r="M50" i="19"/>
  <c r="L45" i="19"/>
  <c r="P58" i="19"/>
  <c r="O62" i="19"/>
  <c r="P15" i="19"/>
  <c r="O33" i="19"/>
  <c r="P14" i="19"/>
  <c r="O63" i="19"/>
  <c r="L58" i="19"/>
  <c r="O27" i="19"/>
  <c r="L37" i="19"/>
  <c r="O50" i="19"/>
  <c r="O14" i="19"/>
  <c r="L27" i="19"/>
  <c r="O28" i="19"/>
  <c r="M17" i="19"/>
  <c r="L47" i="19"/>
  <c r="M15" i="19"/>
  <c r="L44" i="19"/>
  <c r="M57" i="19"/>
  <c r="M42" i="19"/>
  <c r="L34" i="19"/>
  <c r="M58" i="19"/>
  <c r="L72" i="19"/>
  <c r="O131" i="19"/>
  <c r="O69" i="19"/>
  <c r="O97" i="19"/>
  <c r="O157" i="19"/>
  <c r="L95" i="19"/>
  <c r="O147" i="19"/>
  <c r="O111" i="19"/>
  <c r="P31" i="19"/>
  <c r="O56" i="19"/>
  <c r="P17" i="19"/>
  <c r="P46" i="19"/>
  <c r="L28" i="19"/>
  <c r="M65" i="19"/>
  <c r="M106" i="19"/>
  <c r="L114" i="19"/>
  <c r="M137" i="19"/>
  <c r="O66" i="19"/>
  <c r="M93" i="19"/>
  <c r="O92" i="19"/>
  <c r="L157" i="19"/>
  <c r="M34" i="19"/>
  <c r="P12" i="19"/>
  <c r="P19" i="19"/>
  <c r="P23" i="19"/>
  <c r="M126" i="19"/>
  <c r="M159" i="19"/>
  <c r="M149" i="19"/>
  <c r="P96" i="19"/>
  <c r="P98" i="19"/>
  <c r="O154" i="19"/>
  <c r="M77" i="19"/>
  <c r="O129" i="19"/>
  <c r="P151" i="19"/>
  <c r="P116" i="19"/>
  <c r="M92" i="19"/>
  <c r="P76" i="19"/>
  <c r="O132" i="19"/>
  <c r="P65" i="19"/>
  <c r="P139" i="19"/>
  <c r="L76" i="19"/>
  <c r="P137" i="19"/>
  <c r="L156" i="19"/>
  <c r="M162" i="19"/>
  <c r="O126" i="19"/>
  <c r="O134" i="19"/>
  <c r="P120" i="19"/>
  <c r="O101" i="19"/>
  <c r="L144" i="19"/>
  <c r="P148" i="19"/>
  <c r="L124" i="19"/>
  <c r="L151" i="19"/>
  <c r="P135" i="19"/>
  <c r="P81" i="19"/>
  <c r="P101" i="19"/>
  <c r="P161" i="19"/>
  <c r="M112" i="19"/>
  <c r="P90" i="19"/>
  <c r="O145" i="19"/>
  <c r="O139" i="19"/>
  <c r="O121" i="19"/>
  <c r="O109" i="19"/>
  <c r="P117" i="19"/>
  <c r="L162" i="19"/>
  <c r="L143" i="19"/>
  <c r="O127" i="19"/>
  <c r="P146" i="19"/>
  <c r="L103" i="19"/>
  <c r="L64" i="19"/>
  <c r="P94" i="19"/>
  <c r="O81" i="19"/>
  <c r="P133" i="19"/>
  <c r="M160" i="19"/>
  <c r="M81" i="19"/>
  <c r="O120" i="19"/>
  <c r="O35" i="19"/>
  <c r="O21" i="19"/>
  <c r="O40" i="19"/>
  <c r="L55" i="19"/>
  <c r="O38" i="19"/>
  <c r="O47" i="19"/>
  <c r="L62" i="19"/>
  <c r="O29" i="19"/>
  <c r="L24" i="19"/>
  <c r="P38" i="19"/>
  <c r="O37" i="19"/>
  <c r="P16" i="19"/>
  <c r="P44" i="19"/>
  <c r="M59" i="19"/>
  <c r="O23" i="19"/>
  <c r="M33" i="19"/>
  <c r="P52" i="19"/>
  <c r="M55" i="19"/>
  <c r="L13" i="19"/>
  <c r="L22" i="19"/>
  <c r="M54" i="19"/>
  <c r="O24" i="19"/>
  <c r="L57" i="19"/>
  <c r="O31" i="19"/>
  <c r="O26" i="19"/>
  <c r="P20" i="19"/>
  <c r="L161" i="19"/>
  <c r="L123" i="19"/>
  <c r="O79" i="19"/>
  <c r="L81" i="19"/>
  <c r="L80" i="19"/>
  <c r="M95" i="19"/>
  <c r="P108" i="19"/>
  <c r="P162" i="19"/>
  <c r="M152" i="19"/>
  <c r="L133" i="19"/>
  <c r="L53" i="19"/>
  <c r="M63" i="19"/>
  <c r="L49" i="19"/>
  <c r="L41" i="19"/>
  <c r="O16" i="19"/>
  <c r="P56" i="19"/>
  <c r="M67" i="19"/>
  <c r="L139" i="19"/>
  <c r="P66" i="19"/>
  <c r="P102" i="19"/>
  <c r="M127" i="19"/>
  <c r="P156" i="19"/>
  <c r="M76" i="19"/>
  <c r="L117" i="19"/>
  <c r="P97" i="19"/>
  <c r="O143" i="19"/>
  <c r="M120" i="19"/>
  <c r="P67" i="19"/>
  <c r="P143" i="19"/>
  <c r="P42" i="19"/>
  <c r="O22" i="19"/>
  <c r="L61" i="19"/>
  <c r="M49" i="19"/>
  <c r="L32" i="19"/>
  <c r="P68" i="19"/>
  <c r="M125" i="19"/>
  <c r="O99" i="19"/>
  <c r="M118" i="19"/>
  <c r="P147" i="19"/>
  <c r="L155" i="19"/>
  <c r="L86" i="19"/>
  <c r="P127" i="19"/>
  <c r="L85" i="19"/>
  <c r="O93" i="19"/>
  <c r="P84" i="19"/>
  <c r="M141" i="19"/>
  <c r="O108" i="19"/>
  <c r="M83" i="19"/>
  <c r="L99" i="19"/>
  <c r="P105" i="19"/>
  <c r="L132" i="19"/>
  <c r="O140" i="19"/>
  <c r="L120" i="19"/>
  <c r="P160" i="19"/>
  <c r="M139" i="19"/>
  <c r="L92" i="19"/>
  <c r="P100" i="19"/>
  <c r="O123" i="19"/>
  <c r="O153" i="19"/>
  <c r="O98" i="19"/>
  <c r="M150" i="19"/>
  <c r="O160" i="19"/>
  <c r="O151" i="19"/>
  <c r="L158" i="19"/>
  <c r="O148" i="19"/>
  <c r="O119" i="19"/>
  <c r="L111" i="19"/>
  <c r="O88" i="19"/>
  <c r="M110" i="19"/>
  <c r="M153" i="19"/>
  <c r="L104" i="19"/>
  <c r="P111" i="19"/>
  <c r="P92" i="19"/>
  <c r="P103" i="19"/>
  <c r="M89" i="19"/>
  <c r="O71" i="19"/>
  <c r="L125" i="19"/>
  <c r="P159" i="19"/>
  <c r="O77" i="19"/>
  <c r="O114" i="19"/>
  <c r="O87" i="19"/>
  <c r="L112" i="19"/>
  <c r="O115" i="19"/>
  <c r="L75" i="19"/>
  <c r="O45" i="19"/>
  <c r="M46" i="19"/>
  <c r="O30" i="19"/>
  <c r="P35" i="19"/>
  <c r="M27" i="19"/>
  <c r="P61" i="19"/>
  <c r="M41" i="19"/>
  <c r="M45" i="19"/>
  <c r="M20" i="19"/>
  <c r="M29" i="19"/>
  <c r="L36" i="19"/>
  <c r="P49" i="19"/>
  <c r="L31" i="19"/>
  <c r="P45" i="19"/>
  <c r="P48" i="19"/>
  <c r="O25" i="19"/>
  <c r="M21" i="19"/>
  <c r="M38" i="19"/>
  <c r="P25" i="19"/>
  <c r="M22" i="19"/>
  <c r="M39" i="19"/>
  <c r="L17" i="19"/>
  <c r="L19" i="19"/>
  <c r="M51" i="19"/>
  <c r="L51" i="19"/>
  <c r="P30" i="19"/>
  <c r="M117" i="19"/>
  <c r="P72" i="19"/>
  <c r="M133" i="19"/>
  <c r="M145" i="19"/>
  <c r="L122" i="19"/>
  <c r="O64" i="19"/>
  <c r="M161" i="19"/>
  <c r="L134" i="19"/>
  <c r="P154" i="19"/>
  <c r="L150" i="19"/>
  <c r="L107" i="19"/>
  <c r="P119" i="19"/>
  <c r="P63" i="19"/>
  <c r="O32" i="19"/>
  <c r="L43" i="19"/>
  <c r="M35" i="19"/>
  <c r="L18" i="19"/>
  <c r="L115" i="19"/>
  <c r="P106" i="19"/>
  <c r="P152" i="19"/>
  <c r="O162" i="19"/>
  <c r="L153" i="19"/>
  <c r="M140" i="19"/>
  <c r="O107" i="19"/>
  <c r="L88" i="19"/>
  <c r="L131" i="19"/>
  <c r="M37" i="19"/>
  <c r="L52" i="19"/>
  <c r="O58" i="19"/>
  <c r="M25" i="19"/>
  <c r="M24" i="19"/>
  <c r="Q75" i="19" l="1"/>
  <c r="Q112" i="19"/>
  <c r="N75" i="19"/>
  <c r="Q120" i="19"/>
  <c r="Q115" i="19"/>
  <c r="Q144" i="19"/>
  <c r="Q146" i="19"/>
  <c r="Q152" i="19"/>
  <c r="N131" i="19"/>
  <c r="N112" i="19"/>
  <c r="Q65" i="19"/>
  <c r="N157" i="19"/>
  <c r="Q130" i="19"/>
  <c r="Q87" i="19"/>
  <c r="Q82" i="19"/>
  <c r="Q113" i="19"/>
  <c r="Q76" i="19"/>
  <c r="N133" i="19"/>
  <c r="Q114" i="19"/>
  <c r="Q81" i="19"/>
  <c r="Q136" i="19"/>
  <c r="Q118" i="19"/>
  <c r="Q137" i="19"/>
  <c r="Q77" i="19"/>
  <c r="N82" i="19"/>
  <c r="N106" i="19"/>
  <c r="Q68" i="19"/>
  <c r="N97" i="19"/>
  <c r="Q111" i="19"/>
  <c r="N64" i="19"/>
  <c r="N93" i="19"/>
  <c r="N71" i="19"/>
  <c r="N88" i="19"/>
  <c r="N107" i="19"/>
  <c r="N125" i="19"/>
  <c r="N103" i="19"/>
  <c r="Q105" i="19"/>
  <c r="Q100" i="19"/>
  <c r="Q70" i="19"/>
  <c r="Q71" i="19"/>
  <c r="N141" i="19"/>
  <c r="Q103" i="19"/>
  <c r="Q92" i="19"/>
  <c r="Q127" i="19"/>
  <c r="Q125" i="19"/>
  <c r="Q124" i="19"/>
  <c r="N100" i="19"/>
  <c r="Q90" i="19"/>
  <c r="N143" i="19"/>
  <c r="Q116" i="19"/>
  <c r="N150" i="19"/>
  <c r="N162" i="19"/>
  <c r="Q159" i="19"/>
  <c r="Q147" i="19"/>
  <c r="Q117" i="19"/>
  <c r="N135" i="19"/>
  <c r="N116" i="19"/>
  <c r="Q107" i="19"/>
  <c r="N105" i="19"/>
  <c r="N104" i="19"/>
  <c r="Q109" i="19"/>
  <c r="N160" i="19"/>
  <c r="Q143" i="19"/>
  <c r="Q121" i="19"/>
  <c r="N145" i="19"/>
  <c r="N83" i="19"/>
  <c r="Q74" i="19"/>
  <c r="Q155" i="19"/>
  <c r="Q139" i="19"/>
  <c r="Q84" i="19"/>
  <c r="Q89" i="19"/>
  <c r="Q88" i="19"/>
  <c r="Q145" i="19"/>
  <c r="Q73" i="19"/>
  <c r="Q67" i="19"/>
  <c r="Q91" i="19"/>
  <c r="N77" i="19"/>
  <c r="N111" i="19"/>
  <c r="Q158" i="19"/>
  <c r="N142" i="19"/>
  <c r="N84" i="19"/>
  <c r="N95" i="19"/>
  <c r="Q119" i="19"/>
  <c r="Q78" i="19"/>
  <c r="N118" i="19"/>
  <c r="Q148" i="19"/>
  <c r="N68" i="19"/>
  <c r="N152" i="19"/>
  <c r="N158" i="19"/>
  <c r="N127" i="19"/>
  <c r="Q66" i="19"/>
  <c r="N134" i="19"/>
  <c r="Q151" i="19"/>
  <c r="Q104" i="19"/>
  <c r="N98" i="19"/>
  <c r="Q160" i="19"/>
  <c r="N101" i="19"/>
  <c r="N159" i="19"/>
  <c r="N153" i="19"/>
  <c r="Q157" i="19"/>
  <c r="N151" i="19"/>
  <c r="Q102" i="19"/>
  <c r="N69" i="19"/>
  <c r="N117" i="19"/>
  <c r="Q128" i="19"/>
  <c r="Q98" i="19"/>
  <c r="N124" i="19"/>
  <c r="Q96" i="19"/>
  <c r="N128" i="19"/>
  <c r="Q135" i="19"/>
  <c r="N90" i="19"/>
  <c r="Q153" i="19"/>
  <c r="N154" i="19"/>
  <c r="N129" i="19"/>
  <c r="Q123" i="19"/>
  <c r="N144" i="19"/>
  <c r="N146" i="19"/>
  <c r="N113" i="19"/>
  <c r="N80" i="19"/>
  <c r="Q101" i="19"/>
  <c r="Q97" i="19"/>
  <c r="N92" i="19"/>
  <c r="Q110" i="19"/>
  <c r="N94" i="19"/>
  <c r="Q162" i="19"/>
  <c r="Q64" i="19"/>
  <c r="Q134" i="19"/>
  <c r="N70" i="19"/>
  <c r="Q156" i="19"/>
  <c r="Q126" i="19"/>
  <c r="Q86" i="19"/>
  <c r="Q149" i="19"/>
  <c r="N81" i="19"/>
  <c r="N120" i="19"/>
  <c r="N137" i="19"/>
  <c r="Q85" i="19"/>
  <c r="Q141" i="19"/>
  <c r="N109" i="19"/>
  <c r="N87" i="19"/>
  <c r="Q69" i="19"/>
  <c r="Q140" i="19"/>
  <c r="N156" i="19"/>
  <c r="N110" i="19"/>
  <c r="N122" i="19"/>
  <c r="N132" i="19"/>
  <c r="Q138" i="19"/>
  <c r="N114" i="19"/>
  <c r="N76" i="19"/>
  <c r="Q79" i="19"/>
  <c r="N99" i="19"/>
  <c r="N138" i="19"/>
  <c r="N136" i="19"/>
  <c r="N130" i="19"/>
  <c r="Q108" i="19"/>
  <c r="Q132" i="19"/>
  <c r="N147" i="19"/>
  <c r="Q95" i="19"/>
  <c r="N121" i="19"/>
  <c r="Q131" i="19"/>
  <c r="N148" i="19"/>
  <c r="N67" i="19"/>
  <c r="Q83" i="19"/>
  <c r="Q106" i="19"/>
  <c r="Q93" i="19"/>
  <c r="N140" i="19"/>
  <c r="N74" i="19"/>
  <c r="N123" i="19"/>
  <c r="N85" i="19"/>
  <c r="N66" i="19"/>
  <c r="Q72" i="19"/>
  <c r="N108" i="19"/>
  <c r="Q129" i="19"/>
  <c r="N96" i="19"/>
  <c r="Q94" i="19"/>
  <c r="N119" i="19"/>
  <c r="N86" i="19"/>
  <c r="Q142" i="19"/>
  <c r="N126" i="19"/>
  <c r="N139" i="19"/>
  <c r="N155" i="19"/>
  <c r="Q154" i="19"/>
  <c r="N89" i="19"/>
  <c r="N102" i="19"/>
  <c r="N149" i="19"/>
  <c r="Q80" i="19"/>
  <c r="Q150" i="19"/>
  <c r="N79" i="19"/>
  <c r="N72" i="19"/>
  <c r="N73" i="19"/>
  <c r="N91" i="19"/>
  <c r="N115" i="19"/>
  <c r="Q161" i="19"/>
  <c r="Q99" i="19"/>
  <c r="N78" i="19"/>
  <c r="Q133" i="19"/>
  <c r="N65" i="19"/>
  <c r="N161" i="19"/>
  <c r="Q122" i="19"/>
  <c r="N62" i="19"/>
  <c r="Q63" i="19"/>
  <c r="Q62" i="19"/>
  <c r="N63" i="19"/>
  <c r="N57" i="19"/>
  <c r="N59" i="19"/>
  <c r="N61" i="19"/>
  <c r="Q56" i="19"/>
  <c r="Q58" i="19"/>
  <c r="Q60" i="19"/>
  <c r="N54" i="19"/>
  <c r="N56" i="19"/>
  <c r="N58" i="19"/>
  <c r="N60" i="19"/>
  <c r="Q53" i="19"/>
  <c r="Q55" i="19"/>
  <c r="Q57" i="19"/>
  <c r="Q59" i="19"/>
  <c r="Q61" i="19"/>
  <c r="N55" i="19"/>
  <c r="N53" i="19"/>
  <c r="Q54" i="19"/>
  <c r="N15" i="19"/>
  <c r="N19" i="19"/>
  <c r="N23" i="19"/>
  <c r="N33" i="19"/>
  <c r="N41" i="19"/>
  <c r="N49" i="19"/>
  <c r="Q16" i="19"/>
  <c r="Q20" i="19"/>
  <c r="Q24" i="19"/>
  <c r="N31" i="19"/>
  <c r="N39" i="19"/>
  <c r="N47" i="19"/>
  <c r="N13" i="19"/>
  <c r="N17" i="19"/>
  <c r="N21" i="19"/>
  <c r="N25" i="19"/>
  <c r="N29" i="19"/>
  <c r="N37" i="19"/>
  <c r="N45" i="19"/>
  <c r="Q14" i="19"/>
  <c r="Q18" i="19"/>
  <c r="Q22" i="19"/>
  <c r="N27" i="19"/>
  <c r="N35" i="19"/>
  <c r="N43" i="19"/>
  <c r="N51" i="19"/>
  <c r="Q26" i="19"/>
  <c r="Q30" i="19"/>
  <c r="Q32" i="19"/>
  <c r="Q36" i="19"/>
  <c r="Q38" i="19"/>
  <c r="Q40" i="19"/>
  <c r="Q44" i="19"/>
  <c r="Q46" i="19"/>
  <c r="Q48" i="19"/>
  <c r="Q52" i="19"/>
  <c r="N14" i="19"/>
  <c r="N18" i="19"/>
  <c r="N20" i="19"/>
  <c r="N26" i="19"/>
  <c r="N32" i="19"/>
  <c r="N34" i="19"/>
  <c r="N36" i="19"/>
  <c r="N38" i="19"/>
  <c r="N40" i="19"/>
  <c r="N42" i="19"/>
  <c r="N44" i="19"/>
  <c r="N46" i="19"/>
  <c r="N48" i="19"/>
  <c r="N50" i="19"/>
  <c r="N52" i="19"/>
  <c r="Q28" i="19"/>
  <c r="Q34" i="19"/>
  <c r="Q42" i="19"/>
  <c r="Q50" i="19"/>
  <c r="N16" i="19"/>
  <c r="N22" i="19"/>
  <c r="N24" i="19"/>
  <c r="N28" i="19"/>
  <c r="N30" i="19"/>
  <c r="Q13" i="19"/>
  <c r="Q15" i="19"/>
  <c r="Q17" i="19"/>
  <c r="Q19" i="19"/>
  <c r="Q21" i="19"/>
  <c r="Q23" i="19"/>
  <c r="Q25" i="19"/>
  <c r="Q27" i="19"/>
  <c r="Q29" i="19"/>
  <c r="Q31" i="19"/>
  <c r="Q33" i="19"/>
  <c r="Q35" i="19"/>
  <c r="Q37" i="19"/>
  <c r="Q39" i="19"/>
  <c r="Q41" i="19"/>
  <c r="Q43" i="19"/>
  <c r="Q45" i="19"/>
  <c r="Q47" i="19"/>
  <c r="Q49" i="19"/>
  <c r="Q51" i="19"/>
  <c r="N12" i="19"/>
  <c r="Q12" i="19"/>
</calcChain>
</file>

<file path=xl/sharedStrings.xml><?xml version="1.0" encoding="utf-8"?>
<sst xmlns="http://schemas.openxmlformats.org/spreadsheetml/2006/main" count="2190" uniqueCount="575">
  <si>
    <t>Grid &amp; Story</t>
    <phoneticPr fontId="2" type="noConversion"/>
  </si>
  <si>
    <t>STORY</t>
    <phoneticPr fontId="2" type="noConversion"/>
  </si>
  <si>
    <t>Height</t>
    <phoneticPr fontId="2" type="noConversion"/>
  </si>
  <si>
    <t>Label</t>
    <phoneticPr fontId="2" type="noConversion"/>
  </si>
  <si>
    <t>unit:m</t>
    <phoneticPr fontId="2" type="noConversion"/>
  </si>
  <si>
    <t>X- GRID</t>
    <phoneticPr fontId="2" type="noConversion"/>
  </si>
  <si>
    <t>Y- GRID</t>
    <phoneticPr fontId="2" type="noConversion"/>
  </si>
  <si>
    <t>Material Property</t>
    <phoneticPr fontId="2" type="noConversion"/>
  </si>
  <si>
    <t>Name</t>
    <phoneticPr fontId="2" type="noConversion"/>
  </si>
  <si>
    <t>Mass</t>
    <phoneticPr fontId="2" type="noConversion"/>
  </si>
  <si>
    <t>Weight</t>
    <phoneticPr fontId="2" type="noConversion"/>
  </si>
  <si>
    <t>E</t>
    <phoneticPr fontId="2" type="noConversion"/>
  </si>
  <si>
    <t>U</t>
    <phoneticPr fontId="2" type="noConversion"/>
  </si>
  <si>
    <t>A</t>
    <phoneticPr fontId="2" type="noConversion"/>
  </si>
  <si>
    <t>Desing Type Steel</t>
    <phoneticPr fontId="2" type="noConversion"/>
  </si>
  <si>
    <t>Fy</t>
    <phoneticPr fontId="2" type="noConversion"/>
  </si>
  <si>
    <t>Fu</t>
    <phoneticPr fontId="2" type="noConversion"/>
  </si>
  <si>
    <t>TYPE</t>
    <phoneticPr fontId="2" type="noConversion"/>
  </si>
  <si>
    <t>fy</t>
    <phoneticPr fontId="2" type="noConversion"/>
  </si>
  <si>
    <t>fc'</t>
    <phoneticPr fontId="2" type="noConversion"/>
  </si>
  <si>
    <t>fys</t>
    <phoneticPr fontId="2" type="noConversion"/>
  </si>
  <si>
    <t>unit: t-m</t>
    <phoneticPr fontId="2" type="noConversion"/>
  </si>
  <si>
    <t>Grid ID</t>
    <phoneticPr fontId="2" type="noConversion"/>
  </si>
  <si>
    <t>Ordinate</t>
    <phoneticPr fontId="2" type="noConversion"/>
  </si>
  <si>
    <t>Frame Section</t>
    <phoneticPr fontId="2" type="noConversion"/>
  </si>
  <si>
    <t>Frame Name</t>
    <phoneticPr fontId="2" type="noConversion"/>
  </si>
  <si>
    <t>Material</t>
    <phoneticPr fontId="2" type="noConversion"/>
  </si>
  <si>
    <t>Shape</t>
    <phoneticPr fontId="2" type="noConversion"/>
  </si>
  <si>
    <t>D</t>
    <phoneticPr fontId="2" type="noConversion"/>
  </si>
  <si>
    <t>B</t>
    <phoneticPr fontId="2" type="noConversion"/>
  </si>
  <si>
    <t>Tf</t>
    <phoneticPr fontId="2" type="noConversion"/>
  </si>
  <si>
    <t>Tw</t>
    <phoneticPr fontId="2" type="noConversion"/>
  </si>
  <si>
    <t>unit: m</t>
    <phoneticPr fontId="2" type="noConversion"/>
  </si>
  <si>
    <t>Modification</t>
    <phoneticPr fontId="2" type="noConversion"/>
  </si>
  <si>
    <t>Area</t>
    <phoneticPr fontId="2" type="noConversion"/>
  </si>
  <si>
    <t>Shear A2</t>
    <phoneticPr fontId="2" type="noConversion"/>
  </si>
  <si>
    <t>Shear A3</t>
    <phoneticPr fontId="2" type="noConversion"/>
  </si>
  <si>
    <t>Torsional Const.</t>
    <phoneticPr fontId="2" type="noConversion"/>
  </si>
  <si>
    <t>I2</t>
    <phoneticPr fontId="2" type="noConversion"/>
  </si>
  <si>
    <t>I3</t>
    <phoneticPr fontId="2" type="noConversion"/>
  </si>
  <si>
    <t>Area Section</t>
    <phoneticPr fontId="2" type="noConversion"/>
  </si>
  <si>
    <t>Area Name</t>
    <phoneticPr fontId="2" type="noConversion"/>
  </si>
  <si>
    <t>SHELL</t>
    <phoneticPr fontId="2" type="noConversion"/>
  </si>
  <si>
    <t>SLAB</t>
  </si>
  <si>
    <t>SLAB</t>
    <phoneticPr fontId="2" type="noConversion"/>
  </si>
  <si>
    <t>WALL</t>
  </si>
  <si>
    <t>WALL</t>
    <phoneticPr fontId="2" type="noConversion"/>
  </si>
  <si>
    <t>MEMBRANE</t>
  </si>
  <si>
    <t>PLATE</t>
    <phoneticPr fontId="2" type="noConversion"/>
  </si>
  <si>
    <t>Load Dist.</t>
    <phoneticPr fontId="2" type="noConversion"/>
  </si>
  <si>
    <t>ONE WAY</t>
    <phoneticPr fontId="2" type="noConversion"/>
  </si>
  <si>
    <t>TWO WAY</t>
    <phoneticPr fontId="2" type="noConversion"/>
  </si>
  <si>
    <t>Membrane Thk.</t>
    <phoneticPr fontId="2" type="noConversion"/>
  </si>
  <si>
    <t>Bending Thk.</t>
    <phoneticPr fontId="2" type="noConversion"/>
  </si>
  <si>
    <t>F11</t>
    <phoneticPr fontId="2" type="noConversion"/>
  </si>
  <si>
    <t>F22</t>
    <phoneticPr fontId="2" type="noConversion"/>
  </si>
  <si>
    <t>F12</t>
    <phoneticPr fontId="2" type="noConversion"/>
  </si>
  <si>
    <t>M11</t>
    <phoneticPr fontId="2" type="noConversion"/>
  </si>
  <si>
    <t>M22</t>
    <phoneticPr fontId="2" type="noConversion"/>
  </si>
  <si>
    <t>M12</t>
    <phoneticPr fontId="2" type="noConversion"/>
  </si>
  <si>
    <t>Load Case</t>
    <phoneticPr fontId="2" type="noConversion"/>
  </si>
  <si>
    <t>STATIC LOAD CASE</t>
    <phoneticPr fontId="2" type="noConversion"/>
  </si>
  <si>
    <t>DEAD</t>
  </si>
  <si>
    <t>DEAD</t>
    <phoneticPr fontId="2" type="noConversion"/>
  </si>
  <si>
    <t>SUPERDEAD</t>
    <phoneticPr fontId="2" type="noConversion"/>
  </si>
  <si>
    <t>REDUCIBLE LIVE</t>
    <phoneticPr fontId="2" type="noConversion"/>
  </si>
  <si>
    <t>LIVE</t>
  </si>
  <si>
    <t>LIVE</t>
    <phoneticPr fontId="2" type="noConversion"/>
  </si>
  <si>
    <t>NOTIONAL</t>
    <phoneticPr fontId="2" type="noConversion"/>
  </si>
  <si>
    <t>QUAKE</t>
  </si>
  <si>
    <t>QUAKE</t>
    <phoneticPr fontId="2" type="noConversion"/>
  </si>
  <si>
    <t xml:space="preserve">WIND </t>
    <phoneticPr fontId="2" type="noConversion"/>
  </si>
  <si>
    <t>SNOW</t>
    <phoneticPr fontId="2" type="noConversion"/>
  </si>
  <si>
    <t>OTHER</t>
    <phoneticPr fontId="2" type="noConversion"/>
  </si>
  <si>
    <t>Load</t>
    <phoneticPr fontId="2" type="noConversion"/>
  </si>
  <si>
    <t>Type</t>
    <phoneticPr fontId="2" type="noConversion"/>
  </si>
  <si>
    <t>Self Weight</t>
    <phoneticPr fontId="2" type="noConversion"/>
  </si>
  <si>
    <t>Auto Lateral Load</t>
    <phoneticPr fontId="2" type="noConversion"/>
  </si>
  <si>
    <t>Direction</t>
    <phoneticPr fontId="2" type="noConversion"/>
  </si>
  <si>
    <t>Eccentricity</t>
    <phoneticPr fontId="2" type="noConversion"/>
  </si>
  <si>
    <t>Top Story</t>
    <phoneticPr fontId="2" type="noConversion"/>
  </si>
  <si>
    <t>Bot. Story</t>
    <phoneticPr fontId="2" type="noConversion"/>
  </si>
  <si>
    <t>Shear Coeff.</t>
    <phoneticPr fontId="2" type="noConversion"/>
  </si>
  <si>
    <t>Height Exp.</t>
    <phoneticPr fontId="2" type="noConversion"/>
  </si>
  <si>
    <t>X+ECC</t>
  </si>
  <si>
    <t>Y-ECC</t>
  </si>
  <si>
    <t>X-ECC</t>
  </si>
  <si>
    <t>Y+ECC</t>
  </si>
  <si>
    <t>Dynamic Load Case</t>
    <phoneticPr fontId="2" type="noConversion"/>
  </si>
  <si>
    <t>Response Spectrum Function</t>
    <phoneticPr fontId="2" type="noConversion"/>
  </si>
  <si>
    <t>Function</t>
    <phoneticPr fontId="2" type="noConversion"/>
  </si>
  <si>
    <t>Function Name</t>
    <phoneticPr fontId="2" type="noConversion"/>
  </si>
  <si>
    <t>Damp Ratio</t>
    <phoneticPr fontId="2" type="noConversion"/>
  </si>
  <si>
    <t>Y-dir Spectrum</t>
    <phoneticPr fontId="2" type="noConversion"/>
  </si>
  <si>
    <t>X-dir Spectrum</t>
    <phoneticPr fontId="2" type="noConversion"/>
  </si>
  <si>
    <t>Response Spectrum Load Case</t>
    <phoneticPr fontId="2" type="noConversion"/>
  </si>
  <si>
    <t>Damp</t>
    <phoneticPr fontId="2" type="noConversion"/>
  </si>
  <si>
    <t>SRSS</t>
    <phoneticPr fontId="2" type="noConversion"/>
  </si>
  <si>
    <t>ABS</t>
    <phoneticPr fontId="2" type="noConversion"/>
  </si>
  <si>
    <t>Dir Comb</t>
    <phoneticPr fontId="2" type="noConversion"/>
  </si>
  <si>
    <t>Angle</t>
    <phoneticPr fontId="2" type="noConversion"/>
  </si>
  <si>
    <t>Scale Factor</t>
    <phoneticPr fontId="2" type="noConversion"/>
  </si>
  <si>
    <t>Mode Comb</t>
    <phoneticPr fontId="2" type="noConversion"/>
  </si>
  <si>
    <t>CQC</t>
  </si>
  <si>
    <t>CQC</t>
    <phoneticPr fontId="2" type="noConversion"/>
  </si>
  <si>
    <t>GMC</t>
    <phoneticPr fontId="2" type="noConversion"/>
  </si>
  <si>
    <t>Dir.</t>
    <phoneticPr fontId="2" type="noConversion"/>
  </si>
  <si>
    <t>LOAD</t>
  </si>
  <si>
    <t>COMBO</t>
  </si>
  <si>
    <t>SPEC</t>
  </si>
  <si>
    <t>Generate Etabs Template e2k File:</t>
    <phoneticPr fontId="2" type="noConversion"/>
  </si>
  <si>
    <t>Generate Frame  e2k File:</t>
    <phoneticPr fontId="2" type="noConversion"/>
  </si>
  <si>
    <t>Generate Load Combination  e2k File:</t>
    <phoneticPr fontId="2" type="noConversion"/>
  </si>
  <si>
    <t>TWO WAY</t>
  </si>
  <si>
    <t>X</t>
    <phoneticPr fontId="2" type="noConversion"/>
  </si>
  <si>
    <t>Y</t>
    <phoneticPr fontId="2" type="noConversion"/>
  </si>
  <si>
    <t>EQV</t>
  </si>
  <si>
    <t>DL</t>
  </si>
  <si>
    <t>Desing Type Concrete</t>
    <phoneticPr fontId="2" type="noConversion"/>
  </si>
  <si>
    <t>STEEL</t>
  </si>
  <si>
    <t>Dis
For Double Angle</t>
    <phoneticPr fontId="2" type="noConversion"/>
  </si>
  <si>
    <t>Channel</t>
  </si>
  <si>
    <t>Tee</t>
  </si>
  <si>
    <t>Angle</t>
  </si>
  <si>
    <t>DoubleAngle</t>
  </si>
  <si>
    <t>RC Cloumn Design</t>
    <phoneticPr fontId="2" type="noConversion"/>
  </si>
  <si>
    <t>In 3-dir</t>
    <phoneticPr fontId="2" type="noConversion"/>
  </si>
  <si>
    <t>In 2-dir</t>
    <phoneticPr fontId="2" type="noConversion"/>
  </si>
  <si>
    <t>BarSize</t>
    <phoneticPr fontId="2" type="noConversion"/>
  </si>
  <si>
    <t>Lateral Reinf.</t>
    <phoneticPr fontId="2" type="noConversion"/>
  </si>
  <si>
    <t>Cover to
Rebar Center</t>
    <phoneticPr fontId="2" type="noConversion"/>
  </si>
  <si>
    <t>Deisgn Check</t>
    <phoneticPr fontId="2" type="noConversion"/>
  </si>
  <si>
    <t>Number of Bars</t>
    <phoneticPr fontId="2" type="noConversion"/>
  </si>
  <si>
    <t>RC Beam Design</t>
    <phoneticPr fontId="2" type="noConversion"/>
  </si>
  <si>
    <t>Cover</t>
    <phoneticPr fontId="2" type="noConversion"/>
  </si>
  <si>
    <t>Top</t>
    <phoneticPr fontId="2" type="noConversion"/>
  </si>
  <si>
    <t>Bottom</t>
    <phoneticPr fontId="2" type="noConversion"/>
  </si>
  <si>
    <t>Right Rebar</t>
    <phoneticPr fontId="2" type="noConversion"/>
  </si>
  <si>
    <t>Left Rebar</t>
    <phoneticPr fontId="2" type="noConversion"/>
  </si>
  <si>
    <t>Area Type</t>
    <phoneticPr fontId="2" type="noConversion"/>
  </si>
  <si>
    <t>Prop Type</t>
    <phoneticPr fontId="2" type="noConversion"/>
  </si>
  <si>
    <t>Plate Type</t>
    <phoneticPr fontId="2" type="noConversion"/>
  </si>
  <si>
    <t>BASE</t>
  </si>
  <si>
    <t>Elevation</t>
  </si>
  <si>
    <t>COORDSYSTEM=</t>
    <phoneticPr fontId="2" type="noConversion"/>
  </si>
  <si>
    <t>TYPE=</t>
    <phoneticPr fontId="2" type="noConversion"/>
  </si>
  <si>
    <t>BUBBLESIZE=</t>
    <phoneticPr fontId="2" type="noConversion"/>
  </si>
  <si>
    <t>USER_COEFF</t>
  </si>
  <si>
    <t>SEISMIC LOAD CASE (User Coefficient)</t>
    <phoneticPr fontId="2" type="noConversion"/>
  </si>
  <si>
    <t>X Location</t>
    <phoneticPr fontId="2" type="noConversion"/>
  </si>
  <si>
    <t>SEISMIC LOAD &amp; WIND LOAD CASE (User Load)</t>
    <phoneticPr fontId="2" type="noConversion"/>
  </si>
  <si>
    <t>Load</t>
    <phoneticPr fontId="2" type="noConversion"/>
  </si>
  <si>
    <t>Number of Story=</t>
    <phoneticPr fontId="2" type="noConversion"/>
  </si>
  <si>
    <t>Force</t>
    <phoneticPr fontId="2" type="noConversion"/>
  </si>
  <si>
    <t>Ecc</t>
    <phoneticPr fontId="2" type="noConversion"/>
  </si>
  <si>
    <t>Y Location</t>
    <phoneticPr fontId="2" type="noConversion"/>
  </si>
  <si>
    <t>Type</t>
    <phoneticPr fontId="2" type="noConversion"/>
  </si>
  <si>
    <t>D1</t>
  </si>
  <si>
    <t>File Path=</t>
    <phoneticPr fontId="2" type="noConversion"/>
  </si>
  <si>
    <t>AUTO SELECT LIST</t>
    <phoneticPr fontId="2" type="noConversion"/>
  </si>
  <si>
    <t xml:space="preserve">AUTO SELECT </t>
    <phoneticPr fontId="2" type="noConversion"/>
  </si>
  <si>
    <t>SECTION</t>
    <phoneticPr fontId="2" type="noConversion"/>
  </si>
  <si>
    <t>ANALYSIS OPTIONS</t>
  </si>
  <si>
    <t>Active Degree of Freedom</t>
    <phoneticPr fontId="2" type="noConversion"/>
  </si>
  <si>
    <t>Dynamics Mode</t>
    <phoneticPr fontId="2" type="noConversion"/>
  </si>
  <si>
    <t>Dynamics ModeType</t>
    <phoneticPr fontId="2" type="noConversion"/>
  </si>
  <si>
    <t>Dynamics Tolerance</t>
    <phoneticPr fontId="2" type="noConversion"/>
  </si>
  <si>
    <t>PDelta  Method</t>
    <phoneticPr fontId="2" type="noConversion"/>
  </si>
  <si>
    <t>PDelta  Max. Iterations</t>
    <phoneticPr fontId="2" type="noConversion"/>
  </si>
  <si>
    <t>PDelta Tolerance</t>
    <phoneticPr fontId="2" type="noConversion"/>
  </si>
  <si>
    <t>PDelta Load Case</t>
    <phoneticPr fontId="2" type="noConversion"/>
  </si>
  <si>
    <t>PDelta Load Case Factor</t>
    <phoneticPr fontId="2" type="noConversion"/>
  </si>
  <si>
    <t>UX</t>
  </si>
  <si>
    <t>UY</t>
  </si>
  <si>
    <t>UZ</t>
  </si>
  <si>
    <t>RX</t>
  </si>
  <si>
    <t>RY</t>
  </si>
  <si>
    <t>RZ</t>
  </si>
  <si>
    <t>EIGEN</t>
  </si>
  <si>
    <t>ITERATIVE</t>
  </si>
  <si>
    <t>MASS SOURCE</t>
    <phoneticPr fontId="2" type="noConversion"/>
  </si>
  <si>
    <t>Mass Source</t>
    <phoneticPr fontId="2" type="noConversion"/>
  </si>
  <si>
    <t>Lateral Mass Only</t>
    <phoneticPr fontId="2" type="noConversion"/>
  </si>
  <si>
    <t>Lump Lateral Mass at Story Level</t>
    <phoneticPr fontId="2" type="noConversion"/>
  </si>
  <si>
    <t>Mass Load</t>
    <phoneticPr fontId="2" type="noConversion"/>
  </si>
  <si>
    <t>Mass Load Scale Factor</t>
    <phoneticPr fontId="2" type="noConversion"/>
  </si>
  <si>
    <t>YES</t>
  </si>
  <si>
    <t>STORYLEVELONLY</t>
  </si>
  <si>
    <t>SRSS</t>
  </si>
  <si>
    <t>ETABS VERSION</t>
    <phoneticPr fontId="2" type="noConversion"/>
  </si>
  <si>
    <t>UNITS</t>
    <phoneticPr fontId="2" type="noConversion"/>
  </si>
  <si>
    <t>Rectangular</t>
    <phoneticPr fontId="2" type="noConversion"/>
  </si>
  <si>
    <t>Diaphragms</t>
    <phoneticPr fontId="2" type="noConversion"/>
  </si>
  <si>
    <t>DIAPHRAGM</t>
    <phoneticPr fontId="2" type="noConversion"/>
  </si>
  <si>
    <t>Diaphragm Name</t>
    <phoneticPr fontId="2" type="noConversion"/>
  </si>
  <si>
    <t>Type</t>
    <phoneticPr fontId="2" type="noConversion"/>
  </si>
  <si>
    <t>Grid &amp; Story</t>
    <phoneticPr fontId="2" type="noConversion"/>
  </si>
  <si>
    <t>Material Properties</t>
    <phoneticPr fontId="2" type="noConversion"/>
  </si>
  <si>
    <t>Frame Section</t>
    <phoneticPr fontId="2" type="noConversion"/>
  </si>
  <si>
    <t>Area Section</t>
    <phoneticPr fontId="2" type="noConversion"/>
  </si>
  <si>
    <t>Load Case</t>
    <phoneticPr fontId="2" type="noConversion"/>
  </si>
  <si>
    <t>Warning Message</t>
    <phoneticPr fontId="2" type="noConversion"/>
  </si>
  <si>
    <t>Analysis Options &amp; Mass Source</t>
    <phoneticPr fontId="2" type="noConversion"/>
  </si>
  <si>
    <t>SN490B</t>
  </si>
  <si>
    <t>Box/Tube</t>
    <phoneticPr fontId="2" type="noConversion"/>
  </si>
  <si>
    <t>BR01</t>
  </si>
  <si>
    <t>BR02</t>
  </si>
  <si>
    <t>BR03</t>
  </si>
  <si>
    <t>BR04</t>
  </si>
  <si>
    <t>BR05</t>
  </si>
  <si>
    <t>BR07</t>
  </si>
  <si>
    <t>BR08</t>
  </si>
  <si>
    <t>BR06</t>
  </si>
  <si>
    <t>BR10</t>
  </si>
  <si>
    <t>BR11</t>
  </si>
  <si>
    <t>BR09</t>
  </si>
  <si>
    <t>I/WideFlange</t>
  </si>
  <si>
    <t>I/WideFlange</t>
    <phoneticPr fontId="2" type="noConversion"/>
  </si>
  <si>
    <t>Steel Width-Thicknes Ratio Check</t>
    <phoneticPr fontId="2" type="noConversion"/>
  </si>
  <si>
    <t>Frame Type</t>
    <phoneticPr fontId="2" type="noConversion"/>
  </si>
  <si>
    <t>tf/cm2</t>
    <phoneticPr fontId="2" type="noConversion"/>
  </si>
  <si>
    <t>mm</t>
    <phoneticPr fontId="2" type="noConversion"/>
  </si>
  <si>
    <t>mm</t>
    <phoneticPr fontId="2" type="noConversion"/>
  </si>
  <si>
    <t>b / t</t>
    <phoneticPr fontId="2" type="noConversion"/>
  </si>
  <si>
    <t>h / tw</t>
    <phoneticPr fontId="2" type="noConversion"/>
  </si>
  <si>
    <r>
      <rPr>
        <sz val="10"/>
        <color theme="1"/>
        <rFont val="新細明體"/>
        <family val="1"/>
        <charset val="136"/>
      </rPr>
      <t>λ</t>
    </r>
    <r>
      <rPr>
        <sz val="10"/>
        <color theme="1"/>
        <rFont val="Arial"/>
        <family val="2"/>
      </rPr>
      <t>,b/t</t>
    </r>
    <phoneticPr fontId="2" type="noConversion"/>
  </si>
  <si>
    <r>
      <rPr>
        <sz val="10"/>
        <color theme="1"/>
        <rFont val="新細明體"/>
        <family val="1"/>
        <charset val="136"/>
      </rPr>
      <t>λ</t>
    </r>
    <r>
      <rPr>
        <sz val="10"/>
        <color theme="1"/>
        <rFont val="Arial"/>
        <family val="2"/>
      </rPr>
      <t>,h/tw</t>
    </r>
    <phoneticPr fontId="2" type="noConversion"/>
  </si>
  <si>
    <t>Beam</t>
  </si>
  <si>
    <t>Beam</t>
    <phoneticPr fontId="2" type="noConversion"/>
  </si>
  <si>
    <t>Column</t>
    <phoneticPr fontId="2" type="noConversion"/>
  </si>
  <si>
    <t>None</t>
    <phoneticPr fontId="2" type="noConversion"/>
  </si>
  <si>
    <t>Check</t>
    <phoneticPr fontId="2" type="noConversion"/>
  </si>
  <si>
    <t>Subbeam</t>
    <phoneticPr fontId="2" type="noConversion"/>
  </si>
  <si>
    <t>說明：</t>
    <phoneticPr fontId="2" type="noConversion"/>
  </si>
  <si>
    <t>Width-Thickness Ratio Check</t>
    <phoneticPr fontId="2" type="noConversion"/>
  </si>
  <si>
    <r>
      <t xml:space="preserve">1. </t>
    </r>
    <r>
      <rPr>
        <sz val="10"/>
        <color theme="1"/>
        <rFont val="細明體"/>
        <family val="3"/>
        <charset val="136"/>
      </rPr>
      <t>柱、小梁檢核寬厚比，僅需滿足結實斷面</t>
    </r>
    <r>
      <rPr>
        <sz val="10"/>
        <color theme="1"/>
        <rFont val="新細明體"/>
        <family val="1"/>
        <charset val="136"/>
      </rPr>
      <t>λ</t>
    </r>
    <r>
      <rPr>
        <sz val="10"/>
        <color theme="1"/>
        <rFont val="Arial"/>
        <family val="2"/>
      </rPr>
      <t>p</t>
    </r>
    <r>
      <rPr>
        <sz val="10"/>
        <color theme="1"/>
        <rFont val="細明體"/>
        <family val="3"/>
        <charset val="136"/>
      </rPr>
      <t>即可。</t>
    </r>
    <phoneticPr fontId="2" type="noConversion"/>
  </si>
  <si>
    <r>
      <t xml:space="preserve">2. </t>
    </r>
    <r>
      <rPr>
        <sz val="10"/>
        <color theme="1"/>
        <rFont val="細明體"/>
        <family val="3"/>
        <charset val="136"/>
      </rPr>
      <t>大梁、斜撐檢核寬厚比，需滿足塑性斷面λ</t>
    </r>
    <r>
      <rPr>
        <sz val="10"/>
        <color theme="1"/>
        <rFont val="Arial"/>
        <family val="2"/>
      </rPr>
      <t>pd</t>
    </r>
    <r>
      <rPr>
        <sz val="10"/>
        <color theme="1"/>
        <rFont val="細明體"/>
        <family val="3"/>
        <charset val="136"/>
      </rPr>
      <t>。</t>
    </r>
    <phoneticPr fontId="2" type="noConversion"/>
  </si>
  <si>
    <t>b / t</t>
    <phoneticPr fontId="2" type="noConversion"/>
  </si>
  <si>
    <t>h / tw</t>
    <phoneticPr fontId="2" type="noConversion"/>
  </si>
  <si>
    <t>tf</t>
    <phoneticPr fontId="2" type="noConversion"/>
  </si>
  <si>
    <t>tw</t>
    <phoneticPr fontId="2" type="noConversion"/>
  </si>
  <si>
    <t>C280</t>
  </si>
  <si>
    <t>4F</t>
  </si>
  <si>
    <t>3F</t>
  </si>
  <si>
    <t>2F</t>
  </si>
  <si>
    <t>LL</t>
  </si>
  <si>
    <t>Original File Path=</t>
    <phoneticPr fontId="2" type="noConversion"/>
  </si>
  <si>
    <t>D</t>
  </si>
  <si>
    <t>A</t>
  </si>
  <si>
    <t>B</t>
  </si>
  <si>
    <t>C</t>
  </si>
  <si>
    <t>E</t>
  </si>
  <si>
    <t>EQXP</t>
  </si>
  <si>
    <t>EQXN</t>
  </si>
  <si>
    <t>EQYP</t>
  </si>
  <si>
    <t>EQYN</t>
  </si>
  <si>
    <t>Auto Select List</t>
  </si>
  <si>
    <t>Circle</t>
    <phoneticPr fontId="2" type="noConversion"/>
  </si>
  <si>
    <t>Pipe</t>
    <phoneticPr fontId="2" type="noConversion"/>
  </si>
  <si>
    <t>Brace</t>
    <phoneticPr fontId="2" type="noConversion"/>
  </si>
  <si>
    <t>C:\Users\ADC\Desktop\Etabs Interactive\2015-0629 Vierendeel frame_V2.e2k</t>
  </si>
  <si>
    <t>OTHER</t>
  </si>
  <si>
    <t>A572GR50</t>
  </si>
  <si>
    <t>WX</t>
  </si>
  <si>
    <t>WIND</t>
  </si>
  <si>
    <t>WY</t>
  </si>
  <si>
    <t>WLX</t>
  </si>
  <si>
    <t>WLY</t>
  </si>
  <si>
    <t>WTX</t>
  </si>
  <si>
    <t>WTY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</si>
  <si>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</si>
  <si>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</si>
  <si>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</si>
  <si>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</si>
  <si>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</si>
  <si>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</si>
  <si>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</si>
  <si>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</si>
  <si>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</si>
  <si>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</si>
  <si>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</si>
  <si>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</si>
  <si>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</si>
  <si>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</si>
  <si>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</si>
  <si>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</si>
  <si>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</si>
  <si>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</si>
  <si>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</si>
  <si>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</si>
  <si>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</si>
  <si>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</si>
  <si>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</si>
  <si>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</si>
  <si>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</si>
  <si>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</si>
  <si>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</si>
  <si>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</si>
  <si>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</si>
  <si>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</si>
  <si>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</si>
  <si>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</si>
  <si>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</si>
  <si>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</si>
  <si>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</si>
  <si>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</si>
  <si>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</si>
  <si>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</si>
  <si>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</si>
  <si>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</si>
  <si>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</si>
  <si>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</si>
  <si>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</si>
  <si>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</si>
  <si>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</si>
  <si>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</si>
  <si>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</si>
  <si>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</si>
  <si>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</si>
  <si>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</si>
  <si>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</si>
  <si>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</si>
  <si>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</si>
  <si>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</si>
  <si>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</si>
  <si>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</si>
  <si>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</si>
  <si>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</si>
  <si>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</si>
  <si>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</si>
  <si>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</si>
  <si>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</si>
  <si>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</si>
  <si>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</si>
  <si>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</si>
  <si>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</si>
  <si>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</si>
  <si>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</t>
  </si>
  <si>
    <t>0SPECX</t>
  </si>
  <si>
    <t>SPECYF</t>
  </si>
  <si>
    <t>0SPECY</t>
  </si>
  <si>
    <t>USS68S</t>
  </si>
  <si>
    <t>USS69S</t>
  </si>
  <si>
    <t>USS70S</t>
  </si>
  <si>
    <t>USS71S</t>
  </si>
  <si>
    <t>USS72S</t>
  </si>
  <si>
    <t>USS73S</t>
  </si>
  <si>
    <t>USS74S</t>
  </si>
  <si>
    <t>USS75S</t>
  </si>
  <si>
    <t>USS76S</t>
  </si>
  <si>
    <t>USS77S</t>
  </si>
  <si>
    <t>USS78S</t>
  </si>
  <si>
    <t>USS79S</t>
  </si>
  <si>
    <t>USS80S</t>
  </si>
  <si>
    <t>USS81S</t>
  </si>
  <si>
    <t>USS82S</t>
  </si>
  <si>
    <t>USS83S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</si>
  <si>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</si>
  <si>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</si>
  <si>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</si>
  <si>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</si>
  <si>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</si>
  <si>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</si>
  <si>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</si>
  <si>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</si>
  <si>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</si>
  <si>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</si>
  <si>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</si>
  <si>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</si>
  <si>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</si>
  <si>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</si>
  <si>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</si>
  <si>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</si>
  <si>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SB01</t>
  </si>
  <si>
    <t>SB02</t>
  </si>
  <si>
    <t>SB03</t>
  </si>
  <si>
    <t>SB04</t>
  </si>
  <si>
    <t>ASB</t>
  </si>
  <si>
    <t>SB05</t>
  </si>
  <si>
    <t>SB06</t>
  </si>
  <si>
    <t>BR12</t>
  </si>
  <si>
    <t>BR13</t>
  </si>
  <si>
    <t>BR14</t>
  </si>
  <si>
    <t>BR15</t>
  </si>
  <si>
    <t>BR16</t>
  </si>
  <si>
    <t>ETABS-9.7.3</t>
    <phoneticPr fontId="2" type="noConversion"/>
  </si>
  <si>
    <t>RF</t>
  </si>
  <si>
    <t>1F</t>
  </si>
  <si>
    <t>RIGID</t>
  </si>
  <si>
    <t>GLOBAL</t>
    <phoneticPr fontId="2" type="noConversion"/>
  </si>
  <si>
    <t>FH</t>
  </si>
  <si>
    <t>FL</t>
  </si>
  <si>
    <t>EQXB</t>
  </si>
  <si>
    <t>EQYB</t>
  </si>
  <si>
    <t>Rectangular</t>
  </si>
  <si>
    <t>SHELL</t>
  </si>
  <si>
    <t>THIN</t>
  </si>
  <si>
    <t>Load Combination</t>
    <phoneticPr fontId="2" type="noConversion"/>
  </si>
  <si>
    <t>Yes</t>
    <phoneticPr fontId="2" type="noConversion"/>
  </si>
  <si>
    <t>LOAD</t>
    <phoneticPr fontId="2" type="noConversion"/>
  </si>
  <si>
    <t>No</t>
    <phoneticPr fontId="2" type="noConversion"/>
  </si>
  <si>
    <t>COMBO</t>
    <phoneticPr fontId="2" type="noConversion"/>
  </si>
  <si>
    <t>Design</t>
    <phoneticPr fontId="2" type="noConversion"/>
  </si>
  <si>
    <t>Comb</t>
    <phoneticPr fontId="2" type="noConversion"/>
  </si>
  <si>
    <t>Concrete</t>
    <phoneticPr fontId="2" type="noConversion"/>
  </si>
  <si>
    <t>Shear Wall</t>
    <phoneticPr fontId="2" type="noConversion"/>
  </si>
  <si>
    <t>Steel</t>
    <phoneticPr fontId="2" type="noConversion"/>
  </si>
  <si>
    <t>No</t>
    <phoneticPr fontId="2" type="noConversion"/>
  </si>
  <si>
    <t>Yes</t>
    <phoneticPr fontId="2" type="noConversion"/>
  </si>
  <si>
    <t>No</t>
    <phoneticPr fontId="2" type="noConversion"/>
  </si>
  <si>
    <t>D:\GitHub\matlab\10-st\DP2\ETABS\DP2\DP2_v14_todo_designEBFBRB.e2k</t>
    <phoneticPr fontId="2" type="noConversion"/>
  </si>
  <si>
    <t>TON-M</t>
    <phoneticPr fontId="2" type="noConversion"/>
  </si>
  <si>
    <t>CARTESIAN</t>
    <phoneticPr fontId="2" type="noConversion"/>
  </si>
  <si>
    <t>A-1</t>
  </si>
  <si>
    <t>A-2</t>
  </si>
  <si>
    <t>B-1</t>
  </si>
  <si>
    <t>B-2</t>
  </si>
  <si>
    <t>C-1</t>
  </si>
  <si>
    <t>C-2</t>
  </si>
  <si>
    <t>D-1</t>
  </si>
  <si>
    <t>D-2</t>
  </si>
  <si>
    <t>MASS</t>
  </si>
  <si>
    <t>STEEL</t>
    <phoneticPr fontId="2" type="noConversion"/>
  </si>
  <si>
    <t>CONC</t>
    <phoneticPr fontId="2" type="noConversion"/>
  </si>
  <si>
    <t>CONCRETE</t>
    <phoneticPr fontId="2" type="noConversion"/>
  </si>
  <si>
    <t>OTHER</t>
    <phoneticPr fontId="2" type="noConversion"/>
  </si>
  <si>
    <t>OTHER</t>
    <phoneticPr fontId="2" type="noConversion"/>
  </si>
  <si>
    <t>C350</t>
    <phoneticPr fontId="2" type="noConversion"/>
  </si>
  <si>
    <t>CONCRETE</t>
    <phoneticPr fontId="2" type="noConversion"/>
  </si>
  <si>
    <t>C280</t>
    <phoneticPr fontId="2" type="noConversion"/>
  </si>
  <si>
    <t>C245</t>
    <phoneticPr fontId="2" type="noConversion"/>
  </si>
  <si>
    <t>CONCRETE</t>
    <phoneticPr fontId="2" type="noConversion"/>
  </si>
  <si>
    <t>C210</t>
    <phoneticPr fontId="2" type="noConversion"/>
  </si>
  <si>
    <t>C420</t>
    <phoneticPr fontId="2" type="noConversion"/>
  </si>
  <si>
    <t>C490</t>
    <phoneticPr fontId="2" type="noConversion"/>
  </si>
  <si>
    <t>SN490B</t>
    <phoneticPr fontId="2" type="noConversion"/>
  </si>
  <si>
    <t>SN490C</t>
    <phoneticPr fontId="2" type="noConversion"/>
  </si>
  <si>
    <t>STEEL</t>
    <phoneticPr fontId="2" type="noConversion"/>
  </si>
  <si>
    <t>A36</t>
    <phoneticPr fontId="2" type="noConversion"/>
  </si>
  <si>
    <t>A572GR50</t>
    <phoneticPr fontId="2" type="noConversion"/>
  </si>
  <si>
    <t>BRB15</t>
  </si>
  <si>
    <t>BRB15</t>
    <phoneticPr fontId="2" type="noConversion"/>
  </si>
  <si>
    <t>BRB16</t>
    <phoneticPr fontId="2" type="noConversion"/>
  </si>
  <si>
    <t>EQYN</t>
    <phoneticPr fontId="2" type="noConversion"/>
  </si>
  <si>
    <t>1F</t>
    <phoneticPr fontId="2" type="noConversion"/>
  </si>
  <si>
    <t>USER_COEFF</t>
    <phoneticPr fontId="2" type="noConversion"/>
  </si>
  <si>
    <t>Y-ECC</t>
    <phoneticPr fontId="2" type="noConversion"/>
  </si>
  <si>
    <t>RF</t>
    <phoneticPr fontId="2" type="noConversion"/>
  </si>
  <si>
    <t>Yes</t>
    <phoneticPr fontId="2" type="noConversion"/>
  </si>
  <si>
    <t>No</t>
  </si>
  <si>
    <t>No</t>
    <phoneticPr fontId="2" type="noConversion"/>
  </si>
  <si>
    <t>No</t>
    <phoneticPr fontId="2" type="noConversion"/>
  </si>
  <si>
    <t>Yes</t>
    <phoneticPr fontId="2" type="noConversion"/>
  </si>
  <si>
    <t>Yes</t>
    <phoneticPr fontId="2" type="noConversion"/>
  </si>
  <si>
    <t>Yes</t>
    <phoneticPr fontId="2" type="noConversion"/>
  </si>
  <si>
    <t>No</t>
    <phoneticPr fontId="2" type="noConversion"/>
  </si>
  <si>
    <t>Yes</t>
    <phoneticPr fontId="2" type="noConversion"/>
  </si>
  <si>
    <t>No</t>
    <phoneticPr fontId="2" type="noConversion"/>
  </si>
  <si>
    <t>Yes</t>
    <phoneticPr fontId="2" type="noConversion"/>
  </si>
  <si>
    <t>Yes</t>
    <phoneticPr fontId="2" type="noConversion"/>
  </si>
  <si>
    <t>Yes</t>
    <phoneticPr fontId="2" type="noConversion"/>
  </si>
  <si>
    <t>Yes</t>
    <phoneticPr fontId="2" type="noConversion"/>
  </si>
  <si>
    <t>Yes</t>
    <phoneticPr fontId="2" type="noConversion"/>
  </si>
  <si>
    <t>Yes</t>
    <phoneticPr fontId="2" type="noConversion"/>
  </si>
  <si>
    <t>No</t>
    <phoneticPr fontId="2" type="noConversion"/>
  </si>
  <si>
    <t>No</t>
    <phoneticPr fontId="2" type="noConversion"/>
  </si>
  <si>
    <t>No</t>
    <phoneticPr fontId="2" type="noConversion"/>
  </si>
  <si>
    <t>No</t>
    <phoneticPr fontId="2" type="noConversion"/>
  </si>
  <si>
    <t>No</t>
    <phoneticPr fontId="2" type="noConversion"/>
  </si>
  <si>
    <t>USB01</t>
  </si>
  <si>
    <t>USB02</t>
  </si>
  <si>
    <t>USB03</t>
  </si>
  <si>
    <t>USB04</t>
  </si>
  <si>
    <t>USB05</t>
  </si>
  <si>
    <t>USB06</t>
  </si>
  <si>
    <t>Yes</t>
    <phoneticPr fontId="2" type="noConversion"/>
  </si>
  <si>
    <t>USB07</t>
  </si>
  <si>
    <t>USB08</t>
  </si>
  <si>
    <t>USB09</t>
  </si>
  <si>
    <t>USB10</t>
  </si>
  <si>
    <t>No</t>
    <phoneticPr fontId="2" type="noConversion"/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</si>
  <si>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</si>
  <si>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</si>
  <si>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</si>
  <si>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</si>
  <si>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</si>
  <si>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</si>
  <si>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</si>
  <si>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</si>
  <si>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</si>
  <si>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</si>
  <si>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</si>
  <si>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</si>
  <si>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</si>
  <si>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</si>
  <si>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Yes</t>
    <phoneticPr fontId="2" type="noConversion"/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</si>
  <si>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</si>
  <si>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</si>
  <si>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</si>
  <si>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</si>
  <si>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</si>
  <si>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</si>
  <si>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</si>
  <si>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</si>
  <si>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</si>
  <si>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</si>
  <si>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Yes</t>
    <phoneticPr fontId="2" type="noConversion"/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</si>
  <si>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</si>
  <si>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</si>
  <si>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</si>
  <si>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</si>
  <si>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</si>
  <si>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</si>
  <si>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</si>
  <si>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</si>
  <si>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No</t>
    <phoneticPr fontId="2" type="noConversion"/>
  </si>
  <si>
    <t>USB43</t>
  </si>
  <si>
    <t>USB44</t>
  </si>
  <si>
    <t>USB45</t>
  </si>
  <si>
    <t>USB46</t>
  </si>
  <si>
    <t>No</t>
    <phoneticPr fontId="2" type="noConversion"/>
  </si>
  <si>
    <t>USB47</t>
  </si>
  <si>
    <t>USB48</t>
  </si>
  <si>
    <t>USB49</t>
  </si>
  <si>
    <t>USB50</t>
  </si>
  <si>
    <t>No</t>
    <phoneticPr fontId="2" type="noConversion"/>
  </si>
  <si>
    <t>USB51</t>
  </si>
  <si>
    <t>No</t>
    <phoneticPr fontId="2" type="noConversion"/>
  </si>
  <si>
    <t>USB52</t>
  </si>
  <si>
    <t>USB53</t>
  </si>
  <si>
    <t>USB54</t>
  </si>
  <si>
    <t>USB55</t>
  </si>
  <si>
    <t>Yes</t>
    <phoneticPr fontId="2" type="noConversion"/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</si>
  <si>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</si>
  <si>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</si>
  <si>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</si>
  <si>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</si>
  <si>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</si>
  <si>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</si>
  <si>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</si>
  <si>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</si>
  <si>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</si>
  <si>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</si>
  <si>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</si>
  <si>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</si>
  <si>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DSTLD1</t>
  </si>
  <si>
    <t>No</t>
    <phoneticPr fontId="2" type="noConversion"/>
  </si>
  <si>
    <t>DSTLD2</t>
  </si>
  <si>
    <t>C3501</t>
  </si>
  <si>
    <t>C4001</t>
  </si>
  <si>
    <t>C4002</t>
  </si>
  <si>
    <t>C4003</t>
  </si>
  <si>
    <t>C4004</t>
  </si>
  <si>
    <t>C4005</t>
  </si>
  <si>
    <t>C5001</t>
  </si>
  <si>
    <t>C5002</t>
  </si>
  <si>
    <t>C5003</t>
  </si>
  <si>
    <t>C5004</t>
  </si>
  <si>
    <t>C5005</t>
  </si>
  <si>
    <t>C5006</t>
  </si>
  <si>
    <t>C5007</t>
  </si>
  <si>
    <t>AB01</t>
  </si>
  <si>
    <t>AC01</t>
  </si>
  <si>
    <t>AC02</t>
  </si>
  <si>
    <t>AB02</t>
  </si>
  <si>
    <t>ABRB01</t>
  </si>
  <si>
    <t>AEBF01</t>
  </si>
  <si>
    <t>AEBF02</t>
  </si>
  <si>
    <t>ABRB02</t>
  </si>
  <si>
    <t>ABEBF01</t>
  </si>
  <si>
    <t>ABEBF02</t>
  </si>
  <si>
    <t>S15C28</t>
  </si>
  <si>
    <t>S24C28</t>
  </si>
  <si>
    <t>FS50C28</t>
  </si>
  <si>
    <t>W25C28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</si>
</sst>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"/>
    <numFmt numFmtId="177" formatCode="m&quot;月&quot;d&quot;日&quot;"/>
  </numFmts>
  <fonts count="21" x14ac:knownFonts="1">
    <font>
      <sz val="12"/>
      <color theme="1"/>
      <name val="新細明體"/>
      <family val="2"/>
      <charset val="136"/>
      <scheme val="minor"/>
    </font>
    <font>
      <sz val="10"/>
      <color theme="1"/>
      <name val="Arial"/>
      <family val="2"/>
    </font>
    <font>
      <sz val="9"/>
      <name val="新細明體"/>
      <family val="2"/>
      <charset val="136"/>
      <scheme val="minor"/>
    </font>
    <font>
      <sz val="10"/>
      <color rgb="FFFF0000"/>
      <name val="Arial"/>
      <family val="2"/>
    </font>
    <font>
      <b/>
      <i/>
      <u/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u/>
      <sz val="10"/>
      <color rgb="FFFF0000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14"/>
      <color theme="0"/>
      <name val="Arial"/>
      <family val="2"/>
    </font>
    <font>
      <sz val="10"/>
      <color theme="1"/>
      <name val="細明體"/>
      <family val="3"/>
      <charset val="136"/>
    </font>
    <font>
      <b/>
      <i/>
      <u/>
      <sz val="10"/>
      <color rgb="FFFF0000"/>
      <name val="Arial"/>
      <family val="2"/>
    </font>
    <font>
      <sz val="10"/>
      <color theme="1"/>
      <name val="新細明體"/>
      <family val="1"/>
      <charset val="136"/>
    </font>
    <font>
      <b/>
      <u/>
      <sz val="10"/>
      <color rgb="FFFF0000"/>
      <name val="細明體"/>
      <family val="3"/>
      <charset val="136"/>
    </font>
    <font>
      <sz val="10"/>
      <color rgb="FF0070C0"/>
      <name val="微軟正黑體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0"/>
      <color rgb="FF7030A0"/>
      <name val="Arial"/>
      <family val="2"/>
    </font>
    <font>
      <sz val="10"/>
      <color rgb="FF00B050"/>
      <name val="Arial"/>
      <family val="2"/>
    </font>
    <font>
      <sz val="12"/>
      <color rgb="FF7030A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6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theme="7" tint="0.39994506668294322"/>
      </left>
      <right/>
      <top style="medium">
        <color theme="7" tint="0.39994506668294322"/>
      </top>
      <bottom/>
      <diagonal/>
    </border>
    <border>
      <left/>
      <right/>
      <top style="medium">
        <color theme="7" tint="0.39994506668294322"/>
      </top>
      <bottom/>
      <diagonal/>
    </border>
    <border>
      <left/>
      <right style="medium">
        <color theme="7" tint="0.39994506668294322"/>
      </right>
      <top style="medium">
        <color theme="7" tint="0.39994506668294322"/>
      </top>
      <bottom/>
      <diagonal/>
    </border>
    <border>
      <left style="medium">
        <color theme="7" tint="0.39994506668294322"/>
      </left>
      <right/>
      <top/>
      <bottom/>
      <diagonal/>
    </border>
    <border>
      <left/>
      <right style="medium">
        <color theme="7" tint="0.39994506668294322"/>
      </right>
      <top/>
      <bottom/>
      <diagonal/>
    </border>
    <border>
      <left style="medium">
        <color theme="7" tint="0.39994506668294322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theme="7" tint="0.39994506668294322"/>
      </right>
      <top style="medium">
        <color rgb="FFFF0000"/>
      </top>
      <bottom style="medium">
        <color rgb="FFFF0000"/>
      </bottom>
      <diagonal/>
    </border>
    <border>
      <left style="medium">
        <color theme="7" tint="0.39994506668294322"/>
      </left>
      <right/>
      <top/>
      <bottom style="medium">
        <color theme="7" tint="0.39994506668294322"/>
      </bottom>
      <diagonal/>
    </border>
    <border>
      <left/>
      <right/>
      <top/>
      <bottom style="medium">
        <color theme="7" tint="0.39994506668294322"/>
      </bottom>
      <diagonal/>
    </border>
    <border>
      <left/>
      <right style="medium">
        <color theme="7" tint="0.39994506668294322"/>
      </right>
      <top/>
      <bottom style="medium">
        <color theme="7" tint="0.39994506668294322"/>
      </bottom>
      <diagonal/>
    </border>
    <border>
      <left style="medium">
        <color theme="6" tint="-0.24994659260841701"/>
      </left>
      <right/>
      <top style="medium">
        <color theme="6" tint="-0.24994659260841701"/>
      </top>
      <bottom/>
      <diagonal/>
    </border>
    <border>
      <left/>
      <right/>
      <top style="medium">
        <color theme="6" tint="-0.24994659260841701"/>
      </top>
      <bottom/>
      <diagonal/>
    </border>
    <border>
      <left/>
      <right style="medium">
        <color theme="6" tint="-0.24994659260841701"/>
      </right>
      <top style="medium">
        <color theme="6" tint="-0.24994659260841701"/>
      </top>
      <bottom/>
      <diagonal/>
    </border>
    <border>
      <left style="medium">
        <color theme="6" tint="-0.24994659260841701"/>
      </left>
      <right/>
      <top/>
      <bottom/>
      <diagonal/>
    </border>
    <border>
      <left/>
      <right style="medium">
        <color theme="6" tint="-0.24994659260841701"/>
      </right>
      <top/>
      <bottom/>
      <diagonal/>
    </border>
    <border>
      <left style="medium">
        <color theme="6" tint="-0.24994659260841701"/>
      </left>
      <right/>
      <top/>
      <bottom style="medium">
        <color theme="6" tint="-0.24994659260841701"/>
      </bottom>
      <diagonal/>
    </border>
    <border>
      <left/>
      <right/>
      <top/>
      <bottom style="medium">
        <color theme="6" tint="-0.24994659260841701"/>
      </bottom>
      <diagonal/>
    </border>
    <border>
      <left/>
      <right style="medium">
        <color theme="6" tint="-0.24994659260841701"/>
      </right>
      <top/>
      <bottom style="medium">
        <color theme="6" tint="-0.24994659260841701"/>
      </bottom>
      <diagonal/>
    </border>
    <border>
      <left style="medium">
        <color theme="9" tint="0.39994506668294322"/>
      </left>
      <right/>
      <top style="medium">
        <color theme="9" tint="0.39994506668294322"/>
      </top>
      <bottom/>
      <diagonal/>
    </border>
    <border>
      <left/>
      <right/>
      <top style="medium">
        <color theme="9" tint="0.39994506668294322"/>
      </top>
      <bottom/>
      <diagonal/>
    </border>
    <border>
      <left/>
      <right style="medium">
        <color theme="9" tint="0.39994506668294322"/>
      </right>
      <top style="medium">
        <color theme="9" tint="0.39994506668294322"/>
      </top>
      <bottom/>
      <diagonal/>
    </border>
    <border>
      <left style="medium">
        <color theme="9" tint="0.39994506668294322"/>
      </left>
      <right/>
      <top/>
      <bottom/>
      <diagonal/>
    </border>
    <border>
      <left/>
      <right style="medium">
        <color theme="9" tint="0.39994506668294322"/>
      </right>
      <top/>
      <bottom/>
      <diagonal/>
    </border>
    <border>
      <left style="medium">
        <color theme="9" tint="0.39994506668294322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theme="9" tint="0.39994506668294322"/>
      </right>
      <top style="medium">
        <color rgb="FFFF0000"/>
      </top>
      <bottom style="medium">
        <color rgb="FFFF0000"/>
      </bottom>
      <diagonal/>
    </border>
    <border>
      <left style="medium">
        <color theme="9" tint="0.39994506668294322"/>
      </left>
      <right/>
      <top/>
      <bottom style="medium">
        <color theme="9" tint="0.39994506668294322"/>
      </bottom>
      <diagonal/>
    </border>
    <border>
      <left/>
      <right/>
      <top/>
      <bottom style="medium">
        <color theme="9" tint="0.39994506668294322"/>
      </bottom>
      <diagonal/>
    </border>
    <border>
      <left/>
      <right style="medium">
        <color theme="9" tint="0.39994506668294322"/>
      </right>
      <top/>
      <bottom style="medium">
        <color theme="9" tint="0.39994506668294322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/>
      <bottom/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" fillId="0" borderId="1" xfId="0" applyFont="1" applyBorder="1">
      <alignment vertical="center"/>
    </xf>
    <xf numFmtId="11" fontId="1" fillId="0" borderId="1" xfId="0" applyNumberFormat="1" applyFont="1" applyBorder="1">
      <alignment vertical="center"/>
    </xf>
    <xf numFmtId="0" fontId="1" fillId="2" borderId="2" xfId="0" applyFont="1" applyFill="1" applyBorder="1" applyAlignment="1">
      <alignment horizontal="centerContinuous" vertical="center"/>
    </xf>
    <xf numFmtId="0" fontId="1" fillId="2" borderId="3" xfId="0" applyFont="1" applyFill="1" applyBorder="1" applyAlignment="1">
      <alignment horizontal="centerContinuous" vertical="center"/>
    </xf>
    <xf numFmtId="0" fontId="1" fillId="3" borderId="2" xfId="0" applyFont="1" applyFill="1" applyBorder="1" applyAlignment="1">
      <alignment horizontal="centerContinuous" vertical="center"/>
    </xf>
    <xf numFmtId="0" fontId="1" fillId="3" borderId="4" xfId="0" applyFont="1" applyFill="1" applyBorder="1" applyAlignment="1">
      <alignment horizontal="centerContinuous" vertical="center"/>
    </xf>
    <xf numFmtId="0" fontId="1" fillId="3" borderId="3" xfId="0" applyFont="1" applyFill="1" applyBorder="1" applyAlignment="1">
      <alignment horizontal="centerContinuous" vertical="center"/>
    </xf>
    <xf numFmtId="0" fontId="5" fillId="0" borderId="5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1" fillId="6" borderId="1" xfId="0" applyFont="1" applyFill="1" applyBorder="1">
      <alignment vertical="center"/>
    </xf>
    <xf numFmtId="0" fontId="1" fillId="0" borderId="5" xfId="0" applyFont="1" applyBorder="1">
      <alignment vertical="center"/>
    </xf>
    <xf numFmtId="0" fontId="1" fillId="0" borderId="7" xfId="0" applyFont="1" applyBorder="1">
      <alignment vertical="center"/>
    </xf>
    <xf numFmtId="0" fontId="1" fillId="0" borderId="11" xfId="0" applyFont="1" applyBorder="1">
      <alignment vertical="center"/>
    </xf>
    <xf numFmtId="0" fontId="1" fillId="0" borderId="12" xfId="0" applyFont="1" applyBorder="1">
      <alignment vertical="center"/>
    </xf>
    <xf numFmtId="0" fontId="1" fillId="0" borderId="6" xfId="0" applyFont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" fillId="0" borderId="0" xfId="0" applyFont="1" applyBorder="1">
      <alignment vertical="center"/>
    </xf>
    <xf numFmtId="0" fontId="1" fillId="4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1" fillId="0" borderId="20" xfId="0" applyFont="1" applyBorder="1">
      <alignment vertical="center"/>
    </xf>
    <xf numFmtId="0" fontId="1" fillId="0" borderId="21" xfId="0" applyFont="1" applyBorder="1">
      <alignment vertical="center"/>
    </xf>
    <xf numFmtId="0" fontId="1" fillId="0" borderId="22" xfId="0" applyFont="1" applyBorder="1">
      <alignment vertical="center"/>
    </xf>
    <xf numFmtId="0" fontId="6" fillId="0" borderId="23" xfId="0" applyFont="1" applyBorder="1">
      <alignment vertical="center"/>
    </xf>
    <xf numFmtId="0" fontId="1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25" xfId="0" applyFont="1" applyBorder="1">
      <alignment vertical="center"/>
    </xf>
    <xf numFmtId="0" fontId="1" fillId="0" borderId="26" xfId="0" applyFont="1" applyBorder="1">
      <alignment vertical="center"/>
    </xf>
    <xf numFmtId="0" fontId="1" fillId="0" borderId="27" xfId="0" applyFont="1" applyBorder="1">
      <alignment vertical="center"/>
    </xf>
    <xf numFmtId="0" fontId="1" fillId="5" borderId="1" xfId="0" applyFont="1" applyFill="1" applyBorder="1">
      <alignment vertical="center"/>
    </xf>
    <xf numFmtId="0" fontId="1" fillId="6" borderId="8" xfId="0" applyFont="1" applyFill="1" applyBorder="1" applyAlignment="1">
      <alignment horizontal="centerContinuous" vertical="center"/>
    </xf>
    <xf numFmtId="0" fontId="1" fillId="6" borderId="9" xfId="0" applyFont="1" applyFill="1" applyBorder="1" applyAlignment="1">
      <alignment horizontal="centerContinuous" vertical="center"/>
    </xf>
    <xf numFmtId="0" fontId="1" fillId="6" borderId="10" xfId="0" applyFont="1" applyFill="1" applyBorder="1" applyAlignment="1">
      <alignment horizontal="centerContinuous" vertical="center"/>
    </xf>
    <xf numFmtId="0" fontId="1" fillId="5" borderId="8" xfId="0" applyFont="1" applyFill="1" applyBorder="1" applyAlignment="1">
      <alignment horizontal="centerContinuous" vertical="center"/>
    </xf>
    <xf numFmtId="0" fontId="1" fillId="5" borderId="9" xfId="0" applyFont="1" applyFill="1" applyBorder="1" applyAlignment="1">
      <alignment horizontal="centerContinuous" vertical="center"/>
    </xf>
    <xf numFmtId="0" fontId="1" fillId="8" borderId="1" xfId="0" applyFont="1" applyFill="1" applyBorder="1">
      <alignment vertical="center"/>
    </xf>
    <xf numFmtId="0" fontId="1" fillId="12" borderId="1" xfId="0" applyFont="1" applyFill="1" applyBorder="1">
      <alignment vertical="center"/>
    </xf>
    <xf numFmtId="0" fontId="1" fillId="4" borderId="1" xfId="0" applyFont="1" applyFill="1" applyBorder="1" applyAlignment="1">
      <alignment horizontal="centerContinuous" vertical="center"/>
    </xf>
    <xf numFmtId="0" fontId="1" fillId="5" borderId="29" xfId="0" applyFont="1" applyFill="1" applyBorder="1">
      <alignment vertical="center"/>
    </xf>
    <xf numFmtId="0" fontId="1" fillId="6" borderId="29" xfId="0" applyFont="1" applyFill="1" applyBorder="1">
      <alignment vertical="center"/>
    </xf>
    <xf numFmtId="0" fontId="1" fillId="2" borderId="29" xfId="0" applyFont="1" applyFill="1" applyBorder="1">
      <alignment vertical="center"/>
    </xf>
    <xf numFmtId="0" fontId="1" fillId="3" borderId="29" xfId="0" applyFont="1" applyFill="1" applyBorder="1">
      <alignment vertical="center"/>
    </xf>
    <xf numFmtId="0" fontId="1" fillId="7" borderId="29" xfId="0" applyFont="1" applyFill="1" applyBorder="1">
      <alignment vertical="center"/>
    </xf>
    <xf numFmtId="0" fontId="1" fillId="11" borderId="29" xfId="0" applyFont="1" applyFill="1" applyBorder="1">
      <alignment vertical="center"/>
    </xf>
    <xf numFmtId="0" fontId="1" fillId="8" borderId="29" xfId="0" applyFont="1" applyFill="1" applyBorder="1">
      <alignment vertical="center"/>
    </xf>
    <xf numFmtId="0" fontId="1" fillId="10" borderId="29" xfId="0" applyFont="1" applyFill="1" applyBorder="1">
      <alignment vertical="center"/>
    </xf>
    <xf numFmtId="0" fontId="8" fillId="10" borderId="29" xfId="0" applyFont="1" applyFill="1" applyBorder="1" applyAlignment="1">
      <alignment vertical="center" wrapText="1"/>
    </xf>
    <xf numFmtId="0" fontId="1" fillId="5" borderId="29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Continuous" vertical="center"/>
    </xf>
    <xf numFmtId="0" fontId="1" fillId="2" borderId="1" xfId="0" applyFont="1" applyFill="1" applyBorder="1" applyAlignment="1">
      <alignment horizontal="centerContinuous" vertical="center"/>
    </xf>
    <xf numFmtId="0" fontId="1" fillId="9" borderId="29" xfId="0" applyFont="1" applyFill="1" applyBorder="1">
      <alignment vertical="center"/>
    </xf>
    <xf numFmtId="0" fontId="1" fillId="0" borderId="0" xfId="0" applyFont="1" applyAlignment="1">
      <alignment horizontal="right" vertical="center"/>
    </xf>
    <xf numFmtId="0" fontId="1" fillId="5" borderId="32" xfId="0" applyFont="1" applyFill="1" applyBorder="1">
      <alignment vertical="center"/>
    </xf>
    <xf numFmtId="0" fontId="1" fillId="0" borderId="19" xfId="0" applyFont="1" applyBorder="1" applyAlignment="1">
      <alignment horizontal="right" vertical="center"/>
    </xf>
    <xf numFmtId="0" fontId="1" fillId="6" borderId="19" xfId="0" applyFont="1" applyFill="1" applyBorder="1">
      <alignment vertical="center"/>
    </xf>
    <xf numFmtId="0" fontId="1" fillId="12" borderId="28" xfId="0" applyFont="1" applyFill="1" applyBorder="1">
      <alignment vertical="center"/>
    </xf>
    <xf numFmtId="0" fontId="1" fillId="0" borderId="0" xfId="0" applyFont="1" applyAlignment="1">
      <alignment vertical="center"/>
    </xf>
    <xf numFmtId="0" fontId="1" fillId="0" borderId="8" xfId="0" applyFont="1" applyBorder="1">
      <alignment vertical="center"/>
    </xf>
    <xf numFmtId="0" fontId="1" fillId="0" borderId="28" xfId="0" applyFont="1" applyBorder="1">
      <alignment vertical="center"/>
    </xf>
    <xf numFmtId="0" fontId="1" fillId="0" borderId="9" xfId="0" applyFont="1" applyBorder="1">
      <alignment vertical="center"/>
    </xf>
    <xf numFmtId="0" fontId="1" fillId="5" borderId="1" xfId="0" applyFont="1" applyFill="1" applyBorder="1" applyAlignment="1">
      <alignment horizontal="centerContinuous" vertical="center"/>
    </xf>
    <xf numFmtId="0" fontId="9" fillId="13" borderId="0" xfId="0" applyFont="1" applyFill="1" applyAlignment="1">
      <alignment horizontal="centerContinuous" vertical="center"/>
    </xf>
    <xf numFmtId="0" fontId="10" fillId="13" borderId="0" xfId="0" applyFont="1" applyFill="1" applyAlignment="1">
      <alignment horizontal="centerContinuous" vertical="center"/>
    </xf>
    <xf numFmtId="0" fontId="4" fillId="0" borderId="0" xfId="0" applyFont="1" applyBorder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" fillId="11" borderId="29" xfId="0" applyFont="1" applyFill="1" applyBorder="1" applyAlignment="1">
      <alignment horizontal="center" vertical="center"/>
    </xf>
    <xf numFmtId="0" fontId="1" fillId="10" borderId="29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11" borderId="30" xfId="0" applyFont="1" applyFill="1" applyBorder="1" applyAlignment="1">
      <alignment horizontal="center" vertical="center"/>
    </xf>
    <xf numFmtId="0" fontId="1" fillId="10" borderId="30" xfId="0" applyFont="1" applyFill="1" applyBorder="1" applyAlignment="1">
      <alignment horizontal="center" vertical="center"/>
    </xf>
    <xf numFmtId="2" fontId="1" fillId="0" borderId="1" xfId="0" applyNumberFormat="1" applyFont="1" applyBorder="1">
      <alignment vertical="center"/>
    </xf>
    <xf numFmtId="176" fontId="1" fillId="0" borderId="1" xfId="0" applyNumberFormat="1" applyFont="1" applyBorder="1">
      <alignment vertical="center"/>
    </xf>
    <xf numFmtId="2" fontId="1" fillId="0" borderId="9" xfId="0" applyNumberFormat="1" applyFont="1" applyBorder="1">
      <alignment vertical="center"/>
    </xf>
    <xf numFmtId="0" fontId="1" fillId="14" borderId="0" xfId="0" applyFont="1" applyFill="1">
      <alignment vertical="center"/>
    </xf>
    <xf numFmtId="0" fontId="14" fillId="0" borderId="0" xfId="0" applyFont="1">
      <alignment vertical="center"/>
    </xf>
    <xf numFmtId="0" fontId="1" fillId="0" borderId="1" xfId="0" applyFont="1" applyFill="1" applyBorder="1">
      <alignment vertical="center"/>
    </xf>
    <xf numFmtId="0" fontId="1" fillId="0" borderId="33" xfId="0" applyFont="1" applyBorder="1">
      <alignment vertical="center"/>
    </xf>
    <xf numFmtId="0" fontId="1" fillId="0" borderId="34" xfId="0" applyFont="1" applyBorder="1">
      <alignment vertical="center"/>
    </xf>
    <xf numFmtId="0" fontId="1" fillId="0" borderId="35" xfId="0" applyFont="1" applyBorder="1">
      <alignment vertical="center"/>
    </xf>
    <xf numFmtId="0" fontId="1" fillId="0" borderId="36" xfId="0" applyFont="1" applyBorder="1">
      <alignment vertical="center"/>
    </xf>
    <xf numFmtId="0" fontId="1" fillId="0" borderId="37" xfId="0" applyFont="1" applyBorder="1">
      <alignment vertical="center"/>
    </xf>
    <xf numFmtId="0" fontId="1" fillId="0" borderId="38" xfId="0" applyFont="1" applyBorder="1">
      <alignment vertical="center"/>
    </xf>
    <xf numFmtId="0" fontId="1" fillId="6" borderId="39" xfId="0" applyFont="1" applyFill="1" applyBorder="1">
      <alignment vertical="center"/>
    </xf>
    <xf numFmtId="0" fontId="1" fillId="0" borderId="40" xfId="0" applyFont="1" applyBorder="1">
      <alignment vertical="center"/>
    </xf>
    <xf numFmtId="0" fontId="1" fillId="0" borderId="41" xfId="0" applyFont="1" applyBorder="1">
      <alignment vertical="center"/>
    </xf>
    <xf numFmtId="0" fontId="1" fillId="0" borderId="42" xfId="0" applyFont="1" applyBorder="1">
      <alignment vertical="center"/>
    </xf>
    <xf numFmtId="0" fontId="1" fillId="0" borderId="43" xfId="0" applyFont="1" applyBorder="1">
      <alignment vertical="center"/>
    </xf>
    <xf numFmtId="0" fontId="1" fillId="0" borderId="44" xfId="0" applyFont="1" applyBorder="1">
      <alignment vertical="center"/>
    </xf>
    <xf numFmtId="0" fontId="1" fillId="0" borderId="45" xfId="0" applyFont="1" applyBorder="1">
      <alignment vertical="center"/>
    </xf>
    <xf numFmtId="0" fontId="1" fillId="0" borderId="46" xfId="0" applyFont="1" applyBorder="1">
      <alignment vertical="center"/>
    </xf>
    <xf numFmtId="0" fontId="1" fillId="0" borderId="47" xfId="0" applyFont="1" applyBorder="1">
      <alignment vertical="center"/>
    </xf>
    <xf numFmtId="0" fontId="1" fillId="0" borderId="48" xfId="0" applyFont="1" applyBorder="1">
      <alignment vertical="center"/>
    </xf>
    <xf numFmtId="0" fontId="1" fillId="0" borderId="49" xfId="0" applyFont="1" applyBorder="1">
      <alignment vertical="center"/>
    </xf>
    <xf numFmtId="0" fontId="1" fillId="0" borderId="50" xfId="0" applyFont="1" applyBorder="1">
      <alignment vertical="center"/>
    </xf>
    <xf numFmtId="0" fontId="1" fillId="0" borderId="51" xfId="0" applyFont="1" applyBorder="1">
      <alignment vertical="center"/>
    </xf>
    <xf numFmtId="0" fontId="1" fillId="0" borderId="52" xfId="0" applyFont="1" applyBorder="1">
      <alignment vertical="center"/>
    </xf>
    <xf numFmtId="0" fontId="1" fillId="0" borderId="53" xfId="0" applyFont="1" applyBorder="1">
      <alignment vertical="center"/>
    </xf>
    <xf numFmtId="0" fontId="1" fillId="0" borderId="54" xfId="0" applyFont="1" applyBorder="1">
      <alignment vertical="center"/>
    </xf>
    <xf numFmtId="0" fontId="1" fillId="0" borderId="55" xfId="0" applyFont="1" applyBorder="1">
      <alignment vertical="center"/>
    </xf>
    <xf numFmtId="0" fontId="1" fillId="0" borderId="56" xfId="0" applyFont="1" applyBorder="1">
      <alignment vertical="center"/>
    </xf>
    <xf numFmtId="0" fontId="1" fillId="6" borderId="57" xfId="0" applyFont="1" applyFill="1" applyBorder="1">
      <alignment vertical="center"/>
    </xf>
    <xf numFmtId="0" fontId="1" fillId="0" borderId="58" xfId="0" applyFont="1" applyBorder="1">
      <alignment vertical="center"/>
    </xf>
    <xf numFmtId="0" fontId="1" fillId="0" borderId="59" xfId="0" applyFont="1" applyBorder="1">
      <alignment vertical="center"/>
    </xf>
    <xf numFmtId="0" fontId="1" fillId="0" borderId="60" xfId="0" applyFont="1" applyBorder="1">
      <alignment vertical="center"/>
    </xf>
    <xf numFmtId="0" fontId="1" fillId="0" borderId="61" xfId="0" applyFont="1" applyBorder="1">
      <alignment vertical="center"/>
    </xf>
    <xf numFmtId="0" fontId="1" fillId="0" borderId="62" xfId="0" applyFont="1" applyBorder="1">
      <alignment vertical="center"/>
    </xf>
    <xf numFmtId="0" fontId="15" fillId="0" borderId="13" xfId="0" applyFont="1" applyBorder="1">
      <alignment vertical="center"/>
    </xf>
    <xf numFmtId="0" fontId="15" fillId="0" borderId="14" xfId="0" applyFont="1" applyBorder="1">
      <alignment vertical="center"/>
    </xf>
    <xf numFmtId="0" fontId="15" fillId="0" borderId="15" xfId="0" applyFont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7" fillId="0" borderId="1" xfId="0" applyFont="1" applyBorder="1">
      <alignment vertical="center"/>
    </xf>
    <xf numFmtId="0" fontId="18" fillId="0" borderId="1" xfId="0" applyFont="1" applyBorder="1">
      <alignment vertical="center"/>
    </xf>
    <xf numFmtId="0" fontId="16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0" xfId="0" applyFont="1" applyFill="1" applyBorder="1" applyAlignment="1">
      <alignment horizontal="center" vertical="center"/>
    </xf>
    <xf numFmtId="0" fontId="9" fillId="15" borderId="9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7" borderId="29" xfId="0" applyFont="1" applyFill="1" applyBorder="1" applyAlignment="1">
      <alignment horizontal="center" vertical="center"/>
    </xf>
    <xf numFmtId="0" fontId="1" fillId="7" borderId="30" xfId="0" applyFont="1" applyFill="1" applyBorder="1" applyAlignment="1">
      <alignment horizontal="center" vertical="center"/>
    </xf>
    <xf numFmtId="0" fontId="1" fillId="11" borderId="29" xfId="0" applyFont="1" applyFill="1" applyBorder="1" applyAlignment="1">
      <alignment horizontal="center" vertical="center"/>
    </xf>
    <xf numFmtId="0" fontId="1" fillId="11" borderId="3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177" fontId="1" fillId="0" borderId="1" xfId="0" applyNumberFormat="1" applyFont="1" applyBorder="1">
      <alignment vertical="center"/>
    </xf>
  </cellXfs>
  <cellStyles count="1">
    <cellStyle name="一般" xfId="0" builtinId="0"/>
  </cellStyles>
  <dxfs count="12">
    <dxf>
      <fill>
        <patternFill>
          <fgColor indexed="64"/>
          <bgColor rgb="FFFFC000"/>
        </patternFill>
      </fill>
    </dxf>
    <dxf>
      <fill>
        <patternFill>
          <bgColor rgb="FFFFC00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8</xdr:row>
          <xdr:rowOff>38100</xdr:rowOff>
        </xdr:from>
        <xdr:to>
          <xdr:col>26</xdr:col>
          <xdr:colOff>0</xdr:colOff>
          <xdr:row>12</xdr:row>
          <xdr:rowOff>38100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142875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1724025</xdr:colOff>
          <xdr:row>2</xdr:row>
          <xdr:rowOff>0</xdr:rowOff>
        </xdr:from>
        <xdr:to>
          <xdr:col>5</xdr:col>
          <xdr:colOff>1190625</xdr:colOff>
          <xdr:row>5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5</xdr:col>
          <xdr:colOff>752475</xdr:colOff>
          <xdr:row>6</xdr:row>
          <xdr:rowOff>152400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24</xdr:col>
      <xdr:colOff>657225</xdr:colOff>
      <xdr:row>2</xdr:row>
      <xdr:rowOff>133350</xdr:rowOff>
    </xdr:from>
    <xdr:to>
      <xdr:col>32</xdr:col>
      <xdr:colOff>266063</xdr:colOff>
      <xdr:row>46</xdr:row>
      <xdr:rowOff>27690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466725"/>
          <a:ext cx="5095238" cy="70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7" tint="-0.249977111117893"/>
  </sheetPr>
  <dimension ref="B6:AA42"/>
  <sheetViews>
    <sheetView workbookViewId="0">
      <selection activeCell="O8" sqref="O8"/>
    </sheetView>
  </sheetViews>
  <sheetFormatPr defaultRowHeight="12.75" x14ac:dyDescent="0.25"/>
  <cols>
    <col min="1" max="1" width="4.625" style="1" customWidth="1"/>
    <col min="2" max="2" width="6.625" style="1" customWidth="1"/>
    <col min="3" max="3" width="7.625" style="1" customWidth="1"/>
    <col min="4" max="15" width="6.625" style="1" customWidth="1"/>
    <col min="16" max="16" width="15.125" style="1" customWidth="1"/>
    <col min="17" max="29" width="5.625" style="1" customWidth="1"/>
    <col min="30" max="16384" width="9" style="1"/>
  </cols>
  <sheetData>
    <row r="6" spans="3:27" ht="13.5" thickBot="1" x14ac:dyDescent="0.3"/>
    <row r="7" spans="3:27" ht="13.5" thickBot="1" x14ac:dyDescent="0.3">
      <c r="C7" s="20" t="s">
        <v>110</v>
      </c>
      <c r="Q7" s="25"/>
      <c r="R7" s="26"/>
      <c r="S7" s="26"/>
      <c r="T7" s="26"/>
      <c r="U7" s="26"/>
      <c r="V7" s="26"/>
      <c r="W7" s="26"/>
      <c r="X7" s="26"/>
      <c r="Y7" s="26"/>
      <c r="Z7" s="26"/>
      <c r="AA7" s="27"/>
    </row>
    <row r="8" spans="3:27" x14ac:dyDescent="0.25">
      <c r="C8" s="95"/>
      <c r="D8" s="96"/>
      <c r="E8" s="96"/>
      <c r="F8" s="96"/>
      <c r="G8" s="96"/>
      <c r="H8" s="96"/>
      <c r="I8" s="96"/>
      <c r="J8" s="96"/>
      <c r="K8" s="97"/>
      <c r="Q8" s="28" t="s">
        <v>111</v>
      </c>
      <c r="R8" s="22"/>
      <c r="S8" s="22"/>
      <c r="T8" s="22"/>
      <c r="U8" s="22"/>
      <c r="V8" s="22"/>
      <c r="W8" s="22"/>
      <c r="X8" s="22"/>
      <c r="Y8" s="22"/>
      <c r="Z8" s="22"/>
      <c r="AA8" s="29"/>
    </row>
    <row r="9" spans="3:27" x14ac:dyDescent="0.25">
      <c r="C9" s="98"/>
      <c r="D9" s="22"/>
      <c r="E9" s="22"/>
      <c r="F9" s="22"/>
      <c r="G9" s="22"/>
      <c r="H9" s="22"/>
      <c r="I9" s="22"/>
      <c r="J9" s="22"/>
      <c r="K9" s="99"/>
      <c r="Q9" s="30"/>
      <c r="R9" s="22"/>
      <c r="S9" s="22"/>
      <c r="T9" s="22"/>
      <c r="U9" s="22"/>
      <c r="V9" s="22"/>
      <c r="W9" s="22"/>
      <c r="X9" s="22"/>
      <c r="Y9" s="22"/>
      <c r="Z9" s="22"/>
      <c r="AA9" s="29"/>
    </row>
    <row r="10" spans="3:27" x14ac:dyDescent="0.25">
      <c r="C10" s="98"/>
      <c r="D10" s="22"/>
      <c r="E10" s="22"/>
      <c r="F10" s="22"/>
      <c r="G10" s="22"/>
      <c r="H10" s="22"/>
      <c r="I10" s="22"/>
      <c r="J10" s="22"/>
      <c r="K10" s="99"/>
      <c r="Q10" s="30"/>
      <c r="R10" s="22"/>
      <c r="S10" s="22"/>
      <c r="T10" s="22"/>
      <c r="U10" s="22"/>
      <c r="V10" s="22"/>
      <c r="W10" s="22"/>
      <c r="X10" s="22"/>
      <c r="Y10" s="22"/>
      <c r="Z10" s="22"/>
      <c r="AA10" s="29"/>
    </row>
    <row r="11" spans="3:27" x14ac:dyDescent="0.25">
      <c r="C11" s="98"/>
      <c r="D11" s="22"/>
      <c r="E11" s="22"/>
      <c r="F11" s="22"/>
      <c r="G11" s="22"/>
      <c r="H11" s="22"/>
      <c r="I11" s="22"/>
      <c r="J11" s="22"/>
      <c r="K11" s="99"/>
      <c r="Q11" s="30"/>
      <c r="R11" s="22"/>
      <c r="S11" s="22"/>
      <c r="T11" s="22"/>
      <c r="U11" s="22"/>
      <c r="V11" s="22"/>
      <c r="W11" s="22"/>
      <c r="X11" s="22"/>
      <c r="Y11" s="22"/>
      <c r="Z11" s="22"/>
      <c r="AA11" s="29"/>
    </row>
    <row r="12" spans="3:27" x14ac:dyDescent="0.25">
      <c r="C12" s="98"/>
      <c r="D12" s="22"/>
      <c r="E12" s="22"/>
      <c r="F12" s="22"/>
      <c r="G12" s="22"/>
      <c r="H12" s="22"/>
      <c r="I12" s="22"/>
      <c r="J12" s="22"/>
      <c r="K12" s="99"/>
      <c r="Q12" s="30"/>
      <c r="R12" s="22"/>
      <c r="S12" s="22"/>
      <c r="T12" s="22"/>
      <c r="U12" s="22"/>
      <c r="V12" s="22"/>
      <c r="W12" s="22"/>
      <c r="X12" s="22"/>
      <c r="Y12" s="22"/>
      <c r="Z12" s="22"/>
      <c r="AA12" s="29"/>
    </row>
    <row r="13" spans="3:27" x14ac:dyDescent="0.25">
      <c r="C13" s="98"/>
      <c r="D13" s="22"/>
      <c r="E13" s="22"/>
      <c r="F13" s="22"/>
      <c r="G13" s="22"/>
      <c r="H13" s="22"/>
      <c r="I13" s="22"/>
      <c r="J13" s="22"/>
      <c r="K13" s="99"/>
      <c r="Q13" s="30"/>
      <c r="R13" s="22"/>
      <c r="S13" s="22"/>
      <c r="T13" s="22"/>
      <c r="U13" s="22"/>
      <c r="V13" s="22"/>
      <c r="W13" s="22"/>
      <c r="X13" s="22"/>
      <c r="Y13" s="22"/>
      <c r="Z13" s="22"/>
      <c r="AA13" s="29"/>
    </row>
    <row r="14" spans="3:27" ht="13.5" thickBot="1" x14ac:dyDescent="0.3">
      <c r="C14" s="100"/>
      <c r="D14" s="101"/>
      <c r="E14" s="101"/>
      <c r="F14" s="101"/>
      <c r="G14" s="101"/>
      <c r="H14" s="101"/>
      <c r="I14" s="101"/>
      <c r="J14" s="101"/>
      <c r="K14" s="102"/>
      <c r="Q14" s="30"/>
      <c r="R14" s="22"/>
      <c r="S14" s="22"/>
      <c r="T14" s="22"/>
      <c r="U14" s="22"/>
      <c r="V14" s="22"/>
      <c r="W14" s="22"/>
      <c r="X14" s="22"/>
      <c r="Y14" s="22"/>
      <c r="Z14" s="22"/>
      <c r="AA14" s="29"/>
    </row>
    <row r="15" spans="3:27" x14ac:dyDescent="0.25">
      <c r="Q15" s="30"/>
      <c r="R15" s="22"/>
      <c r="S15" s="22"/>
      <c r="T15" s="22"/>
      <c r="U15" s="22"/>
      <c r="V15" s="22"/>
      <c r="W15" s="22"/>
      <c r="X15" s="22"/>
      <c r="Y15" s="22"/>
      <c r="Z15" s="22"/>
      <c r="AA15" s="29"/>
    </row>
    <row r="16" spans="3:27" x14ac:dyDescent="0.25">
      <c r="Q16" s="30"/>
      <c r="R16" s="22"/>
      <c r="S16" s="22"/>
      <c r="T16" s="22"/>
      <c r="U16" s="22"/>
      <c r="V16" s="22"/>
      <c r="W16" s="22"/>
      <c r="X16" s="22"/>
      <c r="Y16" s="22"/>
      <c r="Z16" s="22"/>
      <c r="AA16" s="29"/>
    </row>
    <row r="17" spans="2:27" x14ac:dyDescent="0.25">
      <c r="Q17" s="30"/>
      <c r="R17" s="22"/>
      <c r="S17" s="22"/>
      <c r="T17" s="22"/>
      <c r="U17" s="22"/>
      <c r="V17" s="22"/>
      <c r="W17" s="22"/>
      <c r="X17" s="22"/>
      <c r="Y17" s="22"/>
      <c r="Z17" s="22"/>
      <c r="AA17" s="29"/>
    </row>
    <row r="18" spans="2:27" x14ac:dyDescent="0.25">
      <c r="Q18" s="30"/>
      <c r="R18" s="22"/>
      <c r="S18" s="22"/>
      <c r="T18" s="22"/>
      <c r="U18" s="22"/>
      <c r="V18" s="22"/>
      <c r="W18" s="22"/>
      <c r="X18" s="22"/>
      <c r="Y18" s="22"/>
      <c r="Z18" s="22"/>
      <c r="AA18" s="29"/>
    </row>
    <row r="19" spans="2:27" ht="13.5" thickBot="1" x14ac:dyDescent="0.3">
      <c r="Q19" s="30"/>
      <c r="R19" s="22"/>
      <c r="S19" s="22"/>
      <c r="T19" s="22"/>
      <c r="U19" s="22"/>
      <c r="V19" s="22"/>
      <c r="W19" s="22"/>
      <c r="X19" s="22"/>
      <c r="Y19" s="22"/>
      <c r="Z19" s="22"/>
      <c r="AA19" s="29"/>
    </row>
    <row r="20" spans="2:27" x14ac:dyDescent="0.25">
      <c r="B20" s="85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7"/>
      <c r="Q20" s="30"/>
      <c r="R20" s="22"/>
      <c r="S20" s="22"/>
      <c r="T20" s="22"/>
      <c r="U20" s="22"/>
      <c r="V20" s="22"/>
      <c r="W20" s="22"/>
      <c r="X20" s="22"/>
      <c r="Y20" s="22"/>
      <c r="Z20" s="22"/>
      <c r="AA20" s="29"/>
    </row>
    <row r="21" spans="2:27" x14ac:dyDescent="0.25">
      <c r="B21" s="88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89"/>
      <c r="Q21" s="30"/>
      <c r="R21" s="22"/>
      <c r="S21" s="22"/>
      <c r="T21" s="22"/>
      <c r="U21" s="22"/>
      <c r="V21" s="22"/>
      <c r="W21" s="22"/>
      <c r="X21" s="22"/>
      <c r="Y21" s="22"/>
      <c r="Z21" s="22"/>
      <c r="AA21" s="29"/>
    </row>
    <row r="22" spans="2:27" x14ac:dyDescent="0.25">
      <c r="B22" s="88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89"/>
      <c r="Q22" s="28" t="s">
        <v>112</v>
      </c>
      <c r="R22" s="22"/>
      <c r="S22" s="22"/>
      <c r="T22" s="22"/>
      <c r="U22" s="22"/>
      <c r="V22" s="22"/>
      <c r="W22" s="22"/>
      <c r="X22" s="22"/>
      <c r="Y22" s="22"/>
      <c r="Z22" s="22"/>
      <c r="AA22" s="29"/>
    </row>
    <row r="23" spans="2:27" x14ac:dyDescent="0.25">
      <c r="B23" s="88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89"/>
      <c r="Q23" s="30"/>
      <c r="R23" s="22"/>
      <c r="S23" s="22"/>
      <c r="T23" s="22"/>
      <c r="U23" s="22"/>
      <c r="V23" s="22"/>
      <c r="W23" s="22"/>
      <c r="X23" s="22"/>
      <c r="Y23" s="22"/>
      <c r="Z23" s="22"/>
      <c r="AA23" s="29"/>
    </row>
    <row r="24" spans="2:27" x14ac:dyDescent="0.25">
      <c r="B24" s="88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89"/>
      <c r="Q24" s="30"/>
      <c r="R24" s="22"/>
      <c r="S24" s="22"/>
      <c r="T24" s="22"/>
      <c r="U24" s="22"/>
      <c r="V24" s="22"/>
      <c r="W24" s="22"/>
      <c r="X24" s="22"/>
      <c r="Y24" s="22"/>
      <c r="Z24" s="22"/>
      <c r="AA24" s="29"/>
    </row>
    <row r="25" spans="2:27" x14ac:dyDescent="0.25">
      <c r="B25" s="88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89"/>
      <c r="Q25" s="30"/>
      <c r="R25" s="22"/>
      <c r="S25" s="22"/>
      <c r="T25" s="22"/>
      <c r="U25" s="22"/>
      <c r="V25" s="22"/>
      <c r="W25" s="22"/>
      <c r="X25" s="22"/>
      <c r="Y25" s="22"/>
      <c r="Z25" s="22"/>
      <c r="AA25" s="29"/>
    </row>
    <row r="26" spans="2:27" ht="13.5" thickBot="1" x14ac:dyDescent="0.3">
      <c r="B26" s="88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89"/>
      <c r="Q26" s="30"/>
      <c r="R26" s="22"/>
      <c r="S26" s="22"/>
      <c r="T26" s="22"/>
      <c r="U26" s="22"/>
      <c r="V26" s="22"/>
      <c r="W26" s="22"/>
      <c r="X26" s="22"/>
      <c r="Y26" s="22"/>
      <c r="Z26" s="22"/>
      <c r="AA26" s="29"/>
    </row>
    <row r="27" spans="2:27" ht="13.5" thickBot="1" x14ac:dyDescent="0.3">
      <c r="B27" s="90"/>
      <c r="C27" s="58" t="s">
        <v>158</v>
      </c>
      <c r="D27" s="59" t="s">
        <v>410</v>
      </c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91"/>
      <c r="Q27" s="30"/>
      <c r="R27" s="22"/>
      <c r="S27" s="22"/>
      <c r="T27" s="22"/>
      <c r="U27" s="22"/>
      <c r="V27" s="22"/>
      <c r="W27" s="22"/>
      <c r="X27" s="22"/>
      <c r="Y27" s="22"/>
      <c r="Z27" s="22"/>
      <c r="AA27" s="29"/>
    </row>
    <row r="28" spans="2:27" x14ac:dyDescent="0.25">
      <c r="B28" s="88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89"/>
      <c r="Q28" s="30"/>
      <c r="R28" s="22"/>
      <c r="S28" s="22"/>
      <c r="T28" s="22"/>
      <c r="U28" s="22"/>
      <c r="V28" s="22"/>
      <c r="W28" s="22"/>
      <c r="X28" s="22"/>
      <c r="Y28" s="22"/>
      <c r="Z28" s="22"/>
      <c r="AA28" s="29"/>
    </row>
    <row r="29" spans="2:27" ht="13.5" thickBot="1" x14ac:dyDescent="0.3"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4"/>
      <c r="Q29" s="31"/>
      <c r="R29" s="32"/>
      <c r="S29" s="32"/>
      <c r="T29" s="32"/>
      <c r="U29" s="32"/>
      <c r="V29" s="32"/>
      <c r="W29" s="32"/>
      <c r="X29" s="32"/>
      <c r="Y29" s="32"/>
      <c r="Z29" s="32"/>
      <c r="AA29" s="33"/>
    </row>
    <row r="32" spans="2:27" ht="13.5" thickBot="1" x14ac:dyDescent="0.3"/>
    <row r="33" spans="2:15" x14ac:dyDescent="0.25">
      <c r="B33" s="103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5"/>
    </row>
    <row r="34" spans="2:15" x14ac:dyDescent="0.25">
      <c r="B34" s="106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107"/>
    </row>
    <row r="35" spans="2:15" x14ac:dyDescent="0.25">
      <c r="B35" s="106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107"/>
    </row>
    <row r="36" spans="2:15" x14ac:dyDescent="0.25">
      <c r="B36" s="106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107"/>
    </row>
    <row r="37" spans="2:15" x14ac:dyDescent="0.25">
      <c r="B37" s="106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107"/>
    </row>
    <row r="38" spans="2:15" x14ac:dyDescent="0.25">
      <c r="B38" s="106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107"/>
    </row>
    <row r="39" spans="2:15" ht="13.5" thickBot="1" x14ac:dyDescent="0.3">
      <c r="B39" s="106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107"/>
    </row>
    <row r="40" spans="2:15" ht="13.5" thickBot="1" x14ac:dyDescent="0.3">
      <c r="B40" s="108"/>
      <c r="C40" s="58" t="s">
        <v>246</v>
      </c>
      <c r="D40" s="59" t="s">
        <v>260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109"/>
    </row>
    <row r="41" spans="2:15" x14ac:dyDescent="0.25">
      <c r="B41" s="106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107"/>
    </row>
    <row r="42" spans="2:15" ht="13.5" thickBot="1" x14ac:dyDescent="0.3">
      <c r="B42" s="110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2"/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53" r:id="rId4" name="CommandButton4">
          <controlPr defaultSize="0" autoLine="0" r:id="rId5">
            <anchor moveWithCells="1">
              <from>
                <xdr:col>3</xdr:col>
                <xdr:colOff>0</xdr:colOff>
                <xdr:row>20</xdr:row>
                <xdr:rowOff>0</xdr:rowOff>
              </from>
              <to>
                <xdr:col>10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2053" r:id="rId4" name="CommandButton4"/>
      </mc:Fallback>
    </mc:AlternateContent>
    <mc:AlternateContent xmlns:mc="http://schemas.openxmlformats.org/markup-compatibility/2006">
      <mc:Choice Requires="x14">
        <control shapeId="2052" r:id="rId6" name="CommandButton3">
          <controlPr defaultSize="0" autoFill="0" autoLine="0" r:id="rId7">
            <anchor moveWithCells="1">
              <from>
                <xdr:col>17</xdr:col>
                <xdr:colOff>0</xdr:colOff>
                <xdr:row>21</xdr:row>
                <xdr:rowOff>142875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2052" r:id="rId6" name="CommandButton3"/>
      </mc:Fallback>
    </mc:AlternateContent>
    <mc:AlternateContent xmlns:mc="http://schemas.openxmlformats.org/markup-compatibility/2006">
      <mc:Choice Requires="x14">
        <control shapeId="2051" r:id="rId8" name="CommandButton2">
          <controlPr defaultSize="0" autoFill="0" autoLine="0" r:id="rId9">
            <anchor moveWithCells="1">
              <from>
                <xdr:col>17</xdr:col>
                <xdr:colOff>9525</xdr:colOff>
                <xdr:row>8</xdr:row>
                <xdr:rowOff>38100</xdr:rowOff>
              </from>
              <to>
                <xdr:col>26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2051" r:id="rId8" name="CommandButton2"/>
      </mc:Fallback>
    </mc:AlternateContent>
    <mc:AlternateContent xmlns:mc="http://schemas.openxmlformats.org/markup-compatibility/2006">
      <mc:Choice Requires="x14">
        <control shapeId="2050" r:id="rId10" name="CommandButton1">
          <controlPr defaultSize="0" autoFill="0" autoLine="0" r:id="rId11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0" r:id="rId10" name="CommandButton1"/>
      </mc:Fallback>
    </mc:AlternateContent>
    <mc:AlternateContent xmlns:mc="http://schemas.openxmlformats.org/markup-compatibility/2006">
      <mc:Choice Requires="x14">
        <control shapeId="2054" r:id="rId12" name="CommandButton5">
          <controlPr defaultSize="0" autoLine="0" r:id="rId13">
            <anchor moveWithCells="1">
              <from>
                <xdr:col>3</xdr:col>
                <xdr:colOff>0</xdr:colOff>
                <xdr:row>33</xdr:row>
                <xdr:rowOff>0</xdr:rowOff>
              </from>
              <to>
                <xdr:col>10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2054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>
    <tabColor theme="5" tint="-0.249977111117893"/>
  </sheetPr>
  <dimension ref="C4:N300"/>
  <sheetViews>
    <sheetView workbookViewId="0">
      <selection activeCell="K20" sqref="K20"/>
    </sheetView>
  </sheetViews>
  <sheetFormatPr defaultRowHeight="12.75" x14ac:dyDescent="0.25"/>
  <cols>
    <col min="1" max="2" width="9" style="1"/>
    <col min="3" max="4" width="22.625" style="1" customWidth="1"/>
    <col min="5" max="6" width="15.625" style="1" customWidth="1"/>
    <col min="7" max="8" width="38.625" style="1" customWidth="1"/>
    <col min="9" max="10" width="33.625" style="1" customWidth="1"/>
    <col min="11" max="12" width="35.625" style="1" customWidth="1"/>
    <col min="13" max="14" width="25.625" style="1" customWidth="1"/>
    <col min="15" max="15" width="15.625" style="1" customWidth="1"/>
    <col min="16" max="16384" width="9" style="1"/>
  </cols>
  <sheetData>
    <row r="4" spans="3:14" ht="13.5" customHeight="1" x14ac:dyDescent="0.25"/>
    <row r="5" spans="3:14" ht="13.5" customHeight="1" x14ac:dyDescent="0.25"/>
    <row r="8" spans="3:14" ht="18" x14ac:dyDescent="0.25">
      <c r="C8" s="67" t="s">
        <v>201</v>
      </c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</row>
    <row r="9" spans="3:14" x14ac:dyDescent="0.25">
      <c r="C9" s="42" t="s">
        <v>202</v>
      </c>
      <c r="D9" s="42"/>
      <c r="E9" s="54" t="s">
        <v>196</v>
      </c>
      <c r="F9" s="54"/>
      <c r="G9" s="65" t="s">
        <v>197</v>
      </c>
      <c r="H9" s="65"/>
      <c r="I9" s="42" t="s">
        <v>198</v>
      </c>
      <c r="J9" s="42"/>
      <c r="K9" s="54" t="s">
        <v>199</v>
      </c>
      <c r="L9" s="54"/>
      <c r="M9" s="65" t="s">
        <v>200</v>
      </c>
      <c r="N9" s="65"/>
    </row>
    <row r="10" spans="3:14" ht="16.5" x14ac:dyDescent="0.25">
      <c r="C10"/>
      <c r="D10"/>
      <c r="E10"/>
      <c r="F10"/>
      <c r="G10"/>
      <c r="H10"/>
      <c r="I10"/>
      <c r="J10"/>
      <c r="K10"/>
      <c r="L10"/>
      <c r="M10"/>
      <c r="N10"/>
    </row>
    <row r="11" spans="3:14" ht="16.5" x14ac:dyDescent="0.25">
      <c r="C11"/>
      <c r="D11"/>
      <c r="E11"/>
      <c r="F11"/>
      <c r="G11"/>
      <c r="H11"/>
      <c r="I11"/>
      <c r="J11"/>
      <c r="K11"/>
      <c r="L11"/>
      <c r="M11"/>
      <c r="N11"/>
    </row>
    <row r="12" spans="3:14" ht="16.5" x14ac:dyDescent="0.25">
      <c r="C12"/>
      <c r="D12"/>
      <c r="E12"/>
      <c r="F12"/>
      <c r="G12"/>
      <c r="H12"/>
      <c r="I12"/>
      <c r="J12"/>
      <c r="K12"/>
      <c r="L12"/>
      <c r="M12"/>
      <c r="N12"/>
    </row>
    <row r="13" spans="3:14" ht="16.5" x14ac:dyDescent="0.25">
      <c r="C13"/>
      <c r="D13"/>
      <c r="E13"/>
      <c r="F13"/>
      <c r="G13"/>
      <c r="H13"/>
      <c r="I13"/>
      <c r="J13"/>
      <c r="K13"/>
      <c r="L13"/>
      <c r="M13"/>
      <c r="N13"/>
    </row>
    <row r="14" spans="3:14" ht="16.5" x14ac:dyDescent="0.25">
      <c r="C14"/>
      <c r="D14"/>
      <c r="E14"/>
      <c r="F14"/>
      <c r="G14"/>
      <c r="H14"/>
      <c r="I14"/>
      <c r="J14"/>
      <c r="K14"/>
      <c r="L14"/>
      <c r="M14"/>
      <c r="N14"/>
    </row>
    <row r="15" spans="3:14" ht="16.5" x14ac:dyDescent="0.25">
      <c r="C15"/>
      <c r="D15"/>
      <c r="E15"/>
      <c r="F15"/>
      <c r="G15"/>
      <c r="H15"/>
      <c r="I15"/>
      <c r="J15"/>
      <c r="K15"/>
      <c r="L15"/>
      <c r="M15"/>
      <c r="N15"/>
    </row>
    <row r="16" spans="3:14" ht="16.5" x14ac:dyDescent="0.25">
      <c r="C16"/>
      <c r="D16"/>
      <c r="E16"/>
      <c r="F16"/>
      <c r="G16"/>
      <c r="H16"/>
      <c r="I16"/>
      <c r="J16"/>
      <c r="K16"/>
      <c r="L16"/>
      <c r="M16"/>
      <c r="N16"/>
    </row>
    <row r="17" spans="3:14" ht="16.5" x14ac:dyDescent="0.25">
      <c r="C17"/>
      <c r="D17"/>
      <c r="E17"/>
      <c r="F17"/>
      <c r="G17"/>
      <c r="H17"/>
      <c r="I17"/>
      <c r="J17"/>
      <c r="K17"/>
      <c r="L17"/>
      <c r="M17"/>
      <c r="N17"/>
    </row>
    <row r="18" spans="3:14" ht="16.5" x14ac:dyDescent="0.25">
      <c r="C18"/>
      <c r="D18"/>
      <c r="E18"/>
      <c r="F18"/>
      <c r="G18"/>
      <c r="H18"/>
      <c r="I18"/>
      <c r="J18"/>
      <c r="K18"/>
      <c r="L18"/>
      <c r="M18"/>
      <c r="N18"/>
    </row>
    <row r="19" spans="3:14" ht="16.5" x14ac:dyDescent="0.25">
      <c r="C19"/>
      <c r="D19"/>
      <c r="E19"/>
      <c r="F19"/>
      <c r="G19"/>
      <c r="H19"/>
      <c r="I19"/>
      <c r="J19"/>
      <c r="K19"/>
      <c r="L19"/>
      <c r="M19"/>
      <c r="N19"/>
    </row>
    <row r="20" spans="3:14" ht="16.5" x14ac:dyDescent="0.25">
      <c r="C20"/>
      <c r="D20"/>
      <c r="E20"/>
      <c r="F20"/>
      <c r="G20"/>
      <c r="H20"/>
      <c r="I20"/>
      <c r="J20"/>
      <c r="K20"/>
      <c r="L20"/>
      <c r="M20"/>
      <c r="N20"/>
    </row>
    <row r="21" spans="3:14" ht="16.5" x14ac:dyDescent="0.25">
      <c r="C21"/>
      <c r="D21"/>
      <c r="E21"/>
      <c r="F21"/>
      <c r="G21"/>
      <c r="H21"/>
      <c r="I21"/>
      <c r="J21"/>
      <c r="K21"/>
      <c r="L21"/>
      <c r="M21"/>
      <c r="N21"/>
    </row>
    <row r="22" spans="3:14" ht="16.5" x14ac:dyDescent="0.25">
      <c r="C22"/>
      <c r="D22"/>
      <c r="E22"/>
      <c r="F22"/>
      <c r="G22"/>
      <c r="H22"/>
      <c r="I22"/>
      <c r="J22"/>
      <c r="K22"/>
      <c r="L22"/>
      <c r="M22"/>
      <c r="N22"/>
    </row>
    <row r="23" spans="3:14" ht="16.5" x14ac:dyDescent="0.25">
      <c r="C23"/>
      <c r="D23"/>
      <c r="E23"/>
      <c r="F23"/>
      <c r="G23"/>
      <c r="H23"/>
      <c r="I23"/>
      <c r="J23"/>
      <c r="K23"/>
      <c r="L23"/>
      <c r="M23"/>
      <c r="N23"/>
    </row>
    <row r="24" spans="3:14" ht="16.5" x14ac:dyDescent="0.25">
      <c r="C24"/>
      <c r="D24"/>
      <c r="E24"/>
      <c r="F24"/>
      <c r="G24"/>
      <c r="H24"/>
      <c r="I24"/>
      <c r="J24"/>
      <c r="K24"/>
      <c r="L24"/>
      <c r="M24"/>
      <c r="N24"/>
    </row>
    <row r="25" spans="3:14" ht="16.5" x14ac:dyDescent="0.25">
      <c r="C25"/>
      <c r="D25"/>
      <c r="E25"/>
      <c r="F25"/>
      <c r="G25"/>
      <c r="H25"/>
      <c r="I25"/>
      <c r="J25"/>
      <c r="K25"/>
      <c r="L25"/>
      <c r="M25"/>
      <c r="N25"/>
    </row>
    <row r="26" spans="3:14" ht="16.5" x14ac:dyDescent="0.25">
      <c r="C26"/>
      <c r="D26"/>
      <c r="E26"/>
      <c r="F26"/>
      <c r="G26"/>
      <c r="H26"/>
      <c r="I26"/>
      <c r="J26"/>
      <c r="K26"/>
      <c r="L26"/>
      <c r="M26"/>
      <c r="N26"/>
    </row>
    <row r="27" spans="3:14" ht="16.5" x14ac:dyDescent="0.25">
      <c r="C27"/>
      <c r="D27"/>
      <c r="E27"/>
      <c r="F27"/>
      <c r="G27"/>
      <c r="H27"/>
      <c r="I27"/>
      <c r="J27"/>
      <c r="K27"/>
      <c r="L27"/>
      <c r="M27"/>
      <c r="N27"/>
    </row>
    <row r="28" spans="3:14" ht="16.5" x14ac:dyDescent="0.25">
      <c r="C28"/>
      <c r="D28"/>
      <c r="E28"/>
      <c r="F28"/>
      <c r="G28"/>
      <c r="H28"/>
      <c r="I28"/>
      <c r="J28"/>
      <c r="K28"/>
      <c r="L28"/>
      <c r="M28"/>
      <c r="N28"/>
    </row>
    <row r="29" spans="3:14" ht="16.5" x14ac:dyDescent="0.25">
      <c r="C29"/>
      <c r="D29"/>
      <c r="E29"/>
      <c r="F29"/>
      <c r="G29"/>
      <c r="H29"/>
      <c r="I29"/>
      <c r="J29"/>
      <c r="K29"/>
      <c r="L29"/>
      <c r="M29"/>
      <c r="N29"/>
    </row>
    <row r="30" spans="3:14" ht="16.5" x14ac:dyDescent="0.25">
      <c r="C30"/>
      <c r="D30"/>
      <c r="E30"/>
      <c r="F30"/>
      <c r="G30"/>
      <c r="H30"/>
      <c r="I30"/>
      <c r="J30"/>
      <c r="K30"/>
      <c r="L30"/>
      <c r="M30"/>
      <c r="N30"/>
    </row>
    <row r="31" spans="3:14" ht="16.5" x14ac:dyDescent="0.25">
      <c r="C31"/>
      <c r="D31"/>
      <c r="E31"/>
      <c r="F31"/>
      <c r="G31"/>
      <c r="H31"/>
      <c r="I31"/>
      <c r="J31"/>
      <c r="K31"/>
      <c r="L31"/>
      <c r="M31"/>
      <c r="N31"/>
    </row>
    <row r="32" spans="3:14" ht="16.5" x14ac:dyDescent="0.25">
      <c r="C32"/>
      <c r="D32"/>
      <c r="E32"/>
      <c r="F32"/>
      <c r="G32"/>
      <c r="H32"/>
      <c r="I32"/>
      <c r="J32"/>
      <c r="K32"/>
      <c r="L32"/>
      <c r="M32"/>
      <c r="N32"/>
    </row>
    <row r="33" spans="3:14" ht="16.5" x14ac:dyDescent="0.25">
      <c r="C33"/>
      <c r="D33"/>
      <c r="E33"/>
      <c r="F33"/>
      <c r="G33"/>
      <c r="H33"/>
      <c r="I33"/>
      <c r="J33"/>
      <c r="K33"/>
      <c r="L33"/>
      <c r="M33"/>
      <c r="N33"/>
    </row>
    <row r="34" spans="3:14" ht="16.5" x14ac:dyDescent="0.25">
      <c r="C34"/>
      <c r="D34"/>
      <c r="E34"/>
      <c r="F34"/>
      <c r="G34"/>
      <c r="H34"/>
      <c r="I34"/>
      <c r="J34"/>
      <c r="K34"/>
      <c r="L34"/>
      <c r="M34"/>
      <c r="N34"/>
    </row>
    <row r="35" spans="3:14" ht="16.5" x14ac:dyDescent="0.25">
      <c r="C35"/>
      <c r="D35"/>
      <c r="E35"/>
      <c r="F35"/>
      <c r="G35"/>
      <c r="H35"/>
      <c r="I35"/>
      <c r="J35"/>
      <c r="K35"/>
      <c r="L35"/>
      <c r="M35"/>
      <c r="N35"/>
    </row>
    <row r="36" spans="3:14" ht="16.5" x14ac:dyDescent="0.25">
      <c r="C36"/>
      <c r="D36"/>
      <c r="E36"/>
      <c r="F36"/>
      <c r="G36"/>
      <c r="H36"/>
      <c r="I36"/>
      <c r="J36"/>
      <c r="K36"/>
      <c r="L36"/>
      <c r="M36"/>
      <c r="N36"/>
    </row>
    <row r="37" spans="3:14" ht="16.5" x14ac:dyDescent="0.25">
      <c r="C37"/>
      <c r="D37"/>
      <c r="E37"/>
      <c r="F37"/>
      <c r="G37"/>
      <c r="H37"/>
      <c r="I37"/>
      <c r="J37"/>
      <c r="K37"/>
      <c r="L37"/>
      <c r="M37"/>
      <c r="N37"/>
    </row>
    <row r="38" spans="3:14" ht="16.5" x14ac:dyDescent="0.25">
      <c r="C38"/>
      <c r="D38"/>
      <c r="E38"/>
      <c r="F38"/>
      <c r="G38"/>
      <c r="H38"/>
      <c r="I38"/>
      <c r="J38"/>
      <c r="K38"/>
      <c r="L38"/>
      <c r="M38"/>
      <c r="N38"/>
    </row>
    <row r="39" spans="3:14" ht="16.5" x14ac:dyDescent="0.25">
      <c r="C39"/>
      <c r="D39"/>
      <c r="E39"/>
      <c r="F39"/>
      <c r="G39"/>
      <c r="H39"/>
      <c r="I39"/>
      <c r="J39"/>
      <c r="K39"/>
      <c r="L39"/>
      <c r="M39"/>
      <c r="N39"/>
    </row>
    <row r="40" spans="3:14" ht="16.5" x14ac:dyDescent="0.25">
      <c r="C40"/>
      <c r="D40"/>
      <c r="E40"/>
      <c r="F40"/>
      <c r="G40"/>
      <c r="H40"/>
      <c r="I40"/>
      <c r="J40"/>
      <c r="K40"/>
      <c r="L40"/>
      <c r="M40"/>
      <c r="N40"/>
    </row>
    <row r="41" spans="3:14" ht="16.5" x14ac:dyDescent="0.25">
      <c r="C41"/>
      <c r="D41"/>
      <c r="E41"/>
      <c r="F41"/>
      <c r="G41"/>
      <c r="H41"/>
      <c r="I41"/>
      <c r="J41"/>
      <c r="K41"/>
      <c r="L41"/>
      <c r="M41"/>
      <c r="N41"/>
    </row>
    <row r="42" spans="3:14" ht="16.5" x14ac:dyDescent="0.25">
      <c r="C42"/>
      <c r="D42"/>
      <c r="E42"/>
      <c r="F42"/>
      <c r="G42"/>
      <c r="H42"/>
      <c r="I42"/>
      <c r="J42"/>
      <c r="K42"/>
      <c r="L42"/>
      <c r="M42"/>
      <c r="N42"/>
    </row>
    <row r="43" spans="3:14" ht="16.5" x14ac:dyDescent="0.25">
      <c r="C43"/>
      <c r="D43"/>
      <c r="E43"/>
      <c r="F43"/>
      <c r="G43"/>
      <c r="H43"/>
      <c r="I43"/>
      <c r="J43"/>
      <c r="K43"/>
      <c r="L43"/>
      <c r="M43"/>
      <c r="N43"/>
    </row>
    <row r="44" spans="3:14" ht="16.5" x14ac:dyDescent="0.25">
      <c r="C44"/>
      <c r="D44"/>
      <c r="E44"/>
      <c r="F44"/>
      <c r="G44"/>
      <c r="H44"/>
      <c r="I44"/>
      <c r="J44"/>
      <c r="K44"/>
      <c r="L44"/>
      <c r="M44"/>
      <c r="N44"/>
    </row>
    <row r="45" spans="3:14" ht="16.5" x14ac:dyDescent="0.25">
      <c r="C45"/>
      <c r="D45"/>
      <c r="E45"/>
      <c r="F45"/>
      <c r="G45"/>
      <c r="H45"/>
      <c r="I45"/>
      <c r="J45"/>
      <c r="K45"/>
      <c r="L45"/>
      <c r="M45"/>
      <c r="N45"/>
    </row>
    <row r="46" spans="3:14" ht="16.5" x14ac:dyDescent="0.25">
      <c r="C46"/>
      <c r="D46"/>
      <c r="E46"/>
      <c r="F46"/>
      <c r="G46"/>
      <c r="H46"/>
      <c r="I46"/>
      <c r="J46"/>
      <c r="K46"/>
      <c r="L46"/>
      <c r="M46"/>
      <c r="N46"/>
    </row>
    <row r="47" spans="3:14" ht="16.5" x14ac:dyDescent="0.25">
      <c r="C47"/>
      <c r="D47"/>
      <c r="E47"/>
      <c r="F47"/>
      <c r="G47"/>
      <c r="H47"/>
      <c r="I47"/>
      <c r="J47"/>
      <c r="K47"/>
      <c r="L47"/>
      <c r="M47"/>
      <c r="N47"/>
    </row>
    <row r="48" spans="3:14" ht="16.5" x14ac:dyDescent="0.25">
      <c r="C48"/>
      <c r="D48"/>
      <c r="E48"/>
      <c r="F48"/>
      <c r="G48"/>
      <c r="H48"/>
      <c r="I48"/>
      <c r="J48"/>
      <c r="K48"/>
      <c r="L48"/>
      <c r="M48"/>
      <c r="N48"/>
    </row>
    <row r="49" spans="3:14" ht="16.5" x14ac:dyDescent="0.25">
      <c r="C49"/>
      <c r="D49"/>
      <c r="E49"/>
      <c r="F49"/>
      <c r="G49"/>
      <c r="H49"/>
      <c r="I49"/>
      <c r="J49"/>
      <c r="K49"/>
      <c r="L49"/>
      <c r="M49"/>
      <c r="N49"/>
    </row>
    <row r="50" spans="3:14" ht="16.5" x14ac:dyDescent="0.25">
      <c r="C50"/>
      <c r="D50"/>
      <c r="E50"/>
      <c r="F50"/>
      <c r="G50"/>
      <c r="H50"/>
      <c r="I50"/>
      <c r="J50"/>
      <c r="K50"/>
      <c r="L50"/>
      <c r="M50"/>
      <c r="N50"/>
    </row>
    <row r="51" spans="3:14" ht="16.5" x14ac:dyDescent="0.25">
      <c r="C51"/>
      <c r="D51"/>
      <c r="E51"/>
      <c r="F51"/>
      <c r="G51"/>
      <c r="H51"/>
      <c r="I51"/>
      <c r="J51"/>
      <c r="K51"/>
      <c r="L51"/>
      <c r="M51"/>
      <c r="N51"/>
    </row>
    <row r="52" spans="3:14" ht="16.5" x14ac:dyDescent="0.25">
      <c r="C52"/>
      <c r="D52"/>
      <c r="E52"/>
      <c r="F52"/>
      <c r="G52"/>
      <c r="H52"/>
      <c r="I52"/>
      <c r="J52"/>
      <c r="K52"/>
      <c r="L52"/>
      <c r="M52"/>
      <c r="N52"/>
    </row>
    <row r="53" spans="3:14" ht="16.5" x14ac:dyDescent="0.25">
      <c r="C53"/>
      <c r="D53"/>
      <c r="E53"/>
      <c r="F53"/>
      <c r="G53"/>
      <c r="H53"/>
      <c r="I53"/>
      <c r="J53"/>
      <c r="K53"/>
      <c r="L53"/>
      <c r="M53"/>
      <c r="N53"/>
    </row>
    <row r="54" spans="3:14" ht="16.5" x14ac:dyDescent="0.25">
      <c r="C54"/>
      <c r="D54"/>
      <c r="E54"/>
      <c r="F54"/>
      <c r="G54"/>
      <c r="H54"/>
      <c r="I54"/>
      <c r="J54"/>
      <c r="K54"/>
      <c r="L54"/>
      <c r="M54"/>
      <c r="N54"/>
    </row>
    <row r="55" spans="3:14" ht="16.5" x14ac:dyDescent="0.25">
      <c r="C55"/>
      <c r="D55"/>
      <c r="E55"/>
      <c r="F55"/>
      <c r="G55"/>
      <c r="H55"/>
      <c r="I55"/>
      <c r="J55"/>
      <c r="K55"/>
      <c r="L55"/>
      <c r="M55"/>
      <c r="N55"/>
    </row>
    <row r="56" spans="3:14" ht="16.5" x14ac:dyDescent="0.25">
      <c r="C56"/>
      <c r="D56"/>
      <c r="E56"/>
      <c r="F56"/>
      <c r="G56"/>
      <c r="H56"/>
      <c r="I56"/>
      <c r="J56"/>
      <c r="K56"/>
      <c r="L56"/>
      <c r="M56"/>
      <c r="N56"/>
    </row>
    <row r="57" spans="3:14" ht="16.5" x14ac:dyDescent="0.25">
      <c r="C57"/>
      <c r="D57"/>
      <c r="E57"/>
      <c r="F57"/>
      <c r="G57"/>
      <c r="H57"/>
      <c r="I57"/>
      <c r="J57"/>
      <c r="K57"/>
      <c r="L57"/>
      <c r="M57"/>
      <c r="N57"/>
    </row>
    <row r="58" spans="3:14" ht="16.5" x14ac:dyDescent="0.25">
      <c r="C58"/>
      <c r="D58"/>
      <c r="E58"/>
      <c r="F58"/>
      <c r="G58"/>
      <c r="H58"/>
      <c r="I58"/>
      <c r="J58"/>
      <c r="K58"/>
      <c r="L58"/>
      <c r="M58"/>
      <c r="N58"/>
    </row>
    <row r="59" spans="3:14" ht="16.5" x14ac:dyDescent="0.25">
      <c r="C59"/>
      <c r="D59"/>
      <c r="E59"/>
      <c r="F59"/>
      <c r="G59"/>
      <c r="H59"/>
      <c r="I59"/>
      <c r="J59"/>
      <c r="K59"/>
      <c r="L59"/>
      <c r="M59"/>
      <c r="N59"/>
    </row>
    <row r="60" spans="3:14" ht="16.5" x14ac:dyDescent="0.25">
      <c r="C60"/>
      <c r="D60"/>
      <c r="E60"/>
      <c r="F60"/>
      <c r="G60"/>
      <c r="H60"/>
      <c r="I60"/>
      <c r="J60"/>
      <c r="K60"/>
      <c r="L60"/>
      <c r="M60"/>
      <c r="N60"/>
    </row>
    <row r="61" spans="3:14" ht="16.5" x14ac:dyDescent="0.25">
      <c r="C61"/>
      <c r="D61"/>
      <c r="E61"/>
      <c r="F61"/>
      <c r="G61"/>
      <c r="H61"/>
      <c r="I61"/>
      <c r="J61"/>
      <c r="K61"/>
      <c r="L61"/>
      <c r="M61"/>
      <c r="N61"/>
    </row>
    <row r="62" spans="3:14" ht="16.5" x14ac:dyDescent="0.25">
      <c r="C62"/>
      <c r="D62"/>
      <c r="E62"/>
      <c r="F62"/>
      <c r="G62"/>
      <c r="H62"/>
      <c r="I62"/>
      <c r="J62"/>
      <c r="K62"/>
      <c r="L62"/>
      <c r="M62"/>
      <c r="N62"/>
    </row>
    <row r="63" spans="3:14" ht="16.5" x14ac:dyDescent="0.25">
      <c r="C63"/>
      <c r="D63"/>
      <c r="E63"/>
      <c r="F63"/>
      <c r="G63"/>
      <c r="H63"/>
      <c r="I63"/>
      <c r="J63"/>
      <c r="K63"/>
      <c r="L63"/>
      <c r="M63"/>
      <c r="N63"/>
    </row>
    <row r="64" spans="3:14" ht="16.5" x14ac:dyDescent="0.25">
      <c r="C64"/>
      <c r="D64"/>
      <c r="E64"/>
      <c r="F64"/>
      <c r="G64"/>
      <c r="H64"/>
      <c r="I64"/>
      <c r="J64"/>
      <c r="K64"/>
      <c r="L64"/>
      <c r="M64"/>
      <c r="N64"/>
    </row>
    <row r="65" spans="3:14" ht="16.5" x14ac:dyDescent="0.25">
      <c r="C65"/>
      <c r="D65"/>
      <c r="E65"/>
      <c r="F65"/>
      <c r="G65"/>
      <c r="H65"/>
      <c r="I65"/>
      <c r="J65"/>
      <c r="K65"/>
      <c r="L65"/>
      <c r="M65"/>
      <c r="N65"/>
    </row>
    <row r="66" spans="3:14" ht="16.5" x14ac:dyDescent="0.25">
      <c r="C66"/>
      <c r="D66"/>
      <c r="E66"/>
      <c r="F66"/>
      <c r="G66"/>
      <c r="H66"/>
      <c r="I66"/>
      <c r="J66"/>
      <c r="K66"/>
      <c r="L66"/>
      <c r="M66"/>
      <c r="N66"/>
    </row>
    <row r="67" spans="3:14" ht="16.5" x14ac:dyDescent="0.25">
      <c r="C67"/>
      <c r="D67"/>
      <c r="E67"/>
      <c r="F67"/>
      <c r="G67"/>
      <c r="H67"/>
      <c r="I67"/>
      <c r="J67"/>
      <c r="K67"/>
      <c r="L67"/>
      <c r="M67"/>
      <c r="N67"/>
    </row>
    <row r="68" spans="3:14" ht="16.5" x14ac:dyDescent="0.25">
      <c r="C68"/>
      <c r="D68"/>
      <c r="E68"/>
      <c r="F68"/>
      <c r="G68"/>
      <c r="H68"/>
      <c r="I68"/>
      <c r="J68"/>
      <c r="K68"/>
      <c r="L68"/>
      <c r="M68"/>
      <c r="N68"/>
    </row>
    <row r="69" spans="3:14" ht="16.5" x14ac:dyDescent="0.25">
      <c r="C69"/>
      <c r="D69"/>
      <c r="E69"/>
      <c r="F69"/>
      <c r="G69"/>
      <c r="H69"/>
      <c r="I69"/>
      <c r="J69"/>
      <c r="K69"/>
      <c r="L69"/>
      <c r="M69"/>
      <c r="N69"/>
    </row>
    <row r="70" spans="3:14" ht="16.5" x14ac:dyDescent="0.25">
      <c r="C70"/>
      <c r="D70"/>
      <c r="E70"/>
      <c r="F70"/>
      <c r="G70"/>
      <c r="H70"/>
      <c r="I70"/>
      <c r="J70"/>
      <c r="K70"/>
      <c r="L70"/>
      <c r="M70"/>
      <c r="N70"/>
    </row>
    <row r="71" spans="3:14" ht="16.5" x14ac:dyDescent="0.25">
      <c r="C71"/>
      <c r="D71"/>
      <c r="E71"/>
      <c r="F71"/>
      <c r="G71"/>
      <c r="H71"/>
      <c r="I71"/>
      <c r="J71"/>
      <c r="K71"/>
      <c r="L71"/>
      <c r="M71"/>
      <c r="N71"/>
    </row>
    <row r="72" spans="3:14" ht="16.5" x14ac:dyDescent="0.25">
      <c r="C72"/>
      <c r="D72"/>
      <c r="E72"/>
      <c r="F72"/>
      <c r="G72"/>
      <c r="H72"/>
      <c r="I72"/>
      <c r="J72"/>
      <c r="K72"/>
      <c r="L72"/>
      <c r="M72"/>
      <c r="N72"/>
    </row>
    <row r="73" spans="3:14" ht="16.5" x14ac:dyDescent="0.25">
      <c r="C73"/>
      <c r="D73"/>
      <c r="E73"/>
      <c r="F73"/>
      <c r="G73"/>
      <c r="H73"/>
      <c r="I73"/>
      <c r="J73"/>
      <c r="K73"/>
      <c r="L73"/>
      <c r="M73"/>
      <c r="N73"/>
    </row>
    <row r="74" spans="3:14" ht="16.5" x14ac:dyDescent="0.25">
      <c r="C74"/>
      <c r="D74"/>
      <c r="E74"/>
      <c r="F74"/>
      <c r="G74"/>
      <c r="H74"/>
      <c r="I74"/>
      <c r="J74"/>
      <c r="K74"/>
      <c r="L74"/>
      <c r="M74"/>
      <c r="N74"/>
    </row>
    <row r="75" spans="3:14" ht="16.5" x14ac:dyDescent="0.25">
      <c r="C75"/>
      <c r="D75"/>
      <c r="E75"/>
      <c r="F75"/>
      <c r="G75"/>
      <c r="H75"/>
      <c r="I75"/>
      <c r="J75"/>
      <c r="K75"/>
      <c r="L75"/>
      <c r="M75"/>
      <c r="N75"/>
    </row>
    <row r="76" spans="3:14" ht="16.5" x14ac:dyDescent="0.25">
      <c r="C76"/>
      <c r="D76"/>
      <c r="E76"/>
      <c r="F76"/>
      <c r="G76"/>
      <c r="H76"/>
      <c r="I76"/>
      <c r="J76"/>
      <c r="K76"/>
      <c r="L76"/>
      <c r="M76"/>
      <c r="N76"/>
    </row>
    <row r="77" spans="3:14" ht="16.5" x14ac:dyDescent="0.25">
      <c r="C77"/>
      <c r="D77"/>
      <c r="E77"/>
      <c r="F77"/>
      <c r="G77"/>
      <c r="H77"/>
      <c r="I77"/>
      <c r="J77"/>
      <c r="K77"/>
      <c r="L77"/>
      <c r="M77"/>
      <c r="N77"/>
    </row>
    <row r="78" spans="3:14" ht="16.5" x14ac:dyDescent="0.25">
      <c r="C78"/>
      <c r="D78"/>
      <c r="E78"/>
      <c r="F78"/>
      <c r="G78"/>
      <c r="H78"/>
      <c r="I78"/>
      <c r="J78"/>
      <c r="K78"/>
      <c r="L78"/>
      <c r="M78"/>
      <c r="N78"/>
    </row>
    <row r="79" spans="3:14" ht="16.5" x14ac:dyDescent="0.25">
      <c r="C79"/>
      <c r="D79"/>
      <c r="E79"/>
      <c r="F79"/>
      <c r="G79"/>
      <c r="H79"/>
      <c r="I79"/>
      <c r="J79"/>
      <c r="K79"/>
      <c r="L79"/>
      <c r="M79"/>
      <c r="N79"/>
    </row>
    <row r="80" spans="3:14" ht="16.5" x14ac:dyDescent="0.25">
      <c r="C80"/>
      <c r="D80"/>
      <c r="E80"/>
      <c r="F80"/>
      <c r="G80"/>
      <c r="H80"/>
      <c r="I80"/>
      <c r="J80"/>
      <c r="K80"/>
      <c r="L80"/>
      <c r="M80"/>
      <c r="N80"/>
    </row>
    <row r="81" spans="3:14" ht="16.5" x14ac:dyDescent="0.25">
      <c r="C81"/>
      <c r="D81"/>
      <c r="E81"/>
      <c r="F81"/>
      <c r="G81"/>
      <c r="H81"/>
      <c r="I81"/>
      <c r="J81"/>
      <c r="K81"/>
      <c r="L81"/>
      <c r="M81"/>
      <c r="N81"/>
    </row>
    <row r="82" spans="3:14" ht="16.5" x14ac:dyDescent="0.25">
      <c r="C82"/>
      <c r="D82"/>
      <c r="E82"/>
      <c r="F82"/>
      <c r="G82"/>
      <c r="H82"/>
      <c r="I82"/>
      <c r="J82"/>
      <c r="K82"/>
      <c r="L82"/>
      <c r="M82"/>
      <c r="N82"/>
    </row>
    <row r="83" spans="3:14" ht="16.5" x14ac:dyDescent="0.25">
      <c r="C83"/>
      <c r="D83"/>
      <c r="E83"/>
      <c r="F83"/>
      <c r="G83"/>
      <c r="H83"/>
      <c r="I83"/>
      <c r="J83"/>
      <c r="K83"/>
      <c r="L83"/>
      <c r="M83"/>
      <c r="N83"/>
    </row>
    <row r="84" spans="3:14" ht="16.5" x14ac:dyDescent="0.25">
      <c r="C84"/>
      <c r="D84"/>
      <c r="E84"/>
      <c r="F84"/>
      <c r="G84"/>
      <c r="H84"/>
      <c r="I84"/>
      <c r="J84"/>
      <c r="K84"/>
      <c r="L84"/>
      <c r="M84"/>
      <c r="N84"/>
    </row>
    <row r="85" spans="3:14" ht="16.5" x14ac:dyDescent="0.25">
      <c r="C85"/>
      <c r="D85"/>
      <c r="E85"/>
      <c r="F85"/>
      <c r="G85"/>
      <c r="H85"/>
      <c r="I85"/>
      <c r="J85"/>
      <c r="K85"/>
      <c r="L85"/>
      <c r="M85"/>
      <c r="N85"/>
    </row>
    <row r="86" spans="3:14" ht="16.5" x14ac:dyDescent="0.25">
      <c r="C86"/>
      <c r="D86"/>
      <c r="E86"/>
      <c r="F86"/>
      <c r="G86"/>
      <c r="H86"/>
      <c r="I86"/>
      <c r="J86"/>
      <c r="K86"/>
      <c r="L86"/>
      <c r="M86"/>
      <c r="N86"/>
    </row>
    <row r="87" spans="3:14" ht="16.5" x14ac:dyDescent="0.25">
      <c r="C87"/>
      <c r="D87"/>
      <c r="E87"/>
      <c r="F87"/>
      <c r="G87"/>
      <c r="H87"/>
      <c r="I87"/>
      <c r="J87"/>
      <c r="K87"/>
      <c r="L87"/>
      <c r="M87"/>
      <c r="N87"/>
    </row>
    <row r="88" spans="3:14" ht="16.5" x14ac:dyDescent="0.25">
      <c r="C88"/>
      <c r="D88"/>
      <c r="E88"/>
      <c r="F88"/>
      <c r="G88"/>
      <c r="H88"/>
      <c r="I88"/>
      <c r="J88"/>
      <c r="K88"/>
      <c r="L88"/>
      <c r="M88"/>
      <c r="N88"/>
    </row>
    <row r="89" spans="3:14" ht="16.5" x14ac:dyDescent="0.25">
      <c r="C89"/>
      <c r="D89"/>
      <c r="E89"/>
      <c r="F89"/>
      <c r="G89"/>
      <c r="H89"/>
      <c r="I89"/>
      <c r="J89"/>
      <c r="K89"/>
      <c r="L89"/>
      <c r="M89"/>
      <c r="N89"/>
    </row>
    <row r="90" spans="3:14" ht="16.5" x14ac:dyDescent="0.25">
      <c r="C90"/>
      <c r="D90"/>
      <c r="E90"/>
      <c r="F90"/>
      <c r="G90"/>
      <c r="H90"/>
      <c r="I90"/>
      <c r="J90"/>
      <c r="K90"/>
      <c r="L90"/>
      <c r="M90"/>
      <c r="N90"/>
    </row>
    <row r="91" spans="3:14" ht="16.5" x14ac:dyDescent="0.25">
      <c r="C91"/>
      <c r="D91"/>
      <c r="E91"/>
      <c r="F91"/>
      <c r="G91"/>
      <c r="H91"/>
      <c r="I91"/>
      <c r="J91"/>
      <c r="K91"/>
      <c r="L91"/>
      <c r="M91"/>
      <c r="N91"/>
    </row>
    <row r="92" spans="3:14" ht="16.5" x14ac:dyDescent="0.25">
      <c r="C92"/>
      <c r="D92"/>
      <c r="E92"/>
      <c r="F92"/>
      <c r="G92"/>
      <c r="H92"/>
      <c r="I92"/>
      <c r="J92"/>
      <c r="K92"/>
      <c r="L92"/>
      <c r="M92"/>
      <c r="N92"/>
    </row>
    <row r="93" spans="3:14" ht="16.5" x14ac:dyDescent="0.25">
      <c r="C93"/>
      <c r="D93"/>
      <c r="E93"/>
      <c r="F93"/>
      <c r="G93"/>
      <c r="H93"/>
      <c r="I93"/>
      <c r="J93"/>
      <c r="K93"/>
      <c r="L93"/>
      <c r="M93"/>
      <c r="N93"/>
    </row>
    <row r="94" spans="3:14" ht="16.5" x14ac:dyDescent="0.25">
      <c r="C94"/>
      <c r="D94"/>
      <c r="E94"/>
      <c r="F94"/>
      <c r="G94"/>
      <c r="H94"/>
      <c r="I94"/>
      <c r="J94"/>
      <c r="K94"/>
      <c r="L94"/>
      <c r="M94"/>
      <c r="N94"/>
    </row>
    <row r="95" spans="3:14" ht="16.5" x14ac:dyDescent="0.25">
      <c r="C95"/>
      <c r="D95"/>
      <c r="E95"/>
      <c r="F95"/>
      <c r="G95"/>
      <c r="H95"/>
      <c r="I95"/>
      <c r="J95"/>
      <c r="K95"/>
      <c r="L95"/>
      <c r="M95"/>
      <c r="N95"/>
    </row>
    <row r="96" spans="3:14" ht="16.5" x14ac:dyDescent="0.25">
      <c r="C96"/>
      <c r="D96"/>
      <c r="E96"/>
      <c r="F96"/>
      <c r="G96"/>
      <c r="H96"/>
      <c r="I96"/>
      <c r="J96"/>
      <c r="K96"/>
      <c r="L96"/>
      <c r="M96"/>
      <c r="N96"/>
    </row>
    <row r="97" spans="3:14" ht="16.5" x14ac:dyDescent="0.25">
      <c r="C97"/>
      <c r="D97"/>
      <c r="E97"/>
      <c r="F97"/>
      <c r="G97"/>
      <c r="H97"/>
      <c r="I97"/>
      <c r="J97"/>
      <c r="K97"/>
      <c r="L97"/>
      <c r="M97"/>
      <c r="N97"/>
    </row>
    <row r="98" spans="3:14" ht="16.5" x14ac:dyDescent="0.25">
      <c r="C98"/>
      <c r="D98"/>
      <c r="E98"/>
      <c r="F98"/>
      <c r="G98"/>
      <c r="H98"/>
      <c r="I98"/>
      <c r="J98"/>
      <c r="K98"/>
      <c r="L98"/>
      <c r="M98"/>
      <c r="N98"/>
    </row>
    <row r="99" spans="3:14" ht="16.5" x14ac:dyDescent="0.25">
      <c r="C99"/>
      <c r="D99"/>
      <c r="E99"/>
      <c r="F99"/>
      <c r="G99"/>
      <c r="H99"/>
      <c r="I99"/>
      <c r="J99"/>
      <c r="K99"/>
      <c r="L99"/>
      <c r="M99"/>
      <c r="N99"/>
    </row>
    <row r="100" spans="3:14" ht="16.5" x14ac:dyDescent="0.25">
      <c r="C100"/>
      <c r="D100"/>
      <c r="E100"/>
      <c r="F100"/>
      <c r="G100"/>
      <c r="H100"/>
      <c r="I100"/>
      <c r="J100"/>
      <c r="K100"/>
      <c r="L100"/>
      <c r="M100"/>
      <c r="N100"/>
    </row>
    <row r="101" spans="3:14" ht="16.5" x14ac:dyDescent="0.25">
      <c r="C101"/>
      <c r="D101"/>
      <c r="E101"/>
      <c r="F101"/>
      <c r="G101"/>
      <c r="H101"/>
      <c r="I101"/>
      <c r="J101"/>
      <c r="K101"/>
      <c r="L101"/>
      <c r="M101"/>
      <c r="N101"/>
    </row>
    <row r="102" spans="3:14" ht="16.5" x14ac:dyDescent="0.25">
      <c r="C102"/>
      <c r="D102"/>
      <c r="E102"/>
      <c r="F102"/>
      <c r="G102"/>
      <c r="H102"/>
      <c r="I102"/>
      <c r="J102"/>
      <c r="K102"/>
      <c r="L102"/>
      <c r="M102"/>
      <c r="N102"/>
    </row>
    <row r="103" spans="3:14" ht="16.5" x14ac:dyDescent="0.25">
      <c r="C103"/>
      <c r="D103"/>
      <c r="E103"/>
      <c r="F103"/>
      <c r="G103"/>
      <c r="H103"/>
      <c r="I103"/>
      <c r="J103"/>
      <c r="K103"/>
      <c r="L103"/>
      <c r="M103"/>
      <c r="N103"/>
    </row>
    <row r="104" spans="3:14" ht="16.5" x14ac:dyDescent="0.25">
      <c r="C104"/>
      <c r="D104"/>
      <c r="E104"/>
      <c r="F104"/>
      <c r="G104"/>
      <c r="H104"/>
      <c r="I104"/>
      <c r="J104"/>
      <c r="K104"/>
      <c r="L104"/>
      <c r="M104"/>
      <c r="N104"/>
    </row>
    <row r="105" spans="3:14" ht="16.5" x14ac:dyDescent="0.25">
      <c r="C105"/>
      <c r="D105"/>
      <c r="E105"/>
      <c r="F105"/>
      <c r="G105"/>
      <c r="H105"/>
      <c r="I105"/>
      <c r="J105"/>
      <c r="K105"/>
      <c r="L105"/>
      <c r="M105"/>
      <c r="N105"/>
    </row>
    <row r="106" spans="3:14" ht="16.5" x14ac:dyDescent="0.25">
      <c r="C106"/>
      <c r="D106"/>
      <c r="E106"/>
      <c r="F106"/>
      <c r="G106"/>
      <c r="H106"/>
      <c r="I106"/>
      <c r="J106"/>
      <c r="K106"/>
      <c r="L106"/>
      <c r="M106"/>
      <c r="N106"/>
    </row>
    <row r="107" spans="3:14" ht="16.5" x14ac:dyDescent="0.25">
      <c r="C107"/>
      <c r="D107"/>
      <c r="E107"/>
      <c r="F107"/>
      <c r="G107"/>
      <c r="H107"/>
      <c r="I107"/>
      <c r="J107"/>
      <c r="K107"/>
      <c r="L107"/>
      <c r="M107"/>
      <c r="N107"/>
    </row>
    <row r="108" spans="3:14" ht="16.5" x14ac:dyDescent="0.25">
      <c r="C108"/>
      <c r="D108"/>
      <c r="E108"/>
      <c r="F108"/>
      <c r="G108"/>
      <c r="H108"/>
      <c r="I108"/>
      <c r="J108"/>
      <c r="K108"/>
      <c r="L108"/>
      <c r="M108"/>
      <c r="N108"/>
    </row>
    <row r="109" spans="3:14" ht="16.5" x14ac:dyDescent="0.25">
      <c r="C109"/>
      <c r="D109"/>
      <c r="E109"/>
      <c r="F109"/>
      <c r="G109"/>
      <c r="H109"/>
      <c r="I109"/>
      <c r="J109"/>
      <c r="K109"/>
      <c r="L109"/>
      <c r="M109"/>
      <c r="N109"/>
    </row>
    <row r="110" spans="3:14" ht="16.5" x14ac:dyDescent="0.25">
      <c r="C110"/>
      <c r="D110"/>
      <c r="E110"/>
      <c r="F110"/>
      <c r="G110"/>
      <c r="H110"/>
      <c r="I110"/>
      <c r="J110"/>
      <c r="K110"/>
      <c r="L110"/>
      <c r="M110"/>
      <c r="N110"/>
    </row>
    <row r="111" spans="3:14" ht="16.5" x14ac:dyDescent="0.25">
      <c r="C111"/>
      <c r="D111"/>
      <c r="E111"/>
      <c r="F111"/>
      <c r="G111"/>
      <c r="H111"/>
      <c r="I111"/>
      <c r="J111"/>
      <c r="K111"/>
      <c r="L111"/>
      <c r="M111"/>
      <c r="N111"/>
    </row>
    <row r="112" spans="3:14" ht="16.5" x14ac:dyDescent="0.25">
      <c r="C112"/>
      <c r="D112"/>
      <c r="E112"/>
      <c r="F112"/>
      <c r="G112"/>
      <c r="H112"/>
      <c r="I112"/>
      <c r="J112"/>
      <c r="K112"/>
      <c r="L112"/>
      <c r="M112"/>
      <c r="N112"/>
    </row>
    <row r="113" spans="3:14" ht="16.5" x14ac:dyDescent="0.25">
      <c r="C113"/>
      <c r="D113"/>
      <c r="E113"/>
      <c r="F113"/>
      <c r="G113"/>
      <c r="H113"/>
      <c r="I113"/>
      <c r="J113"/>
      <c r="K113"/>
      <c r="L113"/>
      <c r="M113"/>
      <c r="N113"/>
    </row>
    <row r="114" spans="3:14" ht="16.5" x14ac:dyDescent="0.25">
      <c r="C114"/>
      <c r="D114"/>
      <c r="E114"/>
      <c r="F114"/>
      <c r="G114"/>
      <c r="H114"/>
      <c r="I114"/>
      <c r="J114"/>
      <c r="K114"/>
      <c r="L114"/>
      <c r="M114"/>
      <c r="N114"/>
    </row>
    <row r="115" spans="3:14" ht="16.5" x14ac:dyDescent="0.25">
      <c r="C115"/>
      <c r="D115"/>
      <c r="E115"/>
      <c r="F115"/>
      <c r="G115"/>
      <c r="H115"/>
      <c r="I115"/>
      <c r="J115"/>
      <c r="K115"/>
      <c r="L115"/>
      <c r="M115"/>
      <c r="N115"/>
    </row>
    <row r="116" spans="3:14" ht="16.5" x14ac:dyDescent="0.25">
      <c r="C116"/>
      <c r="D116"/>
      <c r="E116"/>
      <c r="F116"/>
      <c r="G116"/>
      <c r="H116"/>
      <c r="I116"/>
      <c r="J116"/>
      <c r="K116"/>
      <c r="L116"/>
      <c r="M116"/>
      <c r="N116"/>
    </row>
    <row r="117" spans="3:14" ht="16.5" x14ac:dyDescent="0.25">
      <c r="C117"/>
      <c r="D117"/>
      <c r="E117"/>
      <c r="F117"/>
      <c r="G117"/>
      <c r="H117"/>
      <c r="I117"/>
      <c r="J117"/>
      <c r="K117"/>
      <c r="L117"/>
      <c r="M117"/>
      <c r="N117"/>
    </row>
    <row r="118" spans="3:14" ht="16.5" x14ac:dyDescent="0.25">
      <c r="C118"/>
      <c r="D118"/>
      <c r="E118"/>
      <c r="F118"/>
      <c r="G118"/>
      <c r="H118"/>
      <c r="I118"/>
      <c r="J118"/>
      <c r="K118"/>
      <c r="L118"/>
      <c r="M118"/>
      <c r="N118"/>
    </row>
    <row r="119" spans="3:14" ht="16.5" x14ac:dyDescent="0.25">
      <c r="C119"/>
      <c r="D119"/>
      <c r="E119"/>
      <c r="F119"/>
      <c r="G119"/>
      <c r="H119"/>
      <c r="I119"/>
      <c r="J119"/>
      <c r="K119"/>
      <c r="L119"/>
      <c r="M119"/>
      <c r="N119"/>
    </row>
    <row r="120" spans="3:14" ht="16.5" x14ac:dyDescent="0.25">
      <c r="C120"/>
      <c r="D120"/>
      <c r="E120"/>
      <c r="F120"/>
      <c r="G120"/>
      <c r="H120"/>
      <c r="I120"/>
      <c r="J120"/>
      <c r="K120"/>
      <c r="L120"/>
      <c r="M120"/>
      <c r="N120"/>
    </row>
    <row r="121" spans="3:14" ht="16.5" x14ac:dyDescent="0.25">
      <c r="C121"/>
      <c r="D121"/>
      <c r="E121"/>
      <c r="F121"/>
      <c r="G121"/>
      <c r="H121"/>
      <c r="I121"/>
      <c r="J121"/>
      <c r="K121"/>
      <c r="L121"/>
      <c r="M121"/>
      <c r="N121"/>
    </row>
    <row r="122" spans="3:14" ht="16.5" x14ac:dyDescent="0.25">
      <c r="C122"/>
      <c r="D122"/>
      <c r="E122"/>
      <c r="F122"/>
      <c r="G122"/>
      <c r="H122"/>
      <c r="I122"/>
      <c r="J122"/>
      <c r="K122"/>
      <c r="L122"/>
      <c r="M122"/>
      <c r="N122"/>
    </row>
    <row r="123" spans="3:14" ht="16.5" x14ac:dyDescent="0.25">
      <c r="C123"/>
      <c r="D123"/>
      <c r="E123"/>
      <c r="F123"/>
      <c r="G123"/>
      <c r="H123"/>
      <c r="I123"/>
      <c r="J123"/>
      <c r="K123"/>
      <c r="L123"/>
      <c r="M123"/>
      <c r="N123"/>
    </row>
    <row r="124" spans="3:14" ht="16.5" x14ac:dyDescent="0.25">
      <c r="C124"/>
      <c r="D124"/>
      <c r="E124"/>
      <c r="F124"/>
      <c r="G124"/>
      <c r="H124"/>
      <c r="I124"/>
      <c r="J124"/>
      <c r="K124"/>
      <c r="L124"/>
      <c r="M124"/>
      <c r="N124"/>
    </row>
    <row r="125" spans="3:14" ht="16.5" x14ac:dyDescent="0.25">
      <c r="C125"/>
      <c r="D125"/>
      <c r="E125"/>
      <c r="F125"/>
      <c r="G125"/>
      <c r="H125"/>
      <c r="I125"/>
      <c r="J125"/>
      <c r="K125"/>
      <c r="L125"/>
      <c r="M125"/>
      <c r="N125"/>
    </row>
    <row r="126" spans="3:14" ht="16.5" x14ac:dyDescent="0.25">
      <c r="C126"/>
      <c r="D126"/>
      <c r="E126"/>
      <c r="F126"/>
      <c r="G126"/>
      <c r="H126"/>
      <c r="I126"/>
      <c r="J126"/>
      <c r="K126"/>
      <c r="L126"/>
      <c r="M126"/>
      <c r="N126"/>
    </row>
    <row r="127" spans="3:14" ht="16.5" x14ac:dyDescent="0.25">
      <c r="C127"/>
      <c r="D127"/>
      <c r="E127"/>
      <c r="F127"/>
      <c r="G127"/>
      <c r="H127"/>
      <c r="I127"/>
      <c r="J127"/>
      <c r="K127"/>
      <c r="L127"/>
      <c r="M127"/>
      <c r="N127"/>
    </row>
    <row r="128" spans="3:14" ht="16.5" x14ac:dyDescent="0.25">
      <c r="C128"/>
      <c r="D128"/>
      <c r="E128"/>
      <c r="F128"/>
      <c r="G128"/>
      <c r="H128"/>
      <c r="I128"/>
      <c r="J128"/>
      <c r="K128"/>
      <c r="L128"/>
      <c r="M128"/>
      <c r="N128"/>
    </row>
    <row r="129" spans="3:14" ht="16.5" x14ac:dyDescent="0.25">
      <c r="C129"/>
      <c r="D129"/>
      <c r="E129"/>
      <c r="F129"/>
      <c r="G129"/>
      <c r="H129"/>
      <c r="I129"/>
      <c r="J129"/>
      <c r="K129"/>
      <c r="L129"/>
      <c r="M129"/>
      <c r="N129"/>
    </row>
    <row r="130" spans="3:14" ht="16.5" x14ac:dyDescent="0.25">
      <c r="C130"/>
      <c r="D130"/>
      <c r="E130"/>
      <c r="F130"/>
      <c r="G130"/>
      <c r="H130"/>
      <c r="I130"/>
      <c r="J130"/>
      <c r="K130"/>
      <c r="L130"/>
      <c r="M130"/>
      <c r="N130"/>
    </row>
    <row r="131" spans="3:14" ht="16.5" x14ac:dyDescent="0.25">
      <c r="C131"/>
      <c r="D131"/>
      <c r="E131"/>
      <c r="F131"/>
      <c r="G131"/>
      <c r="H131"/>
      <c r="I131"/>
      <c r="J131"/>
      <c r="K131"/>
      <c r="L131"/>
      <c r="M131"/>
      <c r="N131"/>
    </row>
    <row r="132" spans="3:14" ht="16.5" x14ac:dyDescent="0.25">
      <c r="C132"/>
      <c r="D132"/>
      <c r="E132"/>
      <c r="F132"/>
      <c r="G132"/>
      <c r="H132"/>
      <c r="I132"/>
      <c r="J132"/>
      <c r="K132"/>
      <c r="L132"/>
      <c r="M132"/>
      <c r="N132"/>
    </row>
    <row r="133" spans="3:14" ht="16.5" x14ac:dyDescent="0.25">
      <c r="C133"/>
      <c r="D133"/>
      <c r="E133"/>
      <c r="F133"/>
      <c r="G133"/>
      <c r="H133"/>
      <c r="I133"/>
      <c r="J133"/>
      <c r="K133"/>
      <c r="L133"/>
      <c r="M133"/>
      <c r="N133"/>
    </row>
    <row r="134" spans="3:14" ht="16.5" x14ac:dyDescent="0.25">
      <c r="C134"/>
      <c r="D134"/>
      <c r="E134"/>
      <c r="F134"/>
      <c r="G134"/>
      <c r="H134"/>
      <c r="I134"/>
      <c r="J134"/>
      <c r="K134"/>
      <c r="L134"/>
      <c r="M134"/>
      <c r="N134"/>
    </row>
    <row r="135" spans="3:14" ht="16.5" x14ac:dyDescent="0.25">
      <c r="C135"/>
      <c r="D135"/>
      <c r="E135"/>
      <c r="F135"/>
      <c r="G135"/>
      <c r="H135"/>
      <c r="I135"/>
      <c r="J135"/>
      <c r="K135"/>
      <c r="L135"/>
      <c r="M135"/>
      <c r="N135"/>
    </row>
    <row r="136" spans="3:14" ht="16.5" x14ac:dyDescent="0.25">
      <c r="C136"/>
      <c r="D136"/>
      <c r="E136"/>
      <c r="F136"/>
      <c r="G136"/>
      <c r="H136"/>
      <c r="I136"/>
      <c r="J136"/>
      <c r="K136"/>
      <c r="L136"/>
      <c r="M136"/>
      <c r="N136"/>
    </row>
    <row r="137" spans="3:14" ht="16.5" x14ac:dyDescent="0.25">
      <c r="C137"/>
      <c r="D137"/>
      <c r="E137"/>
      <c r="F137"/>
      <c r="G137"/>
      <c r="H137"/>
      <c r="I137"/>
      <c r="J137"/>
      <c r="K137"/>
      <c r="L137"/>
      <c r="M137"/>
      <c r="N137"/>
    </row>
    <row r="138" spans="3:14" ht="16.5" x14ac:dyDescent="0.25">
      <c r="C138"/>
      <c r="D138"/>
      <c r="E138"/>
      <c r="F138"/>
      <c r="G138"/>
      <c r="H138"/>
      <c r="I138"/>
      <c r="J138"/>
      <c r="K138"/>
      <c r="L138"/>
      <c r="M138"/>
      <c r="N138"/>
    </row>
    <row r="139" spans="3:14" ht="16.5" x14ac:dyDescent="0.25">
      <c r="C139"/>
      <c r="D139"/>
      <c r="E139"/>
      <c r="F139"/>
      <c r="G139"/>
      <c r="H139"/>
      <c r="I139"/>
      <c r="J139"/>
      <c r="K139"/>
      <c r="L139"/>
      <c r="M139"/>
      <c r="N139"/>
    </row>
    <row r="140" spans="3:14" ht="16.5" x14ac:dyDescent="0.25">
      <c r="C140"/>
      <c r="D140"/>
      <c r="E140"/>
      <c r="F140"/>
      <c r="G140"/>
      <c r="H140"/>
      <c r="I140"/>
      <c r="J140"/>
      <c r="K140"/>
      <c r="L140"/>
      <c r="M140"/>
      <c r="N140"/>
    </row>
    <row r="141" spans="3:14" ht="16.5" x14ac:dyDescent="0.25">
      <c r="C141"/>
      <c r="D141"/>
      <c r="E141"/>
      <c r="F141"/>
      <c r="G141"/>
      <c r="H141"/>
      <c r="I141"/>
      <c r="J141"/>
      <c r="K141"/>
      <c r="L141"/>
      <c r="M141"/>
      <c r="N141"/>
    </row>
    <row r="142" spans="3:14" ht="16.5" x14ac:dyDescent="0.25">
      <c r="C142"/>
      <c r="D142"/>
      <c r="E142"/>
      <c r="F142"/>
      <c r="G142"/>
      <c r="H142"/>
      <c r="I142"/>
      <c r="J142"/>
      <c r="K142"/>
      <c r="L142"/>
      <c r="M142"/>
      <c r="N142"/>
    </row>
    <row r="143" spans="3:14" ht="16.5" x14ac:dyDescent="0.25">
      <c r="C143"/>
      <c r="D143"/>
      <c r="E143"/>
      <c r="F143"/>
      <c r="G143"/>
      <c r="H143"/>
      <c r="I143"/>
      <c r="J143"/>
      <c r="K143"/>
      <c r="L143"/>
      <c r="M143"/>
      <c r="N143"/>
    </row>
    <row r="144" spans="3:14" ht="16.5" x14ac:dyDescent="0.25">
      <c r="C144"/>
      <c r="D144"/>
      <c r="E144"/>
      <c r="F144"/>
      <c r="G144"/>
      <c r="H144"/>
      <c r="I144"/>
      <c r="J144"/>
      <c r="K144"/>
      <c r="L144"/>
      <c r="M144"/>
      <c r="N144"/>
    </row>
    <row r="145" spans="3:14" ht="16.5" x14ac:dyDescent="0.25">
      <c r="C145"/>
      <c r="D145"/>
      <c r="E145"/>
      <c r="F145"/>
      <c r="G145"/>
      <c r="H145"/>
      <c r="I145"/>
      <c r="J145"/>
      <c r="K145"/>
      <c r="L145"/>
      <c r="M145"/>
      <c r="N145"/>
    </row>
    <row r="146" spans="3:14" ht="16.5" x14ac:dyDescent="0.25">
      <c r="C146"/>
      <c r="D146"/>
      <c r="E146"/>
      <c r="F146"/>
      <c r="G146"/>
      <c r="H146"/>
      <c r="I146"/>
      <c r="J146"/>
      <c r="K146"/>
      <c r="L146"/>
      <c r="M146"/>
      <c r="N146"/>
    </row>
    <row r="147" spans="3:14" ht="16.5" x14ac:dyDescent="0.25">
      <c r="C147"/>
      <c r="D147"/>
      <c r="E147"/>
      <c r="F147"/>
      <c r="G147"/>
      <c r="H147"/>
      <c r="I147"/>
      <c r="J147"/>
      <c r="K147"/>
      <c r="L147"/>
      <c r="M147"/>
      <c r="N147"/>
    </row>
    <row r="148" spans="3:14" ht="16.5" x14ac:dyDescent="0.25">
      <c r="C148"/>
      <c r="D148"/>
      <c r="E148"/>
      <c r="F148"/>
      <c r="G148"/>
      <c r="H148"/>
      <c r="I148"/>
      <c r="J148"/>
      <c r="K148"/>
      <c r="L148"/>
      <c r="M148"/>
      <c r="N148"/>
    </row>
    <row r="149" spans="3:14" ht="16.5" x14ac:dyDescent="0.25">
      <c r="C149"/>
      <c r="D149"/>
      <c r="E149"/>
      <c r="F149"/>
      <c r="G149"/>
      <c r="H149"/>
      <c r="I149"/>
      <c r="J149"/>
      <c r="K149"/>
      <c r="L149"/>
      <c r="M149"/>
      <c r="N149"/>
    </row>
    <row r="150" spans="3:14" ht="16.5" x14ac:dyDescent="0.25">
      <c r="C150"/>
      <c r="D150"/>
      <c r="E150"/>
      <c r="F150"/>
      <c r="G150"/>
      <c r="H150"/>
      <c r="I150"/>
      <c r="J150"/>
      <c r="K150"/>
      <c r="L150"/>
      <c r="M150"/>
      <c r="N150"/>
    </row>
    <row r="151" spans="3:14" ht="16.5" x14ac:dyDescent="0.25">
      <c r="C151"/>
      <c r="D151"/>
      <c r="E151"/>
      <c r="F151"/>
      <c r="G151"/>
      <c r="H151"/>
      <c r="I151"/>
      <c r="J151"/>
      <c r="K151"/>
      <c r="L151"/>
      <c r="M151"/>
      <c r="N151"/>
    </row>
    <row r="152" spans="3:14" ht="16.5" x14ac:dyDescent="0.25">
      <c r="C152"/>
      <c r="D152"/>
      <c r="E152"/>
      <c r="F152"/>
      <c r="G152"/>
      <c r="H152"/>
      <c r="I152"/>
      <c r="J152"/>
      <c r="K152"/>
      <c r="L152"/>
      <c r="M152"/>
      <c r="N152"/>
    </row>
    <row r="153" spans="3:14" ht="16.5" x14ac:dyDescent="0.25">
      <c r="C153"/>
      <c r="D153"/>
      <c r="E153"/>
      <c r="F153"/>
      <c r="G153"/>
      <c r="H153"/>
      <c r="I153"/>
      <c r="J153"/>
      <c r="K153"/>
      <c r="L153"/>
      <c r="M153"/>
      <c r="N153"/>
    </row>
    <row r="154" spans="3:14" ht="16.5" x14ac:dyDescent="0.25">
      <c r="C154"/>
      <c r="D154"/>
      <c r="E154"/>
      <c r="F154"/>
      <c r="G154"/>
      <c r="H154"/>
      <c r="I154"/>
      <c r="J154"/>
      <c r="K154"/>
      <c r="L154"/>
      <c r="M154"/>
      <c r="N154"/>
    </row>
    <row r="155" spans="3:14" ht="16.5" x14ac:dyDescent="0.25">
      <c r="C155"/>
      <c r="D155"/>
      <c r="E155"/>
      <c r="F155"/>
      <c r="G155"/>
      <c r="H155"/>
      <c r="I155"/>
      <c r="J155"/>
      <c r="K155"/>
      <c r="L155"/>
      <c r="M155"/>
      <c r="N155"/>
    </row>
    <row r="156" spans="3:14" ht="16.5" x14ac:dyDescent="0.25">
      <c r="C156"/>
      <c r="D156"/>
      <c r="E156"/>
      <c r="F156"/>
      <c r="G156"/>
      <c r="H156"/>
      <c r="I156"/>
      <c r="J156"/>
      <c r="K156"/>
      <c r="L156"/>
      <c r="M156"/>
      <c r="N156"/>
    </row>
    <row r="157" spans="3:14" ht="16.5" x14ac:dyDescent="0.25">
      <c r="C157"/>
      <c r="D157"/>
      <c r="E157"/>
      <c r="F157"/>
      <c r="G157"/>
      <c r="H157"/>
      <c r="I157"/>
      <c r="J157"/>
      <c r="K157"/>
      <c r="L157"/>
      <c r="M157"/>
      <c r="N157"/>
    </row>
    <row r="158" spans="3:14" ht="16.5" x14ac:dyDescent="0.25">
      <c r="C158"/>
      <c r="D158"/>
      <c r="E158"/>
      <c r="F158"/>
      <c r="G158"/>
      <c r="H158"/>
      <c r="I158"/>
      <c r="J158"/>
      <c r="K158"/>
      <c r="L158"/>
      <c r="M158"/>
      <c r="N158"/>
    </row>
    <row r="159" spans="3:14" ht="16.5" x14ac:dyDescent="0.25">
      <c r="C159"/>
      <c r="D159"/>
      <c r="E159"/>
      <c r="F159"/>
      <c r="G159"/>
      <c r="H159"/>
      <c r="I159"/>
      <c r="J159"/>
      <c r="K159"/>
      <c r="L159"/>
      <c r="M159"/>
      <c r="N159"/>
    </row>
    <row r="160" spans="3:14" ht="16.5" x14ac:dyDescent="0.25">
      <c r="C160"/>
      <c r="D160"/>
      <c r="E160"/>
      <c r="F160"/>
      <c r="G160"/>
      <c r="H160"/>
      <c r="I160"/>
      <c r="J160"/>
      <c r="K160"/>
      <c r="L160"/>
      <c r="M160"/>
      <c r="N160"/>
    </row>
    <row r="161" spans="3:14" ht="16.5" x14ac:dyDescent="0.25">
      <c r="C161"/>
      <c r="D161"/>
      <c r="E161"/>
      <c r="F161"/>
      <c r="G161"/>
      <c r="H161"/>
      <c r="I161"/>
      <c r="J161"/>
      <c r="K161"/>
      <c r="L161"/>
      <c r="M161"/>
      <c r="N161"/>
    </row>
    <row r="162" spans="3:14" ht="16.5" x14ac:dyDescent="0.25">
      <c r="C162"/>
      <c r="D162"/>
      <c r="E162"/>
      <c r="F162"/>
      <c r="G162"/>
      <c r="H162"/>
      <c r="I162"/>
      <c r="J162"/>
      <c r="K162"/>
      <c r="L162"/>
      <c r="M162"/>
      <c r="N162"/>
    </row>
    <row r="163" spans="3:14" ht="16.5" x14ac:dyDescent="0.25">
      <c r="C163"/>
      <c r="D163"/>
      <c r="E163"/>
      <c r="F163"/>
      <c r="G163"/>
      <c r="H163"/>
      <c r="I163"/>
      <c r="J163"/>
      <c r="K163"/>
      <c r="L163"/>
      <c r="M163"/>
      <c r="N163"/>
    </row>
    <row r="164" spans="3:14" ht="16.5" x14ac:dyDescent="0.25">
      <c r="C164"/>
      <c r="D164"/>
      <c r="E164"/>
      <c r="F164"/>
      <c r="G164"/>
      <c r="H164"/>
      <c r="I164"/>
      <c r="J164"/>
      <c r="K164"/>
      <c r="L164"/>
      <c r="M164"/>
      <c r="N164"/>
    </row>
    <row r="165" spans="3:14" ht="16.5" x14ac:dyDescent="0.25">
      <c r="C165"/>
      <c r="D165"/>
      <c r="E165"/>
      <c r="F165"/>
      <c r="G165"/>
      <c r="H165"/>
      <c r="I165"/>
      <c r="J165"/>
      <c r="K165"/>
      <c r="L165"/>
      <c r="M165"/>
      <c r="N165"/>
    </row>
    <row r="166" spans="3:14" ht="16.5" x14ac:dyDescent="0.25">
      <c r="C166"/>
      <c r="D166"/>
      <c r="E166"/>
      <c r="F166"/>
      <c r="G166"/>
      <c r="H166"/>
      <c r="I166"/>
      <c r="J166"/>
      <c r="K166"/>
      <c r="L166"/>
      <c r="M166"/>
      <c r="N166"/>
    </row>
    <row r="167" spans="3:14" ht="16.5" x14ac:dyDescent="0.25">
      <c r="C167"/>
      <c r="D167"/>
      <c r="E167"/>
      <c r="F167"/>
      <c r="G167"/>
      <c r="H167"/>
      <c r="I167"/>
      <c r="J167"/>
      <c r="K167"/>
      <c r="L167"/>
      <c r="M167"/>
      <c r="N167"/>
    </row>
    <row r="168" spans="3:14" ht="16.5" x14ac:dyDescent="0.25">
      <c r="C168"/>
      <c r="D168"/>
      <c r="E168"/>
      <c r="F168"/>
      <c r="G168"/>
      <c r="H168"/>
      <c r="I168"/>
      <c r="J168"/>
      <c r="K168"/>
      <c r="L168"/>
      <c r="M168"/>
      <c r="N168"/>
    </row>
    <row r="169" spans="3:14" ht="16.5" x14ac:dyDescent="0.25">
      <c r="C169"/>
      <c r="D169"/>
      <c r="E169"/>
      <c r="F169"/>
      <c r="G169"/>
      <c r="H169"/>
      <c r="I169"/>
      <c r="J169"/>
      <c r="K169"/>
      <c r="L169"/>
      <c r="M169"/>
      <c r="N169"/>
    </row>
    <row r="170" spans="3:14" ht="16.5" x14ac:dyDescent="0.25">
      <c r="C170"/>
      <c r="D170"/>
      <c r="E170"/>
      <c r="F170"/>
      <c r="G170"/>
      <c r="H170"/>
      <c r="I170"/>
      <c r="J170"/>
      <c r="K170"/>
      <c r="L170"/>
      <c r="M170"/>
      <c r="N170"/>
    </row>
    <row r="171" spans="3:14" ht="16.5" x14ac:dyDescent="0.25">
      <c r="C171"/>
      <c r="D171"/>
      <c r="E171"/>
      <c r="F171"/>
      <c r="G171"/>
      <c r="H171"/>
      <c r="I171"/>
      <c r="J171"/>
      <c r="K171"/>
      <c r="L171"/>
      <c r="M171"/>
      <c r="N171"/>
    </row>
    <row r="172" spans="3:14" ht="16.5" x14ac:dyDescent="0.25">
      <c r="C172"/>
      <c r="D172"/>
      <c r="E172"/>
      <c r="F172"/>
      <c r="G172"/>
      <c r="H172"/>
      <c r="I172"/>
      <c r="J172"/>
      <c r="K172"/>
      <c r="L172"/>
      <c r="M172"/>
      <c r="N172"/>
    </row>
    <row r="173" spans="3:14" ht="16.5" x14ac:dyDescent="0.25">
      <c r="C173"/>
      <c r="D173"/>
      <c r="E173"/>
      <c r="F173"/>
      <c r="G173"/>
      <c r="H173"/>
      <c r="I173"/>
      <c r="J173"/>
      <c r="K173"/>
      <c r="L173"/>
      <c r="M173"/>
      <c r="N173"/>
    </row>
    <row r="174" spans="3:14" ht="16.5" x14ac:dyDescent="0.25">
      <c r="C174"/>
      <c r="D174"/>
      <c r="E174"/>
      <c r="F174"/>
      <c r="G174"/>
      <c r="H174"/>
      <c r="I174"/>
      <c r="J174"/>
      <c r="K174"/>
      <c r="L174"/>
      <c r="M174"/>
      <c r="N174"/>
    </row>
    <row r="175" spans="3:14" ht="16.5" x14ac:dyDescent="0.25">
      <c r="C175"/>
      <c r="D175"/>
      <c r="E175"/>
      <c r="F175"/>
      <c r="G175"/>
      <c r="H175"/>
      <c r="I175"/>
      <c r="J175"/>
      <c r="K175"/>
      <c r="L175"/>
      <c r="M175"/>
      <c r="N175"/>
    </row>
    <row r="176" spans="3:14" ht="16.5" x14ac:dyDescent="0.25">
      <c r="C176"/>
      <c r="D176"/>
      <c r="E176"/>
      <c r="F176"/>
      <c r="G176"/>
      <c r="H176"/>
      <c r="I176"/>
      <c r="J176"/>
      <c r="K176"/>
      <c r="L176"/>
      <c r="M176"/>
      <c r="N176"/>
    </row>
    <row r="177" spans="3:14" ht="16.5" x14ac:dyDescent="0.25">
      <c r="C177"/>
      <c r="D177"/>
      <c r="E177"/>
      <c r="F177"/>
      <c r="G177"/>
      <c r="H177"/>
      <c r="I177"/>
      <c r="J177"/>
      <c r="K177"/>
      <c r="L177"/>
      <c r="M177"/>
      <c r="N177"/>
    </row>
    <row r="178" spans="3:14" ht="16.5" x14ac:dyDescent="0.25">
      <c r="C178"/>
      <c r="D178"/>
      <c r="E178"/>
      <c r="F178"/>
      <c r="G178"/>
      <c r="H178"/>
      <c r="I178"/>
      <c r="J178"/>
      <c r="K178"/>
      <c r="L178"/>
      <c r="M178"/>
      <c r="N178"/>
    </row>
    <row r="179" spans="3:14" ht="16.5" x14ac:dyDescent="0.25">
      <c r="C179"/>
      <c r="D179"/>
      <c r="E179"/>
      <c r="F179"/>
      <c r="G179"/>
      <c r="H179"/>
      <c r="I179"/>
      <c r="J179"/>
      <c r="K179"/>
      <c r="L179"/>
      <c r="M179"/>
      <c r="N179"/>
    </row>
    <row r="180" spans="3:14" ht="16.5" x14ac:dyDescent="0.25">
      <c r="C180"/>
      <c r="D180"/>
      <c r="E180"/>
      <c r="F180"/>
      <c r="G180"/>
      <c r="H180"/>
      <c r="I180"/>
      <c r="J180"/>
      <c r="K180"/>
      <c r="L180"/>
      <c r="M180"/>
      <c r="N180"/>
    </row>
    <row r="181" spans="3:14" ht="16.5" x14ac:dyDescent="0.25">
      <c r="C181"/>
      <c r="D181"/>
      <c r="E181"/>
      <c r="F181"/>
      <c r="G181"/>
      <c r="H181"/>
      <c r="I181"/>
      <c r="J181"/>
      <c r="K181"/>
      <c r="L181"/>
      <c r="M181"/>
      <c r="N181"/>
    </row>
    <row r="182" spans="3:14" ht="16.5" x14ac:dyDescent="0.25">
      <c r="C182"/>
      <c r="D182"/>
      <c r="E182"/>
      <c r="F182"/>
      <c r="G182"/>
      <c r="H182"/>
      <c r="I182"/>
      <c r="J182"/>
      <c r="K182"/>
      <c r="L182"/>
      <c r="M182"/>
      <c r="N182"/>
    </row>
    <row r="183" spans="3:14" ht="16.5" x14ac:dyDescent="0.25">
      <c r="C183"/>
      <c r="D183"/>
      <c r="E183"/>
      <c r="F183"/>
      <c r="G183"/>
      <c r="H183"/>
      <c r="I183"/>
      <c r="J183"/>
      <c r="K183"/>
      <c r="L183"/>
      <c r="M183"/>
      <c r="N183"/>
    </row>
    <row r="184" spans="3:14" ht="16.5" x14ac:dyDescent="0.25">
      <c r="C184"/>
      <c r="D184"/>
      <c r="E184"/>
      <c r="F184"/>
      <c r="G184"/>
      <c r="H184"/>
      <c r="I184"/>
      <c r="J184"/>
      <c r="K184"/>
      <c r="L184"/>
      <c r="M184"/>
      <c r="N184"/>
    </row>
    <row r="185" spans="3:14" ht="16.5" x14ac:dyDescent="0.25">
      <c r="C185"/>
      <c r="D185"/>
      <c r="E185"/>
      <c r="F185"/>
      <c r="G185"/>
      <c r="H185"/>
      <c r="I185"/>
      <c r="J185"/>
      <c r="K185"/>
      <c r="L185"/>
      <c r="M185"/>
      <c r="N185"/>
    </row>
    <row r="186" spans="3:14" ht="16.5" x14ac:dyDescent="0.25">
      <c r="C186"/>
      <c r="D186"/>
      <c r="E186"/>
      <c r="F186"/>
      <c r="G186"/>
      <c r="H186"/>
      <c r="I186"/>
      <c r="J186"/>
      <c r="K186"/>
      <c r="L186"/>
      <c r="M186"/>
      <c r="N186"/>
    </row>
    <row r="187" spans="3:14" ht="16.5" x14ac:dyDescent="0.25">
      <c r="C187"/>
      <c r="D187"/>
      <c r="E187"/>
      <c r="F187"/>
      <c r="G187"/>
      <c r="H187"/>
      <c r="I187"/>
      <c r="J187"/>
      <c r="K187"/>
      <c r="L187"/>
      <c r="M187"/>
      <c r="N187"/>
    </row>
    <row r="188" spans="3:14" ht="16.5" x14ac:dyDescent="0.25">
      <c r="C188"/>
      <c r="D188"/>
      <c r="E188"/>
      <c r="F188"/>
      <c r="G188"/>
      <c r="H188"/>
      <c r="I188"/>
      <c r="J188"/>
      <c r="K188"/>
      <c r="L188"/>
      <c r="M188"/>
      <c r="N188"/>
    </row>
    <row r="189" spans="3:14" ht="16.5" x14ac:dyDescent="0.25">
      <c r="C189"/>
      <c r="D189"/>
      <c r="E189"/>
      <c r="F189"/>
      <c r="G189"/>
      <c r="H189"/>
      <c r="I189"/>
      <c r="J189"/>
      <c r="K189"/>
      <c r="L189"/>
      <c r="M189"/>
      <c r="N189"/>
    </row>
    <row r="190" spans="3:14" ht="16.5" x14ac:dyDescent="0.25">
      <c r="C190"/>
      <c r="D190"/>
      <c r="E190"/>
      <c r="F190"/>
      <c r="G190"/>
      <c r="H190"/>
      <c r="I190"/>
      <c r="J190"/>
      <c r="K190"/>
      <c r="L190"/>
      <c r="M190"/>
      <c r="N190"/>
    </row>
    <row r="191" spans="3:14" ht="16.5" x14ac:dyDescent="0.25">
      <c r="C191"/>
      <c r="D191"/>
      <c r="E191"/>
      <c r="F191"/>
      <c r="G191"/>
      <c r="H191"/>
      <c r="I191"/>
      <c r="J191"/>
      <c r="K191"/>
      <c r="L191"/>
      <c r="M191"/>
      <c r="N191"/>
    </row>
    <row r="192" spans="3:14" ht="16.5" x14ac:dyDescent="0.25">
      <c r="C192"/>
      <c r="D192"/>
      <c r="E192"/>
      <c r="F192"/>
      <c r="G192"/>
      <c r="H192"/>
      <c r="I192"/>
      <c r="J192"/>
      <c r="K192"/>
      <c r="L192"/>
      <c r="M192"/>
      <c r="N192"/>
    </row>
    <row r="193" spans="3:14" ht="16.5" x14ac:dyDescent="0.25">
      <c r="C193"/>
      <c r="D193"/>
      <c r="E193"/>
      <c r="F193"/>
      <c r="G193"/>
      <c r="H193"/>
      <c r="I193"/>
      <c r="J193"/>
      <c r="K193"/>
      <c r="L193"/>
      <c r="M193"/>
      <c r="N193"/>
    </row>
    <row r="194" spans="3:14" ht="16.5" x14ac:dyDescent="0.25">
      <c r="C194"/>
      <c r="D194"/>
      <c r="E194"/>
      <c r="F194"/>
      <c r="G194"/>
      <c r="H194"/>
      <c r="I194"/>
      <c r="J194"/>
      <c r="K194"/>
      <c r="L194"/>
      <c r="M194"/>
      <c r="N194"/>
    </row>
    <row r="195" spans="3:14" ht="16.5" x14ac:dyDescent="0.25">
      <c r="C195"/>
      <c r="D195"/>
      <c r="E195"/>
      <c r="F195"/>
      <c r="G195"/>
      <c r="H195"/>
      <c r="I195"/>
      <c r="J195"/>
      <c r="K195"/>
      <c r="L195"/>
      <c r="M195"/>
      <c r="N195"/>
    </row>
    <row r="196" spans="3:14" ht="16.5" x14ac:dyDescent="0.25">
      <c r="C196"/>
      <c r="D196"/>
      <c r="E196"/>
      <c r="F196"/>
      <c r="G196"/>
      <c r="H196"/>
      <c r="I196"/>
      <c r="J196"/>
      <c r="K196"/>
      <c r="L196"/>
      <c r="M196"/>
      <c r="N196"/>
    </row>
    <row r="197" spans="3:14" ht="16.5" x14ac:dyDescent="0.25">
      <c r="C197"/>
      <c r="D197"/>
      <c r="E197"/>
      <c r="F197"/>
      <c r="G197"/>
      <c r="H197"/>
      <c r="I197"/>
      <c r="J197"/>
      <c r="K197"/>
      <c r="L197"/>
      <c r="M197"/>
      <c r="N197"/>
    </row>
    <row r="198" spans="3:14" ht="16.5" x14ac:dyDescent="0.25">
      <c r="C198"/>
      <c r="D198"/>
      <c r="E198"/>
      <c r="F198"/>
      <c r="G198"/>
      <c r="H198"/>
      <c r="I198"/>
      <c r="J198"/>
      <c r="K198"/>
      <c r="L198"/>
      <c r="M198"/>
      <c r="N198"/>
    </row>
    <row r="199" spans="3:14" ht="16.5" x14ac:dyDescent="0.25">
      <c r="C199"/>
      <c r="D199"/>
      <c r="E199"/>
      <c r="F199"/>
      <c r="G199"/>
      <c r="H199"/>
      <c r="I199"/>
      <c r="J199"/>
      <c r="K199"/>
      <c r="L199"/>
      <c r="M199"/>
      <c r="N199"/>
    </row>
    <row r="200" spans="3:14" ht="16.5" x14ac:dyDescent="0.25">
      <c r="C200"/>
      <c r="D200"/>
      <c r="E200"/>
      <c r="F200"/>
      <c r="G200"/>
      <c r="H200"/>
      <c r="I200"/>
      <c r="J200"/>
      <c r="K200"/>
      <c r="L200"/>
      <c r="M200"/>
      <c r="N200"/>
    </row>
    <row r="201" spans="3:14" ht="16.5" x14ac:dyDescent="0.25">
      <c r="C201"/>
      <c r="D201"/>
      <c r="E201"/>
      <c r="F201"/>
      <c r="G201"/>
      <c r="H201"/>
      <c r="I201"/>
      <c r="J201"/>
      <c r="K201"/>
      <c r="L201"/>
      <c r="M201"/>
      <c r="N201"/>
    </row>
    <row r="202" spans="3:14" ht="16.5" x14ac:dyDescent="0.25">
      <c r="C202"/>
      <c r="D202"/>
      <c r="E202"/>
      <c r="F202"/>
      <c r="G202"/>
      <c r="H202"/>
      <c r="I202"/>
      <c r="J202"/>
      <c r="K202"/>
      <c r="L202"/>
      <c r="M202"/>
      <c r="N202"/>
    </row>
    <row r="203" spans="3:14" ht="16.5" x14ac:dyDescent="0.25">
      <c r="C203"/>
      <c r="D203"/>
      <c r="E203"/>
      <c r="F203"/>
      <c r="G203"/>
      <c r="H203"/>
      <c r="I203"/>
      <c r="J203"/>
      <c r="K203"/>
      <c r="L203"/>
      <c r="M203"/>
      <c r="N203"/>
    </row>
    <row r="204" spans="3:14" ht="16.5" x14ac:dyDescent="0.25">
      <c r="C204"/>
      <c r="D204"/>
      <c r="E204"/>
      <c r="F204"/>
      <c r="G204"/>
      <c r="H204"/>
      <c r="I204"/>
      <c r="J204"/>
      <c r="K204"/>
      <c r="L204"/>
      <c r="M204"/>
      <c r="N204"/>
    </row>
    <row r="205" spans="3:14" ht="16.5" x14ac:dyDescent="0.25">
      <c r="C205"/>
      <c r="D205"/>
      <c r="E205"/>
      <c r="F205"/>
      <c r="G205"/>
      <c r="H205"/>
      <c r="I205"/>
      <c r="J205"/>
      <c r="K205"/>
      <c r="L205"/>
      <c r="M205"/>
      <c r="N205"/>
    </row>
    <row r="206" spans="3:14" ht="16.5" x14ac:dyDescent="0.25">
      <c r="C206"/>
      <c r="D206"/>
      <c r="E206"/>
      <c r="F206"/>
      <c r="G206"/>
      <c r="H206"/>
      <c r="I206"/>
      <c r="J206"/>
      <c r="K206"/>
      <c r="L206"/>
      <c r="M206"/>
      <c r="N206"/>
    </row>
    <row r="207" spans="3:14" ht="16.5" x14ac:dyDescent="0.25">
      <c r="C207"/>
      <c r="D207"/>
      <c r="E207"/>
      <c r="F207"/>
      <c r="G207"/>
      <c r="H207"/>
      <c r="I207"/>
      <c r="J207"/>
      <c r="K207"/>
      <c r="L207"/>
      <c r="M207"/>
      <c r="N207"/>
    </row>
    <row r="208" spans="3:14" ht="16.5" x14ac:dyDescent="0.25">
      <c r="C208"/>
      <c r="D208"/>
      <c r="E208"/>
      <c r="F208"/>
      <c r="G208"/>
      <c r="H208"/>
      <c r="I208"/>
      <c r="J208"/>
      <c r="K208"/>
      <c r="L208"/>
      <c r="M208"/>
      <c r="N208"/>
    </row>
    <row r="209" spans="3:14" ht="16.5" x14ac:dyDescent="0.25">
      <c r="C209"/>
      <c r="D209"/>
      <c r="E209"/>
      <c r="F209"/>
      <c r="G209"/>
      <c r="H209"/>
      <c r="I209"/>
      <c r="J209"/>
      <c r="K209"/>
      <c r="L209"/>
      <c r="M209"/>
      <c r="N209"/>
    </row>
    <row r="210" spans="3:14" ht="16.5" x14ac:dyDescent="0.25">
      <c r="C210"/>
      <c r="D210"/>
      <c r="E210"/>
      <c r="F210"/>
      <c r="G210"/>
      <c r="H210"/>
      <c r="I210"/>
      <c r="J210"/>
      <c r="K210"/>
      <c r="L210"/>
      <c r="M210"/>
      <c r="N210"/>
    </row>
    <row r="211" spans="3:14" ht="16.5" x14ac:dyDescent="0.25">
      <c r="C211"/>
      <c r="D211"/>
      <c r="E211"/>
      <c r="F211"/>
      <c r="G211"/>
      <c r="H211"/>
      <c r="I211"/>
      <c r="J211"/>
      <c r="K211"/>
      <c r="L211"/>
      <c r="M211"/>
      <c r="N211"/>
    </row>
    <row r="212" spans="3:14" ht="16.5" x14ac:dyDescent="0.25">
      <c r="C212"/>
      <c r="D212"/>
      <c r="E212"/>
      <c r="F212"/>
      <c r="G212"/>
      <c r="H212"/>
      <c r="I212"/>
      <c r="J212"/>
      <c r="K212"/>
      <c r="L212"/>
      <c r="M212"/>
      <c r="N212"/>
    </row>
    <row r="213" spans="3:14" ht="16.5" x14ac:dyDescent="0.25">
      <c r="C213"/>
      <c r="D213"/>
      <c r="E213"/>
      <c r="F213"/>
      <c r="G213"/>
      <c r="H213"/>
      <c r="I213"/>
      <c r="J213"/>
      <c r="K213"/>
      <c r="L213"/>
      <c r="M213"/>
      <c r="N213"/>
    </row>
    <row r="214" spans="3:14" ht="16.5" x14ac:dyDescent="0.25">
      <c r="C214"/>
      <c r="D214"/>
      <c r="E214"/>
      <c r="F214"/>
      <c r="G214"/>
      <c r="H214"/>
      <c r="I214"/>
      <c r="J214"/>
      <c r="K214"/>
      <c r="L214"/>
      <c r="M214"/>
      <c r="N214"/>
    </row>
    <row r="215" spans="3:14" ht="16.5" x14ac:dyDescent="0.25">
      <c r="C215"/>
      <c r="D215"/>
      <c r="E215"/>
      <c r="F215"/>
      <c r="G215"/>
      <c r="H215"/>
      <c r="I215"/>
      <c r="J215"/>
      <c r="K215"/>
      <c r="L215"/>
      <c r="M215"/>
      <c r="N215"/>
    </row>
    <row r="216" spans="3:14" ht="16.5" x14ac:dyDescent="0.25">
      <c r="C216"/>
      <c r="D216"/>
      <c r="E216"/>
      <c r="F216"/>
      <c r="G216"/>
      <c r="H216"/>
      <c r="I216"/>
      <c r="J216"/>
      <c r="K216"/>
      <c r="L216"/>
      <c r="M216"/>
      <c r="N216"/>
    </row>
    <row r="217" spans="3:14" ht="16.5" x14ac:dyDescent="0.25">
      <c r="C217"/>
      <c r="D217"/>
      <c r="E217"/>
      <c r="F217"/>
      <c r="G217"/>
      <c r="H217"/>
      <c r="I217"/>
      <c r="J217"/>
      <c r="K217"/>
      <c r="L217"/>
      <c r="M217"/>
      <c r="N217"/>
    </row>
    <row r="218" spans="3:14" ht="16.5" x14ac:dyDescent="0.25">
      <c r="C218"/>
      <c r="D218"/>
      <c r="E218"/>
      <c r="F218"/>
      <c r="G218"/>
      <c r="H218"/>
      <c r="I218"/>
      <c r="J218"/>
      <c r="K218"/>
      <c r="L218"/>
      <c r="M218"/>
      <c r="N218"/>
    </row>
    <row r="219" spans="3:14" ht="16.5" x14ac:dyDescent="0.25">
      <c r="C219"/>
      <c r="D219"/>
      <c r="E219"/>
      <c r="F219"/>
      <c r="G219"/>
      <c r="H219"/>
      <c r="I219"/>
      <c r="J219"/>
      <c r="K219"/>
      <c r="L219"/>
      <c r="M219"/>
      <c r="N219"/>
    </row>
    <row r="220" spans="3:14" ht="16.5" x14ac:dyDescent="0.25">
      <c r="C220"/>
      <c r="D220"/>
      <c r="E220"/>
      <c r="F220"/>
      <c r="G220"/>
      <c r="H220"/>
      <c r="I220"/>
      <c r="J220"/>
      <c r="K220"/>
      <c r="L220"/>
      <c r="M220"/>
      <c r="N220"/>
    </row>
    <row r="221" spans="3:14" ht="16.5" x14ac:dyDescent="0.25">
      <c r="C221"/>
      <c r="D221"/>
      <c r="E221"/>
      <c r="F221"/>
      <c r="G221"/>
      <c r="H221"/>
      <c r="I221"/>
      <c r="J221"/>
      <c r="K221"/>
      <c r="L221"/>
      <c r="M221"/>
      <c r="N221"/>
    </row>
    <row r="222" spans="3:14" ht="16.5" x14ac:dyDescent="0.25">
      <c r="C222"/>
      <c r="D222"/>
      <c r="E222"/>
      <c r="F222"/>
      <c r="G222"/>
      <c r="H222"/>
      <c r="I222"/>
      <c r="J222"/>
      <c r="K222"/>
      <c r="L222"/>
      <c r="M222"/>
      <c r="N222"/>
    </row>
    <row r="223" spans="3:14" ht="16.5" x14ac:dyDescent="0.25">
      <c r="C223"/>
      <c r="D223"/>
      <c r="E223"/>
      <c r="F223"/>
      <c r="G223"/>
      <c r="H223"/>
      <c r="I223"/>
      <c r="J223"/>
      <c r="K223"/>
      <c r="L223"/>
      <c r="M223"/>
      <c r="N223"/>
    </row>
    <row r="224" spans="3:14" ht="16.5" x14ac:dyDescent="0.25">
      <c r="C224"/>
      <c r="D224"/>
      <c r="E224"/>
      <c r="F224"/>
      <c r="G224"/>
      <c r="H224"/>
      <c r="I224"/>
      <c r="J224"/>
      <c r="K224"/>
      <c r="L224"/>
      <c r="M224"/>
      <c r="N224"/>
    </row>
    <row r="225" spans="3:14" ht="16.5" x14ac:dyDescent="0.25">
      <c r="C225"/>
      <c r="D225"/>
      <c r="E225"/>
      <c r="F225"/>
      <c r="G225"/>
      <c r="H225"/>
      <c r="I225"/>
      <c r="J225"/>
      <c r="K225"/>
      <c r="L225"/>
      <c r="M225"/>
      <c r="N225"/>
    </row>
    <row r="226" spans="3:14" ht="16.5" x14ac:dyDescent="0.25">
      <c r="C226"/>
      <c r="D226"/>
      <c r="E226"/>
      <c r="F226"/>
      <c r="G226"/>
      <c r="H226"/>
      <c r="I226"/>
      <c r="J226"/>
      <c r="K226"/>
      <c r="L226"/>
      <c r="M226"/>
      <c r="N226"/>
    </row>
    <row r="227" spans="3:14" ht="16.5" x14ac:dyDescent="0.25">
      <c r="C227"/>
      <c r="D227"/>
      <c r="E227"/>
      <c r="F227"/>
      <c r="G227"/>
      <c r="H227"/>
      <c r="I227"/>
      <c r="J227"/>
      <c r="K227"/>
      <c r="L227"/>
      <c r="M227"/>
      <c r="N227"/>
    </row>
    <row r="228" spans="3:14" ht="16.5" x14ac:dyDescent="0.25">
      <c r="C228"/>
      <c r="D228"/>
      <c r="E228"/>
      <c r="F228"/>
      <c r="G228"/>
      <c r="H228"/>
      <c r="I228"/>
      <c r="J228"/>
      <c r="K228"/>
      <c r="L228"/>
      <c r="M228"/>
      <c r="N228"/>
    </row>
    <row r="229" spans="3:14" ht="16.5" x14ac:dyDescent="0.25">
      <c r="C229"/>
      <c r="D229"/>
      <c r="E229"/>
      <c r="F229"/>
      <c r="G229"/>
      <c r="H229"/>
      <c r="I229"/>
      <c r="J229"/>
      <c r="K229"/>
      <c r="L229"/>
      <c r="M229"/>
      <c r="N229"/>
    </row>
    <row r="230" spans="3:14" ht="16.5" x14ac:dyDescent="0.25">
      <c r="C230"/>
      <c r="D230"/>
      <c r="E230"/>
      <c r="F230"/>
      <c r="G230"/>
      <c r="H230"/>
      <c r="I230"/>
      <c r="J230"/>
      <c r="K230"/>
      <c r="L230"/>
      <c r="M230"/>
      <c r="N230"/>
    </row>
    <row r="231" spans="3:14" ht="16.5" x14ac:dyDescent="0.25">
      <c r="C231"/>
      <c r="D231"/>
      <c r="E231"/>
      <c r="F231"/>
      <c r="G231"/>
      <c r="H231"/>
      <c r="I231"/>
      <c r="J231"/>
      <c r="K231"/>
      <c r="L231"/>
      <c r="M231"/>
      <c r="N231"/>
    </row>
    <row r="232" spans="3:14" ht="16.5" x14ac:dyDescent="0.25">
      <c r="C232"/>
      <c r="D232"/>
      <c r="E232"/>
      <c r="F232"/>
      <c r="G232"/>
      <c r="H232"/>
      <c r="I232"/>
      <c r="J232"/>
      <c r="K232"/>
      <c r="L232"/>
      <c r="M232"/>
      <c r="N232"/>
    </row>
    <row r="233" spans="3:14" ht="16.5" x14ac:dyDescent="0.25">
      <c r="C233"/>
      <c r="D233"/>
      <c r="E233"/>
      <c r="F233"/>
      <c r="G233"/>
      <c r="H233"/>
      <c r="I233"/>
      <c r="J233"/>
      <c r="K233"/>
      <c r="L233"/>
      <c r="M233"/>
      <c r="N233"/>
    </row>
    <row r="234" spans="3:14" ht="16.5" x14ac:dyDescent="0.25">
      <c r="C234"/>
      <c r="D234"/>
      <c r="E234"/>
      <c r="F234"/>
      <c r="G234"/>
      <c r="H234"/>
      <c r="I234"/>
      <c r="J234"/>
      <c r="K234"/>
      <c r="L234"/>
      <c r="M234"/>
      <c r="N234"/>
    </row>
    <row r="235" spans="3:14" ht="16.5" x14ac:dyDescent="0.25">
      <c r="C235"/>
      <c r="D235"/>
      <c r="E235"/>
      <c r="F235"/>
      <c r="G235"/>
      <c r="H235"/>
      <c r="I235"/>
      <c r="J235"/>
      <c r="K235"/>
      <c r="L235"/>
      <c r="M235"/>
      <c r="N235"/>
    </row>
    <row r="236" spans="3:14" ht="16.5" x14ac:dyDescent="0.25">
      <c r="C236"/>
      <c r="D236"/>
      <c r="E236"/>
      <c r="F236"/>
      <c r="G236"/>
      <c r="H236"/>
      <c r="I236"/>
      <c r="J236"/>
      <c r="K236"/>
      <c r="L236"/>
      <c r="M236"/>
      <c r="N236"/>
    </row>
    <row r="237" spans="3:14" ht="16.5" x14ac:dyDescent="0.25">
      <c r="C237"/>
      <c r="D237"/>
      <c r="E237"/>
      <c r="F237"/>
      <c r="G237"/>
      <c r="H237"/>
      <c r="I237"/>
      <c r="J237"/>
      <c r="K237"/>
      <c r="L237"/>
      <c r="M237"/>
      <c r="N237"/>
    </row>
    <row r="238" spans="3:14" ht="16.5" x14ac:dyDescent="0.25">
      <c r="C238"/>
      <c r="D238"/>
      <c r="E238"/>
      <c r="F238"/>
      <c r="G238"/>
      <c r="H238"/>
      <c r="I238"/>
      <c r="J238"/>
      <c r="K238"/>
      <c r="L238"/>
      <c r="M238"/>
      <c r="N238"/>
    </row>
    <row r="239" spans="3:14" ht="16.5" x14ac:dyDescent="0.25">
      <c r="C239"/>
      <c r="D239"/>
      <c r="E239"/>
      <c r="F239"/>
      <c r="G239"/>
      <c r="H239"/>
      <c r="I239"/>
      <c r="J239"/>
      <c r="K239"/>
      <c r="L239"/>
      <c r="M239"/>
      <c r="N239"/>
    </row>
    <row r="240" spans="3:14" ht="16.5" x14ac:dyDescent="0.25">
      <c r="C240"/>
      <c r="D240"/>
      <c r="E240"/>
      <c r="F240"/>
      <c r="G240"/>
      <c r="H240"/>
      <c r="I240"/>
      <c r="J240"/>
      <c r="K240"/>
      <c r="L240"/>
      <c r="M240"/>
      <c r="N240"/>
    </row>
    <row r="241" spans="3:14" ht="16.5" x14ac:dyDescent="0.25">
      <c r="C241"/>
      <c r="D241"/>
      <c r="E241"/>
      <c r="F241"/>
      <c r="G241"/>
      <c r="H241"/>
      <c r="I241"/>
      <c r="J241"/>
      <c r="K241"/>
      <c r="L241"/>
      <c r="M241"/>
      <c r="N241"/>
    </row>
    <row r="242" spans="3:14" ht="16.5" x14ac:dyDescent="0.25">
      <c r="C242"/>
      <c r="D242"/>
      <c r="E242"/>
      <c r="F242"/>
      <c r="G242"/>
      <c r="H242"/>
      <c r="I242"/>
      <c r="J242"/>
      <c r="K242"/>
      <c r="L242"/>
      <c r="M242"/>
      <c r="N242"/>
    </row>
    <row r="243" spans="3:14" ht="16.5" x14ac:dyDescent="0.25">
      <c r="C243"/>
      <c r="D243"/>
      <c r="E243"/>
      <c r="F243"/>
      <c r="G243"/>
      <c r="H243"/>
      <c r="I243"/>
      <c r="J243"/>
      <c r="K243"/>
      <c r="L243"/>
      <c r="M243"/>
      <c r="N243"/>
    </row>
    <row r="244" spans="3:14" ht="16.5" x14ac:dyDescent="0.25">
      <c r="C244"/>
      <c r="D244"/>
      <c r="E244"/>
      <c r="F244"/>
      <c r="G244"/>
      <c r="H244"/>
      <c r="I244"/>
      <c r="J244"/>
      <c r="K244"/>
      <c r="L244"/>
      <c r="M244"/>
      <c r="N244"/>
    </row>
    <row r="245" spans="3:14" ht="16.5" x14ac:dyDescent="0.25">
      <c r="C245"/>
      <c r="D245"/>
      <c r="E245"/>
      <c r="F245"/>
      <c r="G245"/>
      <c r="H245"/>
      <c r="I245"/>
      <c r="J245"/>
      <c r="K245"/>
      <c r="L245"/>
      <c r="M245"/>
      <c r="N245"/>
    </row>
    <row r="246" spans="3:14" ht="16.5" x14ac:dyDescent="0.25">
      <c r="C246"/>
      <c r="D246"/>
      <c r="E246"/>
      <c r="F246"/>
      <c r="G246"/>
      <c r="H246"/>
      <c r="I246"/>
      <c r="J246"/>
      <c r="K246"/>
      <c r="L246"/>
      <c r="M246"/>
      <c r="N246"/>
    </row>
    <row r="247" spans="3:14" ht="16.5" x14ac:dyDescent="0.25">
      <c r="C247"/>
      <c r="D247"/>
      <c r="E247"/>
      <c r="F247"/>
      <c r="G247"/>
      <c r="H247"/>
      <c r="I247"/>
      <c r="J247"/>
      <c r="K247"/>
      <c r="L247"/>
      <c r="M247"/>
      <c r="N247"/>
    </row>
    <row r="248" spans="3:14" ht="16.5" x14ac:dyDescent="0.25">
      <c r="C248"/>
      <c r="D248"/>
      <c r="E248"/>
      <c r="F248"/>
      <c r="G248"/>
      <c r="H248"/>
      <c r="I248"/>
      <c r="J248"/>
      <c r="K248"/>
      <c r="L248"/>
      <c r="M248"/>
      <c r="N248"/>
    </row>
    <row r="249" spans="3:14" ht="16.5" x14ac:dyDescent="0.25">
      <c r="C249"/>
      <c r="D249"/>
      <c r="E249"/>
      <c r="F249"/>
      <c r="G249"/>
      <c r="H249"/>
      <c r="I249"/>
      <c r="J249"/>
      <c r="K249"/>
      <c r="L249"/>
      <c r="M249"/>
      <c r="N249"/>
    </row>
    <row r="250" spans="3:14" ht="16.5" x14ac:dyDescent="0.25">
      <c r="C250"/>
      <c r="D250"/>
      <c r="E250"/>
      <c r="F250"/>
      <c r="G250"/>
      <c r="H250"/>
      <c r="I250"/>
      <c r="J250"/>
      <c r="K250"/>
      <c r="L250"/>
      <c r="M250"/>
      <c r="N250"/>
    </row>
    <row r="251" spans="3:14" ht="16.5" x14ac:dyDescent="0.25">
      <c r="C251"/>
      <c r="D251"/>
      <c r="E251"/>
      <c r="F251"/>
      <c r="G251"/>
      <c r="H251"/>
      <c r="I251"/>
      <c r="J251"/>
      <c r="K251"/>
      <c r="L251"/>
      <c r="M251"/>
      <c r="N251"/>
    </row>
    <row r="252" spans="3:14" ht="16.5" x14ac:dyDescent="0.25">
      <c r="C252"/>
      <c r="D252"/>
      <c r="E252"/>
      <c r="F252"/>
      <c r="G252"/>
      <c r="H252"/>
      <c r="I252"/>
      <c r="J252"/>
      <c r="K252"/>
      <c r="L252"/>
      <c r="M252"/>
      <c r="N252"/>
    </row>
    <row r="253" spans="3:14" ht="16.5" x14ac:dyDescent="0.25">
      <c r="C253"/>
      <c r="D253"/>
      <c r="E253"/>
      <c r="F253"/>
      <c r="G253"/>
      <c r="H253"/>
      <c r="I253"/>
      <c r="J253"/>
      <c r="K253"/>
      <c r="L253"/>
      <c r="M253"/>
      <c r="N253"/>
    </row>
    <row r="254" spans="3:14" ht="16.5" x14ac:dyDescent="0.25">
      <c r="C254"/>
      <c r="D254"/>
      <c r="E254"/>
      <c r="F254"/>
      <c r="G254"/>
      <c r="H254"/>
      <c r="I254"/>
      <c r="J254"/>
      <c r="K254"/>
      <c r="L254"/>
      <c r="M254"/>
      <c r="N254"/>
    </row>
    <row r="255" spans="3:14" ht="16.5" x14ac:dyDescent="0.25">
      <c r="C255"/>
      <c r="D255"/>
      <c r="E255"/>
      <c r="F255"/>
      <c r="G255"/>
      <c r="H255"/>
      <c r="I255"/>
      <c r="J255"/>
      <c r="K255"/>
      <c r="L255"/>
      <c r="M255"/>
      <c r="N255"/>
    </row>
    <row r="256" spans="3:14" ht="16.5" x14ac:dyDescent="0.25">
      <c r="C256"/>
      <c r="D256"/>
      <c r="E256"/>
      <c r="F256"/>
      <c r="G256"/>
      <c r="H256"/>
      <c r="I256"/>
      <c r="J256"/>
      <c r="K256"/>
      <c r="L256"/>
      <c r="M256"/>
      <c r="N256"/>
    </row>
    <row r="257" spans="3:14" ht="16.5" x14ac:dyDescent="0.25">
      <c r="C257"/>
      <c r="D257"/>
      <c r="E257"/>
      <c r="F257"/>
      <c r="G257"/>
      <c r="H257"/>
      <c r="I257"/>
      <c r="J257"/>
      <c r="K257"/>
      <c r="L257"/>
      <c r="M257"/>
      <c r="N257"/>
    </row>
    <row r="258" spans="3:14" ht="16.5" x14ac:dyDescent="0.25">
      <c r="C258"/>
      <c r="D258"/>
      <c r="E258"/>
      <c r="F258"/>
      <c r="G258"/>
      <c r="H258"/>
      <c r="I258"/>
      <c r="J258"/>
      <c r="K258"/>
      <c r="L258"/>
      <c r="M258"/>
      <c r="N258"/>
    </row>
    <row r="259" spans="3:14" ht="16.5" x14ac:dyDescent="0.25">
      <c r="C259"/>
      <c r="D259"/>
      <c r="E259"/>
      <c r="F259"/>
      <c r="G259"/>
      <c r="H259"/>
      <c r="I259"/>
      <c r="J259"/>
      <c r="K259"/>
      <c r="L259"/>
      <c r="M259"/>
      <c r="N259"/>
    </row>
    <row r="260" spans="3:14" ht="16.5" x14ac:dyDescent="0.25">
      <c r="C260"/>
      <c r="D260"/>
      <c r="E260"/>
      <c r="F260"/>
      <c r="G260"/>
      <c r="H260"/>
      <c r="I260"/>
      <c r="J260"/>
      <c r="K260"/>
      <c r="L260"/>
      <c r="M260"/>
      <c r="N260"/>
    </row>
    <row r="261" spans="3:14" ht="16.5" x14ac:dyDescent="0.25">
      <c r="C261"/>
      <c r="D261"/>
      <c r="E261"/>
      <c r="F261"/>
      <c r="G261"/>
      <c r="H261"/>
      <c r="I261"/>
      <c r="J261"/>
      <c r="K261"/>
      <c r="L261"/>
      <c r="M261"/>
      <c r="N261"/>
    </row>
    <row r="262" spans="3:14" ht="16.5" x14ac:dyDescent="0.25">
      <c r="C262"/>
      <c r="D262"/>
      <c r="E262"/>
      <c r="F262"/>
      <c r="G262"/>
      <c r="H262"/>
      <c r="I262"/>
      <c r="J262"/>
      <c r="K262"/>
      <c r="L262"/>
      <c r="M262"/>
      <c r="N262"/>
    </row>
    <row r="263" spans="3:14" ht="16.5" x14ac:dyDescent="0.25">
      <c r="C263"/>
      <c r="D263"/>
      <c r="E263"/>
      <c r="F263"/>
      <c r="G263"/>
      <c r="H263"/>
      <c r="I263"/>
      <c r="J263"/>
      <c r="K263"/>
      <c r="L263"/>
      <c r="M263"/>
      <c r="N263"/>
    </row>
    <row r="264" spans="3:14" ht="16.5" x14ac:dyDescent="0.25">
      <c r="C264"/>
      <c r="D264"/>
      <c r="E264"/>
      <c r="F264"/>
      <c r="G264"/>
      <c r="H264"/>
      <c r="I264"/>
      <c r="J264"/>
      <c r="K264"/>
      <c r="L264"/>
      <c r="M264"/>
      <c r="N264"/>
    </row>
    <row r="265" spans="3:14" ht="16.5" x14ac:dyDescent="0.25">
      <c r="C265"/>
      <c r="D265"/>
      <c r="E265"/>
      <c r="F265"/>
      <c r="G265"/>
      <c r="H265"/>
      <c r="I265"/>
      <c r="J265"/>
      <c r="K265"/>
      <c r="L265"/>
      <c r="M265"/>
      <c r="N265"/>
    </row>
    <row r="266" spans="3:14" ht="16.5" x14ac:dyDescent="0.25">
      <c r="C266"/>
      <c r="D266"/>
      <c r="E266"/>
      <c r="F266"/>
      <c r="G266"/>
      <c r="H266"/>
      <c r="I266"/>
      <c r="J266"/>
      <c r="K266"/>
      <c r="L266"/>
      <c r="M266"/>
      <c r="N266"/>
    </row>
    <row r="267" spans="3:14" ht="16.5" x14ac:dyDescent="0.25">
      <c r="C267"/>
      <c r="D267"/>
      <c r="E267"/>
      <c r="F267"/>
      <c r="G267"/>
      <c r="H267"/>
      <c r="I267"/>
      <c r="J267"/>
      <c r="K267"/>
      <c r="L267"/>
      <c r="M267"/>
      <c r="N267"/>
    </row>
    <row r="268" spans="3:14" ht="16.5" x14ac:dyDescent="0.25">
      <c r="C268"/>
      <c r="D268"/>
      <c r="E268"/>
      <c r="F268"/>
      <c r="G268"/>
      <c r="H268"/>
      <c r="I268"/>
      <c r="J268"/>
      <c r="K268"/>
      <c r="L268"/>
      <c r="M268"/>
      <c r="N268"/>
    </row>
    <row r="269" spans="3:14" ht="16.5" x14ac:dyDescent="0.25">
      <c r="C269"/>
      <c r="D269"/>
      <c r="E269"/>
      <c r="F269"/>
      <c r="G269"/>
      <c r="H269"/>
      <c r="I269"/>
      <c r="J269"/>
      <c r="K269"/>
      <c r="L269"/>
      <c r="M269"/>
      <c r="N269"/>
    </row>
    <row r="270" spans="3:14" ht="16.5" x14ac:dyDescent="0.25">
      <c r="C270"/>
      <c r="D270"/>
      <c r="E270"/>
      <c r="F270"/>
      <c r="G270"/>
      <c r="H270"/>
      <c r="I270"/>
      <c r="J270"/>
      <c r="K270"/>
      <c r="L270"/>
      <c r="M270"/>
      <c r="N270"/>
    </row>
    <row r="271" spans="3:14" ht="16.5" x14ac:dyDescent="0.25">
      <c r="C271"/>
      <c r="D271"/>
      <c r="E271"/>
      <c r="F271"/>
      <c r="G271"/>
      <c r="H271"/>
      <c r="I271"/>
      <c r="J271"/>
      <c r="K271"/>
      <c r="L271"/>
      <c r="M271"/>
      <c r="N271"/>
    </row>
    <row r="272" spans="3:14" ht="16.5" x14ac:dyDescent="0.25">
      <c r="C272"/>
      <c r="D272"/>
      <c r="E272"/>
      <c r="F272"/>
      <c r="G272"/>
      <c r="H272"/>
      <c r="I272"/>
      <c r="J272"/>
      <c r="K272"/>
      <c r="L272"/>
      <c r="M272"/>
      <c r="N272"/>
    </row>
    <row r="273" spans="3:14" ht="16.5" x14ac:dyDescent="0.25">
      <c r="C273"/>
      <c r="D273"/>
      <c r="E273"/>
      <c r="F273"/>
      <c r="G273"/>
      <c r="H273"/>
      <c r="I273"/>
      <c r="J273"/>
      <c r="K273"/>
      <c r="L273"/>
      <c r="M273"/>
      <c r="N273"/>
    </row>
    <row r="274" spans="3:14" ht="16.5" x14ac:dyDescent="0.25">
      <c r="C274"/>
      <c r="D274"/>
      <c r="E274"/>
      <c r="F274"/>
      <c r="G274"/>
      <c r="H274"/>
      <c r="I274"/>
      <c r="J274"/>
      <c r="K274"/>
      <c r="L274"/>
      <c r="M274"/>
      <c r="N274"/>
    </row>
    <row r="275" spans="3:14" ht="16.5" x14ac:dyDescent="0.25">
      <c r="C275"/>
      <c r="D275"/>
      <c r="E275"/>
      <c r="F275"/>
      <c r="G275"/>
      <c r="H275"/>
      <c r="I275"/>
      <c r="J275"/>
      <c r="K275"/>
      <c r="L275"/>
      <c r="M275"/>
      <c r="N275"/>
    </row>
    <row r="276" spans="3:14" ht="16.5" x14ac:dyDescent="0.25">
      <c r="C276"/>
      <c r="D276"/>
      <c r="E276"/>
      <c r="F276"/>
      <c r="G276"/>
      <c r="H276"/>
      <c r="I276"/>
      <c r="J276"/>
      <c r="K276"/>
      <c r="L276"/>
      <c r="M276"/>
      <c r="N276"/>
    </row>
    <row r="277" spans="3:14" ht="16.5" x14ac:dyDescent="0.25">
      <c r="C277"/>
      <c r="D277"/>
      <c r="E277"/>
      <c r="F277"/>
      <c r="G277"/>
      <c r="H277"/>
      <c r="I277"/>
      <c r="J277"/>
      <c r="K277"/>
      <c r="L277"/>
      <c r="M277"/>
      <c r="N277"/>
    </row>
    <row r="278" spans="3:14" ht="16.5" x14ac:dyDescent="0.25">
      <c r="C278"/>
      <c r="D278"/>
      <c r="E278"/>
      <c r="F278"/>
      <c r="G278"/>
      <c r="H278"/>
      <c r="I278"/>
      <c r="J278"/>
      <c r="K278"/>
      <c r="L278"/>
      <c r="M278"/>
      <c r="N278"/>
    </row>
    <row r="279" spans="3:14" ht="16.5" x14ac:dyDescent="0.25">
      <c r="C279"/>
      <c r="D279"/>
      <c r="E279"/>
      <c r="F279"/>
      <c r="G279"/>
      <c r="H279"/>
      <c r="I279"/>
      <c r="J279"/>
      <c r="K279"/>
      <c r="L279"/>
      <c r="M279"/>
      <c r="N279"/>
    </row>
    <row r="280" spans="3:14" ht="16.5" x14ac:dyDescent="0.25">
      <c r="C280"/>
      <c r="D280"/>
      <c r="E280"/>
      <c r="F280"/>
      <c r="G280"/>
      <c r="H280"/>
      <c r="I280"/>
      <c r="J280"/>
      <c r="K280"/>
      <c r="L280"/>
      <c r="M280"/>
      <c r="N280"/>
    </row>
    <row r="281" spans="3:14" ht="16.5" x14ac:dyDescent="0.25">
      <c r="C281"/>
      <c r="D281"/>
      <c r="E281"/>
      <c r="F281"/>
      <c r="G281"/>
      <c r="H281"/>
      <c r="I281"/>
      <c r="J281"/>
      <c r="K281"/>
      <c r="L281"/>
      <c r="M281"/>
      <c r="N281"/>
    </row>
    <row r="282" spans="3:14" ht="16.5" x14ac:dyDescent="0.25">
      <c r="C282"/>
      <c r="D282"/>
      <c r="E282"/>
      <c r="F282"/>
      <c r="G282"/>
      <c r="H282"/>
      <c r="I282"/>
      <c r="J282"/>
      <c r="K282"/>
      <c r="L282"/>
      <c r="M282"/>
      <c r="N282"/>
    </row>
    <row r="283" spans="3:14" ht="16.5" x14ac:dyDescent="0.25">
      <c r="C283"/>
      <c r="D283"/>
      <c r="E283"/>
      <c r="F283"/>
      <c r="G283"/>
      <c r="H283"/>
      <c r="I283"/>
      <c r="J283"/>
      <c r="K283"/>
      <c r="L283"/>
      <c r="M283"/>
      <c r="N283"/>
    </row>
    <row r="284" spans="3:14" ht="16.5" x14ac:dyDescent="0.25">
      <c r="C284"/>
      <c r="D284"/>
      <c r="E284"/>
      <c r="F284"/>
      <c r="G284"/>
      <c r="H284"/>
      <c r="I284"/>
      <c r="J284"/>
      <c r="K284"/>
      <c r="L284"/>
      <c r="M284"/>
      <c r="N284"/>
    </row>
    <row r="285" spans="3:14" ht="16.5" x14ac:dyDescent="0.25">
      <c r="C285"/>
      <c r="D285"/>
      <c r="E285"/>
      <c r="F285"/>
      <c r="G285"/>
      <c r="H285"/>
      <c r="I285"/>
      <c r="J285"/>
      <c r="K285"/>
      <c r="L285"/>
      <c r="M285"/>
      <c r="N285"/>
    </row>
    <row r="286" spans="3:14" ht="16.5" x14ac:dyDescent="0.25">
      <c r="C286"/>
      <c r="D286"/>
      <c r="E286"/>
      <c r="F286"/>
      <c r="G286"/>
      <c r="H286"/>
      <c r="I286"/>
      <c r="J286"/>
      <c r="K286"/>
      <c r="L286"/>
      <c r="M286"/>
      <c r="N286"/>
    </row>
    <row r="287" spans="3:14" ht="16.5" x14ac:dyDescent="0.25">
      <c r="C287"/>
      <c r="D287"/>
      <c r="E287"/>
      <c r="F287"/>
      <c r="G287"/>
      <c r="H287"/>
      <c r="I287"/>
      <c r="J287"/>
      <c r="K287"/>
      <c r="L287"/>
      <c r="M287"/>
      <c r="N287"/>
    </row>
    <row r="288" spans="3:14" ht="16.5" x14ac:dyDescent="0.25">
      <c r="C288"/>
      <c r="D288"/>
      <c r="E288"/>
      <c r="F288"/>
      <c r="G288"/>
      <c r="H288"/>
      <c r="I288"/>
      <c r="J288"/>
      <c r="K288"/>
      <c r="L288"/>
      <c r="M288"/>
      <c r="N288"/>
    </row>
    <row r="289" spans="3:14" ht="16.5" x14ac:dyDescent="0.25">
      <c r="C289"/>
      <c r="D289"/>
      <c r="E289"/>
      <c r="F289"/>
      <c r="G289"/>
      <c r="H289"/>
      <c r="I289"/>
      <c r="J289"/>
      <c r="K289"/>
      <c r="L289"/>
      <c r="M289"/>
      <c r="N289"/>
    </row>
    <row r="290" spans="3:14" ht="16.5" x14ac:dyDescent="0.25">
      <c r="C290"/>
      <c r="D290"/>
      <c r="E290"/>
      <c r="F290"/>
      <c r="G290"/>
      <c r="H290"/>
      <c r="I290"/>
      <c r="J290"/>
      <c r="K290"/>
      <c r="L290"/>
      <c r="M290"/>
      <c r="N290"/>
    </row>
    <row r="291" spans="3:14" ht="16.5" x14ac:dyDescent="0.25">
      <c r="C291"/>
      <c r="D291"/>
      <c r="E291"/>
      <c r="F291"/>
      <c r="G291"/>
      <c r="H291"/>
      <c r="I291"/>
      <c r="J291"/>
      <c r="K291"/>
      <c r="L291"/>
      <c r="M291"/>
      <c r="N291"/>
    </row>
    <row r="292" spans="3:14" ht="16.5" x14ac:dyDescent="0.25">
      <c r="C292"/>
      <c r="D292"/>
      <c r="E292"/>
      <c r="F292"/>
      <c r="G292"/>
      <c r="H292"/>
      <c r="I292"/>
      <c r="J292"/>
      <c r="K292"/>
      <c r="L292"/>
      <c r="M292"/>
      <c r="N292"/>
    </row>
    <row r="293" spans="3:14" ht="16.5" x14ac:dyDescent="0.25">
      <c r="C293"/>
      <c r="D293"/>
      <c r="E293"/>
      <c r="F293"/>
      <c r="G293"/>
      <c r="H293"/>
      <c r="I293"/>
      <c r="J293"/>
      <c r="K293"/>
      <c r="L293"/>
      <c r="M293"/>
      <c r="N293"/>
    </row>
    <row r="294" spans="3:14" ht="16.5" x14ac:dyDescent="0.25">
      <c r="C294"/>
      <c r="D294"/>
      <c r="E294"/>
      <c r="F294"/>
      <c r="G294"/>
      <c r="H294"/>
      <c r="I294"/>
      <c r="J294"/>
      <c r="K294"/>
      <c r="L294"/>
      <c r="M294"/>
      <c r="N294"/>
    </row>
    <row r="295" spans="3:14" ht="16.5" x14ac:dyDescent="0.25">
      <c r="C295"/>
      <c r="D295"/>
      <c r="E295"/>
      <c r="F295"/>
      <c r="G295"/>
      <c r="H295"/>
      <c r="I295"/>
      <c r="J295"/>
      <c r="K295"/>
      <c r="L295"/>
      <c r="M295"/>
      <c r="N295"/>
    </row>
    <row r="296" spans="3:14" ht="16.5" x14ac:dyDescent="0.25">
      <c r="C296"/>
      <c r="D296"/>
      <c r="E296"/>
      <c r="F296"/>
      <c r="G296"/>
      <c r="H296"/>
      <c r="I296"/>
      <c r="J296"/>
      <c r="K296"/>
      <c r="L296"/>
      <c r="M296"/>
      <c r="N296"/>
    </row>
    <row r="297" spans="3:14" ht="16.5" x14ac:dyDescent="0.25">
      <c r="C297"/>
      <c r="D297"/>
      <c r="E297"/>
      <c r="F297"/>
      <c r="G297"/>
      <c r="H297"/>
      <c r="I297"/>
      <c r="J297"/>
      <c r="K297"/>
      <c r="L297"/>
      <c r="M297"/>
      <c r="N297"/>
    </row>
    <row r="298" spans="3:14" ht="16.5" x14ac:dyDescent="0.25">
      <c r="C298"/>
      <c r="D298"/>
      <c r="E298"/>
      <c r="F298"/>
      <c r="G298"/>
      <c r="H298"/>
      <c r="I298"/>
      <c r="J298"/>
      <c r="K298"/>
      <c r="L298"/>
      <c r="M298"/>
      <c r="N298"/>
    </row>
    <row r="299" spans="3:14" ht="16.5" x14ac:dyDescent="0.25">
      <c r="C299"/>
      <c r="D299"/>
      <c r="E299"/>
      <c r="F299"/>
      <c r="G299"/>
      <c r="H299"/>
      <c r="I299"/>
      <c r="J299"/>
      <c r="K299"/>
      <c r="L299"/>
      <c r="M299"/>
      <c r="N299"/>
    </row>
    <row r="300" spans="3:14" ht="16.5" x14ac:dyDescent="0.25">
      <c r="C300"/>
      <c r="D300"/>
      <c r="E300"/>
      <c r="F300"/>
      <c r="G300"/>
      <c r="H300"/>
      <c r="I300"/>
      <c r="J300"/>
      <c r="K300"/>
      <c r="L300"/>
      <c r="M300"/>
      <c r="N300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2">
          <controlPr defaultSize="0" autoLine="0" r:id="rId4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8194" r:id="rId3" name="CommandButton2"/>
      </mc:Fallback>
    </mc:AlternateContent>
    <mc:AlternateContent xmlns:mc="http://schemas.openxmlformats.org/markup-compatibility/2006">
      <mc:Choice Requires="x14">
        <control shapeId="8193" r:id="rId5" name="CommandButton1">
          <controlPr defaultSize="0" autoLine="0" autoPict="0" r:id="rId6">
            <anchor moveWithCells="1">
              <from>
                <xdr:col>2</xdr:col>
                <xdr:colOff>1724025</xdr:colOff>
                <xdr:row>2</xdr:row>
                <xdr:rowOff>0</xdr:rowOff>
              </from>
              <to>
                <xdr:col>5</xdr:col>
                <xdr:colOff>1190625</xdr:colOff>
                <xdr:row>5</xdr:row>
                <xdr:rowOff>0</xdr:rowOff>
              </to>
            </anchor>
          </controlPr>
        </control>
      </mc:Choice>
      <mc:Fallback>
        <control shapeId="8193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00B050"/>
  </sheetPr>
  <dimension ref="A2:X186"/>
  <sheetViews>
    <sheetView tabSelected="1" workbookViewId="0">
      <selection activeCell="N108" sqref="N108:N124"/>
    </sheetView>
  </sheetViews>
  <sheetFormatPr defaultRowHeight="12.75" x14ac:dyDescent="0.25"/>
  <cols>
    <col min="1" max="2" width="9" style="1"/>
    <col min="3" max="3" width="17.125" style="1" customWidth="1"/>
    <col min="4" max="4" width="16.625" style="1" bestFit="1" customWidth="1"/>
    <col min="5" max="5" width="7.25" style="1" customWidth="1"/>
    <col min="6" max="6" width="15.625" style="1" customWidth="1"/>
    <col min="7" max="10" width="9" style="1"/>
    <col min="11" max="11" width="10.125" style="1" bestFit="1" customWidth="1"/>
    <col min="12" max="16384" width="9" style="1"/>
  </cols>
  <sheetData>
    <row r="2" spans="1:24" x14ac:dyDescent="0.25">
      <c r="A2" s="70" t="s">
        <v>218</v>
      </c>
      <c r="J2" s="22"/>
      <c r="K2" s="22"/>
      <c r="L2" s="22"/>
    </row>
    <row r="3" spans="1:24" x14ac:dyDescent="0.25">
      <c r="J3" s="22"/>
      <c r="K3" s="84" t="s">
        <v>230</v>
      </c>
      <c r="L3" s="22"/>
    </row>
    <row r="4" spans="1:24" x14ac:dyDescent="0.25">
      <c r="J4" s="22"/>
      <c r="K4" s="84" t="s">
        <v>228</v>
      </c>
      <c r="L4" s="22"/>
    </row>
    <row r="5" spans="1:24" x14ac:dyDescent="0.25">
      <c r="J5" s="22"/>
      <c r="K5" s="84" t="s">
        <v>232</v>
      </c>
      <c r="L5" s="22"/>
    </row>
    <row r="6" spans="1:24" ht="14.25" x14ac:dyDescent="0.25">
      <c r="J6" s="22"/>
      <c r="K6" s="84" t="s">
        <v>229</v>
      </c>
      <c r="L6" s="22"/>
      <c r="T6" s="83" t="s">
        <v>233</v>
      </c>
    </row>
    <row r="7" spans="1:24" x14ac:dyDescent="0.25">
      <c r="J7" s="22"/>
      <c r="K7" s="84" t="s">
        <v>259</v>
      </c>
      <c r="L7" s="22"/>
    </row>
    <row r="8" spans="1:24" ht="14.25" x14ac:dyDescent="0.25">
      <c r="T8" s="82" t="s">
        <v>235</v>
      </c>
      <c r="U8" s="82"/>
      <c r="V8" s="82"/>
      <c r="W8" s="82"/>
      <c r="X8" s="82"/>
    </row>
    <row r="9" spans="1:24" ht="14.25" x14ac:dyDescent="0.25">
      <c r="L9" s="128" t="s">
        <v>234</v>
      </c>
      <c r="M9" s="129"/>
      <c r="N9" s="129"/>
      <c r="O9" s="129"/>
      <c r="P9" s="129"/>
      <c r="Q9" s="130"/>
      <c r="T9" s="82" t="s">
        <v>236</v>
      </c>
      <c r="U9" s="82"/>
      <c r="V9" s="82"/>
      <c r="W9" s="82"/>
      <c r="X9" s="82"/>
    </row>
    <row r="10" spans="1:24" x14ac:dyDescent="0.25">
      <c r="C10" s="133" t="s">
        <v>25</v>
      </c>
      <c r="D10" s="135" t="s">
        <v>26</v>
      </c>
      <c r="E10" s="71" t="s">
        <v>15</v>
      </c>
      <c r="F10" s="137" t="s">
        <v>27</v>
      </c>
      <c r="G10" s="72" t="s">
        <v>28</v>
      </c>
      <c r="H10" s="72" t="s">
        <v>29</v>
      </c>
      <c r="I10" s="72" t="s">
        <v>239</v>
      </c>
      <c r="J10" s="72" t="s">
        <v>240</v>
      </c>
      <c r="K10" s="139" t="s">
        <v>219</v>
      </c>
      <c r="L10" s="141" t="s">
        <v>223</v>
      </c>
      <c r="M10" s="141" t="s">
        <v>225</v>
      </c>
      <c r="N10" s="75" t="s">
        <v>237</v>
      </c>
      <c r="O10" s="131" t="s">
        <v>224</v>
      </c>
      <c r="P10" s="131" t="s">
        <v>226</v>
      </c>
      <c r="Q10" s="73" t="s">
        <v>238</v>
      </c>
    </row>
    <row r="11" spans="1:24" x14ac:dyDescent="0.25">
      <c r="C11" s="134"/>
      <c r="D11" s="136"/>
      <c r="E11" s="77" t="s">
        <v>220</v>
      </c>
      <c r="F11" s="138"/>
      <c r="G11" s="78" t="s">
        <v>221</v>
      </c>
      <c r="H11" s="78" t="s">
        <v>222</v>
      </c>
      <c r="I11" s="78" t="s">
        <v>222</v>
      </c>
      <c r="J11" s="78" t="s">
        <v>222</v>
      </c>
      <c r="K11" s="140"/>
      <c r="L11" s="142"/>
      <c r="M11" s="142"/>
      <c r="N11" s="76" t="s">
        <v>231</v>
      </c>
      <c r="O11" s="132"/>
      <c r="P11" s="132"/>
      <c r="Q11" s="74" t="s">
        <v>231</v>
      </c>
    </row>
    <row r="12" spans="1:24" x14ac:dyDescent="0.25">
      <c r="C12" s="4">
        <v>4001</v>
      </c>
      <c r="D12" s="4" t="s">
        <v>203</v>
      </c>
      <c r="E12" s="4">
        <v>3.3</v>
      </c>
      <c r="F12" s="4" t="s">
        <v>216</v>
      </c>
      <c r="G12" s="4">
        <v>400</v>
      </c>
      <c r="H12" s="4">
        <v>200</v>
      </c>
      <c r="I12" s="4">
        <v>13</v>
      </c>
      <c r="J12" s="4">
        <v>8</v>
      </c>
      <c r="K12" s="4" t="s">
        <v>227</v>
      </c>
      <c r="L12" s="81">
        <f>WidthThk(F12,G12,H12,I12,J12,"B")</f>
        <v>7.6923076923076925</v>
      </c>
      <c r="M12" s="79">
        <f>LandaWidthThk(E12,F12,K12,"B")</f>
        <v>7.7067463558845244</v>
      </c>
      <c r="N12" s="4" t="str">
        <f>IF(L12&lt;M12,"OK","NG")</f>
        <v>OK</v>
      </c>
      <c r="O12" s="80">
        <f>WidthThk(F12,G12,H12,I12,J12,"H")</f>
        <v>46.75</v>
      </c>
      <c r="P12" s="79">
        <f>LandaWidthThk(E12,F12,K12,"H")</f>
        <v>75.966499793718882</v>
      </c>
      <c r="Q12" s="4" t="str">
        <f>IF(O12&lt;P12,"OK","NG")</f>
        <v>OK</v>
      </c>
    </row>
    <row r="13" spans="1:24" x14ac:dyDescent="0.25">
      <c r="C13" s="4">
        <v>4002</v>
      </c>
      <c r="D13" s="4" t="s">
        <v>203</v>
      </c>
      <c r="E13" s="4">
        <v>3.3</v>
      </c>
      <c r="F13" s="4" t="s">
        <v>216</v>
      </c>
      <c r="G13" s="4">
        <v>400</v>
      </c>
      <c r="H13" s="4">
        <v>200</v>
      </c>
      <c r="I13" s="4">
        <v>15</v>
      </c>
      <c r="J13" s="4">
        <v>10</v>
      </c>
      <c r="K13" s="4" t="s">
        <v>227</v>
      </c>
      <c r="L13" s="81">
        <f t="shared" ref="L13:L52" si="0">WidthThk(F13,G13,H13,I13,J13,"B")</f>
        <v>6.666666666666667</v>
      </c>
      <c r="M13" s="79">
        <f t="shared" ref="M13:M52" si="1">LandaWidthThk(E13,F13,K13,"B")</f>
        <v>7.7067463558845244</v>
      </c>
      <c r="N13" s="4" t="str">
        <f t="shared" ref="N13:N52" si="2">IF(L13&lt;M13,"OK","NG")</f>
        <v>OK</v>
      </c>
      <c r="O13" s="80">
        <f t="shared" ref="O13:O52" si="3">WidthThk(F13,G13,H13,I13,J13,"H")</f>
        <v>37</v>
      </c>
      <c r="P13" s="79">
        <f t="shared" ref="P13:P52" si="4">LandaWidthThk(E13,F13,K13,"H")</f>
        <v>75.966499793718882</v>
      </c>
      <c r="Q13" s="4" t="str">
        <f t="shared" ref="Q13:Q52" si="5">IF(O13&lt;P13,"OK","NG")</f>
        <v>OK</v>
      </c>
    </row>
    <row r="14" spans="1:24" x14ac:dyDescent="0.25">
      <c r="C14" s="4">
        <v>4002</v>
      </c>
      <c r="D14" s="4" t="s">
        <v>203</v>
      </c>
      <c r="E14" s="4">
        <v>3.3</v>
      </c>
      <c r="F14" s="4" t="s">
        <v>216</v>
      </c>
      <c r="G14" s="4">
        <v>400</v>
      </c>
      <c r="H14" s="4">
        <v>200</v>
      </c>
      <c r="I14" s="4">
        <v>20</v>
      </c>
      <c r="J14" s="4">
        <v>10</v>
      </c>
      <c r="K14" s="4" t="s">
        <v>227</v>
      </c>
      <c r="L14" s="81">
        <f t="shared" si="0"/>
        <v>5</v>
      </c>
      <c r="M14" s="79">
        <f t="shared" si="1"/>
        <v>7.7067463558845244</v>
      </c>
      <c r="N14" s="4" t="str">
        <f t="shared" si="2"/>
        <v>OK</v>
      </c>
      <c r="O14" s="80">
        <f t="shared" si="3"/>
        <v>36</v>
      </c>
      <c r="P14" s="79">
        <f t="shared" si="4"/>
        <v>75.966499793718882</v>
      </c>
      <c r="Q14" s="4" t="str">
        <f t="shared" si="5"/>
        <v>OK</v>
      </c>
    </row>
    <row r="15" spans="1:24" x14ac:dyDescent="0.25">
      <c r="C15" s="4">
        <v>4003</v>
      </c>
      <c r="D15" s="4" t="s">
        <v>203</v>
      </c>
      <c r="E15" s="4">
        <v>3.3</v>
      </c>
      <c r="F15" s="4" t="s">
        <v>216</v>
      </c>
      <c r="G15" s="4">
        <v>400</v>
      </c>
      <c r="H15" s="4">
        <v>300</v>
      </c>
      <c r="I15" s="4">
        <v>20</v>
      </c>
      <c r="J15" s="4">
        <v>10</v>
      </c>
      <c r="K15" s="4" t="s">
        <v>227</v>
      </c>
      <c r="L15" s="81">
        <f>WidthThk(F15,G15,H15,I15,J15,"B")</f>
        <v>7.5</v>
      </c>
      <c r="M15" s="79">
        <f t="shared" si="1"/>
        <v>7.7067463558845244</v>
      </c>
      <c r="N15" s="4" t="str">
        <f t="shared" si="2"/>
        <v>OK</v>
      </c>
      <c r="O15" s="80">
        <f t="shared" si="3"/>
        <v>36</v>
      </c>
      <c r="P15" s="79">
        <f t="shared" si="4"/>
        <v>75.966499793718882</v>
      </c>
      <c r="Q15" s="4" t="str">
        <f t="shared" si="5"/>
        <v>OK</v>
      </c>
    </row>
    <row r="16" spans="1:24" x14ac:dyDescent="0.25">
      <c r="C16" s="4">
        <v>4004</v>
      </c>
      <c r="D16" s="4" t="s">
        <v>203</v>
      </c>
      <c r="E16" s="4">
        <v>3.3</v>
      </c>
      <c r="F16" s="4" t="s">
        <v>216</v>
      </c>
      <c r="G16" s="4">
        <v>400</v>
      </c>
      <c r="H16" s="4">
        <v>300</v>
      </c>
      <c r="I16" s="4">
        <v>22</v>
      </c>
      <c r="J16" s="4">
        <v>12</v>
      </c>
      <c r="K16" s="4" t="s">
        <v>227</v>
      </c>
      <c r="L16" s="81">
        <f t="shared" si="0"/>
        <v>6.8181818181818183</v>
      </c>
      <c r="M16" s="79">
        <f t="shared" si="1"/>
        <v>7.7067463558845244</v>
      </c>
      <c r="N16" s="4" t="str">
        <f t="shared" si="2"/>
        <v>OK</v>
      </c>
      <c r="O16" s="80">
        <f t="shared" si="3"/>
        <v>29.666666666666668</v>
      </c>
      <c r="P16" s="79">
        <f t="shared" si="4"/>
        <v>75.966499793718882</v>
      </c>
      <c r="Q16" s="4" t="str">
        <f t="shared" si="5"/>
        <v>OK</v>
      </c>
    </row>
    <row r="17" spans="3:17" x14ac:dyDescent="0.25">
      <c r="C17" s="4">
        <v>4005</v>
      </c>
      <c r="D17" s="4" t="s">
        <v>203</v>
      </c>
      <c r="E17" s="4">
        <v>3.3</v>
      </c>
      <c r="F17" s="4" t="s">
        <v>216</v>
      </c>
      <c r="G17" s="4">
        <v>400</v>
      </c>
      <c r="H17" s="4">
        <v>300</v>
      </c>
      <c r="I17" s="4">
        <v>26</v>
      </c>
      <c r="J17" s="4">
        <v>12</v>
      </c>
      <c r="K17" s="4" t="s">
        <v>227</v>
      </c>
      <c r="L17" s="81">
        <f t="shared" si="0"/>
        <v>5.7692307692307692</v>
      </c>
      <c r="M17" s="79">
        <f t="shared" si="1"/>
        <v>7.7067463558845244</v>
      </c>
      <c r="N17" s="4" t="str">
        <f t="shared" si="2"/>
        <v>OK</v>
      </c>
      <c r="O17" s="80">
        <f t="shared" si="3"/>
        <v>29</v>
      </c>
      <c r="P17" s="79">
        <f t="shared" si="4"/>
        <v>75.966499793718882</v>
      </c>
      <c r="Q17" s="4" t="str">
        <f t="shared" si="5"/>
        <v>OK</v>
      </c>
    </row>
    <row r="18" spans="3:17" x14ac:dyDescent="0.25">
      <c r="C18" s="4">
        <v>5001</v>
      </c>
      <c r="D18" s="4" t="s">
        <v>203</v>
      </c>
      <c r="E18" s="4">
        <v>3.3</v>
      </c>
      <c r="F18" s="4" t="s">
        <v>216</v>
      </c>
      <c r="G18" s="4">
        <v>500</v>
      </c>
      <c r="H18" s="4">
        <v>200</v>
      </c>
      <c r="I18" s="4">
        <v>22</v>
      </c>
      <c r="J18" s="4">
        <v>12</v>
      </c>
      <c r="K18" s="4" t="s">
        <v>227</v>
      </c>
      <c r="L18" s="81">
        <f t="shared" si="0"/>
        <v>4.5454545454545459</v>
      </c>
      <c r="M18" s="79">
        <f>LandaWidthThk(E18,F18,K18,"B")</f>
        <v>7.7067463558845244</v>
      </c>
      <c r="N18" s="4" t="str">
        <f t="shared" si="2"/>
        <v>OK</v>
      </c>
      <c r="O18" s="80">
        <f t="shared" si="3"/>
        <v>38</v>
      </c>
      <c r="P18" s="79">
        <f t="shared" si="4"/>
        <v>75.966499793718882</v>
      </c>
      <c r="Q18" s="4" t="str">
        <f t="shared" si="5"/>
        <v>OK</v>
      </c>
    </row>
    <row r="19" spans="3:17" x14ac:dyDescent="0.25">
      <c r="C19" s="4">
        <v>5002</v>
      </c>
      <c r="D19" s="4" t="s">
        <v>203</v>
      </c>
      <c r="E19" s="4">
        <v>3.3</v>
      </c>
      <c r="F19" s="4" t="s">
        <v>216</v>
      </c>
      <c r="G19" s="4">
        <v>500</v>
      </c>
      <c r="H19" s="4">
        <v>250</v>
      </c>
      <c r="I19" s="4">
        <v>22</v>
      </c>
      <c r="J19" s="4">
        <v>12</v>
      </c>
      <c r="K19" s="4" t="s">
        <v>227</v>
      </c>
      <c r="L19" s="81">
        <f t="shared" si="0"/>
        <v>5.6818181818181817</v>
      </c>
      <c r="M19" s="79">
        <f t="shared" si="1"/>
        <v>7.7067463558845244</v>
      </c>
      <c r="N19" s="4" t="str">
        <f t="shared" si="2"/>
        <v>OK</v>
      </c>
      <c r="O19" s="80">
        <f t="shared" si="3"/>
        <v>38</v>
      </c>
      <c r="P19" s="79">
        <f t="shared" si="4"/>
        <v>75.966499793718882</v>
      </c>
      <c r="Q19" s="4" t="str">
        <f t="shared" si="5"/>
        <v>OK</v>
      </c>
    </row>
    <row r="20" spans="3:17" x14ac:dyDescent="0.25">
      <c r="C20" s="4">
        <v>5003</v>
      </c>
      <c r="D20" s="4" t="s">
        <v>203</v>
      </c>
      <c r="E20" s="4">
        <v>3.3</v>
      </c>
      <c r="F20" s="4" t="s">
        <v>216</v>
      </c>
      <c r="G20" s="4">
        <v>500</v>
      </c>
      <c r="H20" s="4">
        <v>300</v>
      </c>
      <c r="I20" s="4">
        <v>22</v>
      </c>
      <c r="J20" s="4">
        <v>12</v>
      </c>
      <c r="K20" s="4" t="s">
        <v>227</v>
      </c>
      <c r="L20" s="81">
        <f t="shared" si="0"/>
        <v>6.8181818181818183</v>
      </c>
      <c r="M20" s="79">
        <f t="shared" si="1"/>
        <v>7.7067463558845244</v>
      </c>
      <c r="N20" s="4" t="str">
        <f t="shared" si="2"/>
        <v>OK</v>
      </c>
      <c r="O20" s="80">
        <f t="shared" si="3"/>
        <v>38</v>
      </c>
      <c r="P20" s="79">
        <f t="shared" si="4"/>
        <v>75.966499793718882</v>
      </c>
      <c r="Q20" s="4" t="str">
        <f t="shared" si="5"/>
        <v>OK</v>
      </c>
    </row>
    <row r="21" spans="3:17" x14ac:dyDescent="0.25">
      <c r="C21" s="4">
        <v>5004</v>
      </c>
      <c r="D21" s="4" t="s">
        <v>203</v>
      </c>
      <c r="E21" s="4">
        <v>3.3</v>
      </c>
      <c r="F21" s="4" t="s">
        <v>216</v>
      </c>
      <c r="G21" s="4">
        <v>500</v>
      </c>
      <c r="H21" s="4">
        <v>300</v>
      </c>
      <c r="I21" s="4">
        <v>28</v>
      </c>
      <c r="J21" s="4">
        <v>16</v>
      </c>
      <c r="K21" s="4" t="s">
        <v>227</v>
      </c>
      <c r="L21" s="81">
        <f t="shared" si="0"/>
        <v>5.3571428571428568</v>
      </c>
      <c r="M21" s="79">
        <f t="shared" si="1"/>
        <v>7.7067463558845244</v>
      </c>
      <c r="N21" s="4" t="str">
        <f t="shared" si="2"/>
        <v>OK</v>
      </c>
      <c r="O21" s="80">
        <f t="shared" si="3"/>
        <v>27.75</v>
      </c>
      <c r="P21" s="79">
        <f t="shared" si="4"/>
        <v>75.966499793718882</v>
      </c>
      <c r="Q21" s="4" t="str">
        <f t="shared" si="5"/>
        <v>OK</v>
      </c>
    </row>
    <row r="22" spans="3:17" x14ac:dyDescent="0.25">
      <c r="C22" s="4">
        <v>5005</v>
      </c>
      <c r="D22" s="4" t="s">
        <v>203</v>
      </c>
      <c r="E22" s="4">
        <v>3.3</v>
      </c>
      <c r="F22" s="4" t="s">
        <v>216</v>
      </c>
      <c r="G22" s="4">
        <v>500</v>
      </c>
      <c r="H22" s="4">
        <v>350</v>
      </c>
      <c r="I22" s="4">
        <v>28</v>
      </c>
      <c r="J22" s="4">
        <v>16</v>
      </c>
      <c r="K22" s="4" t="s">
        <v>227</v>
      </c>
      <c r="L22" s="81">
        <f t="shared" si="0"/>
        <v>6.25</v>
      </c>
      <c r="M22" s="79">
        <f t="shared" si="1"/>
        <v>7.7067463558845244</v>
      </c>
      <c r="N22" s="4" t="str">
        <f t="shared" si="2"/>
        <v>OK</v>
      </c>
      <c r="O22" s="80">
        <f t="shared" si="3"/>
        <v>27.75</v>
      </c>
      <c r="P22" s="79">
        <f t="shared" si="4"/>
        <v>75.966499793718882</v>
      </c>
      <c r="Q22" s="4" t="str">
        <f t="shared" si="5"/>
        <v>OK</v>
      </c>
    </row>
    <row r="23" spans="3:17" x14ac:dyDescent="0.25">
      <c r="C23" s="4">
        <v>5006</v>
      </c>
      <c r="D23" s="4" t="s">
        <v>203</v>
      </c>
      <c r="E23" s="4">
        <v>3.3</v>
      </c>
      <c r="F23" s="4" t="s">
        <v>216</v>
      </c>
      <c r="G23" s="4">
        <v>500</v>
      </c>
      <c r="H23" s="4">
        <v>300</v>
      </c>
      <c r="I23" s="4">
        <v>32</v>
      </c>
      <c r="J23" s="4">
        <v>19</v>
      </c>
      <c r="K23" s="4" t="s">
        <v>227</v>
      </c>
      <c r="L23" s="81">
        <f t="shared" si="0"/>
        <v>4.6875</v>
      </c>
      <c r="M23" s="79">
        <f t="shared" si="1"/>
        <v>7.7067463558845244</v>
      </c>
      <c r="N23" s="4" t="str">
        <f t="shared" si="2"/>
        <v>OK</v>
      </c>
      <c r="O23" s="80">
        <f t="shared" si="3"/>
        <v>22.94736842105263</v>
      </c>
      <c r="P23" s="79">
        <f t="shared" si="4"/>
        <v>75.966499793718882</v>
      </c>
      <c r="Q23" s="4" t="str">
        <f t="shared" si="5"/>
        <v>OK</v>
      </c>
    </row>
    <row r="24" spans="3:17" x14ac:dyDescent="0.25">
      <c r="C24" s="4">
        <v>5007</v>
      </c>
      <c r="D24" s="4" t="s">
        <v>203</v>
      </c>
      <c r="E24" s="4">
        <v>3.3</v>
      </c>
      <c r="F24" s="4" t="s">
        <v>216</v>
      </c>
      <c r="G24" s="4">
        <v>500</v>
      </c>
      <c r="H24" s="4">
        <v>350</v>
      </c>
      <c r="I24" s="4">
        <v>32</v>
      </c>
      <c r="J24" s="4">
        <v>19</v>
      </c>
      <c r="K24" s="4" t="s">
        <v>227</v>
      </c>
      <c r="L24" s="81">
        <f t="shared" si="0"/>
        <v>5.46875</v>
      </c>
      <c r="M24" s="79">
        <f t="shared" si="1"/>
        <v>7.7067463558845244</v>
      </c>
      <c r="N24" s="4" t="str">
        <f t="shared" si="2"/>
        <v>OK</v>
      </c>
      <c r="O24" s="80">
        <f t="shared" si="3"/>
        <v>22.94736842105263</v>
      </c>
      <c r="P24" s="79">
        <f t="shared" si="4"/>
        <v>75.966499793718882</v>
      </c>
      <c r="Q24" s="4" t="str">
        <f t="shared" si="5"/>
        <v>OK</v>
      </c>
    </row>
    <row r="25" spans="3:17" x14ac:dyDescent="0.25">
      <c r="C25" s="4">
        <v>5008</v>
      </c>
      <c r="D25" s="4" t="s">
        <v>203</v>
      </c>
      <c r="E25" s="4">
        <v>3.3</v>
      </c>
      <c r="F25" s="4" t="s">
        <v>216</v>
      </c>
      <c r="G25" s="4">
        <v>500</v>
      </c>
      <c r="H25" s="4">
        <v>300</v>
      </c>
      <c r="I25" s="4">
        <v>40</v>
      </c>
      <c r="J25" s="4">
        <v>22</v>
      </c>
      <c r="K25" s="4" t="s">
        <v>227</v>
      </c>
      <c r="L25" s="81">
        <f t="shared" si="0"/>
        <v>3.75</v>
      </c>
      <c r="M25" s="79">
        <f t="shared" si="1"/>
        <v>7.7067463558845244</v>
      </c>
      <c r="N25" s="4" t="str">
        <f t="shared" si="2"/>
        <v>OK</v>
      </c>
      <c r="O25" s="80">
        <f t="shared" si="3"/>
        <v>19.09090909090909</v>
      </c>
      <c r="P25" s="79">
        <f t="shared" si="4"/>
        <v>75.966499793718882</v>
      </c>
      <c r="Q25" s="4" t="str">
        <f t="shared" si="5"/>
        <v>OK</v>
      </c>
    </row>
    <row r="26" spans="3:17" x14ac:dyDescent="0.25">
      <c r="C26" s="4">
        <v>5009</v>
      </c>
      <c r="D26" s="4" t="s">
        <v>203</v>
      </c>
      <c r="E26" s="4">
        <v>3.3</v>
      </c>
      <c r="F26" s="4" t="s">
        <v>216</v>
      </c>
      <c r="G26" s="4">
        <v>500</v>
      </c>
      <c r="H26" s="4">
        <v>350</v>
      </c>
      <c r="I26" s="4">
        <v>40</v>
      </c>
      <c r="J26" s="4">
        <v>22</v>
      </c>
      <c r="K26" s="4" t="s">
        <v>227</v>
      </c>
      <c r="L26" s="81">
        <f t="shared" si="0"/>
        <v>4.375</v>
      </c>
      <c r="M26" s="79">
        <f t="shared" si="1"/>
        <v>7.7067463558845244</v>
      </c>
      <c r="N26" s="4" t="str">
        <f t="shared" si="2"/>
        <v>OK</v>
      </c>
      <c r="O26" s="80">
        <f t="shared" si="3"/>
        <v>19.09090909090909</v>
      </c>
      <c r="P26" s="79">
        <f t="shared" si="4"/>
        <v>75.966499793718882</v>
      </c>
      <c r="Q26" s="4" t="str">
        <f t="shared" si="5"/>
        <v>OK</v>
      </c>
    </row>
    <row r="27" spans="3:17" x14ac:dyDescent="0.25">
      <c r="C27" s="4">
        <v>5010</v>
      </c>
      <c r="D27" s="4" t="s">
        <v>203</v>
      </c>
      <c r="E27" s="4">
        <v>3.3</v>
      </c>
      <c r="F27" s="4" t="s">
        <v>216</v>
      </c>
      <c r="G27" s="4">
        <v>500</v>
      </c>
      <c r="H27" s="4">
        <v>350</v>
      </c>
      <c r="I27" s="4">
        <v>45</v>
      </c>
      <c r="J27" s="4">
        <v>25</v>
      </c>
      <c r="K27" s="4" t="s">
        <v>227</v>
      </c>
      <c r="L27" s="81">
        <f t="shared" si="0"/>
        <v>3.8888888888888888</v>
      </c>
      <c r="M27" s="79">
        <f t="shared" si="1"/>
        <v>7.7067463558845244</v>
      </c>
      <c r="N27" s="4" t="str">
        <f t="shared" si="2"/>
        <v>OK</v>
      </c>
      <c r="O27" s="80">
        <f t="shared" si="3"/>
        <v>16.399999999999999</v>
      </c>
      <c r="P27" s="79">
        <f t="shared" si="4"/>
        <v>75.966499793718882</v>
      </c>
      <c r="Q27" s="4" t="str">
        <f t="shared" si="5"/>
        <v>OK</v>
      </c>
    </row>
    <row r="28" spans="3:17" x14ac:dyDescent="0.25">
      <c r="C28" s="4">
        <v>5011</v>
      </c>
      <c r="D28" s="4" t="s">
        <v>203</v>
      </c>
      <c r="E28" s="4">
        <v>3.3</v>
      </c>
      <c r="F28" s="4" t="s">
        <v>216</v>
      </c>
      <c r="G28" s="4">
        <v>500</v>
      </c>
      <c r="H28" s="4">
        <v>350</v>
      </c>
      <c r="I28" s="4">
        <v>50</v>
      </c>
      <c r="J28" s="4">
        <v>28</v>
      </c>
      <c r="K28" s="4" t="s">
        <v>227</v>
      </c>
      <c r="L28" s="81">
        <f t="shared" si="0"/>
        <v>3.5</v>
      </c>
      <c r="M28" s="79">
        <f t="shared" si="1"/>
        <v>7.7067463558845244</v>
      </c>
      <c r="N28" s="4" t="str">
        <f t="shared" si="2"/>
        <v>OK</v>
      </c>
      <c r="O28" s="80">
        <f t="shared" si="3"/>
        <v>14.285714285714286</v>
      </c>
      <c r="P28" s="79">
        <f t="shared" si="4"/>
        <v>75.966499793718882</v>
      </c>
      <c r="Q28" s="4" t="str">
        <f t="shared" si="5"/>
        <v>OK</v>
      </c>
    </row>
    <row r="29" spans="3:17" x14ac:dyDescent="0.25">
      <c r="C29" s="4">
        <v>7001</v>
      </c>
      <c r="D29" s="4" t="s">
        <v>203</v>
      </c>
      <c r="E29" s="4">
        <v>3.3</v>
      </c>
      <c r="F29" s="4" t="s">
        <v>216</v>
      </c>
      <c r="G29" s="4">
        <v>700</v>
      </c>
      <c r="H29" s="4">
        <v>200</v>
      </c>
      <c r="I29" s="4">
        <v>22</v>
      </c>
      <c r="J29" s="4">
        <v>12</v>
      </c>
      <c r="K29" s="4" t="s">
        <v>227</v>
      </c>
      <c r="L29" s="81">
        <f t="shared" si="0"/>
        <v>4.5454545454545459</v>
      </c>
      <c r="M29" s="79">
        <f t="shared" si="1"/>
        <v>7.7067463558845244</v>
      </c>
      <c r="N29" s="4" t="str">
        <f t="shared" si="2"/>
        <v>OK</v>
      </c>
      <c r="O29" s="80">
        <f t="shared" si="3"/>
        <v>54.666666666666664</v>
      </c>
      <c r="P29" s="79">
        <f t="shared" si="4"/>
        <v>75.966499793718882</v>
      </c>
      <c r="Q29" s="4" t="str">
        <f t="shared" si="5"/>
        <v>OK</v>
      </c>
    </row>
    <row r="30" spans="3:17" x14ac:dyDescent="0.25">
      <c r="C30" s="4">
        <v>7002</v>
      </c>
      <c r="D30" s="4" t="s">
        <v>203</v>
      </c>
      <c r="E30" s="4">
        <v>3.3</v>
      </c>
      <c r="F30" s="4" t="s">
        <v>216</v>
      </c>
      <c r="G30" s="4">
        <v>700</v>
      </c>
      <c r="H30" s="4">
        <v>250</v>
      </c>
      <c r="I30" s="4">
        <v>22</v>
      </c>
      <c r="J30" s="4">
        <v>12</v>
      </c>
      <c r="K30" s="4" t="s">
        <v>227</v>
      </c>
      <c r="L30" s="81">
        <f t="shared" si="0"/>
        <v>5.6818181818181817</v>
      </c>
      <c r="M30" s="79">
        <f t="shared" si="1"/>
        <v>7.7067463558845244</v>
      </c>
      <c r="N30" s="4" t="str">
        <f t="shared" si="2"/>
        <v>OK</v>
      </c>
      <c r="O30" s="80">
        <f t="shared" si="3"/>
        <v>54.666666666666664</v>
      </c>
      <c r="P30" s="79">
        <f t="shared" si="4"/>
        <v>75.966499793718882</v>
      </c>
      <c r="Q30" s="4" t="str">
        <f t="shared" si="5"/>
        <v>OK</v>
      </c>
    </row>
    <row r="31" spans="3:17" x14ac:dyDescent="0.25">
      <c r="C31" s="4">
        <v>7003</v>
      </c>
      <c r="D31" s="4" t="s">
        <v>203</v>
      </c>
      <c r="E31" s="4">
        <v>3.3</v>
      </c>
      <c r="F31" s="4" t="s">
        <v>216</v>
      </c>
      <c r="G31" s="4">
        <v>700</v>
      </c>
      <c r="H31" s="4">
        <v>300</v>
      </c>
      <c r="I31" s="4">
        <v>22</v>
      </c>
      <c r="J31" s="4">
        <v>12</v>
      </c>
      <c r="K31" s="4" t="s">
        <v>227</v>
      </c>
      <c r="L31" s="81">
        <f t="shared" si="0"/>
        <v>6.8181818181818183</v>
      </c>
      <c r="M31" s="79">
        <f t="shared" si="1"/>
        <v>7.7067463558845244</v>
      </c>
      <c r="N31" s="4" t="str">
        <f t="shared" si="2"/>
        <v>OK</v>
      </c>
      <c r="O31" s="80">
        <f t="shared" si="3"/>
        <v>54.666666666666664</v>
      </c>
      <c r="P31" s="79">
        <f t="shared" si="4"/>
        <v>75.966499793718882</v>
      </c>
      <c r="Q31" s="4" t="str">
        <f t="shared" si="5"/>
        <v>OK</v>
      </c>
    </row>
    <row r="32" spans="3:17" x14ac:dyDescent="0.25">
      <c r="C32" s="4">
        <v>7004</v>
      </c>
      <c r="D32" s="4" t="s">
        <v>203</v>
      </c>
      <c r="E32" s="4">
        <v>3.3</v>
      </c>
      <c r="F32" s="4" t="s">
        <v>216</v>
      </c>
      <c r="G32" s="4">
        <v>700</v>
      </c>
      <c r="H32" s="4">
        <v>300</v>
      </c>
      <c r="I32" s="4">
        <v>28</v>
      </c>
      <c r="J32" s="4">
        <v>16</v>
      </c>
      <c r="K32" s="4" t="s">
        <v>227</v>
      </c>
      <c r="L32" s="81">
        <f t="shared" si="0"/>
        <v>5.3571428571428568</v>
      </c>
      <c r="M32" s="79">
        <f t="shared" si="1"/>
        <v>7.7067463558845244</v>
      </c>
      <c r="N32" s="4" t="str">
        <f t="shared" si="2"/>
        <v>OK</v>
      </c>
      <c r="O32" s="80">
        <f t="shared" si="3"/>
        <v>40.25</v>
      </c>
      <c r="P32" s="79">
        <f t="shared" si="4"/>
        <v>75.966499793718882</v>
      </c>
      <c r="Q32" s="4" t="str">
        <f t="shared" si="5"/>
        <v>OK</v>
      </c>
    </row>
    <row r="33" spans="3:17" x14ac:dyDescent="0.25">
      <c r="C33" s="4">
        <v>7005</v>
      </c>
      <c r="D33" s="4" t="s">
        <v>203</v>
      </c>
      <c r="E33" s="4">
        <v>3.3</v>
      </c>
      <c r="F33" s="4" t="s">
        <v>216</v>
      </c>
      <c r="G33" s="4">
        <v>700</v>
      </c>
      <c r="H33" s="4">
        <v>350</v>
      </c>
      <c r="I33" s="4">
        <v>28</v>
      </c>
      <c r="J33" s="4">
        <v>16</v>
      </c>
      <c r="K33" s="4" t="s">
        <v>227</v>
      </c>
      <c r="L33" s="81">
        <f t="shared" si="0"/>
        <v>6.25</v>
      </c>
      <c r="M33" s="79">
        <f t="shared" si="1"/>
        <v>7.7067463558845244</v>
      </c>
      <c r="N33" s="4" t="str">
        <f t="shared" si="2"/>
        <v>OK</v>
      </c>
      <c r="O33" s="80">
        <f t="shared" si="3"/>
        <v>40.25</v>
      </c>
      <c r="P33" s="79">
        <f t="shared" si="4"/>
        <v>75.966499793718882</v>
      </c>
      <c r="Q33" s="4" t="str">
        <f t="shared" si="5"/>
        <v>OK</v>
      </c>
    </row>
    <row r="34" spans="3:17" x14ac:dyDescent="0.25">
      <c r="C34" s="4">
        <v>7006</v>
      </c>
      <c r="D34" s="4" t="s">
        <v>203</v>
      </c>
      <c r="E34" s="4">
        <v>3.3</v>
      </c>
      <c r="F34" s="4" t="s">
        <v>216</v>
      </c>
      <c r="G34" s="4">
        <v>700</v>
      </c>
      <c r="H34" s="4">
        <v>300</v>
      </c>
      <c r="I34" s="4">
        <v>32</v>
      </c>
      <c r="J34" s="4">
        <v>19</v>
      </c>
      <c r="K34" s="4" t="s">
        <v>227</v>
      </c>
      <c r="L34" s="81">
        <f t="shared" si="0"/>
        <v>4.6875</v>
      </c>
      <c r="M34" s="79">
        <f t="shared" si="1"/>
        <v>7.7067463558845244</v>
      </c>
      <c r="N34" s="4" t="str">
        <f t="shared" si="2"/>
        <v>OK</v>
      </c>
      <c r="O34" s="80">
        <f t="shared" si="3"/>
        <v>33.473684210526315</v>
      </c>
      <c r="P34" s="79">
        <f t="shared" si="4"/>
        <v>75.966499793718882</v>
      </c>
      <c r="Q34" s="4" t="str">
        <f t="shared" si="5"/>
        <v>OK</v>
      </c>
    </row>
    <row r="35" spans="3:17" x14ac:dyDescent="0.25">
      <c r="C35" s="4">
        <v>7007</v>
      </c>
      <c r="D35" s="4" t="s">
        <v>203</v>
      </c>
      <c r="E35" s="4">
        <v>3.3</v>
      </c>
      <c r="F35" s="4" t="s">
        <v>216</v>
      </c>
      <c r="G35" s="4">
        <v>700</v>
      </c>
      <c r="H35" s="4">
        <v>350</v>
      </c>
      <c r="I35" s="4">
        <v>32</v>
      </c>
      <c r="J35" s="4">
        <v>19</v>
      </c>
      <c r="K35" s="4" t="s">
        <v>227</v>
      </c>
      <c r="L35" s="81">
        <f t="shared" si="0"/>
        <v>5.46875</v>
      </c>
      <c r="M35" s="79">
        <f t="shared" si="1"/>
        <v>7.7067463558845244</v>
      </c>
      <c r="N35" s="4" t="str">
        <f t="shared" si="2"/>
        <v>OK</v>
      </c>
      <c r="O35" s="80">
        <f t="shared" si="3"/>
        <v>33.473684210526315</v>
      </c>
      <c r="P35" s="79">
        <f t="shared" si="4"/>
        <v>75.966499793718882</v>
      </c>
      <c r="Q35" s="4" t="str">
        <f t="shared" si="5"/>
        <v>OK</v>
      </c>
    </row>
    <row r="36" spans="3:17" x14ac:dyDescent="0.25">
      <c r="C36" s="4">
        <v>7008</v>
      </c>
      <c r="D36" s="4" t="s">
        <v>203</v>
      </c>
      <c r="E36" s="4">
        <v>3.3</v>
      </c>
      <c r="F36" s="4" t="s">
        <v>216</v>
      </c>
      <c r="G36" s="4">
        <v>700</v>
      </c>
      <c r="H36" s="4">
        <v>300</v>
      </c>
      <c r="I36" s="4">
        <v>40</v>
      </c>
      <c r="J36" s="4">
        <v>22</v>
      </c>
      <c r="K36" s="4" t="s">
        <v>227</v>
      </c>
      <c r="L36" s="81">
        <f t="shared" si="0"/>
        <v>3.75</v>
      </c>
      <c r="M36" s="79">
        <f t="shared" si="1"/>
        <v>7.7067463558845244</v>
      </c>
      <c r="N36" s="4" t="str">
        <f t="shared" si="2"/>
        <v>OK</v>
      </c>
      <c r="O36" s="80">
        <f t="shared" si="3"/>
        <v>28.181818181818183</v>
      </c>
      <c r="P36" s="79">
        <f t="shared" si="4"/>
        <v>75.966499793718882</v>
      </c>
      <c r="Q36" s="4" t="str">
        <f t="shared" si="5"/>
        <v>OK</v>
      </c>
    </row>
    <row r="37" spans="3:17" x14ac:dyDescent="0.25">
      <c r="C37" s="4">
        <v>7009</v>
      </c>
      <c r="D37" s="4" t="s">
        <v>203</v>
      </c>
      <c r="E37" s="4">
        <v>3.3</v>
      </c>
      <c r="F37" s="4" t="s">
        <v>216</v>
      </c>
      <c r="G37" s="4">
        <v>700</v>
      </c>
      <c r="H37" s="4">
        <v>350</v>
      </c>
      <c r="I37" s="4">
        <v>40</v>
      </c>
      <c r="J37" s="4">
        <v>22</v>
      </c>
      <c r="K37" s="4" t="s">
        <v>227</v>
      </c>
      <c r="L37" s="81">
        <f t="shared" si="0"/>
        <v>4.375</v>
      </c>
      <c r="M37" s="79">
        <f t="shared" si="1"/>
        <v>7.7067463558845244</v>
      </c>
      <c r="N37" s="4" t="str">
        <f t="shared" si="2"/>
        <v>OK</v>
      </c>
      <c r="O37" s="80">
        <f t="shared" si="3"/>
        <v>28.181818181818183</v>
      </c>
      <c r="P37" s="79">
        <f t="shared" si="4"/>
        <v>75.966499793718882</v>
      </c>
      <c r="Q37" s="4" t="str">
        <f t="shared" si="5"/>
        <v>OK</v>
      </c>
    </row>
    <row r="38" spans="3:17" x14ac:dyDescent="0.25">
      <c r="C38" s="4">
        <v>7010</v>
      </c>
      <c r="D38" s="4" t="s">
        <v>203</v>
      </c>
      <c r="E38" s="4">
        <v>3.3</v>
      </c>
      <c r="F38" s="4" t="s">
        <v>216</v>
      </c>
      <c r="G38" s="4">
        <v>700</v>
      </c>
      <c r="H38" s="4">
        <v>350</v>
      </c>
      <c r="I38" s="4">
        <v>45</v>
      </c>
      <c r="J38" s="4">
        <v>25</v>
      </c>
      <c r="K38" s="4" t="s">
        <v>227</v>
      </c>
      <c r="L38" s="81">
        <f t="shared" si="0"/>
        <v>3.8888888888888888</v>
      </c>
      <c r="M38" s="79">
        <f t="shared" si="1"/>
        <v>7.7067463558845244</v>
      </c>
      <c r="N38" s="4" t="str">
        <f t="shared" si="2"/>
        <v>OK</v>
      </c>
      <c r="O38" s="80">
        <f t="shared" si="3"/>
        <v>24.4</v>
      </c>
      <c r="P38" s="79">
        <f t="shared" si="4"/>
        <v>75.966499793718882</v>
      </c>
      <c r="Q38" s="4" t="str">
        <f t="shared" si="5"/>
        <v>OK</v>
      </c>
    </row>
    <row r="39" spans="3:17" x14ac:dyDescent="0.25">
      <c r="C39" s="4">
        <v>7011</v>
      </c>
      <c r="D39" s="4" t="s">
        <v>203</v>
      </c>
      <c r="E39" s="4">
        <v>3.3</v>
      </c>
      <c r="F39" s="4" t="s">
        <v>216</v>
      </c>
      <c r="G39" s="4">
        <v>700</v>
      </c>
      <c r="H39" s="4">
        <v>350</v>
      </c>
      <c r="I39" s="4">
        <v>50</v>
      </c>
      <c r="J39" s="4">
        <v>28</v>
      </c>
      <c r="K39" s="4" t="s">
        <v>227</v>
      </c>
      <c r="L39" s="81">
        <f t="shared" si="0"/>
        <v>3.5</v>
      </c>
      <c r="M39" s="79">
        <f t="shared" si="1"/>
        <v>7.7067463558845244</v>
      </c>
      <c r="N39" s="4" t="str">
        <f t="shared" si="2"/>
        <v>OK</v>
      </c>
      <c r="O39" s="80">
        <f t="shared" si="3"/>
        <v>21.428571428571427</v>
      </c>
      <c r="P39" s="79">
        <f t="shared" si="4"/>
        <v>75.966499793718882</v>
      </c>
      <c r="Q39" s="4" t="str">
        <f t="shared" si="5"/>
        <v>OK</v>
      </c>
    </row>
    <row r="40" spans="3:17" x14ac:dyDescent="0.25">
      <c r="C40" s="4">
        <v>7501</v>
      </c>
      <c r="D40" s="4" t="s">
        <v>203</v>
      </c>
      <c r="E40" s="4">
        <v>3.3</v>
      </c>
      <c r="F40" s="4" t="s">
        <v>216</v>
      </c>
      <c r="G40" s="4">
        <v>750</v>
      </c>
      <c r="H40" s="4">
        <v>200</v>
      </c>
      <c r="I40" s="4">
        <v>22</v>
      </c>
      <c r="J40" s="4">
        <v>12</v>
      </c>
      <c r="K40" s="4" t="s">
        <v>227</v>
      </c>
      <c r="L40" s="81">
        <f t="shared" si="0"/>
        <v>4.5454545454545459</v>
      </c>
      <c r="M40" s="79">
        <f t="shared" si="1"/>
        <v>7.7067463558845244</v>
      </c>
      <c r="N40" s="4" t="str">
        <f t="shared" si="2"/>
        <v>OK</v>
      </c>
      <c r="O40" s="80">
        <f t="shared" si="3"/>
        <v>58.833333333333336</v>
      </c>
      <c r="P40" s="79">
        <f t="shared" si="4"/>
        <v>75.966499793718882</v>
      </c>
      <c r="Q40" s="4" t="str">
        <f t="shared" si="5"/>
        <v>OK</v>
      </c>
    </row>
    <row r="41" spans="3:17" x14ac:dyDescent="0.25">
      <c r="C41" s="4">
        <v>7502</v>
      </c>
      <c r="D41" s="4" t="s">
        <v>203</v>
      </c>
      <c r="E41" s="4">
        <v>3.3</v>
      </c>
      <c r="F41" s="4" t="s">
        <v>216</v>
      </c>
      <c r="G41" s="4">
        <v>750</v>
      </c>
      <c r="H41" s="4">
        <v>250</v>
      </c>
      <c r="I41" s="4">
        <v>22</v>
      </c>
      <c r="J41" s="4">
        <v>12</v>
      </c>
      <c r="K41" s="4" t="s">
        <v>227</v>
      </c>
      <c r="L41" s="81">
        <f t="shared" si="0"/>
        <v>5.6818181818181817</v>
      </c>
      <c r="M41" s="79">
        <f t="shared" si="1"/>
        <v>7.7067463558845244</v>
      </c>
      <c r="N41" s="4" t="str">
        <f t="shared" si="2"/>
        <v>OK</v>
      </c>
      <c r="O41" s="80">
        <f t="shared" si="3"/>
        <v>58.833333333333336</v>
      </c>
      <c r="P41" s="79">
        <f t="shared" si="4"/>
        <v>75.966499793718882</v>
      </c>
      <c r="Q41" s="4" t="str">
        <f t="shared" si="5"/>
        <v>OK</v>
      </c>
    </row>
    <row r="42" spans="3:17" x14ac:dyDescent="0.25">
      <c r="C42" s="4">
        <v>7503</v>
      </c>
      <c r="D42" s="4" t="s">
        <v>203</v>
      </c>
      <c r="E42" s="4">
        <v>3.3</v>
      </c>
      <c r="F42" s="4" t="s">
        <v>216</v>
      </c>
      <c r="G42" s="4">
        <v>750</v>
      </c>
      <c r="H42" s="4">
        <v>300</v>
      </c>
      <c r="I42" s="4">
        <v>22</v>
      </c>
      <c r="J42" s="4">
        <v>12</v>
      </c>
      <c r="K42" s="4" t="s">
        <v>227</v>
      </c>
      <c r="L42" s="81">
        <f t="shared" si="0"/>
        <v>6.8181818181818183</v>
      </c>
      <c r="M42" s="79">
        <f t="shared" si="1"/>
        <v>7.7067463558845244</v>
      </c>
      <c r="N42" s="4" t="str">
        <f t="shared" si="2"/>
        <v>OK</v>
      </c>
      <c r="O42" s="80">
        <f t="shared" si="3"/>
        <v>58.833333333333336</v>
      </c>
      <c r="P42" s="79">
        <f t="shared" si="4"/>
        <v>75.966499793718882</v>
      </c>
      <c r="Q42" s="4" t="str">
        <f t="shared" si="5"/>
        <v>OK</v>
      </c>
    </row>
    <row r="43" spans="3:17" x14ac:dyDescent="0.25">
      <c r="C43" s="4">
        <v>7504</v>
      </c>
      <c r="D43" s="4" t="s">
        <v>203</v>
      </c>
      <c r="E43" s="4">
        <v>3.3</v>
      </c>
      <c r="F43" s="4" t="s">
        <v>216</v>
      </c>
      <c r="G43" s="4">
        <v>750</v>
      </c>
      <c r="H43" s="4">
        <v>300</v>
      </c>
      <c r="I43" s="4">
        <v>28</v>
      </c>
      <c r="J43" s="4">
        <v>16</v>
      </c>
      <c r="K43" s="4" t="s">
        <v>227</v>
      </c>
      <c r="L43" s="81">
        <f t="shared" si="0"/>
        <v>5.3571428571428568</v>
      </c>
      <c r="M43" s="79">
        <f t="shared" si="1"/>
        <v>7.7067463558845244</v>
      </c>
      <c r="N43" s="4" t="str">
        <f t="shared" si="2"/>
        <v>OK</v>
      </c>
      <c r="O43" s="80">
        <f t="shared" si="3"/>
        <v>43.375</v>
      </c>
      <c r="P43" s="79">
        <f t="shared" si="4"/>
        <v>75.966499793718882</v>
      </c>
      <c r="Q43" s="4" t="str">
        <f t="shared" si="5"/>
        <v>OK</v>
      </c>
    </row>
    <row r="44" spans="3:17" x14ac:dyDescent="0.25">
      <c r="C44" s="4">
        <v>7505</v>
      </c>
      <c r="D44" s="4" t="s">
        <v>203</v>
      </c>
      <c r="E44" s="4">
        <v>3.3</v>
      </c>
      <c r="F44" s="4" t="s">
        <v>216</v>
      </c>
      <c r="G44" s="4">
        <v>750</v>
      </c>
      <c r="H44" s="4">
        <v>350</v>
      </c>
      <c r="I44" s="4">
        <v>28</v>
      </c>
      <c r="J44" s="4">
        <v>16</v>
      </c>
      <c r="K44" s="4" t="s">
        <v>227</v>
      </c>
      <c r="L44" s="81">
        <f t="shared" si="0"/>
        <v>6.25</v>
      </c>
      <c r="M44" s="79">
        <f t="shared" si="1"/>
        <v>7.7067463558845244</v>
      </c>
      <c r="N44" s="4" t="str">
        <f t="shared" si="2"/>
        <v>OK</v>
      </c>
      <c r="O44" s="80">
        <f t="shared" si="3"/>
        <v>43.375</v>
      </c>
      <c r="P44" s="79">
        <f t="shared" si="4"/>
        <v>75.966499793718882</v>
      </c>
      <c r="Q44" s="4" t="str">
        <f t="shared" si="5"/>
        <v>OK</v>
      </c>
    </row>
    <row r="45" spans="3:17" x14ac:dyDescent="0.25">
      <c r="C45" s="4">
        <v>7506</v>
      </c>
      <c r="D45" s="4" t="s">
        <v>203</v>
      </c>
      <c r="E45" s="4">
        <v>3.3</v>
      </c>
      <c r="F45" s="4" t="s">
        <v>216</v>
      </c>
      <c r="G45" s="4">
        <v>750</v>
      </c>
      <c r="H45" s="4">
        <v>300</v>
      </c>
      <c r="I45" s="4">
        <v>32</v>
      </c>
      <c r="J45" s="4">
        <v>19</v>
      </c>
      <c r="K45" s="4" t="s">
        <v>227</v>
      </c>
      <c r="L45" s="81">
        <f t="shared" si="0"/>
        <v>4.6875</v>
      </c>
      <c r="M45" s="79">
        <f t="shared" si="1"/>
        <v>7.7067463558845244</v>
      </c>
      <c r="N45" s="4" t="str">
        <f t="shared" si="2"/>
        <v>OK</v>
      </c>
      <c r="O45" s="80">
        <f t="shared" si="3"/>
        <v>36.10526315789474</v>
      </c>
      <c r="P45" s="79">
        <f t="shared" si="4"/>
        <v>75.966499793718882</v>
      </c>
      <c r="Q45" s="4" t="str">
        <f t="shared" si="5"/>
        <v>OK</v>
      </c>
    </row>
    <row r="46" spans="3:17" x14ac:dyDescent="0.25">
      <c r="C46" s="4">
        <v>7507</v>
      </c>
      <c r="D46" s="4" t="s">
        <v>203</v>
      </c>
      <c r="E46" s="4">
        <v>3.3</v>
      </c>
      <c r="F46" s="4" t="s">
        <v>216</v>
      </c>
      <c r="G46" s="4">
        <v>750</v>
      </c>
      <c r="H46" s="4">
        <v>350</v>
      </c>
      <c r="I46" s="4">
        <v>32</v>
      </c>
      <c r="J46" s="4">
        <v>19</v>
      </c>
      <c r="K46" s="4" t="s">
        <v>227</v>
      </c>
      <c r="L46" s="81">
        <f t="shared" si="0"/>
        <v>5.46875</v>
      </c>
      <c r="M46" s="79">
        <f t="shared" si="1"/>
        <v>7.7067463558845244</v>
      </c>
      <c r="N46" s="4" t="str">
        <f t="shared" si="2"/>
        <v>OK</v>
      </c>
      <c r="O46" s="80">
        <f t="shared" si="3"/>
        <v>36.10526315789474</v>
      </c>
      <c r="P46" s="79">
        <f t="shared" si="4"/>
        <v>75.966499793718882</v>
      </c>
      <c r="Q46" s="4" t="str">
        <f t="shared" si="5"/>
        <v>OK</v>
      </c>
    </row>
    <row r="47" spans="3:17" x14ac:dyDescent="0.25">
      <c r="C47" s="4">
        <v>7508</v>
      </c>
      <c r="D47" s="4" t="s">
        <v>203</v>
      </c>
      <c r="E47" s="4">
        <v>3.3</v>
      </c>
      <c r="F47" s="4" t="s">
        <v>216</v>
      </c>
      <c r="G47" s="4">
        <v>750</v>
      </c>
      <c r="H47" s="4">
        <v>300</v>
      </c>
      <c r="I47" s="4">
        <v>40</v>
      </c>
      <c r="J47" s="4">
        <v>22</v>
      </c>
      <c r="K47" s="4" t="s">
        <v>227</v>
      </c>
      <c r="L47" s="81">
        <f t="shared" si="0"/>
        <v>3.75</v>
      </c>
      <c r="M47" s="79">
        <f t="shared" si="1"/>
        <v>7.7067463558845244</v>
      </c>
      <c r="N47" s="4" t="str">
        <f t="shared" si="2"/>
        <v>OK</v>
      </c>
      <c r="O47" s="80">
        <f t="shared" si="3"/>
        <v>30.454545454545453</v>
      </c>
      <c r="P47" s="79">
        <f t="shared" si="4"/>
        <v>75.966499793718882</v>
      </c>
      <c r="Q47" s="4" t="str">
        <f t="shared" si="5"/>
        <v>OK</v>
      </c>
    </row>
    <row r="48" spans="3:17" x14ac:dyDescent="0.25">
      <c r="C48" s="4">
        <v>7509</v>
      </c>
      <c r="D48" s="4" t="s">
        <v>203</v>
      </c>
      <c r="E48" s="4">
        <v>3.3</v>
      </c>
      <c r="F48" s="4" t="s">
        <v>216</v>
      </c>
      <c r="G48" s="4">
        <v>750</v>
      </c>
      <c r="H48" s="4">
        <v>350</v>
      </c>
      <c r="I48" s="4">
        <v>40</v>
      </c>
      <c r="J48" s="4">
        <v>22</v>
      </c>
      <c r="K48" s="4" t="s">
        <v>227</v>
      </c>
      <c r="L48" s="81">
        <f t="shared" si="0"/>
        <v>4.375</v>
      </c>
      <c r="M48" s="79">
        <f t="shared" si="1"/>
        <v>7.7067463558845244</v>
      </c>
      <c r="N48" s="4" t="str">
        <f t="shared" si="2"/>
        <v>OK</v>
      </c>
      <c r="O48" s="80">
        <f t="shared" si="3"/>
        <v>30.454545454545453</v>
      </c>
      <c r="P48" s="79">
        <f t="shared" si="4"/>
        <v>75.966499793718882</v>
      </c>
      <c r="Q48" s="4" t="str">
        <f t="shared" si="5"/>
        <v>OK</v>
      </c>
    </row>
    <row r="49" spans="3:17" x14ac:dyDescent="0.25">
      <c r="C49" s="4">
        <v>7510</v>
      </c>
      <c r="D49" s="4" t="s">
        <v>203</v>
      </c>
      <c r="E49" s="4">
        <v>3.3</v>
      </c>
      <c r="F49" s="4" t="s">
        <v>216</v>
      </c>
      <c r="G49" s="4">
        <v>750</v>
      </c>
      <c r="H49" s="4">
        <v>350</v>
      </c>
      <c r="I49" s="4">
        <v>45</v>
      </c>
      <c r="J49" s="4">
        <v>25</v>
      </c>
      <c r="K49" s="4" t="s">
        <v>227</v>
      </c>
      <c r="L49" s="81">
        <f t="shared" si="0"/>
        <v>3.8888888888888888</v>
      </c>
      <c r="M49" s="79">
        <f t="shared" si="1"/>
        <v>7.7067463558845244</v>
      </c>
      <c r="N49" s="4" t="str">
        <f t="shared" si="2"/>
        <v>OK</v>
      </c>
      <c r="O49" s="80">
        <f t="shared" si="3"/>
        <v>26.4</v>
      </c>
      <c r="P49" s="79">
        <f t="shared" si="4"/>
        <v>75.966499793718882</v>
      </c>
      <c r="Q49" s="4" t="str">
        <f t="shared" si="5"/>
        <v>OK</v>
      </c>
    </row>
    <row r="50" spans="3:17" x14ac:dyDescent="0.25">
      <c r="C50" s="4">
        <v>7511</v>
      </c>
      <c r="D50" s="4" t="s">
        <v>203</v>
      </c>
      <c r="E50" s="4">
        <v>3.3</v>
      </c>
      <c r="F50" s="4" t="s">
        <v>216</v>
      </c>
      <c r="G50" s="4">
        <v>700</v>
      </c>
      <c r="H50" s="4">
        <v>350</v>
      </c>
      <c r="I50" s="4">
        <v>50</v>
      </c>
      <c r="J50" s="4">
        <v>28</v>
      </c>
      <c r="K50" s="4" t="s">
        <v>227</v>
      </c>
      <c r="L50" s="81">
        <f t="shared" si="0"/>
        <v>3.5</v>
      </c>
      <c r="M50" s="79">
        <f t="shared" si="1"/>
        <v>7.7067463558845244</v>
      </c>
      <c r="N50" s="4" t="str">
        <f t="shared" si="2"/>
        <v>OK</v>
      </c>
      <c r="O50" s="80">
        <f t="shared" si="3"/>
        <v>21.428571428571427</v>
      </c>
      <c r="P50" s="79">
        <f t="shared" si="4"/>
        <v>75.966499793718882</v>
      </c>
      <c r="Q50" s="4" t="str">
        <f t="shared" si="5"/>
        <v>OK</v>
      </c>
    </row>
    <row r="51" spans="3:17" x14ac:dyDescent="0.25">
      <c r="C51" s="4">
        <v>8001</v>
      </c>
      <c r="D51" s="4" t="s">
        <v>203</v>
      </c>
      <c r="E51" s="4">
        <v>3.3</v>
      </c>
      <c r="F51" s="4" t="s">
        <v>216</v>
      </c>
      <c r="G51" s="4">
        <v>800</v>
      </c>
      <c r="H51" s="4">
        <v>200</v>
      </c>
      <c r="I51" s="4">
        <v>22</v>
      </c>
      <c r="J51" s="4">
        <v>12</v>
      </c>
      <c r="K51" s="4" t="s">
        <v>227</v>
      </c>
      <c r="L51" s="81">
        <f t="shared" si="0"/>
        <v>4.5454545454545459</v>
      </c>
      <c r="M51" s="79">
        <f t="shared" si="1"/>
        <v>7.7067463558845244</v>
      </c>
      <c r="N51" s="4" t="str">
        <f t="shared" si="2"/>
        <v>OK</v>
      </c>
      <c r="O51" s="80">
        <f t="shared" si="3"/>
        <v>63</v>
      </c>
      <c r="P51" s="79">
        <f t="shared" si="4"/>
        <v>75.966499793718882</v>
      </c>
      <c r="Q51" s="4" t="str">
        <f t="shared" si="5"/>
        <v>OK</v>
      </c>
    </row>
    <row r="52" spans="3:17" x14ac:dyDescent="0.25">
      <c r="C52" s="4">
        <v>8002</v>
      </c>
      <c r="D52" s="4" t="s">
        <v>203</v>
      </c>
      <c r="E52" s="4">
        <v>3.3</v>
      </c>
      <c r="F52" s="4" t="s">
        <v>216</v>
      </c>
      <c r="G52" s="4">
        <v>800</v>
      </c>
      <c r="H52" s="4">
        <v>250</v>
      </c>
      <c r="I52" s="4">
        <v>22</v>
      </c>
      <c r="J52" s="4">
        <v>12</v>
      </c>
      <c r="K52" s="4" t="s">
        <v>227</v>
      </c>
      <c r="L52" s="81">
        <f t="shared" si="0"/>
        <v>5.6818181818181817</v>
      </c>
      <c r="M52" s="79">
        <f t="shared" si="1"/>
        <v>7.7067463558845244</v>
      </c>
      <c r="N52" s="4" t="str">
        <f t="shared" si="2"/>
        <v>OK</v>
      </c>
      <c r="O52" s="80">
        <f t="shared" si="3"/>
        <v>63</v>
      </c>
      <c r="P52" s="79">
        <f t="shared" si="4"/>
        <v>75.966499793718882</v>
      </c>
      <c r="Q52" s="4" t="str">
        <f t="shared" si="5"/>
        <v>OK</v>
      </c>
    </row>
    <row r="53" spans="3:17" x14ac:dyDescent="0.25">
      <c r="C53" s="4">
        <v>8003</v>
      </c>
      <c r="D53" s="4" t="s">
        <v>203</v>
      </c>
      <c r="E53" s="4">
        <v>3.3</v>
      </c>
      <c r="F53" s="4" t="s">
        <v>216</v>
      </c>
      <c r="G53" s="4">
        <v>800</v>
      </c>
      <c r="H53" s="4">
        <v>300</v>
      </c>
      <c r="I53" s="4">
        <v>22</v>
      </c>
      <c r="J53" s="4">
        <v>12</v>
      </c>
      <c r="K53" s="4" t="s">
        <v>227</v>
      </c>
      <c r="L53" s="81">
        <f t="shared" ref="L53:L61" si="6">WidthThk(F53,G53,H53,I53,J53,"B")</f>
        <v>6.8181818181818183</v>
      </c>
      <c r="M53" s="79">
        <f t="shared" ref="M53:M61" si="7">LandaWidthThk(E53,F53,K53,"B")</f>
        <v>7.7067463558845244</v>
      </c>
      <c r="N53" s="4" t="str">
        <f t="shared" ref="N53:N61" si="8">IF(L53&lt;M53,"OK","NG")</f>
        <v>OK</v>
      </c>
      <c r="O53" s="80">
        <f t="shared" ref="O53:O61" si="9">WidthThk(F53,G53,H53,I53,J53,"H")</f>
        <v>63</v>
      </c>
      <c r="P53" s="79">
        <f t="shared" ref="P53:P61" si="10">LandaWidthThk(E53,F53,K53,"H")</f>
        <v>75.966499793718882</v>
      </c>
      <c r="Q53" s="4" t="str">
        <f t="shared" ref="Q53:Q61" si="11">IF(O53&lt;P53,"OK","NG")</f>
        <v>OK</v>
      </c>
    </row>
    <row r="54" spans="3:17" x14ac:dyDescent="0.25">
      <c r="C54" s="4">
        <v>8004</v>
      </c>
      <c r="D54" s="4" t="s">
        <v>203</v>
      </c>
      <c r="E54" s="4">
        <v>3.3</v>
      </c>
      <c r="F54" s="4" t="s">
        <v>216</v>
      </c>
      <c r="G54" s="4">
        <v>800</v>
      </c>
      <c r="H54" s="4">
        <v>300</v>
      </c>
      <c r="I54" s="4">
        <v>28</v>
      </c>
      <c r="J54" s="4">
        <v>16</v>
      </c>
      <c r="K54" s="4" t="s">
        <v>227</v>
      </c>
      <c r="L54" s="81">
        <f t="shared" si="6"/>
        <v>5.3571428571428568</v>
      </c>
      <c r="M54" s="79">
        <f t="shared" si="7"/>
        <v>7.7067463558845244</v>
      </c>
      <c r="N54" s="4" t="str">
        <f t="shared" si="8"/>
        <v>OK</v>
      </c>
      <c r="O54" s="80">
        <f t="shared" si="9"/>
        <v>46.5</v>
      </c>
      <c r="P54" s="79">
        <f t="shared" si="10"/>
        <v>75.966499793718882</v>
      </c>
      <c r="Q54" s="4" t="str">
        <f t="shared" si="11"/>
        <v>OK</v>
      </c>
    </row>
    <row r="55" spans="3:17" x14ac:dyDescent="0.25">
      <c r="C55" s="4">
        <v>8005</v>
      </c>
      <c r="D55" s="4" t="s">
        <v>203</v>
      </c>
      <c r="E55" s="4">
        <v>3.3</v>
      </c>
      <c r="F55" s="4" t="s">
        <v>216</v>
      </c>
      <c r="G55" s="4">
        <v>800</v>
      </c>
      <c r="H55" s="4">
        <v>350</v>
      </c>
      <c r="I55" s="4">
        <v>28</v>
      </c>
      <c r="J55" s="4">
        <v>16</v>
      </c>
      <c r="K55" s="4" t="s">
        <v>227</v>
      </c>
      <c r="L55" s="81">
        <f t="shared" si="6"/>
        <v>6.25</v>
      </c>
      <c r="M55" s="79">
        <f t="shared" si="7"/>
        <v>7.7067463558845244</v>
      </c>
      <c r="N55" s="4" t="str">
        <f t="shared" si="8"/>
        <v>OK</v>
      </c>
      <c r="O55" s="80">
        <f t="shared" si="9"/>
        <v>46.5</v>
      </c>
      <c r="P55" s="79">
        <f t="shared" si="10"/>
        <v>75.966499793718882</v>
      </c>
      <c r="Q55" s="4" t="str">
        <f t="shared" si="11"/>
        <v>OK</v>
      </c>
    </row>
    <row r="56" spans="3:17" x14ac:dyDescent="0.25">
      <c r="C56" s="4">
        <v>8006</v>
      </c>
      <c r="D56" s="4" t="s">
        <v>203</v>
      </c>
      <c r="E56" s="4">
        <v>3.3</v>
      </c>
      <c r="F56" s="4" t="s">
        <v>216</v>
      </c>
      <c r="G56" s="4">
        <v>800</v>
      </c>
      <c r="H56" s="4">
        <v>300</v>
      </c>
      <c r="I56" s="4">
        <v>32</v>
      </c>
      <c r="J56" s="4">
        <v>19</v>
      </c>
      <c r="K56" s="4" t="s">
        <v>227</v>
      </c>
      <c r="L56" s="81">
        <f t="shared" si="6"/>
        <v>4.6875</v>
      </c>
      <c r="M56" s="79">
        <f t="shared" si="7"/>
        <v>7.7067463558845244</v>
      </c>
      <c r="N56" s="4" t="str">
        <f t="shared" si="8"/>
        <v>OK</v>
      </c>
      <c r="O56" s="80">
        <f t="shared" si="9"/>
        <v>38.736842105263158</v>
      </c>
      <c r="P56" s="79">
        <f t="shared" si="10"/>
        <v>75.966499793718882</v>
      </c>
      <c r="Q56" s="4" t="str">
        <f t="shared" si="11"/>
        <v>OK</v>
      </c>
    </row>
    <row r="57" spans="3:17" x14ac:dyDescent="0.25">
      <c r="C57" s="4">
        <v>8007</v>
      </c>
      <c r="D57" s="4" t="s">
        <v>203</v>
      </c>
      <c r="E57" s="4">
        <v>3.3</v>
      </c>
      <c r="F57" s="4" t="s">
        <v>216</v>
      </c>
      <c r="G57" s="4">
        <v>800</v>
      </c>
      <c r="H57" s="4">
        <v>350</v>
      </c>
      <c r="I57" s="4">
        <v>32</v>
      </c>
      <c r="J57" s="4">
        <v>19</v>
      </c>
      <c r="K57" s="4" t="s">
        <v>227</v>
      </c>
      <c r="L57" s="81">
        <f t="shared" si="6"/>
        <v>5.46875</v>
      </c>
      <c r="M57" s="79">
        <f t="shared" si="7"/>
        <v>7.7067463558845244</v>
      </c>
      <c r="N57" s="4" t="str">
        <f t="shared" si="8"/>
        <v>OK</v>
      </c>
      <c r="O57" s="80">
        <f t="shared" si="9"/>
        <v>38.736842105263158</v>
      </c>
      <c r="P57" s="79">
        <f t="shared" si="10"/>
        <v>75.966499793718882</v>
      </c>
      <c r="Q57" s="4" t="str">
        <f t="shared" si="11"/>
        <v>OK</v>
      </c>
    </row>
    <row r="58" spans="3:17" x14ac:dyDescent="0.25">
      <c r="C58" s="4">
        <v>8008</v>
      </c>
      <c r="D58" s="4" t="s">
        <v>203</v>
      </c>
      <c r="E58" s="4">
        <v>3.3</v>
      </c>
      <c r="F58" s="4" t="s">
        <v>216</v>
      </c>
      <c r="G58" s="4">
        <v>800</v>
      </c>
      <c r="H58" s="4">
        <v>300</v>
      </c>
      <c r="I58" s="4">
        <v>40</v>
      </c>
      <c r="J58" s="4">
        <v>22</v>
      </c>
      <c r="K58" s="4" t="s">
        <v>227</v>
      </c>
      <c r="L58" s="81">
        <f t="shared" si="6"/>
        <v>3.75</v>
      </c>
      <c r="M58" s="79">
        <f t="shared" si="7"/>
        <v>7.7067463558845244</v>
      </c>
      <c r="N58" s="4" t="str">
        <f t="shared" si="8"/>
        <v>OK</v>
      </c>
      <c r="O58" s="80">
        <f t="shared" si="9"/>
        <v>32.727272727272727</v>
      </c>
      <c r="P58" s="79">
        <f t="shared" si="10"/>
        <v>75.966499793718882</v>
      </c>
      <c r="Q58" s="4" t="str">
        <f t="shared" si="11"/>
        <v>OK</v>
      </c>
    </row>
    <row r="59" spans="3:17" x14ac:dyDescent="0.25">
      <c r="C59" s="4">
        <v>8009</v>
      </c>
      <c r="D59" s="4" t="s">
        <v>203</v>
      </c>
      <c r="E59" s="4">
        <v>3.3</v>
      </c>
      <c r="F59" s="4" t="s">
        <v>216</v>
      </c>
      <c r="G59" s="4">
        <v>800</v>
      </c>
      <c r="H59" s="4">
        <v>350</v>
      </c>
      <c r="I59" s="4">
        <v>40</v>
      </c>
      <c r="J59" s="4">
        <v>22</v>
      </c>
      <c r="K59" s="4" t="s">
        <v>227</v>
      </c>
      <c r="L59" s="81">
        <f t="shared" si="6"/>
        <v>4.375</v>
      </c>
      <c r="M59" s="79">
        <f t="shared" si="7"/>
        <v>7.7067463558845244</v>
      </c>
      <c r="N59" s="4" t="str">
        <f t="shared" si="8"/>
        <v>OK</v>
      </c>
      <c r="O59" s="80">
        <f t="shared" si="9"/>
        <v>32.727272727272727</v>
      </c>
      <c r="P59" s="79">
        <f t="shared" si="10"/>
        <v>75.966499793718882</v>
      </c>
      <c r="Q59" s="4" t="str">
        <f t="shared" si="11"/>
        <v>OK</v>
      </c>
    </row>
    <row r="60" spans="3:17" x14ac:dyDescent="0.25">
      <c r="C60" s="4">
        <v>8010</v>
      </c>
      <c r="D60" s="4" t="s">
        <v>203</v>
      </c>
      <c r="E60" s="4">
        <v>3.3</v>
      </c>
      <c r="F60" s="4" t="s">
        <v>216</v>
      </c>
      <c r="G60" s="4">
        <v>800</v>
      </c>
      <c r="H60" s="4">
        <v>350</v>
      </c>
      <c r="I60" s="4">
        <v>45</v>
      </c>
      <c r="J60" s="4">
        <v>25</v>
      </c>
      <c r="K60" s="4" t="s">
        <v>227</v>
      </c>
      <c r="L60" s="81">
        <f t="shared" si="6"/>
        <v>3.8888888888888888</v>
      </c>
      <c r="M60" s="79">
        <f t="shared" si="7"/>
        <v>7.7067463558845244</v>
      </c>
      <c r="N60" s="4" t="str">
        <f t="shared" si="8"/>
        <v>OK</v>
      </c>
      <c r="O60" s="80">
        <f t="shared" si="9"/>
        <v>28.4</v>
      </c>
      <c r="P60" s="79">
        <f t="shared" si="10"/>
        <v>75.966499793718882</v>
      </c>
      <c r="Q60" s="4" t="str">
        <f t="shared" si="11"/>
        <v>OK</v>
      </c>
    </row>
    <row r="61" spans="3:17" x14ac:dyDescent="0.25">
      <c r="C61" s="4">
        <v>8011</v>
      </c>
      <c r="D61" s="4" t="s">
        <v>203</v>
      </c>
      <c r="E61" s="4">
        <v>3.3</v>
      </c>
      <c r="F61" s="4" t="s">
        <v>216</v>
      </c>
      <c r="G61" s="4">
        <v>800</v>
      </c>
      <c r="H61" s="4">
        <v>350</v>
      </c>
      <c r="I61" s="4">
        <v>50</v>
      </c>
      <c r="J61" s="4">
        <v>28</v>
      </c>
      <c r="K61" s="4" t="s">
        <v>227</v>
      </c>
      <c r="L61" s="81">
        <f t="shared" si="6"/>
        <v>3.5</v>
      </c>
      <c r="M61" s="79">
        <f t="shared" si="7"/>
        <v>7.7067463558845244</v>
      </c>
      <c r="N61" s="4" t="str">
        <f t="shared" si="8"/>
        <v>OK</v>
      </c>
      <c r="O61" s="80">
        <f t="shared" si="9"/>
        <v>25</v>
      </c>
      <c r="P61" s="79">
        <f t="shared" si="10"/>
        <v>75.966499793718882</v>
      </c>
      <c r="Q61" s="4" t="str">
        <f t="shared" si="11"/>
        <v>OK</v>
      </c>
    </row>
    <row r="62" spans="3:17" x14ac:dyDescent="0.25">
      <c r="C62" s="4">
        <v>8501</v>
      </c>
      <c r="D62" s="4" t="s">
        <v>203</v>
      </c>
      <c r="E62" s="4">
        <v>3.3</v>
      </c>
      <c r="F62" s="4" t="s">
        <v>216</v>
      </c>
      <c r="G62" s="4">
        <v>850</v>
      </c>
      <c r="H62" s="4">
        <v>200</v>
      </c>
      <c r="I62" s="4">
        <v>22</v>
      </c>
      <c r="J62" s="4">
        <v>12</v>
      </c>
      <c r="K62" s="4" t="s">
        <v>227</v>
      </c>
      <c r="L62" s="81">
        <f t="shared" ref="L62:L63" si="12">WidthThk(F62,G62,H62,I62,J62,"B")</f>
        <v>4.5454545454545459</v>
      </c>
      <c r="M62" s="79">
        <f>LandaWidthThk(E62,F62,K62,"B")</f>
        <v>7.7067463558845244</v>
      </c>
      <c r="N62" s="4" t="str">
        <f>IF(L62&lt;M62,"OK","NG")</f>
        <v>OK</v>
      </c>
      <c r="O62" s="80">
        <f>WidthThk(F62,G62,H62,I62,J62,"H")</f>
        <v>67.166666666666671</v>
      </c>
      <c r="P62" s="79">
        <f>LandaWidthThk(E62,F62,K62,"H")</f>
        <v>75.966499793718882</v>
      </c>
      <c r="Q62" s="4" t="str">
        <f t="shared" ref="Q62:Q63" si="13">IF(O62&lt;P62,"OK","NG")</f>
        <v>OK</v>
      </c>
    </row>
    <row r="63" spans="3:17" x14ac:dyDescent="0.25">
      <c r="C63" s="4">
        <v>8502</v>
      </c>
      <c r="D63" s="4" t="s">
        <v>203</v>
      </c>
      <c r="E63" s="4">
        <v>3.3</v>
      </c>
      <c r="F63" s="4" t="s">
        <v>216</v>
      </c>
      <c r="G63" s="4">
        <v>850</v>
      </c>
      <c r="H63" s="4">
        <v>250</v>
      </c>
      <c r="I63" s="4">
        <v>22</v>
      </c>
      <c r="J63" s="4">
        <v>12</v>
      </c>
      <c r="K63" s="4" t="s">
        <v>227</v>
      </c>
      <c r="L63" s="81">
        <f t="shared" si="12"/>
        <v>5.6818181818181817</v>
      </c>
      <c r="M63" s="79">
        <f t="shared" ref="M63" si="14">LandaWidthThk(E63,F63,K63,"B")</f>
        <v>7.7067463558845244</v>
      </c>
      <c r="N63" s="4" t="str">
        <f t="shared" ref="N63" si="15">IF(L63&lt;M63,"OK","NG")</f>
        <v>OK</v>
      </c>
      <c r="O63" s="80">
        <f>WidthThk(F63,G63,H63,I63,J63,"H")</f>
        <v>67.166666666666671</v>
      </c>
      <c r="P63" s="79">
        <f>LandaWidthThk(E63,F63,K63,"H")</f>
        <v>75.966499793718882</v>
      </c>
      <c r="Q63" s="4" t="str">
        <f t="shared" si="13"/>
        <v>OK</v>
      </c>
    </row>
    <row r="64" spans="3:17" x14ac:dyDescent="0.25">
      <c r="C64" s="4">
        <v>8503</v>
      </c>
      <c r="D64" s="4" t="s">
        <v>203</v>
      </c>
      <c r="E64" s="4">
        <v>3.3</v>
      </c>
      <c r="F64" s="4" t="s">
        <v>216</v>
      </c>
      <c r="G64" s="4">
        <v>850</v>
      </c>
      <c r="H64" s="4">
        <v>300</v>
      </c>
      <c r="I64" s="4">
        <v>22</v>
      </c>
      <c r="J64" s="4">
        <v>12</v>
      </c>
      <c r="K64" s="4" t="s">
        <v>227</v>
      </c>
      <c r="L64" s="81">
        <f t="shared" ref="L64:L127" si="16">WidthThk(F64,G64,H64,I64,J64,"B")</f>
        <v>6.8181818181818183</v>
      </c>
      <c r="M64" s="79">
        <f t="shared" ref="M64:M127" si="17">LandaWidthThk(E64,F64,K64,"B")</f>
        <v>7.7067463558845244</v>
      </c>
      <c r="N64" s="4" t="str">
        <f t="shared" ref="N64:N127" si="18">IF(L64&lt;M64,"OK","NG")</f>
        <v>OK</v>
      </c>
      <c r="O64" s="80">
        <f t="shared" ref="O64:O127" si="19">WidthThk(F64,G64,H64,I64,J64,"H")</f>
        <v>67.166666666666671</v>
      </c>
      <c r="P64" s="79">
        <f t="shared" ref="P64:P127" si="20">LandaWidthThk(E64,F64,K64,"H")</f>
        <v>75.966499793718882</v>
      </c>
      <c r="Q64" s="4" t="str">
        <f t="shared" ref="Q64:Q127" si="21">IF(O64&lt;P64,"OK","NG")</f>
        <v>OK</v>
      </c>
    </row>
    <row r="65" spans="3:17" x14ac:dyDescent="0.25">
      <c r="C65" s="4">
        <v>8504</v>
      </c>
      <c r="D65" s="4" t="s">
        <v>203</v>
      </c>
      <c r="E65" s="4">
        <v>3.3</v>
      </c>
      <c r="F65" s="4" t="s">
        <v>216</v>
      </c>
      <c r="G65" s="4">
        <v>850</v>
      </c>
      <c r="H65" s="4">
        <v>300</v>
      </c>
      <c r="I65" s="4">
        <v>28</v>
      </c>
      <c r="J65" s="4">
        <v>16</v>
      </c>
      <c r="K65" s="4" t="s">
        <v>227</v>
      </c>
      <c r="L65" s="81">
        <f t="shared" si="16"/>
        <v>5.3571428571428568</v>
      </c>
      <c r="M65" s="79">
        <f t="shared" si="17"/>
        <v>7.7067463558845244</v>
      </c>
      <c r="N65" s="4" t="str">
        <f t="shared" si="18"/>
        <v>OK</v>
      </c>
      <c r="O65" s="80">
        <f t="shared" si="19"/>
        <v>49.625</v>
      </c>
      <c r="P65" s="79">
        <f t="shared" si="20"/>
        <v>75.966499793718882</v>
      </c>
      <c r="Q65" s="4" t="str">
        <f t="shared" si="21"/>
        <v>OK</v>
      </c>
    </row>
    <row r="66" spans="3:17" x14ac:dyDescent="0.25">
      <c r="C66" s="4">
        <v>8505</v>
      </c>
      <c r="D66" s="4" t="s">
        <v>203</v>
      </c>
      <c r="E66" s="4">
        <v>3.3</v>
      </c>
      <c r="F66" s="4" t="s">
        <v>216</v>
      </c>
      <c r="G66" s="4">
        <v>850</v>
      </c>
      <c r="H66" s="4">
        <v>350</v>
      </c>
      <c r="I66" s="4">
        <v>28</v>
      </c>
      <c r="J66" s="4">
        <v>16</v>
      </c>
      <c r="K66" s="4" t="s">
        <v>227</v>
      </c>
      <c r="L66" s="81">
        <f t="shared" si="16"/>
        <v>6.25</v>
      </c>
      <c r="M66" s="79">
        <f t="shared" si="17"/>
        <v>7.7067463558845244</v>
      </c>
      <c r="N66" s="4" t="str">
        <f t="shared" si="18"/>
        <v>OK</v>
      </c>
      <c r="O66" s="80">
        <f t="shared" si="19"/>
        <v>49.625</v>
      </c>
      <c r="P66" s="79">
        <f t="shared" si="20"/>
        <v>75.966499793718882</v>
      </c>
      <c r="Q66" s="4" t="str">
        <f t="shared" si="21"/>
        <v>OK</v>
      </c>
    </row>
    <row r="67" spans="3:17" x14ac:dyDescent="0.25">
      <c r="C67" s="4">
        <v>8506</v>
      </c>
      <c r="D67" s="4" t="s">
        <v>203</v>
      </c>
      <c r="E67" s="4">
        <v>3.3</v>
      </c>
      <c r="F67" s="4" t="s">
        <v>216</v>
      </c>
      <c r="G67" s="4">
        <v>850</v>
      </c>
      <c r="H67" s="4">
        <v>300</v>
      </c>
      <c r="I67" s="4">
        <v>32</v>
      </c>
      <c r="J67" s="4">
        <v>19</v>
      </c>
      <c r="K67" s="4" t="s">
        <v>227</v>
      </c>
      <c r="L67" s="81">
        <f t="shared" si="16"/>
        <v>4.6875</v>
      </c>
      <c r="M67" s="79">
        <f t="shared" si="17"/>
        <v>7.7067463558845244</v>
      </c>
      <c r="N67" s="4" t="str">
        <f t="shared" si="18"/>
        <v>OK</v>
      </c>
      <c r="O67" s="80">
        <f t="shared" si="19"/>
        <v>41.368421052631582</v>
      </c>
      <c r="P67" s="79">
        <f t="shared" si="20"/>
        <v>75.966499793718882</v>
      </c>
      <c r="Q67" s="4" t="str">
        <f t="shared" si="21"/>
        <v>OK</v>
      </c>
    </row>
    <row r="68" spans="3:17" x14ac:dyDescent="0.25">
      <c r="C68" s="4">
        <v>8507</v>
      </c>
      <c r="D68" s="4" t="s">
        <v>203</v>
      </c>
      <c r="E68" s="4">
        <v>3.3</v>
      </c>
      <c r="F68" s="4" t="s">
        <v>216</v>
      </c>
      <c r="G68" s="4">
        <v>850</v>
      </c>
      <c r="H68" s="4">
        <v>350</v>
      </c>
      <c r="I68" s="4">
        <v>32</v>
      </c>
      <c r="J68" s="4">
        <v>19</v>
      </c>
      <c r="K68" s="4" t="s">
        <v>227</v>
      </c>
      <c r="L68" s="81">
        <f t="shared" si="16"/>
        <v>5.46875</v>
      </c>
      <c r="M68" s="79">
        <f t="shared" si="17"/>
        <v>7.7067463558845244</v>
      </c>
      <c r="N68" s="4" t="str">
        <f t="shared" si="18"/>
        <v>OK</v>
      </c>
      <c r="O68" s="80">
        <f t="shared" si="19"/>
        <v>41.368421052631582</v>
      </c>
      <c r="P68" s="79">
        <f t="shared" si="20"/>
        <v>75.966499793718882</v>
      </c>
      <c r="Q68" s="4" t="str">
        <f t="shared" si="21"/>
        <v>OK</v>
      </c>
    </row>
    <row r="69" spans="3:17" x14ac:dyDescent="0.25">
      <c r="C69" s="4">
        <v>8508</v>
      </c>
      <c r="D69" s="4" t="s">
        <v>203</v>
      </c>
      <c r="E69" s="4">
        <v>3.3</v>
      </c>
      <c r="F69" s="4" t="s">
        <v>216</v>
      </c>
      <c r="G69" s="4">
        <v>850</v>
      </c>
      <c r="H69" s="4">
        <v>300</v>
      </c>
      <c r="I69" s="4">
        <v>40</v>
      </c>
      <c r="J69" s="4">
        <v>22</v>
      </c>
      <c r="K69" s="4" t="s">
        <v>227</v>
      </c>
      <c r="L69" s="81">
        <f t="shared" si="16"/>
        <v>3.75</v>
      </c>
      <c r="M69" s="79">
        <f t="shared" si="17"/>
        <v>7.7067463558845244</v>
      </c>
      <c r="N69" s="4" t="str">
        <f t="shared" si="18"/>
        <v>OK</v>
      </c>
      <c r="O69" s="80">
        <f t="shared" si="19"/>
        <v>35</v>
      </c>
      <c r="P69" s="79">
        <f t="shared" si="20"/>
        <v>75.966499793718882</v>
      </c>
      <c r="Q69" s="4" t="str">
        <f t="shared" si="21"/>
        <v>OK</v>
      </c>
    </row>
    <row r="70" spans="3:17" x14ac:dyDescent="0.25">
      <c r="C70" s="4">
        <v>8509</v>
      </c>
      <c r="D70" s="4" t="s">
        <v>203</v>
      </c>
      <c r="E70" s="4">
        <v>3.3</v>
      </c>
      <c r="F70" s="4" t="s">
        <v>216</v>
      </c>
      <c r="G70" s="4">
        <v>850</v>
      </c>
      <c r="H70" s="4">
        <v>350</v>
      </c>
      <c r="I70" s="4">
        <v>40</v>
      </c>
      <c r="J70" s="4">
        <v>22</v>
      </c>
      <c r="K70" s="4" t="s">
        <v>227</v>
      </c>
      <c r="L70" s="81">
        <f t="shared" si="16"/>
        <v>4.375</v>
      </c>
      <c r="M70" s="79">
        <f t="shared" si="17"/>
        <v>7.7067463558845244</v>
      </c>
      <c r="N70" s="4" t="str">
        <f t="shared" si="18"/>
        <v>OK</v>
      </c>
      <c r="O70" s="80">
        <f t="shared" si="19"/>
        <v>35</v>
      </c>
      <c r="P70" s="79">
        <f t="shared" si="20"/>
        <v>75.966499793718882</v>
      </c>
      <c r="Q70" s="4" t="str">
        <f t="shared" si="21"/>
        <v>OK</v>
      </c>
    </row>
    <row r="71" spans="3:17" x14ac:dyDescent="0.25">
      <c r="C71" s="4">
        <v>8510</v>
      </c>
      <c r="D71" s="4" t="s">
        <v>203</v>
      </c>
      <c r="E71" s="4">
        <v>3.3</v>
      </c>
      <c r="F71" s="4" t="s">
        <v>216</v>
      </c>
      <c r="G71" s="4">
        <v>850</v>
      </c>
      <c r="H71" s="4">
        <v>350</v>
      </c>
      <c r="I71" s="4">
        <v>45</v>
      </c>
      <c r="J71" s="4">
        <v>25</v>
      </c>
      <c r="K71" s="4" t="s">
        <v>227</v>
      </c>
      <c r="L71" s="81">
        <f t="shared" si="16"/>
        <v>3.8888888888888888</v>
      </c>
      <c r="M71" s="79">
        <f t="shared" si="17"/>
        <v>7.7067463558845244</v>
      </c>
      <c r="N71" s="4" t="str">
        <f t="shared" si="18"/>
        <v>OK</v>
      </c>
      <c r="O71" s="80">
        <f t="shared" si="19"/>
        <v>30.4</v>
      </c>
      <c r="P71" s="79">
        <f t="shared" si="20"/>
        <v>75.966499793718882</v>
      </c>
      <c r="Q71" s="4" t="str">
        <f t="shared" si="21"/>
        <v>OK</v>
      </c>
    </row>
    <row r="72" spans="3:17" x14ac:dyDescent="0.25">
      <c r="C72" s="4">
        <v>8511</v>
      </c>
      <c r="D72" s="4" t="s">
        <v>203</v>
      </c>
      <c r="E72" s="4">
        <v>3.3</v>
      </c>
      <c r="F72" s="4" t="s">
        <v>216</v>
      </c>
      <c r="G72" s="4">
        <v>850</v>
      </c>
      <c r="H72" s="4">
        <v>350</v>
      </c>
      <c r="I72" s="4">
        <v>50</v>
      </c>
      <c r="J72" s="4">
        <v>28</v>
      </c>
      <c r="K72" s="4" t="s">
        <v>227</v>
      </c>
      <c r="L72" s="81">
        <f t="shared" si="16"/>
        <v>3.5</v>
      </c>
      <c r="M72" s="79">
        <f t="shared" si="17"/>
        <v>7.7067463558845244</v>
      </c>
      <c r="N72" s="4" t="str">
        <f t="shared" si="18"/>
        <v>OK</v>
      </c>
      <c r="O72" s="80">
        <f t="shared" si="19"/>
        <v>26.785714285714285</v>
      </c>
      <c r="P72" s="79">
        <f t="shared" si="20"/>
        <v>75.966499793718882</v>
      </c>
      <c r="Q72" s="4" t="str">
        <f t="shared" si="21"/>
        <v>OK</v>
      </c>
    </row>
    <row r="73" spans="3:17" x14ac:dyDescent="0.25">
      <c r="C73" s="4">
        <v>9001</v>
      </c>
      <c r="D73" s="4" t="s">
        <v>203</v>
      </c>
      <c r="E73" s="4">
        <v>3.3</v>
      </c>
      <c r="F73" s="4" t="s">
        <v>216</v>
      </c>
      <c r="G73" s="4">
        <v>900</v>
      </c>
      <c r="H73" s="4">
        <v>200</v>
      </c>
      <c r="I73" s="4">
        <v>22</v>
      </c>
      <c r="J73" s="4">
        <v>12</v>
      </c>
      <c r="K73" s="4" t="s">
        <v>227</v>
      </c>
      <c r="L73" s="81">
        <f t="shared" si="16"/>
        <v>4.5454545454545459</v>
      </c>
      <c r="M73" s="79">
        <f t="shared" si="17"/>
        <v>7.7067463558845244</v>
      </c>
      <c r="N73" s="4" t="str">
        <f t="shared" si="18"/>
        <v>OK</v>
      </c>
      <c r="O73" s="80">
        <f t="shared" si="19"/>
        <v>71.333333333333329</v>
      </c>
      <c r="P73" s="79">
        <f t="shared" si="20"/>
        <v>75.966499793718882</v>
      </c>
      <c r="Q73" s="4" t="str">
        <f t="shared" si="21"/>
        <v>OK</v>
      </c>
    </row>
    <row r="74" spans="3:17" x14ac:dyDescent="0.25">
      <c r="C74" s="4">
        <v>9002</v>
      </c>
      <c r="D74" s="4" t="s">
        <v>203</v>
      </c>
      <c r="E74" s="4">
        <v>3.3</v>
      </c>
      <c r="F74" s="4" t="s">
        <v>216</v>
      </c>
      <c r="G74" s="4">
        <v>900</v>
      </c>
      <c r="H74" s="4">
        <v>250</v>
      </c>
      <c r="I74" s="4">
        <v>22</v>
      </c>
      <c r="J74" s="4">
        <v>12</v>
      </c>
      <c r="K74" s="4" t="s">
        <v>227</v>
      </c>
      <c r="L74" s="81">
        <f t="shared" si="16"/>
        <v>5.6818181818181817</v>
      </c>
      <c r="M74" s="79">
        <f t="shared" si="17"/>
        <v>7.7067463558845244</v>
      </c>
      <c r="N74" s="4" t="str">
        <f t="shared" si="18"/>
        <v>OK</v>
      </c>
      <c r="O74" s="80">
        <f t="shared" si="19"/>
        <v>71.333333333333329</v>
      </c>
      <c r="P74" s="79">
        <f t="shared" si="20"/>
        <v>75.966499793718882</v>
      </c>
      <c r="Q74" s="4" t="str">
        <f t="shared" si="21"/>
        <v>OK</v>
      </c>
    </row>
    <row r="75" spans="3:17" x14ac:dyDescent="0.25">
      <c r="C75" s="4">
        <v>9003</v>
      </c>
      <c r="D75" s="4" t="s">
        <v>203</v>
      </c>
      <c r="E75" s="4">
        <v>3.3</v>
      </c>
      <c r="F75" s="4" t="s">
        <v>216</v>
      </c>
      <c r="G75" s="4">
        <v>900</v>
      </c>
      <c r="H75" s="4">
        <v>300</v>
      </c>
      <c r="I75" s="4">
        <v>22</v>
      </c>
      <c r="J75" s="4">
        <v>12</v>
      </c>
      <c r="K75" s="4" t="s">
        <v>227</v>
      </c>
      <c r="L75" s="81">
        <f t="shared" si="16"/>
        <v>6.8181818181818183</v>
      </c>
      <c r="M75" s="79">
        <f t="shared" si="17"/>
        <v>7.7067463558845244</v>
      </c>
      <c r="N75" s="4" t="str">
        <f t="shared" si="18"/>
        <v>OK</v>
      </c>
      <c r="O75" s="80">
        <f t="shared" si="19"/>
        <v>71.333333333333329</v>
      </c>
      <c r="P75" s="79">
        <f t="shared" si="20"/>
        <v>75.966499793718882</v>
      </c>
      <c r="Q75" s="4" t="str">
        <f t="shared" si="21"/>
        <v>OK</v>
      </c>
    </row>
    <row r="76" spans="3:17" x14ac:dyDescent="0.25">
      <c r="C76" s="4">
        <v>9004</v>
      </c>
      <c r="D76" s="4" t="s">
        <v>203</v>
      </c>
      <c r="E76" s="4">
        <v>3.3</v>
      </c>
      <c r="F76" s="4" t="s">
        <v>216</v>
      </c>
      <c r="G76" s="4">
        <v>900</v>
      </c>
      <c r="H76" s="4">
        <v>300</v>
      </c>
      <c r="I76" s="4">
        <v>28</v>
      </c>
      <c r="J76" s="4">
        <v>16</v>
      </c>
      <c r="K76" s="4" t="s">
        <v>227</v>
      </c>
      <c r="L76" s="81">
        <f t="shared" si="16"/>
        <v>5.3571428571428568</v>
      </c>
      <c r="M76" s="79">
        <f t="shared" si="17"/>
        <v>7.7067463558845244</v>
      </c>
      <c r="N76" s="4" t="str">
        <f t="shared" si="18"/>
        <v>OK</v>
      </c>
      <c r="O76" s="80">
        <f t="shared" si="19"/>
        <v>52.75</v>
      </c>
      <c r="P76" s="79">
        <f t="shared" si="20"/>
        <v>75.966499793718882</v>
      </c>
      <c r="Q76" s="4" t="str">
        <f t="shared" si="21"/>
        <v>OK</v>
      </c>
    </row>
    <row r="77" spans="3:17" x14ac:dyDescent="0.25">
      <c r="C77" s="4">
        <v>9005</v>
      </c>
      <c r="D77" s="4" t="s">
        <v>203</v>
      </c>
      <c r="E77" s="4">
        <v>3.3</v>
      </c>
      <c r="F77" s="4" t="s">
        <v>216</v>
      </c>
      <c r="G77" s="4">
        <v>900</v>
      </c>
      <c r="H77" s="4">
        <v>350</v>
      </c>
      <c r="I77" s="4">
        <v>28</v>
      </c>
      <c r="J77" s="4">
        <v>16</v>
      </c>
      <c r="K77" s="4" t="s">
        <v>227</v>
      </c>
      <c r="L77" s="81">
        <f t="shared" si="16"/>
        <v>6.25</v>
      </c>
      <c r="M77" s="79">
        <f t="shared" si="17"/>
        <v>7.7067463558845244</v>
      </c>
      <c r="N77" s="4" t="str">
        <f t="shared" si="18"/>
        <v>OK</v>
      </c>
      <c r="O77" s="80">
        <f t="shared" si="19"/>
        <v>52.75</v>
      </c>
      <c r="P77" s="79">
        <f t="shared" si="20"/>
        <v>75.966499793718882</v>
      </c>
      <c r="Q77" s="4" t="str">
        <f t="shared" si="21"/>
        <v>OK</v>
      </c>
    </row>
    <row r="78" spans="3:17" x14ac:dyDescent="0.25">
      <c r="C78" s="4">
        <v>9006</v>
      </c>
      <c r="D78" s="4" t="s">
        <v>203</v>
      </c>
      <c r="E78" s="4">
        <v>3.3</v>
      </c>
      <c r="F78" s="4" t="s">
        <v>216</v>
      </c>
      <c r="G78" s="4">
        <v>900</v>
      </c>
      <c r="H78" s="4">
        <v>300</v>
      </c>
      <c r="I78" s="4">
        <v>32</v>
      </c>
      <c r="J78" s="4">
        <v>19</v>
      </c>
      <c r="K78" s="4" t="s">
        <v>227</v>
      </c>
      <c r="L78" s="81">
        <f t="shared" si="16"/>
        <v>4.6875</v>
      </c>
      <c r="M78" s="79">
        <f t="shared" si="17"/>
        <v>7.7067463558845244</v>
      </c>
      <c r="N78" s="4" t="str">
        <f t="shared" si="18"/>
        <v>OK</v>
      </c>
      <c r="O78" s="80">
        <f t="shared" si="19"/>
        <v>44</v>
      </c>
      <c r="P78" s="79">
        <f t="shared" si="20"/>
        <v>75.966499793718882</v>
      </c>
      <c r="Q78" s="4" t="str">
        <f t="shared" si="21"/>
        <v>OK</v>
      </c>
    </row>
    <row r="79" spans="3:17" x14ac:dyDescent="0.25">
      <c r="C79" s="4">
        <v>9007</v>
      </c>
      <c r="D79" s="4" t="s">
        <v>203</v>
      </c>
      <c r="E79" s="4">
        <v>3.3</v>
      </c>
      <c r="F79" s="4" t="s">
        <v>216</v>
      </c>
      <c r="G79" s="4">
        <v>900</v>
      </c>
      <c r="H79" s="4">
        <v>350</v>
      </c>
      <c r="I79" s="4">
        <v>32</v>
      </c>
      <c r="J79" s="4">
        <v>19</v>
      </c>
      <c r="K79" s="4" t="s">
        <v>227</v>
      </c>
      <c r="L79" s="81">
        <f t="shared" si="16"/>
        <v>5.46875</v>
      </c>
      <c r="M79" s="79">
        <f t="shared" si="17"/>
        <v>7.7067463558845244</v>
      </c>
      <c r="N79" s="4" t="str">
        <f t="shared" si="18"/>
        <v>OK</v>
      </c>
      <c r="O79" s="80">
        <f t="shared" si="19"/>
        <v>44</v>
      </c>
      <c r="P79" s="79">
        <f t="shared" si="20"/>
        <v>75.966499793718882</v>
      </c>
      <c r="Q79" s="4" t="str">
        <f t="shared" si="21"/>
        <v>OK</v>
      </c>
    </row>
    <row r="80" spans="3:17" x14ac:dyDescent="0.25">
      <c r="C80" s="4">
        <v>9008</v>
      </c>
      <c r="D80" s="4" t="s">
        <v>203</v>
      </c>
      <c r="E80" s="4">
        <v>3.3</v>
      </c>
      <c r="F80" s="4" t="s">
        <v>216</v>
      </c>
      <c r="G80" s="4">
        <v>900</v>
      </c>
      <c r="H80" s="4">
        <v>300</v>
      </c>
      <c r="I80" s="4">
        <v>40</v>
      </c>
      <c r="J80" s="4">
        <v>22</v>
      </c>
      <c r="K80" s="4" t="s">
        <v>227</v>
      </c>
      <c r="L80" s="81">
        <f t="shared" si="16"/>
        <v>3.75</v>
      </c>
      <c r="M80" s="79">
        <f t="shared" si="17"/>
        <v>7.7067463558845244</v>
      </c>
      <c r="N80" s="4" t="str">
        <f t="shared" si="18"/>
        <v>OK</v>
      </c>
      <c r="O80" s="80">
        <f t="shared" si="19"/>
        <v>37.272727272727273</v>
      </c>
      <c r="P80" s="79">
        <f t="shared" si="20"/>
        <v>75.966499793718882</v>
      </c>
      <c r="Q80" s="4" t="str">
        <f t="shared" si="21"/>
        <v>OK</v>
      </c>
    </row>
    <row r="81" spans="3:17" x14ac:dyDescent="0.25">
      <c r="C81" s="4">
        <v>9009</v>
      </c>
      <c r="D81" s="4" t="s">
        <v>203</v>
      </c>
      <c r="E81" s="4">
        <v>3.3</v>
      </c>
      <c r="F81" s="4" t="s">
        <v>216</v>
      </c>
      <c r="G81" s="4">
        <v>900</v>
      </c>
      <c r="H81" s="4">
        <v>350</v>
      </c>
      <c r="I81" s="4">
        <v>40</v>
      </c>
      <c r="J81" s="4">
        <v>22</v>
      </c>
      <c r="K81" s="4" t="s">
        <v>227</v>
      </c>
      <c r="L81" s="81">
        <f t="shared" si="16"/>
        <v>4.375</v>
      </c>
      <c r="M81" s="79">
        <f t="shared" si="17"/>
        <v>7.7067463558845244</v>
      </c>
      <c r="N81" s="4" t="str">
        <f t="shared" si="18"/>
        <v>OK</v>
      </c>
      <c r="O81" s="80">
        <f t="shared" si="19"/>
        <v>37.272727272727273</v>
      </c>
      <c r="P81" s="79">
        <f t="shared" si="20"/>
        <v>75.966499793718882</v>
      </c>
      <c r="Q81" s="4" t="str">
        <f t="shared" si="21"/>
        <v>OK</v>
      </c>
    </row>
    <row r="82" spans="3:17" x14ac:dyDescent="0.25">
      <c r="C82" s="4">
        <v>9010</v>
      </c>
      <c r="D82" s="4" t="s">
        <v>203</v>
      </c>
      <c r="E82" s="4">
        <v>3.3</v>
      </c>
      <c r="F82" s="4" t="s">
        <v>216</v>
      </c>
      <c r="G82" s="4">
        <v>900</v>
      </c>
      <c r="H82" s="4">
        <v>350</v>
      </c>
      <c r="I82" s="4">
        <v>45</v>
      </c>
      <c r="J82" s="4">
        <v>25</v>
      </c>
      <c r="K82" s="4" t="s">
        <v>227</v>
      </c>
      <c r="L82" s="81">
        <f t="shared" si="16"/>
        <v>3.8888888888888888</v>
      </c>
      <c r="M82" s="79">
        <f t="shared" si="17"/>
        <v>7.7067463558845244</v>
      </c>
      <c r="N82" s="4" t="str">
        <f t="shared" si="18"/>
        <v>OK</v>
      </c>
      <c r="O82" s="80">
        <f t="shared" si="19"/>
        <v>32.4</v>
      </c>
      <c r="P82" s="79">
        <f t="shared" si="20"/>
        <v>75.966499793718882</v>
      </c>
      <c r="Q82" s="4" t="str">
        <f t="shared" si="21"/>
        <v>OK</v>
      </c>
    </row>
    <row r="83" spans="3:17" x14ac:dyDescent="0.25">
      <c r="C83" s="4">
        <v>9011</v>
      </c>
      <c r="D83" s="4" t="s">
        <v>203</v>
      </c>
      <c r="E83" s="4">
        <v>3.3</v>
      </c>
      <c r="F83" s="4" t="s">
        <v>216</v>
      </c>
      <c r="G83" s="4">
        <v>900</v>
      </c>
      <c r="H83" s="4">
        <v>350</v>
      </c>
      <c r="I83" s="4">
        <v>50</v>
      </c>
      <c r="J83" s="4">
        <v>28</v>
      </c>
      <c r="K83" s="4" t="s">
        <v>227</v>
      </c>
      <c r="L83" s="81">
        <f t="shared" si="16"/>
        <v>3.5</v>
      </c>
      <c r="M83" s="79">
        <f t="shared" si="17"/>
        <v>7.7067463558845244</v>
      </c>
      <c r="N83" s="4" t="str">
        <f t="shared" si="18"/>
        <v>OK</v>
      </c>
      <c r="O83" s="80">
        <f t="shared" si="19"/>
        <v>28.571428571428573</v>
      </c>
      <c r="P83" s="79">
        <f t="shared" si="20"/>
        <v>75.966499793718882</v>
      </c>
      <c r="Q83" s="4" t="str">
        <f t="shared" si="21"/>
        <v>OK</v>
      </c>
    </row>
    <row r="84" spans="3:17" x14ac:dyDescent="0.25">
      <c r="C84" s="4">
        <v>9501</v>
      </c>
      <c r="D84" s="4" t="s">
        <v>203</v>
      </c>
      <c r="E84" s="4">
        <v>3.3</v>
      </c>
      <c r="F84" s="4" t="s">
        <v>216</v>
      </c>
      <c r="G84" s="4">
        <v>950</v>
      </c>
      <c r="H84" s="4">
        <v>200</v>
      </c>
      <c r="I84" s="4">
        <v>22</v>
      </c>
      <c r="J84" s="4">
        <v>12</v>
      </c>
      <c r="K84" s="4" t="s">
        <v>227</v>
      </c>
      <c r="L84" s="81">
        <f t="shared" si="16"/>
        <v>4.5454545454545459</v>
      </c>
      <c r="M84" s="79">
        <f t="shared" si="17"/>
        <v>7.7067463558845244</v>
      </c>
      <c r="N84" s="4" t="str">
        <f t="shared" si="18"/>
        <v>OK</v>
      </c>
      <c r="O84" s="80">
        <f t="shared" si="19"/>
        <v>75.5</v>
      </c>
      <c r="P84" s="79">
        <f t="shared" si="20"/>
        <v>75.966499793718882</v>
      </c>
      <c r="Q84" s="4" t="str">
        <f t="shared" si="21"/>
        <v>OK</v>
      </c>
    </row>
    <row r="85" spans="3:17" x14ac:dyDescent="0.25">
      <c r="C85" s="4">
        <v>9502</v>
      </c>
      <c r="D85" s="4" t="s">
        <v>203</v>
      </c>
      <c r="E85" s="4">
        <v>3.3</v>
      </c>
      <c r="F85" s="4" t="s">
        <v>216</v>
      </c>
      <c r="G85" s="4">
        <v>950</v>
      </c>
      <c r="H85" s="4">
        <v>250</v>
      </c>
      <c r="I85" s="4">
        <v>22</v>
      </c>
      <c r="J85" s="4">
        <v>12</v>
      </c>
      <c r="K85" s="4" t="s">
        <v>227</v>
      </c>
      <c r="L85" s="81">
        <f t="shared" si="16"/>
        <v>5.6818181818181817</v>
      </c>
      <c r="M85" s="79">
        <f t="shared" si="17"/>
        <v>7.7067463558845244</v>
      </c>
      <c r="N85" s="4" t="str">
        <f t="shared" si="18"/>
        <v>OK</v>
      </c>
      <c r="O85" s="80">
        <f t="shared" si="19"/>
        <v>75.5</v>
      </c>
      <c r="P85" s="79">
        <f t="shared" si="20"/>
        <v>75.966499793718882</v>
      </c>
      <c r="Q85" s="4" t="str">
        <f t="shared" si="21"/>
        <v>OK</v>
      </c>
    </row>
    <row r="86" spans="3:17" x14ac:dyDescent="0.25">
      <c r="C86" s="4">
        <v>9503</v>
      </c>
      <c r="D86" s="4" t="s">
        <v>203</v>
      </c>
      <c r="E86" s="4">
        <v>3.3</v>
      </c>
      <c r="F86" s="4" t="s">
        <v>216</v>
      </c>
      <c r="G86" s="4">
        <v>950</v>
      </c>
      <c r="H86" s="4">
        <v>300</v>
      </c>
      <c r="I86" s="4">
        <v>22</v>
      </c>
      <c r="J86" s="4">
        <v>12</v>
      </c>
      <c r="K86" s="4" t="s">
        <v>227</v>
      </c>
      <c r="L86" s="81">
        <f t="shared" si="16"/>
        <v>6.8181818181818183</v>
      </c>
      <c r="M86" s="79">
        <f t="shared" si="17"/>
        <v>7.7067463558845244</v>
      </c>
      <c r="N86" s="4" t="str">
        <f t="shared" si="18"/>
        <v>OK</v>
      </c>
      <c r="O86" s="80">
        <f t="shared" si="19"/>
        <v>75.5</v>
      </c>
      <c r="P86" s="79">
        <f t="shared" si="20"/>
        <v>75.966499793718882</v>
      </c>
      <c r="Q86" s="4" t="str">
        <f t="shared" si="21"/>
        <v>OK</v>
      </c>
    </row>
    <row r="87" spans="3:17" x14ac:dyDescent="0.25">
      <c r="C87" s="4">
        <v>9504</v>
      </c>
      <c r="D87" s="4" t="s">
        <v>203</v>
      </c>
      <c r="E87" s="4">
        <v>3.3</v>
      </c>
      <c r="F87" s="4" t="s">
        <v>216</v>
      </c>
      <c r="G87" s="4">
        <v>950</v>
      </c>
      <c r="H87" s="4">
        <v>300</v>
      </c>
      <c r="I87" s="4">
        <v>28</v>
      </c>
      <c r="J87" s="4">
        <v>16</v>
      </c>
      <c r="K87" s="4" t="s">
        <v>227</v>
      </c>
      <c r="L87" s="81">
        <f t="shared" si="16"/>
        <v>5.3571428571428568</v>
      </c>
      <c r="M87" s="79">
        <f t="shared" si="17"/>
        <v>7.7067463558845244</v>
      </c>
      <c r="N87" s="4" t="str">
        <f t="shared" si="18"/>
        <v>OK</v>
      </c>
      <c r="O87" s="80">
        <f t="shared" si="19"/>
        <v>55.875</v>
      </c>
      <c r="P87" s="79">
        <f t="shared" si="20"/>
        <v>75.966499793718882</v>
      </c>
      <c r="Q87" s="4" t="str">
        <f t="shared" si="21"/>
        <v>OK</v>
      </c>
    </row>
    <row r="88" spans="3:17" x14ac:dyDescent="0.25">
      <c r="C88" s="4">
        <v>9505</v>
      </c>
      <c r="D88" s="4" t="s">
        <v>203</v>
      </c>
      <c r="E88" s="4">
        <v>3.3</v>
      </c>
      <c r="F88" s="4" t="s">
        <v>216</v>
      </c>
      <c r="G88" s="4">
        <v>950</v>
      </c>
      <c r="H88" s="4">
        <v>350</v>
      </c>
      <c r="I88" s="4">
        <v>28</v>
      </c>
      <c r="J88" s="4">
        <v>16</v>
      </c>
      <c r="K88" s="4" t="s">
        <v>227</v>
      </c>
      <c r="L88" s="81">
        <f t="shared" si="16"/>
        <v>6.25</v>
      </c>
      <c r="M88" s="79">
        <f t="shared" si="17"/>
        <v>7.7067463558845244</v>
      </c>
      <c r="N88" s="4" t="str">
        <f t="shared" si="18"/>
        <v>OK</v>
      </c>
      <c r="O88" s="80">
        <f t="shared" si="19"/>
        <v>55.875</v>
      </c>
      <c r="P88" s="79">
        <f t="shared" si="20"/>
        <v>75.966499793718882</v>
      </c>
      <c r="Q88" s="4" t="str">
        <f t="shared" si="21"/>
        <v>OK</v>
      </c>
    </row>
    <row r="89" spans="3:17" x14ac:dyDescent="0.25">
      <c r="C89" s="4">
        <v>9506</v>
      </c>
      <c r="D89" s="4" t="s">
        <v>203</v>
      </c>
      <c r="E89" s="4">
        <v>3.3</v>
      </c>
      <c r="F89" s="4" t="s">
        <v>216</v>
      </c>
      <c r="G89" s="4">
        <v>950</v>
      </c>
      <c r="H89" s="4">
        <v>300</v>
      </c>
      <c r="I89" s="4">
        <v>32</v>
      </c>
      <c r="J89" s="4">
        <v>19</v>
      </c>
      <c r="K89" s="4" t="s">
        <v>227</v>
      </c>
      <c r="L89" s="81">
        <f t="shared" si="16"/>
        <v>4.6875</v>
      </c>
      <c r="M89" s="79">
        <f t="shared" si="17"/>
        <v>7.7067463558845244</v>
      </c>
      <c r="N89" s="4" t="str">
        <f t="shared" si="18"/>
        <v>OK</v>
      </c>
      <c r="O89" s="80">
        <f t="shared" si="19"/>
        <v>46.631578947368418</v>
      </c>
      <c r="P89" s="79">
        <f t="shared" si="20"/>
        <v>75.966499793718882</v>
      </c>
      <c r="Q89" s="4" t="str">
        <f t="shared" si="21"/>
        <v>OK</v>
      </c>
    </row>
    <row r="90" spans="3:17" x14ac:dyDescent="0.25">
      <c r="C90" s="4">
        <v>9507</v>
      </c>
      <c r="D90" s="4" t="s">
        <v>203</v>
      </c>
      <c r="E90" s="4">
        <v>3.3</v>
      </c>
      <c r="F90" s="4" t="s">
        <v>216</v>
      </c>
      <c r="G90" s="4">
        <v>950</v>
      </c>
      <c r="H90" s="4">
        <v>350</v>
      </c>
      <c r="I90" s="4">
        <v>32</v>
      </c>
      <c r="J90" s="4">
        <v>19</v>
      </c>
      <c r="K90" s="4" t="s">
        <v>227</v>
      </c>
      <c r="L90" s="81">
        <f t="shared" si="16"/>
        <v>5.46875</v>
      </c>
      <c r="M90" s="79">
        <f t="shared" si="17"/>
        <v>7.7067463558845244</v>
      </c>
      <c r="N90" s="4" t="str">
        <f t="shared" si="18"/>
        <v>OK</v>
      </c>
      <c r="O90" s="80">
        <f t="shared" si="19"/>
        <v>46.631578947368418</v>
      </c>
      <c r="P90" s="79">
        <f t="shared" si="20"/>
        <v>75.966499793718882</v>
      </c>
      <c r="Q90" s="4" t="str">
        <f t="shared" si="21"/>
        <v>OK</v>
      </c>
    </row>
    <row r="91" spans="3:17" x14ac:dyDescent="0.25">
      <c r="C91" s="4">
        <v>9508</v>
      </c>
      <c r="D91" s="4" t="s">
        <v>203</v>
      </c>
      <c r="E91" s="4">
        <v>3.3</v>
      </c>
      <c r="F91" s="4" t="s">
        <v>216</v>
      </c>
      <c r="G91" s="4">
        <v>950</v>
      </c>
      <c r="H91" s="4">
        <v>300</v>
      </c>
      <c r="I91" s="4">
        <v>40</v>
      </c>
      <c r="J91" s="4">
        <v>22</v>
      </c>
      <c r="K91" s="4" t="s">
        <v>227</v>
      </c>
      <c r="L91" s="81">
        <f t="shared" si="16"/>
        <v>3.75</v>
      </c>
      <c r="M91" s="79">
        <f t="shared" si="17"/>
        <v>7.7067463558845244</v>
      </c>
      <c r="N91" s="4" t="str">
        <f t="shared" si="18"/>
        <v>OK</v>
      </c>
      <c r="O91" s="80">
        <f t="shared" si="19"/>
        <v>39.545454545454547</v>
      </c>
      <c r="P91" s="79">
        <f t="shared" si="20"/>
        <v>75.966499793718882</v>
      </c>
      <c r="Q91" s="4" t="str">
        <f t="shared" si="21"/>
        <v>OK</v>
      </c>
    </row>
    <row r="92" spans="3:17" x14ac:dyDescent="0.25">
      <c r="C92" s="4">
        <v>9509</v>
      </c>
      <c r="D92" s="4" t="s">
        <v>203</v>
      </c>
      <c r="E92" s="4">
        <v>3.3</v>
      </c>
      <c r="F92" s="4" t="s">
        <v>216</v>
      </c>
      <c r="G92" s="4">
        <v>950</v>
      </c>
      <c r="H92" s="4">
        <v>350</v>
      </c>
      <c r="I92" s="4">
        <v>40</v>
      </c>
      <c r="J92" s="4">
        <v>22</v>
      </c>
      <c r="K92" s="4" t="s">
        <v>227</v>
      </c>
      <c r="L92" s="81">
        <f t="shared" si="16"/>
        <v>4.375</v>
      </c>
      <c r="M92" s="79">
        <f t="shared" si="17"/>
        <v>7.7067463558845244</v>
      </c>
      <c r="N92" s="4" t="str">
        <f t="shared" si="18"/>
        <v>OK</v>
      </c>
      <c r="O92" s="80">
        <f t="shared" si="19"/>
        <v>39.545454545454547</v>
      </c>
      <c r="P92" s="79">
        <f t="shared" si="20"/>
        <v>75.966499793718882</v>
      </c>
      <c r="Q92" s="4" t="str">
        <f t="shared" si="21"/>
        <v>OK</v>
      </c>
    </row>
    <row r="93" spans="3:17" x14ac:dyDescent="0.25">
      <c r="C93" s="4">
        <v>9510</v>
      </c>
      <c r="D93" s="4" t="s">
        <v>203</v>
      </c>
      <c r="E93" s="4">
        <v>3.3</v>
      </c>
      <c r="F93" s="4" t="s">
        <v>216</v>
      </c>
      <c r="G93" s="4">
        <v>950</v>
      </c>
      <c r="H93" s="4">
        <v>350</v>
      </c>
      <c r="I93" s="4">
        <v>45</v>
      </c>
      <c r="J93" s="4">
        <v>25</v>
      </c>
      <c r="K93" s="4" t="s">
        <v>227</v>
      </c>
      <c r="L93" s="81">
        <f t="shared" si="16"/>
        <v>3.8888888888888888</v>
      </c>
      <c r="M93" s="79">
        <f t="shared" si="17"/>
        <v>7.7067463558845244</v>
      </c>
      <c r="N93" s="4" t="str">
        <f t="shared" si="18"/>
        <v>OK</v>
      </c>
      <c r="O93" s="80">
        <f t="shared" si="19"/>
        <v>34.4</v>
      </c>
      <c r="P93" s="79">
        <f t="shared" si="20"/>
        <v>75.966499793718882</v>
      </c>
      <c r="Q93" s="4" t="str">
        <f t="shared" si="21"/>
        <v>OK</v>
      </c>
    </row>
    <row r="94" spans="3:17" x14ac:dyDescent="0.25">
      <c r="C94" s="4">
        <v>9511</v>
      </c>
      <c r="D94" s="4" t="s">
        <v>203</v>
      </c>
      <c r="E94" s="4">
        <v>3.3</v>
      </c>
      <c r="F94" s="4" t="s">
        <v>216</v>
      </c>
      <c r="G94" s="4">
        <v>950</v>
      </c>
      <c r="H94" s="4">
        <v>350</v>
      </c>
      <c r="I94" s="4">
        <v>50</v>
      </c>
      <c r="J94" s="4">
        <v>28</v>
      </c>
      <c r="K94" s="4" t="s">
        <v>227</v>
      </c>
      <c r="L94" s="81">
        <f t="shared" si="16"/>
        <v>3.5</v>
      </c>
      <c r="M94" s="79">
        <f t="shared" si="17"/>
        <v>7.7067463558845244</v>
      </c>
      <c r="N94" s="4" t="str">
        <f t="shared" si="18"/>
        <v>OK</v>
      </c>
      <c r="O94" s="80">
        <f t="shared" si="19"/>
        <v>30.357142857142858</v>
      </c>
      <c r="P94" s="79">
        <f t="shared" si="20"/>
        <v>75.966499793718882</v>
      </c>
      <c r="Q94" s="4" t="str">
        <f t="shared" si="21"/>
        <v>OK</v>
      </c>
    </row>
    <row r="95" spans="3:17" x14ac:dyDescent="0.25">
      <c r="C95" s="4" t="s">
        <v>548</v>
      </c>
      <c r="D95" s="4" t="s">
        <v>203</v>
      </c>
      <c r="E95" s="4">
        <v>3.3</v>
      </c>
      <c r="F95" s="4" t="s">
        <v>216</v>
      </c>
      <c r="G95" s="4">
        <v>350</v>
      </c>
      <c r="H95" s="4">
        <v>350</v>
      </c>
      <c r="I95" s="4">
        <v>19</v>
      </c>
      <c r="J95" s="4">
        <v>12</v>
      </c>
      <c r="K95" s="84" t="s">
        <v>229</v>
      </c>
      <c r="L95" s="81">
        <f t="shared" si="16"/>
        <v>9.2105263157894743</v>
      </c>
      <c r="M95" s="79">
        <f t="shared" si="17"/>
        <v>9.3581920035740662</v>
      </c>
      <c r="N95" s="4" t="str">
        <f t="shared" si="18"/>
        <v>OK</v>
      </c>
      <c r="O95" s="80">
        <f t="shared" si="19"/>
        <v>26</v>
      </c>
      <c r="P95" s="79">
        <f t="shared" si="20"/>
        <v>93.581920035740652</v>
      </c>
      <c r="Q95" s="4" t="str">
        <f t="shared" si="21"/>
        <v>OK</v>
      </c>
    </row>
    <row r="96" spans="3:17" x14ac:dyDescent="0.25">
      <c r="C96" s="4" t="s">
        <v>549</v>
      </c>
      <c r="D96" s="4" t="s">
        <v>203</v>
      </c>
      <c r="E96" s="4">
        <v>3.3</v>
      </c>
      <c r="F96" s="4" t="s">
        <v>216</v>
      </c>
      <c r="G96" s="4">
        <v>400</v>
      </c>
      <c r="H96" s="4">
        <v>400</v>
      </c>
      <c r="I96" s="4">
        <v>21</v>
      </c>
      <c r="J96" s="4">
        <v>21</v>
      </c>
      <c r="K96" s="84" t="s">
        <v>229</v>
      </c>
      <c r="L96" s="81">
        <f t="shared" si="16"/>
        <v>9.5238095238095237</v>
      </c>
      <c r="M96" s="79">
        <f t="shared" si="17"/>
        <v>9.3581920035740662</v>
      </c>
      <c r="N96" s="4" t="str">
        <f t="shared" si="18"/>
        <v>NG</v>
      </c>
      <c r="O96" s="80">
        <f t="shared" si="19"/>
        <v>17.047619047619047</v>
      </c>
      <c r="P96" s="79">
        <f t="shared" si="20"/>
        <v>93.581920035740652</v>
      </c>
      <c r="Q96" s="4" t="str">
        <f t="shared" si="21"/>
        <v>OK</v>
      </c>
    </row>
    <row r="97" spans="3:17" x14ac:dyDescent="0.25">
      <c r="C97" s="4" t="s">
        <v>550</v>
      </c>
      <c r="D97" s="4" t="s">
        <v>203</v>
      </c>
      <c r="E97" s="4">
        <v>3.3</v>
      </c>
      <c r="F97" s="4" t="s">
        <v>216</v>
      </c>
      <c r="G97" s="4">
        <v>442</v>
      </c>
      <c r="H97" s="4">
        <v>400</v>
      </c>
      <c r="I97" s="4">
        <v>36</v>
      </c>
      <c r="J97" s="4">
        <v>22</v>
      </c>
      <c r="K97" s="84" t="s">
        <v>229</v>
      </c>
      <c r="L97" s="81">
        <f t="shared" si="16"/>
        <v>5.5555555555555554</v>
      </c>
      <c r="M97" s="79">
        <f t="shared" si="17"/>
        <v>9.3581920035740662</v>
      </c>
      <c r="N97" s="4" t="str">
        <f t="shared" si="18"/>
        <v>OK</v>
      </c>
      <c r="O97" s="80">
        <f t="shared" si="19"/>
        <v>16.818181818181817</v>
      </c>
      <c r="P97" s="79">
        <f t="shared" si="20"/>
        <v>93.581920035740652</v>
      </c>
      <c r="Q97" s="4" t="str">
        <f t="shared" si="21"/>
        <v>OK</v>
      </c>
    </row>
    <row r="98" spans="3:17" x14ac:dyDescent="0.25">
      <c r="C98" s="4" t="s">
        <v>551</v>
      </c>
      <c r="D98" s="4" t="s">
        <v>203</v>
      </c>
      <c r="E98" s="4">
        <v>3.3</v>
      </c>
      <c r="F98" s="4" t="s">
        <v>216</v>
      </c>
      <c r="G98" s="4">
        <v>450</v>
      </c>
      <c r="H98" s="4">
        <v>400</v>
      </c>
      <c r="I98" s="4">
        <v>40</v>
      </c>
      <c r="J98" s="4">
        <v>25</v>
      </c>
      <c r="K98" s="84" t="s">
        <v>229</v>
      </c>
      <c r="L98" s="81">
        <f t="shared" si="16"/>
        <v>5</v>
      </c>
      <c r="M98" s="79">
        <f t="shared" si="17"/>
        <v>9.3581920035740662</v>
      </c>
      <c r="N98" s="4" t="str">
        <f t="shared" si="18"/>
        <v>OK</v>
      </c>
      <c r="O98" s="80">
        <f t="shared" si="19"/>
        <v>14.8</v>
      </c>
      <c r="P98" s="79">
        <f t="shared" si="20"/>
        <v>93.581920035740652</v>
      </c>
      <c r="Q98" s="4" t="str">
        <f t="shared" si="21"/>
        <v>OK</v>
      </c>
    </row>
    <row r="99" spans="3:17" x14ac:dyDescent="0.25">
      <c r="C99" s="4" t="s">
        <v>552</v>
      </c>
      <c r="D99" s="4" t="s">
        <v>203</v>
      </c>
      <c r="E99" s="4">
        <v>3.3</v>
      </c>
      <c r="F99" s="4" t="s">
        <v>216</v>
      </c>
      <c r="G99" s="4">
        <v>460</v>
      </c>
      <c r="H99" s="4">
        <v>400</v>
      </c>
      <c r="I99" s="4">
        <v>28</v>
      </c>
      <c r="J99" s="4">
        <v>45</v>
      </c>
      <c r="K99" s="84" t="s">
        <v>229</v>
      </c>
      <c r="L99" s="81">
        <f t="shared" si="16"/>
        <v>7.1428571428571432</v>
      </c>
      <c r="M99" s="79">
        <f t="shared" si="17"/>
        <v>9.3581920035740662</v>
      </c>
      <c r="N99" s="4" t="str">
        <f t="shared" si="18"/>
        <v>OK</v>
      </c>
      <c r="O99" s="80">
        <f t="shared" si="19"/>
        <v>8.9777777777777779</v>
      </c>
      <c r="P99" s="79">
        <f t="shared" si="20"/>
        <v>93.581920035740652</v>
      </c>
      <c r="Q99" s="4" t="str">
        <f t="shared" si="21"/>
        <v>OK</v>
      </c>
    </row>
    <row r="100" spans="3:17" x14ac:dyDescent="0.25">
      <c r="C100" s="4" t="s">
        <v>553</v>
      </c>
      <c r="D100" s="4" t="s">
        <v>203</v>
      </c>
      <c r="E100" s="4">
        <v>3.3</v>
      </c>
      <c r="F100" s="4" t="s">
        <v>216</v>
      </c>
      <c r="G100" s="4">
        <v>470</v>
      </c>
      <c r="H100" s="4">
        <v>400</v>
      </c>
      <c r="I100" s="4">
        <v>32</v>
      </c>
      <c r="J100" s="4">
        <v>50</v>
      </c>
      <c r="K100" s="84" t="s">
        <v>229</v>
      </c>
      <c r="L100" s="81">
        <f t="shared" si="16"/>
        <v>6.25</v>
      </c>
      <c r="M100" s="79">
        <f t="shared" si="17"/>
        <v>9.3581920035740662</v>
      </c>
      <c r="N100" s="4" t="str">
        <f t="shared" si="18"/>
        <v>OK</v>
      </c>
      <c r="O100" s="80">
        <f t="shared" si="19"/>
        <v>8.1199999999999992</v>
      </c>
      <c r="P100" s="79">
        <f t="shared" si="20"/>
        <v>93.581920035740652</v>
      </c>
      <c r="Q100" s="4" t="str">
        <f t="shared" si="21"/>
        <v>OK</v>
      </c>
    </row>
    <row r="101" spans="3:17" x14ac:dyDescent="0.25">
      <c r="C101" s="4" t="s">
        <v>554</v>
      </c>
      <c r="D101" s="4" t="s">
        <v>203</v>
      </c>
      <c r="E101" s="4">
        <v>3.3</v>
      </c>
      <c r="F101" s="4" t="s">
        <v>216</v>
      </c>
      <c r="G101" s="4">
        <v>470</v>
      </c>
      <c r="H101" s="4">
        <v>500</v>
      </c>
      <c r="I101" s="4">
        <v>27</v>
      </c>
      <c r="J101" s="4">
        <v>16</v>
      </c>
      <c r="K101" s="84" t="s">
        <v>229</v>
      </c>
      <c r="L101" s="81">
        <f t="shared" si="16"/>
        <v>9.2592592592592595</v>
      </c>
      <c r="M101" s="79">
        <f t="shared" si="17"/>
        <v>9.3581920035740662</v>
      </c>
      <c r="N101" s="4" t="str">
        <f t="shared" si="18"/>
        <v>OK</v>
      </c>
      <c r="O101" s="80">
        <f t="shared" si="19"/>
        <v>26</v>
      </c>
      <c r="P101" s="79">
        <f t="shared" si="20"/>
        <v>93.581920035740652</v>
      </c>
      <c r="Q101" s="4" t="str">
        <f t="shared" si="21"/>
        <v>OK</v>
      </c>
    </row>
    <row r="102" spans="3:17" x14ac:dyDescent="0.25">
      <c r="C102" s="4" t="s">
        <v>555</v>
      </c>
      <c r="D102" s="4" t="s">
        <v>203</v>
      </c>
      <c r="E102" s="4">
        <v>3.3</v>
      </c>
      <c r="F102" s="4" t="s">
        <v>216</v>
      </c>
      <c r="G102" s="4">
        <v>476</v>
      </c>
      <c r="H102" s="4">
        <v>500</v>
      </c>
      <c r="I102" s="4">
        <v>28</v>
      </c>
      <c r="J102" s="4">
        <v>16</v>
      </c>
      <c r="K102" s="84" t="s">
        <v>229</v>
      </c>
      <c r="L102" s="81">
        <f t="shared" si="16"/>
        <v>8.9285714285714288</v>
      </c>
      <c r="M102" s="79">
        <f t="shared" si="17"/>
        <v>9.3581920035740662</v>
      </c>
      <c r="N102" s="4" t="str">
        <f t="shared" si="18"/>
        <v>OK</v>
      </c>
      <c r="O102" s="80">
        <f t="shared" si="19"/>
        <v>26.25</v>
      </c>
      <c r="P102" s="79">
        <f t="shared" si="20"/>
        <v>93.581920035740652</v>
      </c>
      <c r="Q102" s="4" t="str">
        <f t="shared" si="21"/>
        <v>OK</v>
      </c>
    </row>
    <row r="103" spans="3:17" x14ac:dyDescent="0.25">
      <c r="C103" s="4" t="s">
        <v>556</v>
      </c>
      <c r="D103" s="4" t="s">
        <v>203</v>
      </c>
      <c r="E103" s="4">
        <v>3.3</v>
      </c>
      <c r="F103" s="4" t="s">
        <v>216</v>
      </c>
      <c r="G103" s="4">
        <v>484</v>
      </c>
      <c r="H103" s="4">
        <v>500</v>
      </c>
      <c r="I103" s="4">
        <v>32</v>
      </c>
      <c r="J103" s="4">
        <v>19</v>
      </c>
      <c r="K103" s="84" t="s">
        <v>229</v>
      </c>
      <c r="L103" s="81">
        <f t="shared" si="16"/>
        <v>7.8125</v>
      </c>
      <c r="M103" s="79">
        <f t="shared" si="17"/>
        <v>9.3581920035740662</v>
      </c>
      <c r="N103" s="4" t="str">
        <f t="shared" si="18"/>
        <v>OK</v>
      </c>
      <c r="O103" s="80">
        <f t="shared" si="19"/>
        <v>22.105263157894736</v>
      </c>
      <c r="P103" s="79">
        <f t="shared" si="20"/>
        <v>93.581920035740652</v>
      </c>
      <c r="Q103" s="4" t="str">
        <f t="shared" si="21"/>
        <v>OK</v>
      </c>
    </row>
    <row r="104" spans="3:17" x14ac:dyDescent="0.25">
      <c r="C104" s="4" t="s">
        <v>557</v>
      </c>
      <c r="D104" s="4" t="s">
        <v>203</v>
      </c>
      <c r="E104" s="4">
        <v>3.3</v>
      </c>
      <c r="F104" s="4" t="s">
        <v>216</v>
      </c>
      <c r="G104" s="4">
        <v>492</v>
      </c>
      <c r="H104" s="4">
        <v>500</v>
      </c>
      <c r="I104" s="4">
        <v>36</v>
      </c>
      <c r="J104" s="4">
        <v>22</v>
      </c>
      <c r="K104" s="84" t="s">
        <v>229</v>
      </c>
      <c r="L104" s="81">
        <f t="shared" si="16"/>
        <v>6.9444444444444446</v>
      </c>
      <c r="M104" s="79">
        <f t="shared" si="17"/>
        <v>9.3581920035740662</v>
      </c>
      <c r="N104" s="4" t="str">
        <f t="shared" si="18"/>
        <v>OK</v>
      </c>
      <c r="O104" s="80">
        <f t="shared" si="19"/>
        <v>19.09090909090909</v>
      </c>
      <c r="P104" s="79">
        <f t="shared" si="20"/>
        <v>93.581920035740652</v>
      </c>
      <c r="Q104" s="4" t="str">
        <f t="shared" si="21"/>
        <v>OK</v>
      </c>
    </row>
    <row r="105" spans="3:17" x14ac:dyDescent="0.25">
      <c r="C105" s="4" t="s">
        <v>558</v>
      </c>
      <c r="D105" s="4" t="s">
        <v>203</v>
      </c>
      <c r="E105" s="4">
        <v>3.3</v>
      </c>
      <c r="F105" s="4" t="s">
        <v>216</v>
      </c>
      <c r="G105" s="4">
        <v>500</v>
      </c>
      <c r="H105" s="4">
        <v>500</v>
      </c>
      <c r="I105" s="4">
        <v>40</v>
      </c>
      <c r="J105" s="4">
        <v>25</v>
      </c>
      <c r="K105" s="84" t="s">
        <v>229</v>
      </c>
      <c r="L105" s="81">
        <f t="shared" si="16"/>
        <v>6.25</v>
      </c>
      <c r="M105" s="79">
        <f t="shared" si="17"/>
        <v>9.3581920035740662</v>
      </c>
      <c r="N105" s="4" t="str">
        <f t="shared" si="18"/>
        <v>OK</v>
      </c>
      <c r="O105" s="80">
        <f t="shared" si="19"/>
        <v>16.8</v>
      </c>
      <c r="P105" s="79">
        <f t="shared" si="20"/>
        <v>93.581920035740652</v>
      </c>
      <c r="Q105" s="4" t="str">
        <f t="shared" si="21"/>
        <v>OK</v>
      </c>
    </row>
    <row r="106" spans="3:17" x14ac:dyDescent="0.25">
      <c r="C106" s="4" t="s">
        <v>559</v>
      </c>
      <c r="D106" s="4" t="s">
        <v>203</v>
      </c>
      <c r="E106" s="4">
        <v>3.3</v>
      </c>
      <c r="F106" s="4" t="s">
        <v>216</v>
      </c>
      <c r="G106" s="4">
        <v>510</v>
      </c>
      <c r="H106" s="4">
        <v>500</v>
      </c>
      <c r="I106" s="4">
        <v>45</v>
      </c>
      <c r="J106" s="4">
        <v>28</v>
      </c>
      <c r="K106" s="84" t="s">
        <v>229</v>
      </c>
      <c r="L106" s="81">
        <f t="shared" si="16"/>
        <v>5.5555555555555554</v>
      </c>
      <c r="M106" s="79">
        <f t="shared" si="17"/>
        <v>9.3581920035740662</v>
      </c>
      <c r="N106" s="4" t="str">
        <f t="shared" si="18"/>
        <v>OK</v>
      </c>
      <c r="O106" s="80">
        <f t="shared" si="19"/>
        <v>15</v>
      </c>
      <c r="P106" s="79">
        <f t="shared" si="20"/>
        <v>93.581920035740652</v>
      </c>
      <c r="Q106" s="4" t="str">
        <f t="shared" si="21"/>
        <v>OK</v>
      </c>
    </row>
    <row r="107" spans="3:17" x14ac:dyDescent="0.25">
      <c r="C107" s="4" t="s">
        <v>560</v>
      </c>
      <c r="D107" s="4" t="s">
        <v>203</v>
      </c>
      <c r="E107" s="4">
        <v>3.3</v>
      </c>
      <c r="F107" s="4" t="s">
        <v>216</v>
      </c>
      <c r="G107" s="4">
        <v>520</v>
      </c>
      <c r="H107" s="4">
        <v>500</v>
      </c>
      <c r="I107" s="4">
        <v>50</v>
      </c>
      <c r="J107" s="4">
        <v>32</v>
      </c>
      <c r="K107" s="84" t="s">
        <v>229</v>
      </c>
      <c r="L107" s="81">
        <f t="shared" si="16"/>
        <v>5</v>
      </c>
      <c r="M107" s="79">
        <f t="shared" si="17"/>
        <v>9.3581920035740662</v>
      </c>
      <c r="N107" s="4" t="str">
        <f t="shared" si="18"/>
        <v>OK</v>
      </c>
      <c r="O107" s="80">
        <f t="shared" si="19"/>
        <v>13.125</v>
      </c>
      <c r="P107" s="79">
        <f t="shared" si="20"/>
        <v>93.581920035740652</v>
      </c>
      <c r="Q107" s="4" t="str">
        <f t="shared" si="21"/>
        <v>OK</v>
      </c>
    </row>
    <row r="108" spans="3:17" x14ac:dyDescent="0.25">
      <c r="C108" s="4" t="s">
        <v>205</v>
      </c>
      <c r="D108" s="4" t="s">
        <v>440</v>
      </c>
      <c r="E108" s="4">
        <v>3.3</v>
      </c>
      <c r="F108" s="4" t="s">
        <v>394</v>
      </c>
      <c r="G108" s="4">
        <v>40</v>
      </c>
      <c r="H108" s="4">
        <v>40</v>
      </c>
      <c r="I108" s="4">
        <v>0</v>
      </c>
      <c r="J108" s="4">
        <v>0</v>
      </c>
      <c r="K108" s="4" t="s">
        <v>227</v>
      </c>
      <c r="L108" s="81">
        <f t="shared" si="16"/>
        <v>0</v>
      </c>
      <c r="M108" s="79">
        <f t="shared" si="17"/>
        <v>0</v>
      </c>
      <c r="N108" s="4" t="str">
        <f t="shared" si="18"/>
        <v>NG</v>
      </c>
      <c r="O108" s="80">
        <f t="shared" si="19"/>
        <v>0</v>
      </c>
      <c r="P108" s="79">
        <f t="shared" si="20"/>
        <v>0</v>
      </c>
      <c r="Q108" s="4" t="str">
        <f t="shared" si="21"/>
        <v>NG</v>
      </c>
    </row>
    <row r="109" spans="3:17" x14ac:dyDescent="0.25">
      <c r="C109" s="4" t="s">
        <v>206</v>
      </c>
      <c r="D109" s="4" t="s">
        <v>440</v>
      </c>
      <c r="E109" s="4">
        <v>3.3</v>
      </c>
      <c r="F109" s="4" t="s">
        <v>394</v>
      </c>
      <c r="G109" s="4">
        <v>45</v>
      </c>
      <c r="H109" s="4">
        <v>45</v>
      </c>
      <c r="I109" s="4">
        <v>0</v>
      </c>
      <c r="J109" s="4">
        <v>0</v>
      </c>
      <c r="K109" s="4" t="s">
        <v>227</v>
      </c>
      <c r="L109" s="81">
        <f t="shared" si="16"/>
        <v>0</v>
      </c>
      <c r="M109" s="79">
        <f t="shared" si="17"/>
        <v>0</v>
      </c>
      <c r="N109" s="4" t="str">
        <f t="shared" si="18"/>
        <v>NG</v>
      </c>
      <c r="O109" s="80">
        <f t="shared" si="19"/>
        <v>0</v>
      </c>
      <c r="P109" s="79">
        <f t="shared" si="20"/>
        <v>0</v>
      </c>
      <c r="Q109" s="4" t="str">
        <f t="shared" si="21"/>
        <v>NG</v>
      </c>
    </row>
    <row r="110" spans="3:17" x14ac:dyDescent="0.25">
      <c r="C110" s="4" t="s">
        <v>207</v>
      </c>
      <c r="D110" s="4" t="s">
        <v>440</v>
      </c>
      <c r="E110" s="4">
        <v>3.3</v>
      </c>
      <c r="F110" s="4" t="s">
        <v>394</v>
      </c>
      <c r="G110" s="4">
        <v>50</v>
      </c>
      <c r="H110" s="4">
        <v>50</v>
      </c>
      <c r="I110" s="4">
        <v>0</v>
      </c>
      <c r="J110" s="4">
        <v>0</v>
      </c>
      <c r="K110" s="4" t="s">
        <v>227</v>
      </c>
      <c r="L110" s="81">
        <f t="shared" si="16"/>
        <v>0</v>
      </c>
      <c r="M110" s="79">
        <f t="shared" si="17"/>
        <v>0</v>
      </c>
      <c r="N110" s="4" t="str">
        <f t="shared" si="18"/>
        <v>NG</v>
      </c>
      <c r="O110" s="80">
        <f t="shared" si="19"/>
        <v>0</v>
      </c>
      <c r="P110" s="79">
        <f t="shared" si="20"/>
        <v>0</v>
      </c>
      <c r="Q110" s="4" t="str">
        <f t="shared" si="21"/>
        <v>NG</v>
      </c>
    </row>
    <row r="111" spans="3:17" x14ac:dyDescent="0.25">
      <c r="C111" s="4" t="s">
        <v>208</v>
      </c>
      <c r="D111" s="4" t="s">
        <v>440</v>
      </c>
      <c r="E111" s="4">
        <v>3.3</v>
      </c>
      <c r="F111" s="4" t="s">
        <v>394</v>
      </c>
      <c r="G111" s="4">
        <v>55</v>
      </c>
      <c r="H111" s="4">
        <v>55</v>
      </c>
      <c r="I111" s="4">
        <v>0</v>
      </c>
      <c r="J111" s="4">
        <v>0</v>
      </c>
      <c r="K111" s="4" t="s">
        <v>227</v>
      </c>
      <c r="L111" s="81">
        <f t="shared" si="16"/>
        <v>0</v>
      </c>
      <c r="M111" s="79">
        <f t="shared" si="17"/>
        <v>0</v>
      </c>
      <c r="N111" s="4" t="str">
        <f t="shared" si="18"/>
        <v>NG</v>
      </c>
      <c r="O111" s="80">
        <f t="shared" si="19"/>
        <v>0</v>
      </c>
      <c r="P111" s="79">
        <f t="shared" si="20"/>
        <v>0</v>
      </c>
      <c r="Q111" s="4" t="str">
        <f t="shared" si="21"/>
        <v>NG</v>
      </c>
    </row>
    <row r="112" spans="3:17" x14ac:dyDescent="0.25">
      <c r="C112" s="4" t="s">
        <v>209</v>
      </c>
      <c r="D112" s="4" t="s">
        <v>440</v>
      </c>
      <c r="E112" s="4">
        <v>3.3</v>
      </c>
      <c r="F112" s="4" t="s">
        <v>394</v>
      </c>
      <c r="G112" s="4">
        <v>60</v>
      </c>
      <c r="H112" s="4">
        <v>60</v>
      </c>
      <c r="I112" s="4">
        <v>0</v>
      </c>
      <c r="J112" s="4">
        <v>0</v>
      </c>
      <c r="K112" s="4" t="s">
        <v>227</v>
      </c>
      <c r="L112" s="81">
        <f t="shared" si="16"/>
        <v>0</v>
      </c>
      <c r="M112" s="79">
        <f t="shared" si="17"/>
        <v>0</v>
      </c>
      <c r="N112" s="4" t="str">
        <f t="shared" si="18"/>
        <v>NG</v>
      </c>
      <c r="O112" s="80">
        <f t="shared" si="19"/>
        <v>0</v>
      </c>
      <c r="P112" s="79">
        <f t="shared" si="20"/>
        <v>0</v>
      </c>
      <c r="Q112" s="4" t="str">
        <f t="shared" si="21"/>
        <v>NG</v>
      </c>
    </row>
    <row r="113" spans="3:17" x14ac:dyDescent="0.25">
      <c r="C113" s="4" t="s">
        <v>212</v>
      </c>
      <c r="D113" s="4" t="s">
        <v>440</v>
      </c>
      <c r="E113" s="4">
        <v>3.3</v>
      </c>
      <c r="F113" s="4" t="s">
        <v>394</v>
      </c>
      <c r="G113" s="4">
        <v>65</v>
      </c>
      <c r="H113" s="4">
        <v>65</v>
      </c>
      <c r="I113" s="4">
        <v>0</v>
      </c>
      <c r="J113" s="4">
        <v>0</v>
      </c>
      <c r="K113" s="4" t="s">
        <v>227</v>
      </c>
      <c r="L113" s="81">
        <f t="shared" si="16"/>
        <v>0</v>
      </c>
      <c r="M113" s="79">
        <f t="shared" si="17"/>
        <v>0</v>
      </c>
      <c r="N113" s="4" t="str">
        <f t="shared" si="18"/>
        <v>NG</v>
      </c>
      <c r="O113" s="80">
        <f t="shared" si="19"/>
        <v>0</v>
      </c>
      <c r="P113" s="79">
        <f t="shared" si="20"/>
        <v>0</v>
      </c>
      <c r="Q113" s="4" t="str">
        <f t="shared" si="21"/>
        <v>NG</v>
      </c>
    </row>
    <row r="114" spans="3:17" x14ac:dyDescent="0.25">
      <c r="C114" s="4" t="s">
        <v>210</v>
      </c>
      <c r="D114" s="4" t="s">
        <v>440</v>
      </c>
      <c r="E114" s="4">
        <v>3.3</v>
      </c>
      <c r="F114" s="4" t="s">
        <v>394</v>
      </c>
      <c r="G114" s="4">
        <v>70</v>
      </c>
      <c r="H114" s="4">
        <v>70</v>
      </c>
      <c r="I114" s="4">
        <v>0</v>
      </c>
      <c r="J114" s="4">
        <v>0</v>
      </c>
      <c r="K114" s="4" t="s">
        <v>227</v>
      </c>
      <c r="L114" s="81">
        <f t="shared" si="16"/>
        <v>0</v>
      </c>
      <c r="M114" s="79">
        <f t="shared" si="17"/>
        <v>0</v>
      </c>
      <c r="N114" s="4" t="str">
        <f t="shared" si="18"/>
        <v>NG</v>
      </c>
      <c r="O114" s="80">
        <f t="shared" si="19"/>
        <v>0</v>
      </c>
      <c r="P114" s="79">
        <f t="shared" si="20"/>
        <v>0</v>
      </c>
      <c r="Q114" s="4" t="str">
        <f t="shared" si="21"/>
        <v>NG</v>
      </c>
    </row>
    <row r="115" spans="3:17" x14ac:dyDescent="0.25">
      <c r="C115" s="4" t="s">
        <v>211</v>
      </c>
      <c r="D115" s="4" t="s">
        <v>440</v>
      </c>
      <c r="E115" s="4">
        <v>3.3</v>
      </c>
      <c r="F115" s="4" t="s">
        <v>394</v>
      </c>
      <c r="G115" s="4">
        <v>75</v>
      </c>
      <c r="H115" s="4">
        <v>75</v>
      </c>
      <c r="I115" s="4">
        <v>0</v>
      </c>
      <c r="J115" s="4">
        <v>0</v>
      </c>
      <c r="K115" s="4" t="s">
        <v>227</v>
      </c>
      <c r="L115" s="81">
        <f t="shared" si="16"/>
        <v>0</v>
      </c>
      <c r="M115" s="79">
        <f t="shared" si="17"/>
        <v>0</v>
      </c>
      <c r="N115" s="4" t="str">
        <f t="shared" si="18"/>
        <v>NG</v>
      </c>
      <c r="O115" s="80">
        <f t="shared" si="19"/>
        <v>0</v>
      </c>
      <c r="P115" s="79">
        <f t="shared" si="20"/>
        <v>0</v>
      </c>
      <c r="Q115" s="4" t="str">
        <f t="shared" si="21"/>
        <v>NG</v>
      </c>
    </row>
    <row r="116" spans="3:17" x14ac:dyDescent="0.25">
      <c r="C116" s="4" t="s">
        <v>215</v>
      </c>
      <c r="D116" s="4" t="s">
        <v>440</v>
      </c>
      <c r="E116" s="4">
        <v>3.3</v>
      </c>
      <c r="F116" s="4" t="s">
        <v>394</v>
      </c>
      <c r="G116" s="4">
        <v>80</v>
      </c>
      <c r="H116" s="4">
        <v>80</v>
      </c>
      <c r="I116" s="4">
        <v>0</v>
      </c>
      <c r="J116" s="4">
        <v>0</v>
      </c>
      <c r="K116" s="4" t="s">
        <v>227</v>
      </c>
      <c r="L116" s="81">
        <f t="shared" si="16"/>
        <v>0</v>
      </c>
      <c r="M116" s="79">
        <f t="shared" si="17"/>
        <v>0</v>
      </c>
      <c r="N116" s="4" t="str">
        <f t="shared" si="18"/>
        <v>NG</v>
      </c>
      <c r="O116" s="80">
        <f t="shared" si="19"/>
        <v>0</v>
      </c>
      <c r="P116" s="79">
        <f t="shared" si="20"/>
        <v>0</v>
      </c>
      <c r="Q116" s="4" t="str">
        <f t="shared" si="21"/>
        <v>NG</v>
      </c>
    </row>
    <row r="117" spans="3:17" x14ac:dyDescent="0.25">
      <c r="C117" s="4" t="s">
        <v>213</v>
      </c>
      <c r="D117" s="4" t="s">
        <v>440</v>
      </c>
      <c r="E117" s="4">
        <v>3.3</v>
      </c>
      <c r="F117" s="4" t="s">
        <v>394</v>
      </c>
      <c r="G117" s="4">
        <v>90</v>
      </c>
      <c r="H117" s="4">
        <v>90</v>
      </c>
      <c r="I117" s="4">
        <v>0</v>
      </c>
      <c r="J117" s="4">
        <v>0</v>
      </c>
      <c r="K117" s="4" t="s">
        <v>227</v>
      </c>
      <c r="L117" s="81">
        <f t="shared" si="16"/>
        <v>0</v>
      </c>
      <c r="M117" s="79">
        <f t="shared" si="17"/>
        <v>0</v>
      </c>
      <c r="N117" s="4" t="str">
        <f t="shared" si="18"/>
        <v>NG</v>
      </c>
      <c r="O117" s="80">
        <f t="shared" si="19"/>
        <v>0</v>
      </c>
      <c r="P117" s="79">
        <f t="shared" si="20"/>
        <v>0</v>
      </c>
      <c r="Q117" s="4" t="str">
        <f t="shared" si="21"/>
        <v>NG</v>
      </c>
    </row>
    <row r="118" spans="3:17" x14ac:dyDescent="0.25">
      <c r="C118" s="4" t="s">
        <v>214</v>
      </c>
      <c r="D118" s="4" t="s">
        <v>440</v>
      </c>
      <c r="E118" s="4">
        <v>3.3</v>
      </c>
      <c r="F118" s="4" t="s">
        <v>394</v>
      </c>
      <c r="G118" s="4">
        <v>100</v>
      </c>
      <c r="H118" s="4">
        <v>100</v>
      </c>
      <c r="I118" s="4">
        <v>0</v>
      </c>
      <c r="J118" s="4">
        <v>0</v>
      </c>
      <c r="K118" s="4" t="s">
        <v>227</v>
      </c>
      <c r="L118" s="81">
        <f t="shared" si="16"/>
        <v>0</v>
      </c>
      <c r="M118" s="79">
        <f t="shared" si="17"/>
        <v>0</v>
      </c>
      <c r="N118" s="4" t="str">
        <f t="shared" si="18"/>
        <v>NG</v>
      </c>
      <c r="O118" s="80">
        <f t="shared" si="19"/>
        <v>0</v>
      </c>
      <c r="P118" s="79">
        <f t="shared" si="20"/>
        <v>0</v>
      </c>
      <c r="Q118" s="4" t="str">
        <f t="shared" si="21"/>
        <v>NG</v>
      </c>
    </row>
    <row r="119" spans="3:17" x14ac:dyDescent="0.25">
      <c r="C119" s="4" t="s">
        <v>380</v>
      </c>
      <c r="D119" s="4" t="s">
        <v>440</v>
      </c>
      <c r="E119" s="4">
        <v>3.3</v>
      </c>
      <c r="F119" s="4" t="s">
        <v>394</v>
      </c>
      <c r="G119" s="4">
        <v>110</v>
      </c>
      <c r="H119" s="4">
        <v>110</v>
      </c>
      <c r="I119" s="4">
        <v>0</v>
      </c>
      <c r="J119" s="4">
        <v>0</v>
      </c>
      <c r="K119" s="4" t="s">
        <v>227</v>
      </c>
      <c r="L119" s="81">
        <f t="shared" si="16"/>
        <v>0</v>
      </c>
      <c r="M119" s="79">
        <f t="shared" si="17"/>
        <v>0</v>
      </c>
      <c r="N119" s="4" t="str">
        <f t="shared" si="18"/>
        <v>NG</v>
      </c>
      <c r="O119" s="80">
        <f t="shared" si="19"/>
        <v>0</v>
      </c>
      <c r="P119" s="79">
        <f t="shared" si="20"/>
        <v>0</v>
      </c>
      <c r="Q119" s="4" t="str">
        <f t="shared" si="21"/>
        <v>NG</v>
      </c>
    </row>
    <row r="120" spans="3:17" x14ac:dyDescent="0.25">
      <c r="C120" s="4" t="s">
        <v>381</v>
      </c>
      <c r="D120" s="4" t="s">
        <v>440</v>
      </c>
      <c r="E120" s="4">
        <v>3.3</v>
      </c>
      <c r="F120" s="4" t="s">
        <v>394</v>
      </c>
      <c r="G120" s="4">
        <v>120</v>
      </c>
      <c r="H120" s="4">
        <v>120</v>
      </c>
      <c r="I120" s="4">
        <v>0</v>
      </c>
      <c r="J120" s="4">
        <v>0</v>
      </c>
      <c r="K120" s="4" t="s">
        <v>227</v>
      </c>
      <c r="L120" s="81">
        <f t="shared" si="16"/>
        <v>0</v>
      </c>
      <c r="M120" s="79">
        <f t="shared" si="17"/>
        <v>0</v>
      </c>
      <c r="N120" s="4" t="str">
        <f t="shared" si="18"/>
        <v>NG</v>
      </c>
      <c r="O120" s="80">
        <f t="shared" si="19"/>
        <v>0</v>
      </c>
      <c r="P120" s="79">
        <f t="shared" si="20"/>
        <v>0</v>
      </c>
      <c r="Q120" s="4" t="str">
        <f t="shared" si="21"/>
        <v>NG</v>
      </c>
    </row>
    <row r="121" spans="3:17" x14ac:dyDescent="0.25">
      <c r="C121" s="4" t="s">
        <v>382</v>
      </c>
      <c r="D121" s="4" t="s">
        <v>440</v>
      </c>
      <c r="E121" s="4">
        <v>3.3</v>
      </c>
      <c r="F121" s="4" t="s">
        <v>394</v>
      </c>
      <c r="G121" s="4">
        <v>130</v>
      </c>
      <c r="H121" s="4">
        <v>130</v>
      </c>
      <c r="I121" s="4">
        <v>0</v>
      </c>
      <c r="J121" s="4">
        <v>0</v>
      </c>
      <c r="K121" s="4" t="s">
        <v>227</v>
      </c>
      <c r="L121" s="81">
        <f t="shared" si="16"/>
        <v>0</v>
      </c>
      <c r="M121" s="79">
        <f t="shared" si="17"/>
        <v>0</v>
      </c>
      <c r="N121" s="4" t="str">
        <f t="shared" si="18"/>
        <v>NG</v>
      </c>
      <c r="O121" s="80">
        <f t="shared" si="19"/>
        <v>0</v>
      </c>
      <c r="P121" s="79">
        <f t="shared" si="20"/>
        <v>0</v>
      </c>
      <c r="Q121" s="4" t="str">
        <f t="shared" si="21"/>
        <v>NG</v>
      </c>
    </row>
    <row r="122" spans="3:17" x14ac:dyDescent="0.25">
      <c r="C122" s="4" t="s">
        <v>383</v>
      </c>
      <c r="D122" s="4" t="s">
        <v>440</v>
      </c>
      <c r="E122" s="4">
        <v>3.3</v>
      </c>
      <c r="F122" s="4" t="s">
        <v>394</v>
      </c>
      <c r="G122" s="4">
        <v>140</v>
      </c>
      <c r="H122" s="4">
        <v>140</v>
      </c>
      <c r="I122" s="4">
        <v>0</v>
      </c>
      <c r="J122" s="4">
        <v>0</v>
      </c>
      <c r="K122" s="4" t="s">
        <v>227</v>
      </c>
      <c r="L122" s="81">
        <f t="shared" si="16"/>
        <v>0</v>
      </c>
      <c r="M122" s="79">
        <f t="shared" si="17"/>
        <v>0</v>
      </c>
      <c r="N122" s="4" t="str">
        <f t="shared" si="18"/>
        <v>NG</v>
      </c>
      <c r="O122" s="80">
        <f t="shared" si="19"/>
        <v>0</v>
      </c>
      <c r="P122" s="79">
        <f t="shared" si="20"/>
        <v>0</v>
      </c>
      <c r="Q122" s="4" t="str">
        <f t="shared" si="21"/>
        <v>NG</v>
      </c>
    </row>
    <row r="123" spans="3:17" x14ac:dyDescent="0.25">
      <c r="C123" s="4" t="s">
        <v>384</v>
      </c>
      <c r="D123" s="4" t="s">
        <v>440</v>
      </c>
      <c r="E123" s="4">
        <v>3.3</v>
      </c>
      <c r="F123" s="4" t="s">
        <v>394</v>
      </c>
      <c r="G123" s="4">
        <v>150</v>
      </c>
      <c r="H123" s="4">
        <v>150</v>
      </c>
      <c r="I123" s="4">
        <v>0</v>
      </c>
      <c r="J123" s="4">
        <v>0</v>
      </c>
      <c r="K123" s="4" t="s">
        <v>227</v>
      </c>
      <c r="L123" s="81">
        <f t="shared" si="16"/>
        <v>0</v>
      </c>
      <c r="M123" s="79">
        <f t="shared" si="17"/>
        <v>0</v>
      </c>
      <c r="N123" s="4" t="str">
        <f t="shared" si="18"/>
        <v>NG</v>
      </c>
      <c r="O123" s="80">
        <f t="shared" si="19"/>
        <v>0</v>
      </c>
      <c r="P123" s="79">
        <f t="shared" si="20"/>
        <v>0</v>
      </c>
      <c r="Q123" s="4" t="str">
        <f t="shared" si="21"/>
        <v>NG</v>
      </c>
    </row>
    <row r="124" spans="3:17" x14ac:dyDescent="0.25">
      <c r="C124" s="4" t="s">
        <v>373</v>
      </c>
      <c r="D124" s="4" t="s">
        <v>262</v>
      </c>
      <c r="E124" s="4">
        <v>3.3</v>
      </c>
      <c r="F124" s="4" t="s">
        <v>216</v>
      </c>
      <c r="G124" s="4">
        <v>350</v>
      </c>
      <c r="H124" s="4">
        <v>175</v>
      </c>
      <c r="I124" s="4">
        <v>11</v>
      </c>
      <c r="J124" s="4">
        <v>7</v>
      </c>
      <c r="K124" s="4" t="s">
        <v>227</v>
      </c>
      <c r="L124" s="81">
        <f t="shared" si="16"/>
        <v>7.9545454545454541</v>
      </c>
      <c r="M124" s="79">
        <f t="shared" si="17"/>
        <v>7.7067463558845244</v>
      </c>
      <c r="N124" s="4" t="str">
        <f t="shared" si="18"/>
        <v>NG</v>
      </c>
      <c r="O124" s="80">
        <f t="shared" si="19"/>
        <v>46.857142857142854</v>
      </c>
      <c r="P124" s="79">
        <f t="shared" si="20"/>
        <v>75.966499793718882</v>
      </c>
      <c r="Q124" s="4" t="str">
        <f t="shared" si="21"/>
        <v>OK</v>
      </c>
    </row>
    <row r="125" spans="3:17" x14ac:dyDescent="0.25">
      <c r="C125" s="4" t="s">
        <v>374</v>
      </c>
      <c r="D125" s="4" t="s">
        <v>262</v>
      </c>
      <c r="E125" s="4">
        <v>3.3</v>
      </c>
      <c r="F125" s="4" t="s">
        <v>216</v>
      </c>
      <c r="G125" s="4">
        <v>400</v>
      </c>
      <c r="H125" s="4">
        <v>200</v>
      </c>
      <c r="I125" s="4">
        <v>13</v>
      </c>
      <c r="J125" s="4">
        <v>8</v>
      </c>
      <c r="K125" s="4" t="s">
        <v>227</v>
      </c>
      <c r="L125" s="81">
        <f t="shared" si="16"/>
        <v>7.6923076923076925</v>
      </c>
      <c r="M125" s="79">
        <f t="shared" si="17"/>
        <v>7.7067463558845244</v>
      </c>
      <c r="N125" s="4" t="str">
        <f t="shared" si="18"/>
        <v>OK</v>
      </c>
      <c r="O125" s="80">
        <f t="shared" si="19"/>
        <v>46.75</v>
      </c>
      <c r="P125" s="79">
        <f t="shared" si="20"/>
        <v>75.966499793718882</v>
      </c>
      <c r="Q125" s="4" t="str">
        <f t="shared" si="21"/>
        <v>OK</v>
      </c>
    </row>
    <row r="126" spans="3:17" x14ac:dyDescent="0.25">
      <c r="C126" s="4" t="s">
        <v>375</v>
      </c>
      <c r="D126" s="4" t="s">
        <v>262</v>
      </c>
      <c r="E126" s="4">
        <v>3.3</v>
      </c>
      <c r="F126" s="4" t="s">
        <v>216</v>
      </c>
      <c r="G126" s="4">
        <v>500</v>
      </c>
      <c r="H126" s="4">
        <v>200</v>
      </c>
      <c r="I126" s="4">
        <v>16</v>
      </c>
      <c r="J126" s="4">
        <v>10</v>
      </c>
      <c r="K126" s="4" t="s">
        <v>227</v>
      </c>
      <c r="L126" s="81">
        <f t="shared" si="16"/>
        <v>6.25</v>
      </c>
      <c r="M126" s="79">
        <f t="shared" si="17"/>
        <v>7.7067463558845244</v>
      </c>
      <c r="N126" s="4" t="str">
        <f t="shared" si="18"/>
        <v>OK</v>
      </c>
      <c r="O126" s="80">
        <f t="shared" si="19"/>
        <v>46.8</v>
      </c>
      <c r="P126" s="79">
        <f t="shared" si="20"/>
        <v>75.966499793718882</v>
      </c>
      <c r="Q126" s="4" t="str">
        <f t="shared" si="21"/>
        <v>OK</v>
      </c>
    </row>
    <row r="127" spans="3:17" x14ac:dyDescent="0.25">
      <c r="C127" s="4" t="s">
        <v>376</v>
      </c>
      <c r="D127" s="4" t="s">
        <v>262</v>
      </c>
      <c r="E127" s="4">
        <v>3.3</v>
      </c>
      <c r="F127" s="4" t="s">
        <v>216</v>
      </c>
      <c r="G127" s="4">
        <v>600</v>
      </c>
      <c r="H127" s="4">
        <v>200</v>
      </c>
      <c r="I127" s="4">
        <v>17</v>
      </c>
      <c r="J127" s="4">
        <v>11</v>
      </c>
      <c r="K127" s="4" t="s">
        <v>227</v>
      </c>
      <c r="L127" s="81">
        <f t="shared" si="16"/>
        <v>5.882352941176471</v>
      </c>
      <c r="M127" s="79">
        <f t="shared" si="17"/>
        <v>7.7067463558845244</v>
      </c>
      <c r="N127" s="4" t="str">
        <f t="shared" si="18"/>
        <v>OK</v>
      </c>
      <c r="O127" s="80">
        <f t="shared" si="19"/>
        <v>51.454545454545453</v>
      </c>
      <c r="P127" s="79">
        <f t="shared" si="20"/>
        <v>75.966499793718882</v>
      </c>
      <c r="Q127" s="4" t="str">
        <f t="shared" si="21"/>
        <v>OK</v>
      </c>
    </row>
    <row r="128" spans="3:17" x14ac:dyDescent="0.25">
      <c r="C128" s="4" t="s">
        <v>378</v>
      </c>
      <c r="D128" s="4" t="s">
        <v>262</v>
      </c>
      <c r="E128" s="4">
        <v>3.3</v>
      </c>
      <c r="F128" s="4" t="s">
        <v>216</v>
      </c>
      <c r="G128" s="4">
        <v>700</v>
      </c>
      <c r="H128" s="4">
        <v>300</v>
      </c>
      <c r="I128" s="4">
        <v>24</v>
      </c>
      <c r="J128" s="4">
        <v>13</v>
      </c>
      <c r="K128" s="4" t="s">
        <v>227</v>
      </c>
      <c r="L128" s="81">
        <f t="shared" ref="L128:L162" si="22">WidthThk(F128,G128,H128,I128,J128,"B")</f>
        <v>6.25</v>
      </c>
      <c r="M128" s="79">
        <f t="shared" ref="M128:M162" si="23">LandaWidthThk(E128,F128,K128,"B")</f>
        <v>7.7067463558845244</v>
      </c>
      <c r="N128" s="4" t="str">
        <f t="shared" ref="N128:N162" si="24">IF(L128&lt;M128,"OK","NG")</f>
        <v>OK</v>
      </c>
      <c r="O128" s="80">
        <f t="shared" ref="O128:O162" si="25">WidthThk(F128,G128,H128,I128,J128,"H")</f>
        <v>50.153846153846153</v>
      </c>
      <c r="P128" s="79">
        <f t="shared" ref="P128:P162" si="26">LandaWidthThk(E128,F128,K128,"H")</f>
        <v>75.966499793718882</v>
      </c>
      <c r="Q128" s="4" t="str">
        <f t="shared" ref="Q128:Q162" si="27">IF(O128&lt;P128,"OK","NG")</f>
        <v>OK</v>
      </c>
    </row>
    <row r="129" spans="3:17" x14ac:dyDescent="0.25">
      <c r="C129" s="4" t="s">
        <v>379</v>
      </c>
      <c r="D129" s="4" t="s">
        <v>262</v>
      </c>
      <c r="E129" s="4">
        <v>3.3</v>
      </c>
      <c r="F129" s="4" t="s">
        <v>216</v>
      </c>
      <c r="G129" s="4">
        <v>800</v>
      </c>
      <c r="H129" s="4">
        <v>300</v>
      </c>
      <c r="I129" s="4">
        <v>26</v>
      </c>
      <c r="J129" s="4">
        <v>14</v>
      </c>
      <c r="K129" s="4" t="s">
        <v>227</v>
      </c>
      <c r="L129" s="81">
        <f t="shared" si="22"/>
        <v>5.7692307692307692</v>
      </c>
      <c r="M129" s="79">
        <f t="shared" si="23"/>
        <v>7.7067463558845244</v>
      </c>
      <c r="N129" s="4" t="str">
        <f t="shared" si="24"/>
        <v>OK</v>
      </c>
      <c r="O129" s="80">
        <f t="shared" si="25"/>
        <v>53.428571428571431</v>
      </c>
      <c r="P129" s="79">
        <f t="shared" si="26"/>
        <v>75.966499793718882</v>
      </c>
      <c r="Q129" s="4" t="str">
        <f t="shared" si="27"/>
        <v>OK</v>
      </c>
    </row>
    <row r="130" spans="3:17" x14ac:dyDescent="0.25">
      <c r="C130" s="4"/>
      <c r="D130" s="4"/>
      <c r="E130" s="4"/>
      <c r="F130" s="4"/>
      <c r="G130" s="4"/>
      <c r="H130" s="4"/>
      <c r="I130" s="4"/>
      <c r="J130" s="4"/>
      <c r="K130" s="4"/>
      <c r="L130" s="81">
        <f t="shared" si="22"/>
        <v>0</v>
      </c>
      <c r="M130" s="79">
        <f t="shared" si="23"/>
        <v>0</v>
      </c>
      <c r="N130" s="4" t="str">
        <f t="shared" si="24"/>
        <v>NG</v>
      </c>
      <c r="O130" s="80">
        <f t="shared" si="25"/>
        <v>0</v>
      </c>
      <c r="P130" s="79">
        <f t="shared" si="26"/>
        <v>0</v>
      </c>
      <c r="Q130" s="4" t="str">
        <f t="shared" si="27"/>
        <v>NG</v>
      </c>
    </row>
    <row r="131" spans="3:17" x14ac:dyDescent="0.25">
      <c r="C131" s="4"/>
      <c r="D131" s="4"/>
      <c r="E131" s="4"/>
      <c r="F131" s="4"/>
      <c r="G131" s="4"/>
      <c r="H131" s="4"/>
      <c r="I131" s="4"/>
      <c r="J131" s="4"/>
      <c r="K131" s="4"/>
      <c r="L131" s="81">
        <f t="shared" si="22"/>
        <v>0</v>
      </c>
      <c r="M131" s="79">
        <f t="shared" si="23"/>
        <v>0</v>
      </c>
      <c r="N131" s="4" t="str">
        <f t="shared" si="24"/>
        <v>NG</v>
      </c>
      <c r="O131" s="80">
        <f t="shared" si="25"/>
        <v>0</v>
      </c>
      <c r="P131" s="79">
        <f t="shared" si="26"/>
        <v>0</v>
      </c>
      <c r="Q131" s="4" t="str">
        <f t="shared" si="27"/>
        <v>NG</v>
      </c>
    </row>
    <row r="132" spans="3:17" x14ac:dyDescent="0.25">
      <c r="C132" s="4"/>
      <c r="D132" s="4"/>
      <c r="E132" s="4"/>
      <c r="F132" s="4"/>
      <c r="G132" s="4"/>
      <c r="H132" s="4"/>
      <c r="I132" s="4"/>
      <c r="J132" s="4"/>
      <c r="K132" s="4"/>
      <c r="L132" s="81">
        <f t="shared" si="22"/>
        <v>0</v>
      </c>
      <c r="M132" s="79">
        <f t="shared" si="23"/>
        <v>0</v>
      </c>
      <c r="N132" s="4" t="str">
        <f t="shared" si="24"/>
        <v>NG</v>
      </c>
      <c r="O132" s="80">
        <f t="shared" si="25"/>
        <v>0</v>
      </c>
      <c r="P132" s="79">
        <f t="shared" si="26"/>
        <v>0</v>
      </c>
      <c r="Q132" s="4" t="str">
        <f t="shared" si="27"/>
        <v>NG</v>
      </c>
    </row>
    <row r="133" spans="3:17" x14ac:dyDescent="0.25">
      <c r="C133" s="4"/>
      <c r="D133" s="4"/>
      <c r="E133" s="4"/>
      <c r="F133" s="4"/>
      <c r="G133" s="4"/>
      <c r="H133" s="4"/>
      <c r="I133" s="4"/>
      <c r="J133" s="4"/>
      <c r="K133" s="4"/>
      <c r="L133" s="81">
        <f t="shared" si="22"/>
        <v>0</v>
      </c>
      <c r="M133" s="79">
        <f t="shared" si="23"/>
        <v>0</v>
      </c>
      <c r="N133" s="4" t="str">
        <f t="shared" si="24"/>
        <v>NG</v>
      </c>
      <c r="O133" s="80">
        <f t="shared" si="25"/>
        <v>0</v>
      </c>
      <c r="P133" s="79">
        <f t="shared" si="26"/>
        <v>0</v>
      </c>
      <c r="Q133" s="4" t="str">
        <f t="shared" si="27"/>
        <v>NG</v>
      </c>
    </row>
    <row r="134" spans="3:17" x14ac:dyDescent="0.25">
      <c r="C134" s="4"/>
      <c r="D134" s="4"/>
      <c r="E134" s="4"/>
      <c r="F134" s="4"/>
      <c r="G134" s="4"/>
      <c r="H134" s="4"/>
      <c r="I134" s="4"/>
      <c r="J134" s="4"/>
      <c r="K134" s="4"/>
      <c r="L134" s="81">
        <f t="shared" si="22"/>
        <v>0</v>
      </c>
      <c r="M134" s="79">
        <f t="shared" si="23"/>
        <v>0</v>
      </c>
      <c r="N134" s="4" t="str">
        <f t="shared" si="24"/>
        <v>NG</v>
      </c>
      <c r="O134" s="80">
        <f t="shared" si="25"/>
        <v>0</v>
      </c>
      <c r="P134" s="79">
        <f t="shared" si="26"/>
        <v>0</v>
      </c>
      <c r="Q134" s="4" t="str">
        <f t="shared" si="27"/>
        <v>NG</v>
      </c>
    </row>
    <row r="135" spans="3:17" x14ac:dyDescent="0.25">
      <c r="C135" s="4"/>
      <c r="D135" s="4"/>
      <c r="E135" s="4"/>
      <c r="F135" s="4"/>
      <c r="G135" s="4"/>
      <c r="H135" s="4"/>
      <c r="I135" s="4"/>
      <c r="J135" s="4"/>
      <c r="K135" s="4"/>
      <c r="L135" s="81">
        <f t="shared" si="22"/>
        <v>0</v>
      </c>
      <c r="M135" s="79">
        <f t="shared" si="23"/>
        <v>0</v>
      </c>
      <c r="N135" s="4" t="str">
        <f t="shared" si="24"/>
        <v>NG</v>
      </c>
      <c r="O135" s="80">
        <f t="shared" si="25"/>
        <v>0</v>
      </c>
      <c r="P135" s="79">
        <f t="shared" si="26"/>
        <v>0</v>
      </c>
      <c r="Q135" s="4" t="str">
        <f t="shared" si="27"/>
        <v>NG</v>
      </c>
    </row>
    <row r="136" spans="3:17" x14ac:dyDescent="0.25">
      <c r="C136" s="4"/>
      <c r="D136" s="4"/>
      <c r="E136" s="4"/>
      <c r="F136" s="4"/>
      <c r="G136" s="4"/>
      <c r="H136" s="4"/>
      <c r="I136" s="4"/>
      <c r="J136" s="4"/>
      <c r="K136" s="4"/>
      <c r="L136" s="81">
        <f t="shared" si="22"/>
        <v>0</v>
      </c>
      <c r="M136" s="79">
        <f t="shared" si="23"/>
        <v>0</v>
      </c>
      <c r="N136" s="4" t="str">
        <f t="shared" si="24"/>
        <v>NG</v>
      </c>
      <c r="O136" s="80">
        <f t="shared" si="25"/>
        <v>0</v>
      </c>
      <c r="P136" s="79">
        <f t="shared" si="26"/>
        <v>0</v>
      </c>
      <c r="Q136" s="4" t="str">
        <f t="shared" si="27"/>
        <v>NG</v>
      </c>
    </row>
    <row r="137" spans="3:17" x14ac:dyDescent="0.25">
      <c r="C137" s="4"/>
      <c r="D137" s="4"/>
      <c r="E137" s="4"/>
      <c r="F137" s="4"/>
      <c r="G137" s="4"/>
      <c r="H137" s="4"/>
      <c r="I137" s="4"/>
      <c r="J137" s="4"/>
      <c r="K137" s="4"/>
      <c r="L137" s="81">
        <f t="shared" si="22"/>
        <v>0</v>
      </c>
      <c r="M137" s="79">
        <f t="shared" si="23"/>
        <v>0</v>
      </c>
      <c r="N137" s="4" t="str">
        <f t="shared" si="24"/>
        <v>NG</v>
      </c>
      <c r="O137" s="80">
        <f t="shared" si="25"/>
        <v>0</v>
      </c>
      <c r="P137" s="79">
        <f t="shared" si="26"/>
        <v>0</v>
      </c>
      <c r="Q137" s="4" t="str">
        <f t="shared" si="27"/>
        <v>NG</v>
      </c>
    </row>
    <row r="138" spans="3:17" x14ac:dyDescent="0.25">
      <c r="C138" s="4"/>
      <c r="D138" s="4"/>
      <c r="E138" s="4"/>
      <c r="F138" s="4"/>
      <c r="G138" s="4"/>
      <c r="H138" s="4"/>
      <c r="I138" s="4"/>
      <c r="J138" s="4"/>
      <c r="K138" s="4"/>
      <c r="L138" s="81">
        <f t="shared" si="22"/>
        <v>0</v>
      </c>
      <c r="M138" s="79">
        <f t="shared" si="23"/>
        <v>0</v>
      </c>
      <c r="N138" s="4" t="str">
        <f t="shared" si="24"/>
        <v>NG</v>
      </c>
      <c r="O138" s="80">
        <f t="shared" si="25"/>
        <v>0</v>
      </c>
      <c r="P138" s="79">
        <f t="shared" si="26"/>
        <v>0</v>
      </c>
      <c r="Q138" s="4" t="str">
        <f t="shared" si="27"/>
        <v>NG</v>
      </c>
    </row>
    <row r="139" spans="3:17" x14ac:dyDescent="0.25">
      <c r="C139" s="4"/>
      <c r="D139" s="4"/>
      <c r="E139" s="4"/>
      <c r="F139" s="4"/>
      <c r="G139" s="4"/>
      <c r="H139" s="4"/>
      <c r="I139" s="4"/>
      <c r="J139" s="4"/>
      <c r="K139" s="4"/>
      <c r="L139" s="81">
        <f t="shared" si="22"/>
        <v>0</v>
      </c>
      <c r="M139" s="79">
        <f t="shared" si="23"/>
        <v>0</v>
      </c>
      <c r="N139" s="4" t="str">
        <f t="shared" si="24"/>
        <v>NG</v>
      </c>
      <c r="O139" s="80">
        <f t="shared" si="25"/>
        <v>0</v>
      </c>
      <c r="P139" s="79">
        <f t="shared" si="26"/>
        <v>0</v>
      </c>
      <c r="Q139" s="4" t="str">
        <f t="shared" si="27"/>
        <v>NG</v>
      </c>
    </row>
    <row r="140" spans="3:17" x14ac:dyDescent="0.25">
      <c r="C140" s="4"/>
      <c r="D140" s="4"/>
      <c r="E140" s="4"/>
      <c r="F140" s="4"/>
      <c r="G140" s="4"/>
      <c r="H140" s="4"/>
      <c r="I140" s="4"/>
      <c r="J140" s="4"/>
      <c r="K140" s="4"/>
      <c r="L140" s="81">
        <f t="shared" si="22"/>
        <v>0</v>
      </c>
      <c r="M140" s="79">
        <f t="shared" si="23"/>
        <v>0</v>
      </c>
      <c r="N140" s="4" t="str">
        <f t="shared" si="24"/>
        <v>NG</v>
      </c>
      <c r="O140" s="80">
        <f t="shared" si="25"/>
        <v>0</v>
      </c>
      <c r="P140" s="79">
        <f t="shared" si="26"/>
        <v>0</v>
      </c>
      <c r="Q140" s="4" t="str">
        <f t="shared" si="27"/>
        <v>NG</v>
      </c>
    </row>
    <row r="141" spans="3:17" x14ac:dyDescent="0.25">
      <c r="C141" s="4"/>
      <c r="D141" s="4"/>
      <c r="E141" s="4"/>
      <c r="F141" s="4"/>
      <c r="G141" s="4"/>
      <c r="H141" s="4"/>
      <c r="I141" s="4"/>
      <c r="J141" s="4"/>
      <c r="K141" s="4"/>
      <c r="L141" s="81">
        <f t="shared" si="22"/>
        <v>0</v>
      </c>
      <c r="M141" s="79">
        <f t="shared" si="23"/>
        <v>0</v>
      </c>
      <c r="N141" s="4" t="str">
        <f t="shared" si="24"/>
        <v>NG</v>
      </c>
      <c r="O141" s="80">
        <f t="shared" si="25"/>
        <v>0</v>
      </c>
      <c r="P141" s="79">
        <f t="shared" si="26"/>
        <v>0</v>
      </c>
      <c r="Q141" s="4" t="str">
        <f t="shared" si="27"/>
        <v>NG</v>
      </c>
    </row>
    <row r="142" spans="3:17" x14ac:dyDescent="0.25">
      <c r="C142" s="4"/>
      <c r="D142" s="4"/>
      <c r="E142" s="4"/>
      <c r="F142" s="4"/>
      <c r="G142" s="4"/>
      <c r="H142" s="4"/>
      <c r="I142" s="4"/>
      <c r="J142" s="4"/>
      <c r="K142" s="4"/>
      <c r="L142" s="81">
        <f t="shared" si="22"/>
        <v>0</v>
      </c>
      <c r="M142" s="79">
        <f t="shared" si="23"/>
        <v>0</v>
      </c>
      <c r="N142" s="4" t="str">
        <f t="shared" si="24"/>
        <v>NG</v>
      </c>
      <c r="O142" s="80">
        <f t="shared" si="25"/>
        <v>0</v>
      </c>
      <c r="P142" s="79">
        <f t="shared" si="26"/>
        <v>0</v>
      </c>
      <c r="Q142" s="4" t="str">
        <f t="shared" si="27"/>
        <v>NG</v>
      </c>
    </row>
    <row r="143" spans="3:17" x14ac:dyDescent="0.25">
      <c r="C143" s="4"/>
      <c r="D143" s="4"/>
      <c r="E143" s="4"/>
      <c r="F143" s="4"/>
      <c r="G143" s="4"/>
      <c r="H143" s="4"/>
      <c r="I143" s="4"/>
      <c r="J143" s="4"/>
      <c r="K143" s="4"/>
      <c r="L143" s="81">
        <f t="shared" si="22"/>
        <v>0</v>
      </c>
      <c r="M143" s="79">
        <f t="shared" si="23"/>
        <v>0</v>
      </c>
      <c r="N143" s="4" t="str">
        <f t="shared" si="24"/>
        <v>NG</v>
      </c>
      <c r="O143" s="80">
        <f t="shared" si="25"/>
        <v>0</v>
      </c>
      <c r="P143" s="79">
        <f t="shared" si="26"/>
        <v>0</v>
      </c>
      <c r="Q143" s="4" t="str">
        <f t="shared" si="27"/>
        <v>NG</v>
      </c>
    </row>
    <row r="144" spans="3:17" x14ac:dyDescent="0.25">
      <c r="C144" s="4"/>
      <c r="D144" s="4"/>
      <c r="E144" s="4"/>
      <c r="F144" s="4"/>
      <c r="G144" s="4"/>
      <c r="H144" s="4"/>
      <c r="I144" s="4"/>
      <c r="J144" s="4"/>
      <c r="K144" s="4"/>
      <c r="L144" s="81">
        <f t="shared" si="22"/>
        <v>0</v>
      </c>
      <c r="M144" s="79">
        <f t="shared" si="23"/>
        <v>0</v>
      </c>
      <c r="N144" s="4" t="str">
        <f t="shared" si="24"/>
        <v>NG</v>
      </c>
      <c r="O144" s="80">
        <f t="shared" si="25"/>
        <v>0</v>
      </c>
      <c r="P144" s="79">
        <f t="shared" si="26"/>
        <v>0</v>
      </c>
      <c r="Q144" s="4" t="str">
        <f t="shared" si="27"/>
        <v>NG</v>
      </c>
    </row>
    <row r="145" spans="3:17" x14ac:dyDescent="0.25">
      <c r="C145" s="4"/>
      <c r="D145" s="4"/>
      <c r="E145" s="4"/>
      <c r="F145" s="4"/>
      <c r="G145" s="4"/>
      <c r="H145" s="4"/>
      <c r="I145" s="4"/>
      <c r="J145" s="4"/>
      <c r="K145" s="4"/>
      <c r="L145" s="81">
        <f t="shared" si="22"/>
        <v>0</v>
      </c>
      <c r="M145" s="79">
        <f t="shared" si="23"/>
        <v>0</v>
      </c>
      <c r="N145" s="4" t="str">
        <f t="shared" si="24"/>
        <v>NG</v>
      </c>
      <c r="O145" s="80">
        <f t="shared" si="25"/>
        <v>0</v>
      </c>
      <c r="P145" s="79">
        <f t="shared" si="26"/>
        <v>0</v>
      </c>
      <c r="Q145" s="4" t="str">
        <f t="shared" si="27"/>
        <v>NG</v>
      </c>
    </row>
    <row r="146" spans="3:17" x14ac:dyDescent="0.25">
      <c r="C146" s="4"/>
      <c r="D146" s="4"/>
      <c r="E146" s="4"/>
      <c r="F146" s="4"/>
      <c r="G146" s="4"/>
      <c r="H146" s="4"/>
      <c r="I146" s="4"/>
      <c r="J146" s="4"/>
      <c r="K146" s="4"/>
      <c r="L146" s="81">
        <f t="shared" si="22"/>
        <v>0</v>
      </c>
      <c r="M146" s="79">
        <f t="shared" si="23"/>
        <v>0</v>
      </c>
      <c r="N146" s="4" t="str">
        <f t="shared" si="24"/>
        <v>NG</v>
      </c>
      <c r="O146" s="80">
        <f t="shared" si="25"/>
        <v>0</v>
      </c>
      <c r="P146" s="79">
        <f t="shared" si="26"/>
        <v>0</v>
      </c>
      <c r="Q146" s="4" t="str">
        <f t="shared" si="27"/>
        <v>NG</v>
      </c>
    </row>
    <row r="147" spans="3:17" x14ac:dyDescent="0.25">
      <c r="C147" s="4"/>
      <c r="D147" s="4"/>
      <c r="E147" s="4"/>
      <c r="F147" s="4"/>
      <c r="G147" s="4"/>
      <c r="H147" s="4"/>
      <c r="I147" s="4"/>
      <c r="J147" s="4"/>
      <c r="K147" s="4"/>
      <c r="L147" s="81">
        <f t="shared" si="22"/>
        <v>0</v>
      </c>
      <c r="M147" s="79">
        <f t="shared" si="23"/>
        <v>0</v>
      </c>
      <c r="N147" s="4" t="str">
        <f t="shared" si="24"/>
        <v>NG</v>
      </c>
      <c r="O147" s="80">
        <f t="shared" si="25"/>
        <v>0</v>
      </c>
      <c r="P147" s="79">
        <f t="shared" si="26"/>
        <v>0</v>
      </c>
      <c r="Q147" s="4" t="str">
        <f t="shared" si="27"/>
        <v>NG</v>
      </c>
    </row>
    <row r="148" spans="3:17" x14ac:dyDescent="0.25">
      <c r="C148" s="4"/>
      <c r="D148" s="4"/>
      <c r="E148" s="4"/>
      <c r="F148" s="4"/>
      <c r="G148" s="4"/>
      <c r="H148" s="4"/>
      <c r="I148" s="4"/>
      <c r="J148" s="4"/>
      <c r="K148" s="4"/>
      <c r="L148" s="81">
        <f t="shared" si="22"/>
        <v>0</v>
      </c>
      <c r="M148" s="79">
        <f t="shared" si="23"/>
        <v>0</v>
      </c>
      <c r="N148" s="4" t="str">
        <f t="shared" si="24"/>
        <v>NG</v>
      </c>
      <c r="O148" s="80">
        <f t="shared" si="25"/>
        <v>0</v>
      </c>
      <c r="P148" s="79">
        <f t="shared" si="26"/>
        <v>0</v>
      </c>
      <c r="Q148" s="4" t="str">
        <f t="shared" si="27"/>
        <v>NG</v>
      </c>
    </row>
    <row r="149" spans="3:17" x14ac:dyDescent="0.25">
      <c r="C149" s="4"/>
      <c r="D149" s="4"/>
      <c r="E149" s="4"/>
      <c r="F149" s="4"/>
      <c r="G149" s="4"/>
      <c r="H149" s="4"/>
      <c r="I149" s="4"/>
      <c r="J149" s="4"/>
      <c r="K149" s="4"/>
      <c r="L149" s="81">
        <f t="shared" si="22"/>
        <v>0</v>
      </c>
      <c r="M149" s="79">
        <f t="shared" si="23"/>
        <v>0</v>
      </c>
      <c r="N149" s="4" t="str">
        <f t="shared" si="24"/>
        <v>NG</v>
      </c>
      <c r="O149" s="80">
        <f t="shared" si="25"/>
        <v>0</v>
      </c>
      <c r="P149" s="79">
        <f t="shared" si="26"/>
        <v>0</v>
      </c>
      <c r="Q149" s="4" t="str">
        <f t="shared" si="27"/>
        <v>NG</v>
      </c>
    </row>
    <row r="150" spans="3:17" x14ac:dyDescent="0.25">
      <c r="C150" s="4"/>
      <c r="D150" s="4"/>
      <c r="E150" s="4"/>
      <c r="F150" s="4"/>
      <c r="G150" s="4"/>
      <c r="H150" s="4"/>
      <c r="I150" s="4"/>
      <c r="J150" s="4"/>
      <c r="K150" s="4"/>
      <c r="L150" s="81">
        <f t="shared" si="22"/>
        <v>0</v>
      </c>
      <c r="M150" s="79">
        <f t="shared" si="23"/>
        <v>0</v>
      </c>
      <c r="N150" s="4" t="str">
        <f t="shared" si="24"/>
        <v>NG</v>
      </c>
      <c r="O150" s="80">
        <f t="shared" si="25"/>
        <v>0</v>
      </c>
      <c r="P150" s="79">
        <f t="shared" si="26"/>
        <v>0</v>
      </c>
      <c r="Q150" s="4" t="str">
        <f t="shared" si="27"/>
        <v>NG</v>
      </c>
    </row>
    <row r="151" spans="3:17" x14ac:dyDescent="0.25">
      <c r="C151" s="4"/>
      <c r="D151" s="4"/>
      <c r="E151" s="4"/>
      <c r="F151" s="4"/>
      <c r="G151" s="4"/>
      <c r="H151" s="4"/>
      <c r="I151" s="4"/>
      <c r="J151" s="4"/>
      <c r="K151" s="4"/>
      <c r="L151" s="81">
        <f t="shared" si="22"/>
        <v>0</v>
      </c>
      <c r="M151" s="79">
        <f t="shared" si="23"/>
        <v>0</v>
      </c>
      <c r="N151" s="4" t="str">
        <f t="shared" si="24"/>
        <v>NG</v>
      </c>
      <c r="O151" s="80">
        <f t="shared" si="25"/>
        <v>0</v>
      </c>
      <c r="P151" s="79">
        <f t="shared" si="26"/>
        <v>0</v>
      </c>
      <c r="Q151" s="4" t="str">
        <f t="shared" si="27"/>
        <v>NG</v>
      </c>
    </row>
    <row r="152" spans="3:17" x14ac:dyDescent="0.25">
      <c r="C152" s="4"/>
      <c r="D152" s="4"/>
      <c r="E152" s="4"/>
      <c r="F152" s="4"/>
      <c r="G152" s="4"/>
      <c r="H152" s="4"/>
      <c r="I152" s="4"/>
      <c r="J152" s="4"/>
      <c r="K152" s="4"/>
      <c r="L152" s="81">
        <f t="shared" si="22"/>
        <v>0</v>
      </c>
      <c r="M152" s="79">
        <f t="shared" si="23"/>
        <v>0</v>
      </c>
      <c r="N152" s="4" t="str">
        <f t="shared" si="24"/>
        <v>NG</v>
      </c>
      <c r="O152" s="80">
        <f t="shared" si="25"/>
        <v>0</v>
      </c>
      <c r="P152" s="79">
        <f t="shared" si="26"/>
        <v>0</v>
      </c>
      <c r="Q152" s="4" t="str">
        <f t="shared" si="27"/>
        <v>NG</v>
      </c>
    </row>
    <row r="153" spans="3:17" x14ac:dyDescent="0.25">
      <c r="C153" s="4"/>
      <c r="D153" s="4"/>
      <c r="E153" s="4"/>
      <c r="F153" s="4"/>
      <c r="G153" s="4"/>
      <c r="H153" s="4"/>
      <c r="I153" s="4"/>
      <c r="J153" s="4"/>
      <c r="K153" s="4"/>
      <c r="L153" s="81">
        <f t="shared" si="22"/>
        <v>0</v>
      </c>
      <c r="M153" s="79">
        <f t="shared" si="23"/>
        <v>0</v>
      </c>
      <c r="N153" s="4" t="str">
        <f t="shared" si="24"/>
        <v>NG</v>
      </c>
      <c r="O153" s="80">
        <f t="shared" si="25"/>
        <v>0</v>
      </c>
      <c r="P153" s="79">
        <f t="shared" si="26"/>
        <v>0</v>
      </c>
      <c r="Q153" s="4" t="str">
        <f t="shared" si="27"/>
        <v>NG</v>
      </c>
    </row>
    <row r="154" spans="3:17" x14ac:dyDescent="0.25">
      <c r="C154" s="4"/>
      <c r="D154" s="4"/>
      <c r="E154" s="4"/>
      <c r="F154" s="4"/>
      <c r="G154" s="4"/>
      <c r="H154" s="4"/>
      <c r="I154" s="4"/>
      <c r="J154" s="4"/>
      <c r="K154" s="4"/>
      <c r="L154" s="81">
        <f t="shared" si="22"/>
        <v>0</v>
      </c>
      <c r="M154" s="79">
        <f t="shared" si="23"/>
        <v>0</v>
      </c>
      <c r="N154" s="4" t="str">
        <f t="shared" si="24"/>
        <v>NG</v>
      </c>
      <c r="O154" s="80">
        <f t="shared" si="25"/>
        <v>0</v>
      </c>
      <c r="P154" s="79">
        <f t="shared" si="26"/>
        <v>0</v>
      </c>
      <c r="Q154" s="4" t="str">
        <f t="shared" si="27"/>
        <v>NG</v>
      </c>
    </row>
    <row r="155" spans="3:17" x14ac:dyDescent="0.25">
      <c r="C155" s="4"/>
      <c r="D155" s="4"/>
      <c r="E155" s="4"/>
      <c r="F155" s="4"/>
      <c r="G155" s="4"/>
      <c r="H155" s="4"/>
      <c r="I155" s="4"/>
      <c r="J155" s="4"/>
      <c r="K155" s="4"/>
      <c r="L155" s="81">
        <f t="shared" si="22"/>
        <v>0</v>
      </c>
      <c r="M155" s="79">
        <f t="shared" si="23"/>
        <v>0</v>
      </c>
      <c r="N155" s="4" t="str">
        <f t="shared" si="24"/>
        <v>NG</v>
      </c>
      <c r="O155" s="80">
        <f t="shared" si="25"/>
        <v>0</v>
      </c>
      <c r="P155" s="79">
        <f t="shared" si="26"/>
        <v>0</v>
      </c>
      <c r="Q155" s="4" t="str">
        <f t="shared" si="27"/>
        <v>NG</v>
      </c>
    </row>
    <row r="156" spans="3:17" x14ac:dyDescent="0.25">
      <c r="C156" s="4"/>
      <c r="D156" s="4"/>
      <c r="E156" s="4"/>
      <c r="F156" s="4"/>
      <c r="G156" s="4"/>
      <c r="H156" s="4"/>
      <c r="I156" s="4"/>
      <c r="J156" s="4"/>
      <c r="K156" s="4"/>
      <c r="L156" s="81">
        <f t="shared" si="22"/>
        <v>0</v>
      </c>
      <c r="M156" s="79">
        <f t="shared" si="23"/>
        <v>0</v>
      </c>
      <c r="N156" s="4" t="str">
        <f t="shared" si="24"/>
        <v>NG</v>
      </c>
      <c r="O156" s="80">
        <f t="shared" si="25"/>
        <v>0</v>
      </c>
      <c r="P156" s="79">
        <f t="shared" si="26"/>
        <v>0</v>
      </c>
      <c r="Q156" s="4" t="str">
        <f t="shared" si="27"/>
        <v>NG</v>
      </c>
    </row>
    <row r="157" spans="3:17" x14ac:dyDescent="0.25">
      <c r="C157" s="4"/>
      <c r="D157" s="4"/>
      <c r="E157" s="4"/>
      <c r="F157" s="4"/>
      <c r="G157" s="4"/>
      <c r="H157" s="4"/>
      <c r="I157" s="4"/>
      <c r="J157" s="4"/>
      <c r="K157" s="4"/>
      <c r="L157" s="81">
        <f t="shared" si="22"/>
        <v>0</v>
      </c>
      <c r="M157" s="79">
        <f t="shared" si="23"/>
        <v>0</v>
      </c>
      <c r="N157" s="4" t="str">
        <f t="shared" si="24"/>
        <v>NG</v>
      </c>
      <c r="O157" s="80">
        <f t="shared" si="25"/>
        <v>0</v>
      </c>
      <c r="P157" s="79">
        <f t="shared" si="26"/>
        <v>0</v>
      </c>
      <c r="Q157" s="4" t="str">
        <f t="shared" si="27"/>
        <v>NG</v>
      </c>
    </row>
    <row r="158" spans="3:17" x14ac:dyDescent="0.25">
      <c r="C158" s="4"/>
      <c r="D158" s="4"/>
      <c r="E158" s="4"/>
      <c r="F158" s="4"/>
      <c r="G158" s="4"/>
      <c r="H158" s="4"/>
      <c r="I158" s="4"/>
      <c r="J158" s="4"/>
      <c r="K158" s="4"/>
      <c r="L158" s="81">
        <f t="shared" si="22"/>
        <v>0</v>
      </c>
      <c r="M158" s="79">
        <f t="shared" si="23"/>
        <v>0</v>
      </c>
      <c r="N158" s="4" t="str">
        <f t="shared" si="24"/>
        <v>NG</v>
      </c>
      <c r="O158" s="80">
        <f t="shared" si="25"/>
        <v>0</v>
      </c>
      <c r="P158" s="79">
        <f t="shared" si="26"/>
        <v>0</v>
      </c>
      <c r="Q158" s="4" t="str">
        <f t="shared" si="27"/>
        <v>NG</v>
      </c>
    </row>
    <row r="159" spans="3:17" x14ac:dyDescent="0.25">
      <c r="C159" s="4"/>
      <c r="D159" s="4"/>
      <c r="E159" s="4"/>
      <c r="F159" s="4"/>
      <c r="G159" s="4"/>
      <c r="H159" s="4"/>
      <c r="I159" s="4"/>
      <c r="J159" s="4"/>
      <c r="K159" s="4"/>
      <c r="L159" s="81">
        <f t="shared" si="22"/>
        <v>0</v>
      </c>
      <c r="M159" s="79">
        <f t="shared" si="23"/>
        <v>0</v>
      </c>
      <c r="N159" s="4" t="str">
        <f t="shared" si="24"/>
        <v>NG</v>
      </c>
      <c r="O159" s="80">
        <f t="shared" si="25"/>
        <v>0</v>
      </c>
      <c r="P159" s="79">
        <f t="shared" si="26"/>
        <v>0</v>
      </c>
      <c r="Q159" s="4" t="str">
        <f t="shared" si="27"/>
        <v>NG</v>
      </c>
    </row>
    <row r="160" spans="3:17" x14ac:dyDescent="0.25">
      <c r="C160" s="4"/>
      <c r="D160" s="4"/>
      <c r="E160" s="4"/>
      <c r="F160" s="4"/>
      <c r="G160" s="4"/>
      <c r="H160" s="4"/>
      <c r="I160" s="4"/>
      <c r="J160" s="4"/>
      <c r="K160" s="4"/>
      <c r="L160" s="81">
        <f t="shared" si="22"/>
        <v>0</v>
      </c>
      <c r="M160" s="79">
        <f t="shared" si="23"/>
        <v>0</v>
      </c>
      <c r="N160" s="4" t="str">
        <f t="shared" si="24"/>
        <v>NG</v>
      </c>
      <c r="O160" s="80">
        <f t="shared" si="25"/>
        <v>0</v>
      </c>
      <c r="P160" s="79">
        <f t="shared" si="26"/>
        <v>0</v>
      </c>
      <c r="Q160" s="4" t="str">
        <f t="shared" si="27"/>
        <v>NG</v>
      </c>
    </row>
    <row r="161" spans="3:17" x14ac:dyDescent="0.25">
      <c r="C161" s="4"/>
      <c r="D161" s="4"/>
      <c r="E161" s="4"/>
      <c r="F161" s="4"/>
      <c r="G161" s="4"/>
      <c r="H161" s="4"/>
      <c r="I161" s="4"/>
      <c r="J161" s="4"/>
      <c r="K161" s="4"/>
      <c r="L161" s="81">
        <f t="shared" si="22"/>
        <v>0</v>
      </c>
      <c r="M161" s="79">
        <f t="shared" si="23"/>
        <v>0</v>
      </c>
      <c r="N161" s="4" t="str">
        <f t="shared" si="24"/>
        <v>NG</v>
      </c>
      <c r="O161" s="80">
        <f t="shared" si="25"/>
        <v>0</v>
      </c>
      <c r="P161" s="79">
        <f t="shared" si="26"/>
        <v>0</v>
      </c>
      <c r="Q161" s="4" t="str">
        <f t="shared" si="27"/>
        <v>NG</v>
      </c>
    </row>
    <row r="162" spans="3:17" x14ac:dyDescent="0.25">
      <c r="C162" s="4"/>
      <c r="D162" s="4"/>
      <c r="E162" s="4"/>
      <c r="F162" s="4"/>
      <c r="G162" s="4"/>
      <c r="H162" s="4"/>
      <c r="I162" s="4"/>
      <c r="J162" s="4"/>
      <c r="K162" s="4"/>
      <c r="L162" s="81">
        <f t="shared" si="22"/>
        <v>0</v>
      </c>
      <c r="M162" s="79">
        <f t="shared" si="23"/>
        <v>0</v>
      </c>
      <c r="N162" s="4" t="str">
        <f t="shared" si="24"/>
        <v>NG</v>
      </c>
      <c r="O162" s="80">
        <f t="shared" si="25"/>
        <v>0</v>
      </c>
      <c r="P162" s="79">
        <f t="shared" si="26"/>
        <v>0</v>
      </c>
      <c r="Q162" s="4" t="str">
        <f t="shared" si="27"/>
        <v>NG</v>
      </c>
    </row>
    <row r="163" spans="3:17" x14ac:dyDescent="0.25">
      <c r="C163" s="4"/>
      <c r="D163" s="4"/>
      <c r="E163" s="4"/>
      <c r="F163" s="4"/>
      <c r="G163" s="4"/>
      <c r="H163" s="4"/>
      <c r="I163" s="4"/>
      <c r="J163" s="4"/>
      <c r="K163" s="4"/>
    </row>
    <row r="164" spans="3:17" ht="16.5" x14ac:dyDescent="0.25">
      <c r="C164"/>
      <c r="D164"/>
      <c r="E164"/>
      <c r="F164"/>
      <c r="G164"/>
      <c r="H164"/>
      <c r="I164"/>
      <c r="J164"/>
      <c r="K164"/>
    </row>
    <row r="165" spans="3:17" ht="16.5" x14ac:dyDescent="0.25">
      <c r="C165"/>
      <c r="D165"/>
      <c r="E165"/>
      <c r="F165"/>
      <c r="G165"/>
      <c r="H165"/>
      <c r="I165"/>
      <c r="J165"/>
      <c r="K165"/>
    </row>
    <row r="166" spans="3:17" ht="16.5" x14ac:dyDescent="0.25">
      <c r="C166"/>
      <c r="D166"/>
      <c r="E166"/>
      <c r="F166"/>
      <c r="G166"/>
      <c r="H166"/>
      <c r="I166"/>
      <c r="J166"/>
      <c r="K166"/>
    </row>
    <row r="167" spans="3:17" ht="16.5" x14ac:dyDescent="0.25">
      <c r="C167"/>
      <c r="D167"/>
      <c r="E167"/>
      <c r="F167"/>
      <c r="G167"/>
      <c r="H167"/>
      <c r="I167"/>
      <c r="J167"/>
      <c r="K167"/>
    </row>
    <row r="168" spans="3:17" ht="16.5" x14ac:dyDescent="0.25">
      <c r="C168"/>
      <c r="D168"/>
      <c r="E168"/>
      <c r="F168"/>
      <c r="G168"/>
      <c r="H168"/>
      <c r="I168"/>
      <c r="J168"/>
      <c r="K168"/>
    </row>
    <row r="169" spans="3:17" ht="16.5" x14ac:dyDescent="0.25">
      <c r="C169"/>
      <c r="D169"/>
      <c r="E169"/>
      <c r="F169"/>
      <c r="G169"/>
      <c r="H169"/>
      <c r="I169"/>
      <c r="J169"/>
      <c r="K169"/>
    </row>
    <row r="170" spans="3:17" ht="16.5" x14ac:dyDescent="0.25">
      <c r="C170"/>
      <c r="D170"/>
      <c r="E170"/>
      <c r="F170"/>
      <c r="G170"/>
      <c r="H170"/>
      <c r="I170"/>
      <c r="J170"/>
      <c r="K170"/>
    </row>
    <row r="171" spans="3:17" ht="16.5" x14ac:dyDescent="0.25">
      <c r="C171"/>
      <c r="D171"/>
      <c r="E171"/>
      <c r="F171"/>
      <c r="G171"/>
      <c r="H171"/>
      <c r="I171"/>
      <c r="J171"/>
      <c r="K171"/>
    </row>
    <row r="172" spans="3:17" ht="16.5" x14ac:dyDescent="0.25">
      <c r="C172"/>
      <c r="D172"/>
      <c r="E172"/>
      <c r="F172"/>
      <c r="G172"/>
      <c r="H172"/>
      <c r="I172"/>
      <c r="J172"/>
      <c r="K172"/>
    </row>
    <row r="173" spans="3:17" ht="16.5" x14ac:dyDescent="0.25">
      <c r="C173"/>
      <c r="D173"/>
      <c r="E173"/>
      <c r="F173"/>
      <c r="G173"/>
      <c r="H173"/>
      <c r="I173"/>
      <c r="J173"/>
      <c r="K173"/>
    </row>
    <row r="174" spans="3:17" ht="16.5" x14ac:dyDescent="0.25">
      <c r="C174"/>
      <c r="D174"/>
      <c r="E174"/>
      <c r="F174"/>
      <c r="G174"/>
      <c r="H174"/>
      <c r="I174"/>
      <c r="J174"/>
      <c r="K174"/>
    </row>
    <row r="175" spans="3:17" ht="16.5" x14ac:dyDescent="0.25">
      <c r="C175"/>
      <c r="D175"/>
      <c r="E175"/>
      <c r="F175"/>
      <c r="G175"/>
      <c r="H175"/>
      <c r="I175"/>
      <c r="J175"/>
      <c r="K175"/>
    </row>
    <row r="176" spans="3:17" ht="16.5" x14ac:dyDescent="0.25">
      <c r="C176"/>
      <c r="D176"/>
      <c r="E176"/>
      <c r="F176"/>
      <c r="G176"/>
      <c r="H176"/>
      <c r="I176"/>
      <c r="J176"/>
      <c r="K176"/>
    </row>
    <row r="177" spans="3:11" ht="16.5" x14ac:dyDescent="0.25">
      <c r="C177"/>
      <c r="D177"/>
      <c r="E177"/>
      <c r="F177"/>
      <c r="G177"/>
      <c r="H177"/>
      <c r="I177"/>
      <c r="J177"/>
      <c r="K177"/>
    </row>
    <row r="178" spans="3:11" ht="16.5" x14ac:dyDescent="0.25">
      <c r="C178"/>
      <c r="D178"/>
      <c r="E178"/>
      <c r="F178"/>
      <c r="G178"/>
      <c r="H178"/>
      <c r="I178"/>
      <c r="J178"/>
      <c r="K178"/>
    </row>
    <row r="179" spans="3:11" ht="16.5" x14ac:dyDescent="0.25">
      <c r="C179"/>
      <c r="D179"/>
      <c r="E179"/>
      <c r="F179"/>
      <c r="G179"/>
      <c r="H179"/>
      <c r="I179"/>
      <c r="J179"/>
      <c r="K179"/>
    </row>
    <row r="180" spans="3:11" ht="16.5" x14ac:dyDescent="0.25">
      <c r="C180"/>
      <c r="D180"/>
      <c r="E180"/>
      <c r="F180"/>
      <c r="G180"/>
      <c r="H180"/>
      <c r="I180"/>
      <c r="J180"/>
      <c r="K180"/>
    </row>
    <row r="181" spans="3:11" ht="16.5" x14ac:dyDescent="0.25">
      <c r="C181"/>
      <c r="D181"/>
      <c r="E181"/>
      <c r="F181"/>
      <c r="G181"/>
      <c r="H181"/>
      <c r="I181"/>
      <c r="J181"/>
      <c r="K181"/>
    </row>
    <row r="182" spans="3:11" ht="16.5" x14ac:dyDescent="0.25">
      <c r="C182"/>
      <c r="D182"/>
      <c r="E182"/>
      <c r="F182"/>
      <c r="G182"/>
      <c r="H182"/>
      <c r="I182"/>
      <c r="J182"/>
      <c r="K182"/>
    </row>
    <row r="183" spans="3:11" ht="16.5" x14ac:dyDescent="0.25">
      <c r="C183"/>
      <c r="D183"/>
      <c r="E183"/>
      <c r="F183"/>
      <c r="G183"/>
      <c r="H183"/>
      <c r="I183"/>
      <c r="J183"/>
      <c r="K183"/>
    </row>
    <row r="184" spans="3:11" ht="16.5" x14ac:dyDescent="0.25">
      <c r="C184"/>
      <c r="D184"/>
      <c r="E184"/>
      <c r="F184"/>
      <c r="G184"/>
      <c r="H184"/>
      <c r="I184"/>
      <c r="J184"/>
      <c r="K184"/>
    </row>
    <row r="185" spans="3:11" ht="16.5" x14ac:dyDescent="0.25">
      <c r="C185"/>
      <c r="D185"/>
      <c r="E185"/>
      <c r="F185"/>
      <c r="G185"/>
      <c r="H185"/>
      <c r="I185"/>
      <c r="J185"/>
      <c r="K185"/>
    </row>
    <row r="186" spans="3:11" ht="16.5" x14ac:dyDescent="0.25">
      <c r="C186"/>
      <c r="D186"/>
      <c r="E186"/>
      <c r="F186"/>
      <c r="G186"/>
      <c r="H186"/>
      <c r="I186"/>
      <c r="J186"/>
      <c r="K186"/>
    </row>
  </sheetData>
  <mergeCells count="9">
    <mergeCell ref="L9:Q9"/>
    <mergeCell ref="P10:P11"/>
    <mergeCell ref="C10:C11"/>
    <mergeCell ref="D10:D11"/>
    <mergeCell ref="F10:F11"/>
    <mergeCell ref="K10:K11"/>
    <mergeCell ref="L10:L11"/>
    <mergeCell ref="O10:O11"/>
    <mergeCell ref="M10:M11"/>
  </mergeCells>
  <phoneticPr fontId="2" type="noConversion"/>
  <conditionalFormatting sqref="N12:N52">
    <cfRule type="cellIs" dxfId="11" priority="12" operator="equal">
      <formula>"NG"</formula>
    </cfRule>
  </conditionalFormatting>
  <conditionalFormatting sqref="Q12:Q52">
    <cfRule type="cellIs" dxfId="10" priority="11" operator="equal">
      <formula>"NG"</formula>
    </cfRule>
  </conditionalFormatting>
  <conditionalFormatting sqref="N53:N61">
    <cfRule type="cellIs" dxfId="9" priority="8" operator="equal">
      <formula>"NG"</formula>
    </cfRule>
  </conditionalFormatting>
  <conditionalFormatting sqref="Q53:Q61">
    <cfRule type="cellIs" dxfId="8" priority="7" operator="equal">
      <formula>"NG"</formula>
    </cfRule>
  </conditionalFormatting>
  <conditionalFormatting sqref="N62">
    <cfRule type="cellIs" dxfId="7" priority="6" operator="equal">
      <formula>"NG"</formula>
    </cfRule>
  </conditionalFormatting>
  <conditionalFormatting sqref="Q62">
    <cfRule type="cellIs" dxfId="6" priority="5" operator="equal">
      <formula>"NG"</formula>
    </cfRule>
  </conditionalFormatting>
  <conditionalFormatting sqref="N63">
    <cfRule type="cellIs" dxfId="5" priority="4" operator="equal">
      <formula>"NG"</formula>
    </cfRule>
  </conditionalFormatting>
  <conditionalFormatting sqref="Q63">
    <cfRule type="cellIs" dxfId="4" priority="3" operator="equal">
      <formula>"NG"</formula>
    </cfRule>
  </conditionalFormatting>
  <conditionalFormatting sqref="N64:N162">
    <cfRule type="cellIs" dxfId="3" priority="2" operator="equal">
      <formula>"NG"</formula>
    </cfRule>
  </conditionalFormatting>
  <conditionalFormatting sqref="Q64:Q162">
    <cfRule type="cellIs" dxfId="2" priority="1" operator="equal">
      <formula>"NG"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3</xdr:col>
                <xdr:colOff>0</xdr:colOff>
                <xdr:row>4</xdr:row>
                <xdr:rowOff>0</xdr:rowOff>
              </from>
              <to>
                <xdr:col>5</xdr:col>
                <xdr:colOff>752475</xdr:colOff>
                <xdr:row>6</xdr:row>
                <xdr:rowOff>152400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theme="9" tint="-0.249977111117893"/>
  </sheetPr>
  <dimension ref="A1:Y55"/>
  <sheetViews>
    <sheetView workbookViewId="0">
      <selection activeCell="C7" sqref="C7:C17"/>
    </sheetView>
  </sheetViews>
  <sheetFormatPr defaultRowHeight="12.75" x14ac:dyDescent="0.25"/>
  <cols>
    <col min="1" max="4" width="9" style="1"/>
    <col min="5" max="5" width="8" style="1" bestFit="1" customWidth="1"/>
    <col min="6" max="6" width="9" style="1"/>
    <col min="7" max="7" width="8.625" style="1" customWidth="1"/>
    <col min="8" max="8" width="8.5" style="1" customWidth="1"/>
    <col min="9" max="9" width="4.125" style="1" customWidth="1"/>
    <col min="10" max="10" width="9" style="1" customWidth="1"/>
    <col min="11" max="11" width="8.625" style="1" customWidth="1"/>
    <col min="12" max="12" width="9" style="1"/>
    <col min="13" max="13" width="21" style="1" customWidth="1"/>
    <col min="14" max="16384" width="9" style="1"/>
  </cols>
  <sheetData>
    <row r="1" spans="1:25" x14ac:dyDescent="0.25">
      <c r="A1" s="3" t="s">
        <v>0</v>
      </c>
      <c r="F1" s="56" t="s">
        <v>144</v>
      </c>
      <c r="G1" s="1" t="s">
        <v>389</v>
      </c>
      <c r="M1" s="56" t="s">
        <v>189</v>
      </c>
      <c r="N1" s="2" t="s">
        <v>385</v>
      </c>
    </row>
    <row r="2" spans="1:25" x14ac:dyDescent="0.25">
      <c r="F2" s="56" t="s">
        <v>145</v>
      </c>
      <c r="G2" s="1" t="s">
        <v>412</v>
      </c>
      <c r="M2" s="56" t="s">
        <v>190</v>
      </c>
      <c r="N2" s="2" t="s">
        <v>411</v>
      </c>
    </row>
    <row r="3" spans="1:25" x14ac:dyDescent="0.25">
      <c r="A3" s="1" t="s">
        <v>4</v>
      </c>
      <c r="F3" s="56" t="s">
        <v>146</v>
      </c>
      <c r="G3" s="1">
        <v>1.25</v>
      </c>
    </row>
    <row r="5" spans="1:25" x14ac:dyDescent="0.25">
      <c r="C5" s="21" t="s">
        <v>1</v>
      </c>
      <c r="F5" s="21" t="s">
        <v>5</v>
      </c>
      <c r="J5" s="21" t="s">
        <v>6</v>
      </c>
      <c r="M5" s="21" t="s">
        <v>162</v>
      </c>
    </row>
    <row r="6" spans="1:25" x14ac:dyDescent="0.25">
      <c r="C6" s="57" t="s">
        <v>3</v>
      </c>
      <c r="D6" s="57" t="s">
        <v>2</v>
      </c>
      <c r="F6" s="57" t="s">
        <v>22</v>
      </c>
      <c r="G6" s="57" t="s">
        <v>23</v>
      </c>
      <c r="J6" s="57" t="s">
        <v>22</v>
      </c>
      <c r="K6" s="57" t="s">
        <v>23</v>
      </c>
    </row>
    <row r="7" spans="1:25" ht="16.5" x14ac:dyDescent="0.25">
      <c r="C7" s="4" t="s">
        <v>386</v>
      </c>
      <c r="D7" s="4">
        <v>4</v>
      </c>
      <c r="E7"/>
      <c r="F7" s="4" t="s">
        <v>248</v>
      </c>
      <c r="G7" s="4">
        <v>0</v>
      </c>
      <c r="H7" s="22"/>
      <c r="I7" s="22"/>
      <c r="J7" s="4">
        <v>4</v>
      </c>
      <c r="K7" s="4">
        <v>0</v>
      </c>
      <c r="M7" s="56" t="s">
        <v>163</v>
      </c>
      <c r="N7" s="2" t="s">
        <v>172</v>
      </c>
      <c r="O7" s="2" t="s">
        <v>173</v>
      </c>
      <c r="P7" s="2" t="s">
        <v>174</v>
      </c>
      <c r="Q7" s="2" t="s">
        <v>175</v>
      </c>
      <c r="R7" s="2" t="s">
        <v>176</v>
      </c>
      <c r="S7" s="2" t="s">
        <v>177</v>
      </c>
      <c r="T7"/>
      <c r="U7"/>
      <c r="V7"/>
      <c r="W7"/>
      <c r="X7"/>
      <c r="Y7"/>
    </row>
    <row r="8" spans="1:25" ht="16.5" x14ac:dyDescent="0.25">
      <c r="C8" s="4" t="s">
        <v>242</v>
      </c>
      <c r="D8" s="4">
        <v>4</v>
      </c>
      <c r="E8"/>
      <c r="F8" s="4" t="s">
        <v>413</v>
      </c>
      <c r="G8" s="4">
        <v>3</v>
      </c>
      <c r="I8" s="22"/>
      <c r="J8" s="4">
        <v>3</v>
      </c>
      <c r="K8" s="4">
        <v>11</v>
      </c>
      <c r="M8" s="56"/>
      <c r="N8" s="2"/>
      <c r="O8" s="2"/>
      <c r="P8" s="2"/>
      <c r="Q8" s="2"/>
      <c r="R8" s="2"/>
      <c r="S8" s="2"/>
      <c r="T8"/>
      <c r="U8"/>
      <c r="V8"/>
      <c r="W8"/>
      <c r="X8"/>
      <c r="Y8"/>
    </row>
    <row r="9" spans="1:25" ht="16.5" x14ac:dyDescent="0.25">
      <c r="C9" s="4" t="s">
        <v>243</v>
      </c>
      <c r="D9" s="4">
        <v>4</v>
      </c>
      <c r="E9"/>
      <c r="F9" s="4" t="s">
        <v>414</v>
      </c>
      <c r="G9" s="4">
        <v>7</v>
      </c>
      <c r="I9" s="22"/>
      <c r="J9" s="149">
        <v>43132</v>
      </c>
      <c r="K9" s="4">
        <v>14.5</v>
      </c>
      <c r="M9" s="56" t="s">
        <v>164</v>
      </c>
      <c r="N9" s="2">
        <v>25</v>
      </c>
      <c r="O9" s="2"/>
      <c r="P9" s="2"/>
      <c r="Q9" s="2"/>
      <c r="R9" s="2"/>
      <c r="S9" s="2"/>
      <c r="T9"/>
      <c r="U9"/>
      <c r="V9"/>
      <c r="W9"/>
      <c r="X9"/>
      <c r="Y9"/>
    </row>
    <row r="10" spans="1:25" ht="16.5" x14ac:dyDescent="0.25">
      <c r="C10" s="4" t="s">
        <v>244</v>
      </c>
      <c r="D10" s="4">
        <v>4</v>
      </c>
      <c r="E10"/>
      <c r="F10" s="4" t="s">
        <v>249</v>
      </c>
      <c r="G10" s="4">
        <v>10</v>
      </c>
      <c r="I10" s="22"/>
      <c r="J10" s="149">
        <v>43133</v>
      </c>
      <c r="K10" s="4">
        <v>15.5</v>
      </c>
      <c r="M10" s="56" t="s">
        <v>165</v>
      </c>
      <c r="N10" s="2" t="s">
        <v>178</v>
      </c>
      <c r="O10" s="2"/>
      <c r="P10" s="2"/>
      <c r="Q10" s="2"/>
      <c r="R10" s="2"/>
      <c r="S10" s="2"/>
      <c r="T10"/>
      <c r="U10"/>
      <c r="V10"/>
      <c r="W10"/>
      <c r="X10"/>
      <c r="Y10"/>
    </row>
    <row r="11" spans="1:25" ht="16.5" x14ac:dyDescent="0.25">
      <c r="C11" s="4" t="s">
        <v>387</v>
      </c>
      <c r="D11" s="4">
        <v>1</v>
      </c>
      <c r="E11"/>
      <c r="F11" s="4" t="s">
        <v>415</v>
      </c>
      <c r="G11" s="4">
        <v>13</v>
      </c>
      <c r="I11" s="22"/>
      <c r="J11" s="4">
        <v>2</v>
      </c>
      <c r="K11" s="4">
        <v>19</v>
      </c>
      <c r="M11" s="56" t="s">
        <v>166</v>
      </c>
      <c r="N11" s="2">
        <v>9.9999999999999995E-8</v>
      </c>
      <c r="O11" s="2"/>
      <c r="P11" s="2"/>
      <c r="Q11" s="2"/>
      <c r="R11" s="2"/>
      <c r="S11" s="2"/>
      <c r="T11"/>
      <c r="U11"/>
      <c r="V11"/>
      <c r="W11"/>
      <c r="X11"/>
      <c r="Y11"/>
    </row>
    <row r="12" spans="1:25" ht="16.5" x14ac:dyDescent="0.25">
      <c r="C12" s="4" t="s">
        <v>142</v>
      </c>
      <c r="D12" s="4">
        <v>0</v>
      </c>
      <c r="E12" t="s">
        <v>143</v>
      </c>
      <c r="F12" s="4" t="s">
        <v>416</v>
      </c>
      <c r="G12" s="4">
        <v>15</v>
      </c>
      <c r="I12" s="22"/>
      <c r="J12" s="4">
        <v>1</v>
      </c>
      <c r="K12" s="4">
        <v>30</v>
      </c>
      <c r="M12" s="56"/>
      <c r="N12" s="2"/>
      <c r="O12" s="2"/>
      <c r="P12" s="2"/>
      <c r="Q12" s="2"/>
      <c r="R12" s="2"/>
      <c r="S12" s="2"/>
      <c r="T12"/>
      <c r="U12"/>
      <c r="V12"/>
      <c r="W12"/>
      <c r="X12"/>
      <c r="Y12"/>
    </row>
    <row r="13" spans="1:25" ht="16.5" x14ac:dyDescent="0.25">
      <c r="C13" s="4"/>
      <c r="D13" s="4"/>
      <c r="E13"/>
      <c r="F13" s="4" t="s">
        <v>250</v>
      </c>
      <c r="G13" s="4">
        <v>18</v>
      </c>
      <c r="I13" s="22"/>
      <c r="J13"/>
      <c r="K13"/>
      <c r="M13" s="56" t="s">
        <v>167</v>
      </c>
      <c r="N13" s="2" t="s">
        <v>179</v>
      </c>
      <c r="O13" s="2"/>
      <c r="P13" s="2"/>
      <c r="Q13" s="2"/>
      <c r="R13" s="2"/>
      <c r="S13" s="2"/>
      <c r="T13"/>
      <c r="U13"/>
      <c r="V13"/>
      <c r="W13"/>
      <c r="X13"/>
      <c r="Y13"/>
    </row>
    <row r="14" spans="1:25" ht="16.5" x14ac:dyDescent="0.25">
      <c r="C14" s="4"/>
      <c r="D14" s="4"/>
      <c r="E14"/>
      <c r="F14" s="4" t="s">
        <v>417</v>
      </c>
      <c r="G14" s="4">
        <v>21</v>
      </c>
      <c r="I14" s="22"/>
      <c r="J14"/>
      <c r="K14"/>
      <c r="M14" s="56" t="s">
        <v>168</v>
      </c>
      <c r="N14" s="2">
        <v>10</v>
      </c>
      <c r="O14" s="2"/>
      <c r="P14" s="2"/>
      <c r="Q14" s="2"/>
      <c r="R14" s="2"/>
      <c r="S14" s="2"/>
      <c r="T14"/>
      <c r="U14"/>
      <c r="V14"/>
      <c r="W14"/>
      <c r="X14"/>
      <c r="Y14"/>
    </row>
    <row r="15" spans="1:25" ht="16.5" x14ac:dyDescent="0.25">
      <c r="C15" s="4"/>
      <c r="D15" s="4"/>
      <c r="E15"/>
      <c r="F15" s="4" t="s">
        <v>418</v>
      </c>
      <c r="G15" s="4">
        <v>23</v>
      </c>
      <c r="I15" s="22"/>
      <c r="J15"/>
      <c r="K15"/>
      <c r="M15" s="56" t="s">
        <v>169</v>
      </c>
      <c r="N15" s="2">
        <v>1E-3</v>
      </c>
      <c r="O15" s="2"/>
      <c r="P15" s="2"/>
      <c r="Q15" s="2"/>
      <c r="R15" s="2"/>
      <c r="S15" s="2"/>
      <c r="T15"/>
      <c r="U15"/>
      <c r="V15"/>
      <c r="W15"/>
      <c r="X15"/>
      <c r="Y15"/>
    </row>
    <row r="16" spans="1:25" ht="16.5" x14ac:dyDescent="0.25">
      <c r="C16" s="4"/>
      <c r="D16" s="4"/>
      <c r="E16"/>
      <c r="F16" s="4" t="s">
        <v>247</v>
      </c>
      <c r="G16" s="4">
        <v>26</v>
      </c>
      <c r="J16"/>
      <c r="K16"/>
      <c r="M16" s="56"/>
      <c r="N16" s="2"/>
      <c r="O16" s="2"/>
      <c r="P16" s="2"/>
      <c r="Q16" s="2"/>
      <c r="R16" s="2"/>
      <c r="S16" s="2"/>
      <c r="T16"/>
      <c r="U16"/>
      <c r="V16"/>
      <c r="W16"/>
      <c r="X16"/>
      <c r="Y16"/>
    </row>
    <row r="17" spans="3:25" ht="16.5" x14ac:dyDescent="0.25">
      <c r="C17" s="4"/>
      <c r="D17" s="4"/>
      <c r="E17"/>
      <c r="F17" s="4" t="s">
        <v>419</v>
      </c>
      <c r="G17" s="4">
        <v>29</v>
      </c>
      <c r="J17"/>
      <c r="K17"/>
      <c r="M17" s="56" t="s">
        <v>170</v>
      </c>
      <c r="N17" s="2" t="s">
        <v>117</v>
      </c>
      <c r="O17" s="2"/>
      <c r="P17" s="2"/>
      <c r="Q17" s="2"/>
      <c r="R17" s="2"/>
      <c r="S17" s="2"/>
      <c r="T17"/>
      <c r="U17"/>
      <c r="V17"/>
      <c r="W17"/>
      <c r="X17"/>
      <c r="Y17"/>
    </row>
    <row r="18" spans="3:25" ht="16.5" x14ac:dyDescent="0.25">
      <c r="C18" s="4"/>
      <c r="D18" s="4"/>
      <c r="E18"/>
      <c r="F18" s="4" t="s">
        <v>420</v>
      </c>
      <c r="G18" s="4">
        <v>33</v>
      </c>
      <c r="J18"/>
      <c r="K18"/>
      <c r="M18" s="56" t="s">
        <v>171</v>
      </c>
      <c r="N18" s="2">
        <v>1</v>
      </c>
      <c r="O18" s="2"/>
      <c r="P18" s="2"/>
      <c r="Q18" s="2"/>
      <c r="R18" s="2"/>
      <c r="S18" s="2"/>
      <c r="T18"/>
      <c r="U18"/>
      <c r="V18"/>
      <c r="W18"/>
      <c r="X18"/>
      <c r="Y18"/>
    </row>
    <row r="19" spans="3:25" ht="16.5" x14ac:dyDescent="0.25">
      <c r="C19" s="4"/>
      <c r="D19" s="4"/>
      <c r="E19"/>
      <c r="F19" s="4" t="s">
        <v>251</v>
      </c>
      <c r="G19" s="4">
        <v>36</v>
      </c>
      <c r="J19"/>
      <c r="K19"/>
      <c r="N19" s="2"/>
      <c r="O19" s="2"/>
      <c r="P19" s="2"/>
      <c r="Q19" s="2"/>
      <c r="R19" s="2"/>
      <c r="S19" s="2"/>
      <c r="T19"/>
      <c r="U19"/>
      <c r="V19"/>
      <c r="W19"/>
      <c r="X19"/>
      <c r="Y19"/>
    </row>
    <row r="20" spans="3:25" ht="16.5" x14ac:dyDescent="0.25">
      <c r="C20"/>
      <c r="D20"/>
      <c r="E20"/>
      <c r="F20"/>
      <c r="G20"/>
      <c r="J20"/>
      <c r="K20"/>
      <c r="N20" s="2"/>
      <c r="O20" s="2"/>
      <c r="P20" s="2"/>
      <c r="Q20" s="2"/>
      <c r="R20" s="2"/>
      <c r="S20" s="2"/>
      <c r="T20"/>
      <c r="U20"/>
      <c r="V20"/>
      <c r="W20"/>
      <c r="X20"/>
      <c r="Y20"/>
    </row>
    <row r="21" spans="3:25" ht="16.5" x14ac:dyDescent="0.25">
      <c r="C21"/>
      <c r="D21"/>
      <c r="E21"/>
      <c r="F21"/>
      <c r="G21"/>
      <c r="J21"/>
      <c r="K21"/>
      <c r="M21" s="21" t="s">
        <v>180</v>
      </c>
      <c r="N21" s="2"/>
      <c r="O21" s="2"/>
      <c r="P21" s="2"/>
      <c r="Q21" s="2"/>
      <c r="R21" s="2"/>
      <c r="S21" s="2"/>
      <c r="T21"/>
      <c r="U21"/>
      <c r="V21"/>
      <c r="W21"/>
      <c r="X21"/>
      <c r="Y21"/>
    </row>
    <row r="22" spans="3:25" ht="16.5" x14ac:dyDescent="0.25">
      <c r="C22"/>
      <c r="D22"/>
      <c r="E22"/>
      <c r="F22"/>
      <c r="G22"/>
      <c r="J22"/>
      <c r="K22"/>
      <c r="N22" s="2"/>
      <c r="O22" s="2"/>
      <c r="P22" s="2"/>
      <c r="Q22" s="2"/>
      <c r="R22" s="2"/>
      <c r="S22" s="2"/>
      <c r="T22"/>
      <c r="U22"/>
      <c r="V22"/>
      <c r="W22"/>
      <c r="X22"/>
      <c r="Y22"/>
    </row>
    <row r="23" spans="3:25" ht="16.5" x14ac:dyDescent="0.25">
      <c r="C23"/>
      <c r="D23"/>
      <c r="E23"/>
      <c r="F23"/>
      <c r="G23"/>
      <c r="J23"/>
      <c r="K23"/>
      <c r="M23" s="56" t="s">
        <v>181</v>
      </c>
      <c r="N23" s="2" t="s">
        <v>421</v>
      </c>
      <c r="O23" s="2"/>
      <c r="P23" s="2"/>
      <c r="Q23" s="2"/>
      <c r="R23" s="2"/>
      <c r="S23" s="2"/>
      <c r="T23"/>
      <c r="U23"/>
      <c r="V23"/>
      <c r="W23"/>
      <c r="X23"/>
      <c r="Y23"/>
    </row>
    <row r="24" spans="3:25" ht="16.5" x14ac:dyDescent="0.25">
      <c r="C24"/>
      <c r="D24"/>
      <c r="E24"/>
      <c r="F24"/>
      <c r="G24"/>
      <c r="J24"/>
      <c r="K24"/>
      <c r="M24" s="56" t="s">
        <v>182</v>
      </c>
      <c r="N24" s="2" t="s">
        <v>186</v>
      </c>
      <c r="O24" s="2"/>
      <c r="P24" s="2"/>
      <c r="Q24" s="2"/>
      <c r="R24" s="2"/>
      <c r="S24" s="2"/>
      <c r="T24"/>
      <c r="U24"/>
      <c r="V24"/>
      <c r="W24"/>
      <c r="X24"/>
      <c r="Y24"/>
    </row>
    <row r="25" spans="3:25" ht="16.5" x14ac:dyDescent="0.25">
      <c r="C25"/>
      <c r="D25"/>
      <c r="E25"/>
      <c r="F25"/>
      <c r="G25"/>
      <c r="J25"/>
      <c r="K25"/>
      <c r="M25" s="56" t="s">
        <v>183</v>
      </c>
      <c r="N25" s="2" t="s">
        <v>187</v>
      </c>
      <c r="O25" s="2"/>
      <c r="P25" s="2"/>
      <c r="Q25" s="2"/>
      <c r="R25" s="2"/>
      <c r="S25" s="2"/>
      <c r="T25"/>
      <c r="U25"/>
      <c r="V25"/>
      <c r="W25"/>
      <c r="X25"/>
      <c r="Y25"/>
    </row>
    <row r="26" spans="3:25" ht="16.5" x14ac:dyDescent="0.25">
      <c r="C26"/>
      <c r="D26"/>
      <c r="E26"/>
      <c r="F26"/>
      <c r="G26"/>
      <c r="J26"/>
      <c r="K26"/>
      <c r="N26" s="2"/>
      <c r="O26" s="2"/>
      <c r="P26" s="2"/>
      <c r="Q26" s="2"/>
      <c r="R26" s="2"/>
      <c r="S26" s="2"/>
      <c r="T26"/>
      <c r="U26"/>
      <c r="V26"/>
      <c r="W26"/>
      <c r="X26"/>
      <c r="Y26"/>
    </row>
    <row r="27" spans="3:25" ht="16.5" x14ac:dyDescent="0.25">
      <c r="C27"/>
      <c r="D27"/>
      <c r="E27"/>
      <c r="F27"/>
      <c r="G27"/>
      <c r="J27"/>
      <c r="K27"/>
      <c r="M27" s="56" t="s">
        <v>184</v>
      </c>
      <c r="N27" s="2"/>
      <c r="O27" s="2"/>
      <c r="P27" s="2"/>
      <c r="Q27" s="2"/>
      <c r="R27" s="2"/>
      <c r="S27" s="2"/>
      <c r="T27"/>
      <c r="U27"/>
      <c r="V27"/>
      <c r="W27"/>
      <c r="X27"/>
      <c r="Y27"/>
    </row>
    <row r="28" spans="3:25" ht="16.5" x14ac:dyDescent="0.25">
      <c r="C28"/>
      <c r="D28"/>
      <c r="E28"/>
      <c r="F28"/>
      <c r="G28"/>
      <c r="J28"/>
      <c r="K28"/>
      <c r="M28" s="56" t="s">
        <v>185</v>
      </c>
      <c r="N28" s="2"/>
      <c r="O28" s="2"/>
      <c r="P28" s="2"/>
      <c r="Q28" s="2"/>
      <c r="R28" s="2"/>
      <c r="S28" s="2"/>
      <c r="T28"/>
      <c r="U28"/>
      <c r="V28"/>
      <c r="W28"/>
      <c r="X28"/>
      <c r="Y28"/>
    </row>
    <row r="29" spans="3:25" ht="16.5" x14ac:dyDescent="0.25">
      <c r="C29"/>
      <c r="D29"/>
      <c r="E29"/>
      <c r="F29"/>
      <c r="G29"/>
      <c r="J29"/>
      <c r="K29"/>
    </row>
    <row r="30" spans="3:25" ht="16.5" x14ac:dyDescent="0.25">
      <c r="C30"/>
      <c r="D30"/>
      <c r="E30"/>
      <c r="F30"/>
      <c r="G30"/>
      <c r="J30"/>
      <c r="K30"/>
    </row>
    <row r="31" spans="3:25" ht="16.5" x14ac:dyDescent="0.25">
      <c r="C31"/>
      <c r="D31"/>
      <c r="E31"/>
      <c r="F31"/>
      <c r="G31"/>
      <c r="J31"/>
      <c r="K31"/>
      <c r="M31" s="21" t="s">
        <v>193</v>
      </c>
    </row>
    <row r="32" spans="3:25" ht="16.5" x14ac:dyDescent="0.25">
      <c r="C32"/>
      <c r="D32"/>
      <c r="E32"/>
      <c r="F32"/>
      <c r="G32"/>
      <c r="J32"/>
      <c r="K32"/>
    </row>
    <row r="33" spans="3:14" ht="16.5" x14ac:dyDescent="0.25">
      <c r="C33"/>
      <c r="D33"/>
      <c r="E33"/>
      <c r="F33"/>
      <c r="G33"/>
      <c r="J33"/>
      <c r="K33"/>
      <c r="M33" s="4" t="s">
        <v>194</v>
      </c>
      <c r="N33" s="4" t="s">
        <v>195</v>
      </c>
    </row>
    <row r="34" spans="3:14" ht="16.5" x14ac:dyDescent="0.25">
      <c r="C34"/>
      <c r="D34"/>
      <c r="E34"/>
      <c r="F34"/>
      <c r="G34"/>
      <c r="J34"/>
      <c r="K34"/>
      <c r="M34" s="4" t="s">
        <v>157</v>
      </c>
      <c r="N34" s="4" t="s">
        <v>388</v>
      </c>
    </row>
    <row r="35" spans="3:14" ht="16.5" x14ac:dyDescent="0.25">
      <c r="C35"/>
      <c r="D35"/>
      <c r="E35"/>
      <c r="F35"/>
      <c r="G35"/>
      <c r="J35"/>
      <c r="K35"/>
      <c r="M35"/>
      <c r="N35"/>
    </row>
    <row r="36" spans="3:14" ht="16.5" x14ac:dyDescent="0.25">
      <c r="C36"/>
      <c r="D36"/>
      <c r="E36"/>
      <c r="F36"/>
      <c r="G36"/>
      <c r="J36"/>
      <c r="K36"/>
      <c r="M36"/>
      <c r="N36"/>
    </row>
    <row r="37" spans="3:14" ht="16.5" x14ac:dyDescent="0.25">
      <c r="C37"/>
      <c r="D37"/>
      <c r="E37"/>
      <c r="F37"/>
      <c r="G37"/>
      <c r="J37"/>
      <c r="K37"/>
      <c r="M37"/>
      <c r="N37"/>
    </row>
    <row r="38" spans="3:14" ht="16.5" x14ac:dyDescent="0.25">
      <c r="C38"/>
      <c r="D38"/>
      <c r="E38"/>
      <c r="F38"/>
      <c r="G38"/>
      <c r="J38"/>
      <c r="K38"/>
      <c r="M38"/>
      <c r="N38"/>
    </row>
    <row r="39" spans="3:14" ht="16.5" x14ac:dyDescent="0.25">
      <c r="C39"/>
      <c r="D39"/>
      <c r="E39"/>
      <c r="F39"/>
      <c r="G39"/>
      <c r="J39"/>
      <c r="K39"/>
      <c r="M39"/>
      <c r="N39"/>
    </row>
    <row r="40" spans="3:14" ht="16.5" x14ac:dyDescent="0.25">
      <c r="C40"/>
      <c r="D40"/>
      <c r="E40"/>
      <c r="F40"/>
      <c r="G40"/>
      <c r="J40"/>
      <c r="K40"/>
      <c r="M40"/>
      <c r="N40"/>
    </row>
    <row r="41" spans="3:14" ht="16.5" x14ac:dyDescent="0.25">
      <c r="C41"/>
      <c r="D41"/>
      <c r="E41"/>
      <c r="F41"/>
      <c r="G41"/>
      <c r="J41"/>
      <c r="K41"/>
      <c r="M41"/>
      <c r="N41"/>
    </row>
    <row r="42" spans="3:14" ht="16.5" x14ac:dyDescent="0.25">
      <c r="C42"/>
      <c r="D42"/>
      <c r="E42"/>
      <c r="F42"/>
      <c r="G42"/>
      <c r="J42"/>
      <c r="K42"/>
      <c r="M42"/>
      <c r="N42"/>
    </row>
    <row r="43" spans="3:14" ht="16.5" x14ac:dyDescent="0.25">
      <c r="C43"/>
      <c r="D43"/>
      <c r="E43"/>
      <c r="J43"/>
      <c r="K43"/>
      <c r="M43"/>
      <c r="N43"/>
    </row>
    <row r="44" spans="3:14" ht="16.5" x14ac:dyDescent="0.25">
      <c r="C44"/>
      <c r="D44"/>
      <c r="E44"/>
      <c r="J44"/>
      <c r="K44"/>
      <c r="M44"/>
      <c r="N44"/>
    </row>
    <row r="45" spans="3:14" ht="16.5" x14ac:dyDescent="0.25">
      <c r="C45"/>
      <c r="D45"/>
      <c r="E45"/>
      <c r="J45"/>
      <c r="K45"/>
      <c r="M45"/>
      <c r="N45"/>
    </row>
    <row r="46" spans="3:14" ht="16.5" x14ac:dyDescent="0.25">
      <c r="C46"/>
      <c r="D46"/>
      <c r="E46"/>
      <c r="J46"/>
      <c r="K46"/>
      <c r="M46"/>
      <c r="N46"/>
    </row>
    <row r="47" spans="3:14" ht="16.5" x14ac:dyDescent="0.25">
      <c r="C47"/>
      <c r="D47"/>
      <c r="E47"/>
      <c r="J47"/>
      <c r="K47"/>
      <c r="M47"/>
      <c r="N47"/>
    </row>
    <row r="48" spans="3:14" ht="16.5" x14ac:dyDescent="0.25">
      <c r="C48"/>
      <c r="D48"/>
      <c r="E48"/>
      <c r="M48"/>
      <c r="N48"/>
    </row>
    <row r="49" spans="3:14" ht="16.5" x14ac:dyDescent="0.25">
      <c r="C49"/>
      <c r="D49"/>
      <c r="E49"/>
      <c r="M49"/>
      <c r="N49"/>
    </row>
    <row r="50" spans="3:14" ht="16.5" x14ac:dyDescent="0.25">
      <c r="C50"/>
      <c r="D50"/>
      <c r="E50"/>
      <c r="M50"/>
      <c r="N50"/>
    </row>
    <row r="51" spans="3:14" ht="16.5" x14ac:dyDescent="0.25">
      <c r="C51"/>
      <c r="D51"/>
      <c r="E51"/>
      <c r="M51"/>
      <c r="N51"/>
    </row>
    <row r="52" spans="3:14" ht="16.5" x14ac:dyDescent="0.25">
      <c r="C52"/>
      <c r="D52"/>
      <c r="E52"/>
      <c r="M52"/>
      <c r="N52"/>
    </row>
    <row r="53" spans="3:14" ht="16.5" x14ac:dyDescent="0.25">
      <c r="C53"/>
      <c r="D53"/>
      <c r="E53"/>
      <c r="M53"/>
      <c r="N53"/>
    </row>
    <row r="54" spans="3:14" ht="16.5" x14ac:dyDescent="0.25">
      <c r="M54"/>
      <c r="N54"/>
    </row>
    <row r="55" spans="3:14" ht="16.5" x14ac:dyDescent="0.25">
      <c r="M55"/>
      <c r="N55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B0F0"/>
  </sheetPr>
  <dimension ref="A1:N48"/>
  <sheetViews>
    <sheetView workbookViewId="0">
      <selection activeCell="D6" sqref="D6"/>
    </sheetView>
  </sheetViews>
  <sheetFormatPr defaultRowHeight="12.75" x14ac:dyDescent="0.25"/>
  <cols>
    <col min="1" max="2" width="9" style="1"/>
    <col min="3" max="3" width="16.625" style="1" bestFit="1" customWidth="1"/>
    <col min="4" max="4" width="10.375" style="1" bestFit="1" customWidth="1"/>
    <col min="5" max="6" width="9.125" style="1" bestFit="1" customWidth="1"/>
    <col min="7" max="7" width="10.375" style="1" bestFit="1" customWidth="1"/>
    <col min="8" max="8" width="9.125" style="1" bestFit="1" customWidth="1"/>
    <col min="9" max="9" width="9.875" style="1" bestFit="1" customWidth="1"/>
    <col min="10" max="14" width="9.125" style="1" bestFit="1" customWidth="1"/>
    <col min="15" max="16384" width="9" style="1"/>
  </cols>
  <sheetData>
    <row r="1" spans="1:14" x14ac:dyDescent="0.25">
      <c r="A1" s="3" t="s">
        <v>7</v>
      </c>
    </row>
    <row r="3" spans="1:14" x14ac:dyDescent="0.25">
      <c r="A3" s="1" t="s">
        <v>21</v>
      </c>
    </row>
    <row r="4" spans="1:14" x14ac:dyDescent="0.25">
      <c r="J4" s="6" t="s">
        <v>14</v>
      </c>
      <c r="K4" s="7"/>
      <c r="L4" s="8" t="s">
        <v>118</v>
      </c>
      <c r="M4" s="9"/>
      <c r="N4" s="10"/>
    </row>
    <row r="5" spans="1:14" x14ac:dyDescent="0.25">
      <c r="C5" s="43" t="s">
        <v>8</v>
      </c>
      <c r="D5" s="43" t="s">
        <v>17</v>
      </c>
      <c r="E5" s="44" t="s">
        <v>9</v>
      </c>
      <c r="F5" s="44" t="s">
        <v>10</v>
      </c>
      <c r="G5" s="44" t="s">
        <v>11</v>
      </c>
      <c r="H5" s="44" t="s">
        <v>12</v>
      </c>
      <c r="I5" s="44" t="s">
        <v>13</v>
      </c>
      <c r="J5" s="45" t="s">
        <v>15</v>
      </c>
      <c r="K5" s="45" t="s">
        <v>16</v>
      </c>
      <c r="L5" s="46" t="s">
        <v>18</v>
      </c>
      <c r="M5" s="46" t="s">
        <v>19</v>
      </c>
      <c r="N5" s="46" t="s">
        <v>20</v>
      </c>
    </row>
    <row r="6" spans="1:14" x14ac:dyDescent="0.25">
      <c r="C6" s="4" t="s">
        <v>422</v>
      </c>
      <c r="D6" s="4" t="s">
        <v>119</v>
      </c>
      <c r="E6" s="4">
        <v>0.79814200000000002</v>
      </c>
      <c r="F6" s="4">
        <v>7.8334140000000003</v>
      </c>
      <c r="G6" s="5">
        <v>20389020</v>
      </c>
      <c r="H6" s="4">
        <v>0.3</v>
      </c>
      <c r="I6" s="5">
        <v>1.16999999590917E-5</v>
      </c>
      <c r="J6" s="4">
        <v>35153.480000000003</v>
      </c>
      <c r="K6" s="4">
        <v>45699.53</v>
      </c>
      <c r="L6" s="4"/>
      <c r="M6" s="4"/>
      <c r="N6" s="4"/>
    </row>
    <row r="7" spans="1:14" x14ac:dyDescent="0.25">
      <c r="C7" s="4" t="s">
        <v>423</v>
      </c>
      <c r="D7" s="4" t="s">
        <v>424</v>
      </c>
      <c r="E7" s="4">
        <v>0.24479999999999999</v>
      </c>
      <c r="F7" s="4">
        <v>2.4026000000000001</v>
      </c>
      <c r="G7" s="4">
        <v>2509980</v>
      </c>
      <c r="H7" s="4">
        <v>0.2</v>
      </c>
      <c r="I7" s="5">
        <v>9.8999998954241198E-6</v>
      </c>
      <c r="J7" s="4"/>
      <c r="K7" s="4"/>
      <c r="L7" s="4">
        <v>42000</v>
      </c>
      <c r="M7" s="4">
        <v>2800</v>
      </c>
      <c r="N7" s="4">
        <v>42000</v>
      </c>
    </row>
    <row r="8" spans="1:14" x14ac:dyDescent="0.25">
      <c r="C8" s="4" t="s">
        <v>425</v>
      </c>
      <c r="D8" s="4" t="s">
        <v>426</v>
      </c>
      <c r="E8" s="4">
        <v>0.79814200000000002</v>
      </c>
      <c r="F8" s="4">
        <v>7.8334140000000003</v>
      </c>
      <c r="G8" s="5">
        <v>20389020</v>
      </c>
      <c r="H8" s="4">
        <v>0.3</v>
      </c>
      <c r="I8" s="5">
        <v>1.16999999590917E-5</v>
      </c>
      <c r="J8" s="4"/>
      <c r="K8" s="4"/>
      <c r="L8" s="4">
        <v>42000</v>
      </c>
      <c r="M8" s="4">
        <v>2800</v>
      </c>
      <c r="N8" s="4">
        <v>42000</v>
      </c>
    </row>
    <row r="9" spans="1:14" x14ac:dyDescent="0.25">
      <c r="C9" s="4" t="s">
        <v>427</v>
      </c>
      <c r="D9" s="4" t="s">
        <v>428</v>
      </c>
      <c r="E9" s="4">
        <v>0.24479999999999999</v>
      </c>
      <c r="F9" s="4">
        <v>2.4026000000000001</v>
      </c>
      <c r="G9" s="4">
        <v>2806243</v>
      </c>
      <c r="H9" s="4">
        <v>0.2</v>
      </c>
      <c r="I9" s="5">
        <v>9.8999998954241198E-6</v>
      </c>
      <c r="J9" s="4"/>
      <c r="K9" s="4"/>
      <c r="L9" s="4">
        <v>42000</v>
      </c>
      <c r="M9" s="4">
        <v>3500</v>
      </c>
      <c r="N9" s="4">
        <v>42000</v>
      </c>
    </row>
    <row r="10" spans="1:14" x14ac:dyDescent="0.25">
      <c r="C10" s="4" t="s">
        <v>429</v>
      </c>
      <c r="D10" s="4" t="s">
        <v>428</v>
      </c>
      <c r="E10" s="4">
        <v>0.24479999999999999</v>
      </c>
      <c r="F10" s="4">
        <v>2.4026000000000001</v>
      </c>
      <c r="G10" s="4">
        <v>2509980</v>
      </c>
      <c r="H10" s="4">
        <v>0.2</v>
      </c>
      <c r="I10" s="5">
        <v>9.8999998954241198E-6</v>
      </c>
      <c r="J10" s="4"/>
      <c r="K10" s="4"/>
      <c r="L10" s="4">
        <v>42000</v>
      </c>
      <c r="M10" s="4">
        <v>2800</v>
      </c>
      <c r="N10" s="4">
        <v>42000</v>
      </c>
    </row>
    <row r="11" spans="1:14" x14ac:dyDescent="0.25">
      <c r="C11" s="4" t="s">
        <v>430</v>
      </c>
      <c r="D11" s="4" t="s">
        <v>431</v>
      </c>
      <c r="E11" s="4">
        <v>0.24479999999999999</v>
      </c>
      <c r="F11" s="4">
        <v>2.4026000000000001</v>
      </c>
      <c r="G11" s="4">
        <v>2347872</v>
      </c>
      <c r="H11" s="4">
        <v>0.2</v>
      </c>
      <c r="I11" s="5">
        <v>9.8999998954241198E-6</v>
      </c>
      <c r="J11" s="4"/>
      <c r="K11" s="4"/>
      <c r="L11" s="4">
        <v>42000</v>
      </c>
      <c r="M11" s="4">
        <v>2450</v>
      </c>
      <c r="N11" s="4">
        <v>42000</v>
      </c>
    </row>
    <row r="12" spans="1:14" x14ac:dyDescent="0.25">
      <c r="C12" s="4" t="s">
        <v>432</v>
      </c>
      <c r="D12" s="4" t="s">
        <v>431</v>
      </c>
      <c r="E12" s="4">
        <v>0.24479999999999999</v>
      </c>
      <c r="F12" s="4">
        <v>2.4026000000000001</v>
      </c>
      <c r="G12" s="4">
        <v>2173707</v>
      </c>
      <c r="H12" s="4">
        <v>0.2</v>
      </c>
      <c r="I12" s="5">
        <v>9.8999998954241198E-6</v>
      </c>
      <c r="J12" s="4"/>
      <c r="K12" s="4"/>
      <c r="L12" s="4">
        <v>42000</v>
      </c>
      <c r="M12" s="4">
        <v>2100</v>
      </c>
      <c r="N12" s="4">
        <v>42000</v>
      </c>
    </row>
    <row r="13" spans="1:14" x14ac:dyDescent="0.25">
      <c r="C13" s="4" t="s">
        <v>433</v>
      </c>
      <c r="D13" s="4" t="s">
        <v>431</v>
      </c>
      <c r="E13" s="4">
        <v>0.24479999999999999</v>
      </c>
      <c r="F13" s="4">
        <v>2.4026000000000001</v>
      </c>
      <c r="G13" s="4">
        <v>3074085</v>
      </c>
      <c r="H13" s="4">
        <v>0.2</v>
      </c>
      <c r="I13" s="5">
        <v>9.8999998954241198E-6</v>
      </c>
      <c r="J13" s="4"/>
      <c r="K13" s="4"/>
      <c r="L13" s="4">
        <v>42000</v>
      </c>
      <c r="M13" s="4">
        <v>4200</v>
      </c>
      <c r="N13" s="4">
        <v>42000</v>
      </c>
    </row>
    <row r="14" spans="1:14" x14ac:dyDescent="0.25">
      <c r="C14" s="4" t="s">
        <v>434</v>
      </c>
      <c r="D14" s="4" t="s">
        <v>431</v>
      </c>
      <c r="E14" s="4">
        <v>0.24479999999999999</v>
      </c>
      <c r="F14" s="4">
        <v>2.4026000000000001</v>
      </c>
      <c r="G14" s="4">
        <v>3320392</v>
      </c>
      <c r="H14" s="4">
        <v>0.2</v>
      </c>
      <c r="I14" s="5">
        <v>9.8999998954241198E-6</v>
      </c>
      <c r="J14" s="4"/>
      <c r="K14" s="4"/>
      <c r="L14" s="4">
        <v>42000</v>
      </c>
      <c r="M14" s="4">
        <v>4900</v>
      </c>
      <c r="N14" s="4">
        <v>42000</v>
      </c>
    </row>
    <row r="15" spans="1:14" x14ac:dyDescent="0.25">
      <c r="C15" s="4" t="s">
        <v>435</v>
      </c>
      <c r="D15" s="4" t="s">
        <v>422</v>
      </c>
      <c r="E15" s="4">
        <v>0</v>
      </c>
      <c r="F15" s="4">
        <v>0</v>
      </c>
      <c r="G15" s="5">
        <v>20389020</v>
      </c>
      <c r="H15" s="4">
        <v>0.3</v>
      </c>
      <c r="I15" s="5">
        <v>1.16999999590917E-5</v>
      </c>
      <c r="J15" s="4">
        <v>33000</v>
      </c>
      <c r="K15" s="4">
        <v>45700</v>
      </c>
      <c r="L15" s="4"/>
      <c r="M15" s="4"/>
      <c r="N15" s="4"/>
    </row>
    <row r="16" spans="1:14" x14ac:dyDescent="0.25">
      <c r="C16" s="4" t="s">
        <v>436</v>
      </c>
      <c r="D16" s="4" t="s">
        <v>437</v>
      </c>
      <c r="E16" s="4">
        <v>0.79810000000000003</v>
      </c>
      <c r="F16" s="4">
        <v>7.8330000000000002</v>
      </c>
      <c r="G16" s="5">
        <v>20389020</v>
      </c>
      <c r="H16" s="4">
        <v>0.3</v>
      </c>
      <c r="I16" s="5">
        <v>1.16999999590917E-5</v>
      </c>
      <c r="J16" s="4">
        <v>33000</v>
      </c>
      <c r="K16" s="4">
        <v>45700</v>
      </c>
      <c r="L16" s="4"/>
      <c r="M16" s="4"/>
      <c r="N16" s="4"/>
    </row>
    <row r="17" spans="3:14" x14ac:dyDescent="0.25">
      <c r="C17" s="4" t="s">
        <v>438</v>
      </c>
      <c r="D17" s="4" t="s">
        <v>422</v>
      </c>
      <c r="E17" s="4">
        <v>0.79810000000000003</v>
      </c>
      <c r="F17" s="4">
        <v>7.8330000000000002</v>
      </c>
      <c r="G17" s="5">
        <v>20389020</v>
      </c>
      <c r="H17" s="4">
        <v>0.3</v>
      </c>
      <c r="I17" s="5">
        <v>1.16999999590917E-5</v>
      </c>
      <c r="J17" s="4">
        <v>25000</v>
      </c>
      <c r="K17" s="4">
        <v>37500</v>
      </c>
      <c r="L17" s="4"/>
      <c r="M17" s="4"/>
      <c r="N17" s="4"/>
    </row>
    <row r="18" spans="3:14" x14ac:dyDescent="0.25">
      <c r="C18" s="4" t="s">
        <v>439</v>
      </c>
      <c r="D18" s="4" t="s">
        <v>422</v>
      </c>
      <c r="E18" s="4">
        <v>0</v>
      </c>
      <c r="F18" s="4">
        <v>0</v>
      </c>
      <c r="G18" s="5">
        <v>20389020</v>
      </c>
      <c r="H18" s="4">
        <v>0.3</v>
      </c>
      <c r="I18" s="5">
        <v>1.16999999590917E-5</v>
      </c>
      <c r="J18" s="4">
        <v>35200</v>
      </c>
      <c r="K18" s="4">
        <v>45000</v>
      </c>
      <c r="L18" s="4"/>
      <c r="M18" s="4"/>
      <c r="N18" s="4"/>
    </row>
    <row r="19" spans="3:14" x14ac:dyDescent="0.25">
      <c r="C19" s="4" t="s">
        <v>441</v>
      </c>
      <c r="D19" s="4" t="s">
        <v>437</v>
      </c>
      <c r="E19" s="4">
        <v>0</v>
      </c>
      <c r="F19" s="4">
        <v>0</v>
      </c>
      <c r="G19" s="5">
        <v>30600000</v>
      </c>
      <c r="H19" s="4">
        <v>0.3</v>
      </c>
      <c r="I19" s="5">
        <v>1.16999999590917E-5</v>
      </c>
      <c r="J19" s="4">
        <v>33000</v>
      </c>
      <c r="K19" s="4">
        <v>45700</v>
      </c>
      <c r="L19" s="4"/>
      <c r="M19" s="4"/>
      <c r="N19" s="4"/>
    </row>
    <row r="20" spans="3:14" x14ac:dyDescent="0.25">
      <c r="C20" s="4" t="s">
        <v>442</v>
      </c>
      <c r="D20" s="4" t="s">
        <v>422</v>
      </c>
      <c r="E20" s="4">
        <v>0.79810000000000003</v>
      </c>
      <c r="F20" s="4">
        <v>7.8330000000000002</v>
      </c>
      <c r="G20" s="5">
        <v>32640000</v>
      </c>
      <c r="H20" s="4">
        <v>0.3</v>
      </c>
      <c r="I20" s="5">
        <v>1.16999999590917E-5</v>
      </c>
      <c r="J20" s="4">
        <v>33000</v>
      </c>
      <c r="K20" s="4">
        <v>45700</v>
      </c>
      <c r="L20" s="4"/>
      <c r="M20" s="4"/>
      <c r="N20" s="4"/>
    </row>
    <row r="21" spans="3:14" ht="16.5" x14ac:dyDescent="0.25">
      <c r="C21"/>
      <c r="D21"/>
      <c r="E21"/>
      <c r="F21"/>
      <c r="G21"/>
      <c r="H21"/>
      <c r="I21"/>
      <c r="J21"/>
      <c r="K21"/>
      <c r="L21"/>
      <c r="M21"/>
      <c r="N21"/>
    </row>
    <row r="22" spans="3:14" ht="16.5" x14ac:dyDescent="0.25">
      <c r="C22"/>
      <c r="D22"/>
      <c r="E22"/>
      <c r="F22"/>
      <c r="G22"/>
      <c r="H22"/>
      <c r="I22"/>
      <c r="J22"/>
      <c r="K22"/>
      <c r="L22"/>
      <c r="M22"/>
      <c r="N22"/>
    </row>
    <row r="23" spans="3:14" ht="16.5" x14ac:dyDescent="0.25">
      <c r="C23"/>
      <c r="D23"/>
      <c r="E23"/>
      <c r="F23"/>
      <c r="G23"/>
      <c r="H23"/>
      <c r="I23"/>
      <c r="J23"/>
      <c r="K23"/>
      <c r="L23"/>
      <c r="M23"/>
      <c r="N23"/>
    </row>
    <row r="24" spans="3:14" ht="16.5" x14ac:dyDescent="0.25">
      <c r="C24"/>
      <c r="D24"/>
      <c r="E24"/>
      <c r="F24"/>
      <c r="G24"/>
      <c r="H24"/>
      <c r="I24"/>
      <c r="J24"/>
      <c r="K24"/>
      <c r="L24"/>
      <c r="M24"/>
      <c r="N24"/>
    </row>
    <row r="25" spans="3:14" ht="16.5" x14ac:dyDescent="0.25">
      <c r="C25"/>
      <c r="D25"/>
      <c r="E25"/>
      <c r="F25"/>
      <c r="G25"/>
      <c r="H25"/>
      <c r="I25"/>
      <c r="J25"/>
      <c r="K25"/>
      <c r="L25"/>
      <c r="M25"/>
      <c r="N25"/>
    </row>
    <row r="26" spans="3:14" ht="16.5" x14ac:dyDescent="0.25">
      <c r="C26"/>
      <c r="D26"/>
      <c r="E26"/>
      <c r="F26"/>
      <c r="G26"/>
      <c r="H26"/>
      <c r="I26"/>
      <c r="J26"/>
      <c r="K26"/>
      <c r="L26"/>
      <c r="M26"/>
      <c r="N26"/>
    </row>
    <row r="27" spans="3:14" ht="16.5" x14ac:dyDescent="0.25">
      <c r="C27"/>
      <c r="D27"/>
      <c r="E27"/>
      <c r="F27"/>
      <c r="G27"/>
      <c r="H27"/>
      <c r="I27"/>
      <c r="J27"/>
      <c r="K27"/>
      <c r="L27"/>
      <c r="M27"/>
      <c r="N27"/>
    </row>
    <row r="28" spans="3:14" ht="16.5" x14ac:dyDescent="0.25">
      <c r="C28"/>
      <c r="D28"/>
      <c r="E28"/>
      <c r="F28"/>
      <c r="G28"/>
      <c r="H28"/>
      <c r="I28"/>
      <c r="J28"/>
      <c r="K28"/>
      <c r="L28"/>
      <c r="M28"/>
      <c r="N28"/>
    </row>
    <row r="29" spans="3:14" ht="16.5" x14ac:dyDescent="0.25">
      <c r="C29"/>
      <c r="D29"/>
      <c r="E29"/>
      <c r="F29"/>
      <c r="G29"/>
      <c r="H29"/>
      <c r="I29"/>
      <c r="J29"/>
      <c r="K29"/>
      <c r="L29"/>
      <c r="M29"/>
      <c r="N29"/>
    </row>
    <row r="30" spans="3:14" ht="16.5" x14ac:dyDescent="0.25">
      <c r="C30"/>
      <c r="D30"/>
      <c r="E30"/>
      <c r="F30"/>
      <c r="G30"/>
      <c r="H30"/>
      <c r="I30"/>
      <c r="J30"/>
      <c r="K30"/>
      <c r="L30"/>
      <c r="M30"/>
      <c r="N30"/>
    </row>
    <row r="31" spans="3:14" ht="16.5" x14ac:dyDescent="0.25">
      <c r="C31"/>
      <c r="D31"/>
      <c r="E31"/>
      <c r="F31"/>
      <c r="G31"/>
      <c r="H31"/>
      <c r="I31"/>
      <c r="J31"/>
      <c r="K31"/>
      <c r="L31"/>
      <c r="M31"/>
      <c r="N31"/>
    </row>
    <row r="32" spans="3:14" ht="16.5" x14ac:dyDescent="0.25">
      <c r="C32"/>
      <c r="D32"/>
      <c r="E32"/>
      <c r="F32"/>
      <c r="G32"/>
      <c r="H32"/>
      <c r="I32"/>
      <c r="J32"/>
      <c r="K32"/>
      <c r="L32"/>
      <c r="M32"/>
      <c r="N32"/>
    </row>
    <row r="33" spans="3:14" ht="16.5" x14ac:dyDescent="0.25">
      <c r="C33"/>
      <c r="D33"/>
      <c r="E33"/>
      <c r="F33"/>
      <c r="G33"/>
      <c r="H33"/>
      <c r="I33"/>
      <c r="J33"/>
      <c r="K33"/>
      <c r="L33"/>
      <c r="M33"/>
      <c r="N33"/>
    </row>
    <row r="34" spans="3:14" ht="16.5" x14ac:dyDescent="0.25">
      <c r="C34"/>
      <c r="D34"/>
      <c r="E34"/>
      <c r="F34"/>
      <c r="G34"/>
      <c r="H34"/>
      <c r="I34"/>
      <c r="J34"/>
      <c r="K34"/>
      <c r="L34"/>
      <c r="M34"/>
      <c r="N34"/>
    </row>
    <row r="35" spans="3:14" ht="16.5" x14ac:dyDescent="0.25">
      <c r="C35"/>
      <c r="D35"/>
      <c r="E35"/>
      <c r="F35"/>
      <c r="G35"/>
      <c r="H35"/>
      <c r="I35"/>
      <c r="J35"/>
      <c r="K35"/>
      <c r="L35"/>
      <c r="M35"/>
      <c r="N35"/>
    </row>
    <row r="36" spans="3:14" ht="16.5" x14ac:dyDescent="0.25">
      <c r="C36"/>
      <c r="D36"/>
      <c r="E36"/>
      <c r="F36"/>
      <c r="G36"/>
      <c r="H36"/>
      <c r="I36"/>
      <c r="J36"/>
      <c r="K36"/>
      <c r="L36"/>
      <c r="M36"/>
      <c r="N36"/>
    </row>
    <row r="37" spans="3:14" ht="16.5" x14ac:dyDescent="0.25">
      <c r="C37"/>
      <c r="D37"/>
      <c r="E37"/>
      <c r="F37"/>
      <c r="G37"/>
      <c r="H37"/>
      <c r="I37"/>
      <c r="J37"/>
      <c r="K37"/>
      <c r="L37"/>
      <c r="M37"/>
      <c r="N37"/>
    </row>
    <row r="38" spans="3:14" ht="16.5" x14ac:dyDescent="0.25">
      <c r="C38"/>
      <c r="D38"/>
      <c r="E38"/>
      <c r="F38"/>
      <c r="G38"/>
      <c r="H38"/>
      <c r="I38"/>
      <c r="J38"/>
      <c r="K38"/>
      <c r="L38"/>
      <c r="M38"/>
      <c r="N38"/>
    </row>
    <row r="39" spans="3:14" ht="16.5" x14ac:dyDescent="0.25">
      <c r="C39"/>
      <c r="D39"/>
      <c r="E39"/>
      <c r="F39"/>
      <c r="G39"/>
      <c r="H39"/>
      <c r="I39"/>
      <c r="J39"/>
      <c r="K39"/>
      <c r="L39"/>
      <c r="M39"/>
      <c r="N39"/>
    </row>
    <row r="40" spans="3:14" ht="16.5" x14ac:dyDescent="0.25">
      <c r="C40"/>
      <c r="D40"/>
      <c r="E40"/>
      <c r="F40"/>
      <c r="G40"/>
      <c r="H40"/>
      <c r="I40"/>
      <c r="J40"/>
      <c r="K40"/>
      <c r="L40"/>
      <c r="M40"/>
      <c r="N40"/>
    </row>
    <row r="41" spans="3:14" ht="16.5" x14ac:dyDescent="0.25">
      <c r="C41"/>
      <c r="D41"/>
      <c r="E41"/>
      <c r="F41"/>
      <c r="G41"/>
      <c r="H41"/>
      <c r="I41"/>
      <c r="J41"/>
      <c r="K41"/>
      <c r="L41"/>
      <c r="M41"/>
      <c r="N41"/>
    </row>
    <row r="42" spans="3:14" ht="16.5" x14ac:dyDescent="0.25">
      <c r="C42"/>
      <c r="D42"/>
      <c r="E42"/>
      <c r="F42"/>
      <c r="G42"/>
      <c r="H42"/>
      <c r="I42"/>
      <c r="J42"/>
      <c r="K42"/>
      <c r="L42"/>
      <c r="M42"/>
      <c r="N42"/>
    </row>
    <row r="43" spans="3:14" ht="16.5" x14ac:dyDescent="0.25">
      <c r="C43"/>
      <c r="D43"/>
      <c r="E43"/>
      <c r="F43"/>
      <c r="G43"/>
      <c r="H43"/>
      <c r="I43"/>
      <c r="J43"/>
      <c r="K43"/>
      <c r="L43"/>
      <c r="M43"/>
      <c r="N43"/>
    </row>
    <row r="44" spans="3:14" ht="16.5" x14ac:dyDescent="0.25">
      <c r="C44"/>
      <c r="D44"/>
      <c r="E44"/>
      <c r="F44"/>
      <c r="G44"/>
      <c r="H44"/>
      <c r="I44"/>
      <c r="J44"/>
      <c r="K44"/>
      <c r="L44"/>
      <c r="M44"/>
      <c r="N44"/>
    </row>
    <row r="45" spans="3:14" ht="16.5" x14ac:dyDescent="0.25">
      <c r="C45"/>
      <c r="D45"/>
      <c r="E45"/>
      <c r="F45"/>
      <c r="G45"/>
      <c r="H45"/>
      <c r="I45"/>
      <c r="J45"/>
      <c r="K45"/>
      <c r="L45"/>
      <c r="M45"/>
      <c r="N45"/>
    </row>
    <row r="46" spans="3:14" ht="16.5" x14ac:dyDescent="0.25">
      <c r="C46"/>
      <c r="D46"/>
      <c r="E46"/>
      <c r="F46"/>
      <c r="G46"/>
      <c r="H46"/>
      <c r="I46"/>
      <c r="J46"/>
      <c r="K46"/>
      <c r="L46"/>
      <c r="M46"/>
      <c r="N46"/>
    </row>
    <row r="47" spans="3:14" ht="16.5" x14ac:dyDescent="0.25">
      <c r="C47"/>
      <c r="D47"/>
      <c r="E47"/>
      <c r="F47"/>
      <c r="G47"/>
      <c r="H47"/>
      <c r="I47"/>
      <c r="J47"/>
      <c r="K47"/>
      <c r="L47"/>
      <c r="M47"/>
      <c r="N47"/>
    </row>
    <row r="48" spans="3:14" ht="16.5" x14ac:dyDescent="0.25">
      <c r="C48"/>
      <c r="D48"/>
      <c r="E48"/>
      <c r="F48"/>
      <c r="G48"/>
      <c r="H48"/>
      <c r="I48"/>
      <c r="J48"/>
      <c r="K48"/>
      <c r="L48"/>
      <c r="M48"/>
      <c r="N48"/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92D050"/>
  </sheetPr>
  <dimension ref="A1:CB249"/>
  <sheetViews>
    <sheetView topLeftCell="B2" workbookViewId="0">
      <pane xSplit="1" ySplit="12" topLeftCell="C14" activePane="bottomRight" state="frozen"/>
      <selection activeCell="B2" sqref="B2"/>
      <selection pane="topRight" activeCell="C2" sqref="C2"/>
      <selection pane="bottomLeft" activeCell="B14" sqref="B14"/>
      <selection pane="bottomRight" activeCell="C14" sqref="C14:AD142"/>
    </sheetView>
  </sheetViews>
  <sheetFormatPr defaultRowHeight="12.75" x14ac:dyDescent="0.25"/>
  <cols>
    <col min="1" max="2" width="9" style="1"/>
    <col min="3" max="4" width="16.625" style="1" bestFit="1" customWidth="1"/>
    <col min="5" max="5" width="12.625" style="1" customWidth="1"/>
    <col min="6" max="9" width="9" style="1"/>
    <col min="10" max="10" width="15" style="1" customWidth="1"/>
    <col min="11" max="12" width="7.875" style="1" customWidth="1"/>
    <col min="13" max="13" width="7.75" style="1" customWidth="1"/>
    <col min="14" max="15" width="8.375" style="1" customWidth="1"/>
    <col min="16" max="16" width="12.375" style="1" customWidth="1"/>
    <col min="17" max="18" width="8.375" style="1" customWidth="1"/>
    <col min="19" max="20" width="9" style="1"/>
    <col min="21" max="21" width="6.875" style="1" customWidth="1"/>
    <col min="22" max="22" width="11.125" style="1" bestFit="1" customWidth="1"/>
    <col min="23" max="23" width="11.625" style="1" customWidth="1"/>
    <col min="24" max="24" width="11.75" style="1" bestFit="1" customWidth="1"/>
    <col min="25" max="26" width="7.625" style="1" customWidth="1"/>
    <col min="27" max="34" width="9" style="1"/>
    <col min="35" max="35" width="19.625" style="1" customWidth="1"/>
    <col min="36" max="36" width="9.5" style="1" customWidth="1"/>
    <col min="37" max="16384" width="9" style="1"/>
  </cols>
  <sheetData>
    <row r="1" spans="1:80" ht="13.5" thickBot="1" x14ac:dyDescent="0.3">
      <c r="A1" s="3" t="s">
        <v>24</v>
      </c>
    </row>
    <row r="2" spans="1:80" ht="13.5" thickBot="1" x14ac:dyDescent="0.3">
      <c r="C2" s="11" t="s">
        <v>191</v>
      </c>
      <c r="E2" s="113" t="s">
        <v>256</v>
      </c>
    </row>
    <row r="3" spans="1:80" x14ac:dyDescent="0.25">
      <c r="C3" s="12" t="s">
        <v>204</v>
      </c>
    </row>
    <row r="4" spans="1:80" x14ac:dyDescent="0.25">
      <c r="C4" s="12" t="s">
        <v>217</v>
      </c>
    </row>
    <row r="5" spans="1:80" x14ac:dyDescent="0.25">
      <c r="C5" s="12" t="s">
        <v>121</v>
      </c>
      <c r="E5" s="21"/>
    </row>
    <row r="6" spans="1:80" x14ac:dyDescent="0.25">
      <c r="C6" s="12" t="s">
        <v>122</v>
      </c>
    </row>
    <row r="7" spans="1:80" x14ac:dyDescent="0.25">
      <c r="C7" s="12" t="s">
        <v>123</v>
      </c>
    </row>
    <row r="8" spans="1:80" x14ac:dyDescent="0.25">
      <c r="C8" s="12" t="s">
        <v>257</v>
      </c>
    </row>
    <row r="9" spans="1:80" x14ac:dyDescent="0.25">
      <c r="C9" s="12" t="s">
        <v>258</v>
      </c>
    </row>
    <row r="10" spans="1:80" ht="13.5" thickBot="1" x14ac:dyDescent="0.3">
      <c r="C10" s="13" t="s">
        <v>124</v>
      </c>
    </row>
    <row r="11" spans="1:80" ht="14.25" x14ac:dyDescent="0.25">
      <c r="S11" s="38" t="s">
        <v>125</v>
      </c>
      <c r="T11" s="39"/>
      <c r="U11" s="38"/>
      <c r="V11" s="38"/>
      <c r="W11" s="38"/>
      <c r="X11" s="38"/>
      <c r="Y11" s="54" t="s">
        <v>133</v>
      </c>
      <c r="Z11" s="54"/>
      <c r="AA11" s="54"/>
      <c r="AB11" s="54"/>
      <c r="AC11" s="54"/>
      <c r="AD11" s="54"/>
      <c r="AE11" s="69"/>
      <c r="AI11" s="21" t="s">
        <v>159</v>
      </c>
    </row>
    <row r="12" spans="1:80" ht="16.5" customHeight="1" x14ac:dyDescent="0.25">
      <c r="K12" s="35" t="s">
        <v>33</v>
      </c>
      <c r="L12" s="36"/>
      <c r="M12" s="37"/>
      <c r="N12" s="37"/>
      <c r="O12" s="37"/>
      <c r="P12" s="37"/>
      <c r="Q12" s="37"/>
      <c r="R12" s="37"/>
      <c r="S12" s="53" t="s">
        <v>132</v>
      </c>
      <c r="T12" s="53"/>
      <c r="U12" s="143" t="s">
        <v>128</v>
      </c>
      <c r="V12" s="143" t="s">
        <v>129</v>
      </c>
      <c r="W12" s="145" t="s">
        <v>130</v>
      </c>
      <c r="X12" s="147" t="s">
        <v>131</v>
      </c>
      <c r="Y12" s="54" t="s">
        <v>134</v>
      </c>
      <c r="Z12" s="54"/>
      <c r="AA12" s="54" t="s">
        <v>138</v>
      </c>
      <c r="AB12" s="54"/>
      <c r="AC12" s="54" t="s">
        <v>137</v>
      </c>
      <c r="AD12" s="54"/>
    </row>
    <row r="13" spans="1:80" ht="24" x14ac:dyDescent="0.25">
      <c r="C13" s="47" t="s">
        <v>25</v>
      </c>
      <c r="D13" s="48" t="s">
        <v>26</v>
      </c>
      <c r="E13" s="49" t="s">
        <v>27</v>
      </c>
      <c r="F13" s="50" t="s">
        <v>28</v>
      </c>
      <c r="G13" s="50" t="s">
        <v>29</v>
      </c>
      <c r="H13" s="50" t="s">
        <v>30</v>
      </c>
      <c r="I13" s="50" t="s">
        <v>31</v>
      </c>
      <c r="J13" s="51" t="s">
        <v>120</v>
      </c>
      <c r="K13" s="44" t="s">
        <v>9</v>
      </c>
      <c r="L13" s="44" t="s">
        <v>10</v>
      </c>
      <c r="M13" s="44" t="s">
        <v>34</v>
      </c>
      <c r="N13" s="44" t="s">
        <v>35</v>
      </c>
      <c r="O13" s="44" t="s">
        <v>36</v>
      </c>
      <c r="P13" s="44" t="s">
        <v>37</v>
      </c>
      <c r="Q13" s="44" t="s">
        <v>38</v>
      </c>
      <c r="R13" s="44" t="s">
        <v>39</v>
      </c>
      <c r="S13" s="52" t="s">
        <v>126</v>
      </c>
      <c r="T13" s="52" t="s">
        <v>127</v>
      </c>
      <c r="U13" s="144"/>
      <c r="V13" s="144"/>
      <c r="W13" s="146"/>
      <c r="X13" s="148"/>
      <c r="Y13" s="45" t="s">
        <v>135</v>
      </c>
      <c r="Z13" s="45" t="s">
        <v>136</v>
      </c>
      <c r="AA13" s="45" t="s">
        <v>135</v>
      </c>
      <c r="AB13" s="45" t="s">
        <v>136</v>
      </c>
      <c r="AC13" s="45" t="s">
        <v>135</v>
      </c>
      <c r="AD13" s="45" t="s">
        <v>136</v>
      </c>
      <c r="AI13" s="61" t="s">
        <v>160</v>
      </c>
      <c r="AJ13" s="1" t="s">
        <v>161</v>
      </c>
    </row>
    <row r="14" spans="1:80" ht="16.5" x14ac:dyDescent="0.25">
      <c r="C14" s="4">
        <v>4001</v>
      </c>
      <c r="D14" s="4" t="s">
        <v>203</v>
      </c>
      <c r="E14" s="4" t="s">
        <v>216</v>
      </c>
      <c r="F14" s="4">
        <v>0.4</v>
      </c>
      <c r="G14" s="4">
        <v>0.2</v>
      </c>
      <c r="H14" s="4">
        <v>1.2999999999999999E-2</v>
      </c>
      <c r="I14" s="4">
        <v>8.0000000000000002E-3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I14" t="s">
        <v>561</v>
      </c>
      <c r="AJ14">
        <v>5001</v>
      </c>
      <c r="AK14">
        <v>5002</v>
      </c>
      <c r="AL14">
        <v>5003</v>
      </c>
      <c r="AM14">
        <v>5004</v>
      </c>
      <c r="AN14">
        <v>5005</v>
      </c>
      <c r="AO14">
        <v>5006</v>
      </c>
      <c r="AP14">
        <v>5007</v>
      </c>
      <c r="AQ14">
        <v>5008</v>
      </c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</row>
    <row r="15" spans="1:80" ht="16.5" x14ac:dyDescent="0.25">
      <c r="C15" s="4">
        <v>4002</v>
      </c>
      <c r="D15" s="4" t="s">
        <v>203</v>
      </c>
      <c r="E15" s="4" t="s">
        <v>216</v>
      </c>
      <c r="F15" s="4">
        <v>0.4</v>
      </c>
      <c r="G15" s="4">
        <v>0.2</v>
      </c>
      <c r="H15" s="4">
        <v>1.4999999999999999E-2</v>
      </c>
      <c r="I15" s="4">
        <v>0.01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I15" t="s">
        <v>561</v>
      </c>
      <c r="AJ15">
        <v>5009</v>
      </c>
      <c r="AK15">
        <v>5010</v>
      </c>
      <c r="AL15">
        <v>5011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</row>
    <row r="16" spans="1:80" ht="16.5" x14ac:dyDescent="0.25">
      <c r="C16" s="4">
        <v>4002</v>
      </c>
      <c r="D16" s="4" t="s">
        <v>203</v>
      </c>
      <c r="E16" s="4" t="s">
        <v>216</v>
      </c>
      <c r="F16" s="4">
        <v>0.4</v>
      </c>
      <c r="G16" s="4">
        <v>0.2</v>
      </c>
      <c r="H16" s="4">
        <v>0.02</v>
      </c>
      <c r="I16" s="4">
        <v>0.01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I16" t="s">
        <v>377</v>
      </c>
      <c r="AJ16" t="s">
        <v>373</v>
      </c>
      <c r="AK16" t="s">
        <v>374</v>
      </c>
      <c r="AL16" t="s">
        <v>375</v>
      </c>
      <c r="AM16" t="s">
        <v>376</v>
      </c>
      <c r="AN16" t="s">
        <v>378</v>
      </c>
      <c r="AO16" t="s">
        <v>379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</row>
    <row r="17" spans="3:80" ht="16.5" x14ac:dyDescent="0.25">
      <c r="C17" s="4">
        <v>4003</v>
      </c>
      <c r="D17" s="4" t="s">
        <v>203</v>
      </c>
      <c r="E17" s="4" t="s">
        <v>216</v>
      </c>
      <c r="F17" s="4">
        <v>0.4</v>
      </c>
      <c r="G17" s="4">
        <v>0.3</v>
      </c>
      <c r="H17" s="4">
        <v>0.02</v>
      </c>
      <c r="I17" s="4">
        <v>0.01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I17" t="s">
        <v>562</v>
      </c>
      <c r="AJ17" t="s">
        <v>549</v>
      </c>
      <c r="AK17" t="s">
        <v>550</v>
      </c>
      <c r="AL17" t="s">
        <v>551</v>
      </c>
      <c r="AM17" t="s">
        <v>552</v>
      </c>
      <c r="AN17" t="s">
        <v>554</v>
      </c>
      <c r="AO17" t="s">
        <v>555</v>
      </c>
      <c r="AP17" t="s">
        <v>556</v>
      </c>
      <c r="AQ17" t="s">
        <v>557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</row>
    <row r="18" spans="3:80" ht="16.5" x14ac:dyDescent="0.25">
      <c r="C18" s="4">
        <v>4004</v>
      </c>
      <c r="D18" s="4" t="s">
        <v>203</v>
      </c>
      <c r="E18" s="4" t="s">
        <v>216</v>
      </c>
      <c r="F18" s="4">
        <v>0.4</v>
      </c>
      <c r="G18" s="4">
        <v>0.3</v>
      </c>
      <c r="H18" s="4">
        <v>2.1999999999999999E-2</v>
      </c>
      <c r="I18" s="4">
        <v>1.2E-2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I18" t="s">
        <v>562</v>
      </c>
      <c r="AJ18" t="s">
        <v>558</v>
      </c>
      <c r="AK18" t="s">
        <v>559</v>
      </c>
      <c r="AL18" t="s">
        <v>560</v>
      </c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</row>
    <row r="19" spans="3:80" ht="16.5" x14ac:dyDescent="0.25">
      <c r="C19" s="4">
        <v>4005</v>
      </c>
      <c r="D19" s="4" t="s">
        <v>203</v>
      </c>
      <c r="E19" s="4" t="s">
        <v>216</v>
      </c>
      <c r="F19" s="4">
        <v>0.4</v>
      </c>
      <c r="G19" s="4">
        <v>0.3</v>
      </c>
      <c r="H19" s="4">
        <v>2.5999999999999999E-2</v>
      </c>
      <c r="I19" s="4">
        <v>1.2E-2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I19" t="s">
        <v>563</v>
      </c>
      <c r="AJ19" t="s">
        <v>549</v>
      </c>
      <c r="AK19" t="s">
        <v>550</v>
      </c>
      <c r="AL19" t="s">
        <v>551</v>
      </c>
      <c r="AM19" t="s">
        <v>552</v>
      </c>
      <c r="AN19" t="s">
        <v>554</v>
      </c>
      <c r="AO19" t="s">
        <v>555</v>
      </c>
      <c r="AP19" t="s">
        <v>556</v>
      </c>
      <c r="AQ19" t="s">
        <v>557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</row>
    <row r="20" spans="3:80" ht="16.5" x14ac:dyDescent="0.25">
      <c r="C20" s="4">
        <v>5001</v>
      </c>
      <c r="D20" s="4" t="s">
        <v>203</v>
      </c>
      <c r="E20" s="4" t="s">
        <v>216</v>
      </c>
      <c r="F20" s="4">
        <v>0.5</v>
      </c>
      <c r="G20" s="4">
        <v>0.2</v>
      </c>
      <c r="H20" s="4">
        <v>2.1999999999999999E-2</v>
      </c>
      <c r="I20" s="4">
        <v>1.2E-2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I20" t="s">
        <v>563</v>
      </c>
      <c r="AJ20" t="s">
        <v>558</v>
      </c>
      <c r="AK20" t="s">
        <v>559</v>
      </c>
      <c r="AL20" t="s">
        <v>560</v>
      </c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</row>
    <row r="21" spans="3:80" ht="16.5" x14ac:dyDescent="0.25">
      <c r="C21" s="4">
        <v>5002</v>
      </c>
      <c r="D21" s="4" t="s">
        <v>203</v>
      </c>
      <c r="E21" s="4" t="s">
        <v>216</v>
      </c>
      <c r="F21" s="4">
        <v>0.5</v>
      </c>
      <c r="G21" s="4">
        <v>0.25</v>
      </c>
      <c r="H21" s="4">
        <v>2.1999999999999999E-2</v>
      </c>
      <c r="I21" s="4">
        <v>1.2E-2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I21" t="s">
        <v>564</v>
      </c>
      <c r="AJ21">
        <v>5001</v>
      </c>
      <c r="AK21">
        <v>5002</v>
      </c>
      <c r="AL21">
        <v>5003</v>
      </c>
      <c r="AM21">
        <v>5004</v>
      </c>
      <c r="AN21">
        <v>5005</v>
      </c>
      <c r="AO21">
        <v>5006</v>
      </c>
      <c r="AP21">
        <v>5007</v>
      </c>
      <c r="AQ21">
        <v>5008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</row>
    <row r="22" spans="3:80" ht="16.5" x14ac:dyDescent="0.25">
      <c r="C22" s="4">
        <v>5003</v>
      </c>
      <c r="D22" s="4" t="s">
        <v>203</v>
      </c>
      <c r="E22" s="4" t="s">
        <v>216</v>
      </c>
      <c r="F22" s="4">
        <v>0.5</v>
      </c>
      <c r="G22" s="4">
        <v>0.3</v>
      </c>
      <c r="H22" s="4">
        <v>2.1999999999999999E-2</v>
      </c>
      <c r="I22" s="4">
        <v>1.2E-2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I22" t="s">
        <v>564</v>
      </c>
      <c r="AJ22">
        <v>5009</v>
      </c>
      <c r="AK22">
        <v>5010</v>
      </c>
      <c r="AL22">
        <v>5011</v>
      </c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</row>
    <row r="23" spans="3:80" ht="16.5" x14ac:dyDescent="0.25">
      <c r="C23" s="4">
        <v>5004</v>
      </c>
      <c r="D23" s="4" t="s">
        <v>203</v>
      </c>
      <c r="E23" s="4" t="s">
        <v>216</v>
      </c>
      <c r="F23" s="4">
        <v>0.5</v>
      </c>
      <c r="G23" s="4">
        <v>0.3</v>
      </c>
      <c r="H23" s="4">
        <v>2.8000000000000001E-2</v>
      </c>
      <c r="I23" s="4">
        <v>1.6E-2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I23" t="s">
        <v>565</v>
      </c>
      <c r="AJ23" t="s">
        <v>205</v>
      </c>
      <c r="AK23" t="s">
        <v>206</v>
      </c>
      <c r="AL23" t="s">
        <v>207</v>
      </c>
      <c r="AM23" t="s">
        <v>208</v>
      </c>
      <c r="AN23" t="s">
        <v>209</v>
      </c>
      <c r="AO23" t="s">
        <v>212</v>
      </c>
      <c r="AP23" t="s">
        <v>210</v>
      </c>
      <c r="AQ23" t="s">
        <v>211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</row>
    <row r="24" spans="3:80" ht="16.5" x14ac:dyDescent="0.25">
      <c r="C24" s="4">
        <v>5005</v>
      </c>
      <c r="D24" s="4" t="s">
        <v>203</v>
      </c>
      <c r="E24" s="4" t="s">
        <v>216</v>
      </c>
      <c r="F24" s="4">
        <v>0.5</v>
      </c>
      <c r="G24" s="4">
        <v>0.35</v>
      </c>
      <c r="H24" s="4">
        <v>2.8000000000000001E-2</v>
      </c>
      <c r="I24" s="4">
        <v>1.6E-2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I24" t="s">
        <v>565</v>
      </c>
      <c r="AJ24" t="s">
        <v>215</v>
      </c>
      <c r="AK24" t="s">
        <v>213</v>
      </c>
      <c r="AL24" t="s">
        <v>214</v>
      </c>
      <c r="AM24" t="s">
        <v>380</v>
      </c>
      <c r="AN24" t="s">
        <v>381</v>
      </c>
      <c r="AO24" t="s">
        <v>382</v>
      </c>
      <c r="AP24" t="s">
        <v>383</v>
      </c>
      <c r="AQ24" t="s">
        <v>384</v>
      </c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</row>
    <row r="25" spans="3:80" ht="16.5" x14ac:dyDescent="0.25">
      <c r="C25" s="4">
        <v>5006</v>
      </c>
      <c r="D25" s="4" t="s">
        <v>203</v>
      </c>
      <c r="E25" s="4" t="s">
        <v>216</v>
      </c>
      <c r="F25" s="4">
        <v>0.5</v>
      </c>
      <c r="G25" s="4">
        <v>0.3</v>
      </c>
      <c r="H25" s="4">
        <v>3.2000000000000001E-2</v>
      </c>
      <c r="I25" s="4">
        <v>1.9E-2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I25" t="s">
        <v>566</v>
      </c>
      <c r="AJ25" t="s">
        <v>549</v>
      </c>
      <c r="AK25" t="s">
        <v>550</v>
      </c>
      <c r="AL25" t="s">
        <v>551</v>
      </c>
      <c r="AM25" t="s">
        <v>552</v>
      </c>
      <c r="AN25" t="s">
        <v>554</v>
      </c>
      <c r="AO25" t="s">
        <v>555</v>
      </c>
      <c r="AP25" t="s">
        <v>556</v>
      </c>
      <c r="AQ25" t="s">
        <v>557</v>
      </c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</row>
    <row r="26" spans="3:80" ht="16.5" x14ac:dyDescent="0.25">
      <c r="C26" s="4">
        <v>5007</v>
      </c>
      <c r="D26" s="4" t="s">
        <v>203</v>
      </c>
      <c r="E26" s="4" t="s">
        <v>216</v>
      </c>
      <c r="F26" s="4">
        <v>0.5</v>
      </c>
      <c r="G26" s="4">
        <v>0.35</v>
      </c>
      <c r="H26" s="4">
        <v>3.2000000000000001E-2</v>
      </c>
      <c r="I26" s="4">
        <v>1.9E-2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I26" t="s">
        <v>566</v>
      </c>
      <c r="AJ26" t="s">
        <v>558</v>
      </c>
      <c r="AK26" t="s">
        <v>559</v>
      </c>
      <c r="AL26" t="s">
        <v>560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</row>
    <row r="27" spans="3:80" ht="16.5" x14ac:dyDescent="0.25">
      <c r="C27" s="4">
        <v>5008</v>
      </c>
      <c r="D27" s="4" t="s">
        <v>203</v>
      </c>
      <c r="E27" s="4" t="s">
        <v>216</v>
      </c>
      <c r="F27" s="4">
        <v>0.5</v>
      </c>
      <c r="G27" s="4">
        <v>0.3</v>
      </c>
      <c r="H27" s="4">
        <v>0.04</v>
      </c>
      <c r="I27" s="4">
        <v>2.1999999999999999E-2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I27" t="s">
        <v>567</v>
      </c>
      <c r="AJ27" t="s">
        <v>549</v>
      </c>
      <c r="AK27" t="s">
        <v>550</v>
      </c>
      <c r="AL27" t="s">
        <v>551</v>
      </c>
      <c r="AM27" t="s">
        <v>552</v>
      </c>
      <c r="AN27" t="s">
        <v>554</v>
      </c>
      <c r="AO27" t="s">
        <v>555</v>
      </c>
      <c r="AP27" t="s">
        <v>556</v>
      </c>
      <c r="AQ27" t="s">
        <v>557</v>
      </c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</row>
    <row r="28" spans="3:80" ht="16.5" x14ac:dyDescent="0.25">
      <c r="C28" s="4">
        <v>5009</v>
      </c>
      <c r="D28" s="4" t="s">
        <v>203</v>
      </c>
      <c r="E28" s="4" t="s">
        <v>216</v>
      </c>
      <c r="F28" s="4">
        <v>0.5</v>
      </c>
      <c r="G28" s="4">
        <v>0.35</v>
      </c>
      <c r="H28" s="4">
        <v>0.04</v>
      </c>
      <c r="I28" s="4">
        <v>2.1999999999999999E-2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I28" t="s">
        <v>567</v>
      </c>
      <c r="AJ28" t="s">
        <v>558</v>
      </c>
      <c r="AK28" t="s">
        <v>559</v>
      </c>
      <c r="AL28" t="s">
        <v>560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</row>
    <row r="29" spans="3:80" ht="16.5" x14ac:dyDescent="0.25">
      <c r="C29" s="4">
        <v>5010</v>
      </c>
      <c r="D29" s="4" t="s">
        <v>203</v>
      </c>
      <c r="E29" s="4" t="s">
        <v>216</v>
      </c>
      <c r="F29" s="4">
        <v>0.5</v>
      </c>
      <c r="G29" s="4">
        <v>0.35</v>
      </c>
      <c r="H29" s="4">
        <v>4.4999999999999998E-2</v>
      </c>
      <c r="I29" s="4">
        <v>2.5000000000000001E-2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I29" t="s">
        <v>568</v>
      </c>
      <c r="AJ29" t="s">
        <v>205</v>
      </c>
      <c r="AK29" t="s">
        <v>206</v>
      </c>
      <c r="AL29" t="s">
        <v>207</v>
      </c>
      <c r="AM29" t="s">
        <v>208</v>
      </c>
      <c r="AN29" t="s">
        <v>209</v>
      </c>
      <c r="AO29" t="s">
        <v>212</v>
      </c>
      <c r="AP29" t="s">
        <v>210</v>
      </c>
      <c r="AQ29" t="s">
        <v>211</v>
      </c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</row>
    <row r="30" spans="3:80" ht="16.5" x14ac:dyDescent="0.25">
      <c r="C30" s="4">
        <v>5011</v>
      </c>
      <c r="D30" s="4" t="s">
        <v>203</v>
      </c>
      <c r="E30" s="4" t="s">
        <v>216</v>
      </c>
      <c r="F30" s="4">
        <v>0.5</v>
      </c>
      <c r="G30" s="4">
        <v>0.35</v>
      </c>
      <c r="H30" s="4">
        <v>0.05</v>
      </c>
      <c r="I30" s="4">
        <v>2.8000000000000001E-2</v>
      </c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I30" t="s">
        <v>568</v>
      </c>
      <c r="AJ30" t="s">
        <v>215</v>
      </c>
      <c r="AK30" t="s">
        <v>213</v>
      </c>
      <c r="AL30" t="s">
        <v>214</v>
      </c>
      <c r="AM30" t="s">
        <v>380</v>
      </c>
      <c r="AN30" t="s">
        <v>381</v>
      </c>
      <c r="AO30" t="s">
        <v>382</v>
      </c>
      <c r="AP30" t="s">
        <v>383</v>
      </c>
      <c r="AQ30" t="s">
        <v>384</v>
      </c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</row>
    <row r="31" spans="3:80" ht="16.5" x14ac:dyDescent="0.25">
      <c r="C31" s="4">
        <v>7001</v>
      </c>
      <c r="D31" s="4" t="s">
        <v>203</v>
      </c>
      <c r="E31" s="4" t="s">
        <v>216</v>
      </c>
      <c r="F31" s="4">
        <v>0.7</v>
      </c>
      <c r="G31" s="4">
        <v>0.2</v>
      </c>
      <c r="H31" s="4">
        <v>2.1999999999999999E-2</v>
      </c>
      <c r="I31" s="4">
        <v>1.2E-2</v>
      </c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I31" t="s">
        <v>569</v>
      </c>
      <c r="AJ31">
        <v>5001</v>
      </c>
      <c r="AK31">
        <v>5002</v>
      </c>
      <c r="AL31">
        <v>5003</v>
      </c>
      <c r="AM31">
        <v>5004</v>
      </c>
      <c r="AN31">
        <v>5005</v>
      </c>
      <c r="AO31">
        <v>5006</v>
      </c>
      <c r="AP31">
        <v>5007</v>
      </c>
      <c r="AQ31">
        <v>5008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</row>
    <row r="32" spans="3:80" ht="16.5" x14ac:dyDescent="0.25">
      <c r="C32" s="4">
        <v>7002</v>
      </c>
      <c r="D32" s="4" t="s">
        <v>203</v>
      </c>
      <c r="E32" s="4" t="s">
        <v>216</v>
      </c>
      <c r="F32" s="4">
        <v>0.7</v>
      </c>
      <c r="G32" s="4">
        <v>0.25</v>
      </c>
      <c r="H32" s="4">
        <v>2.1999999999999999E-2</v>
      </c>
      <c r="I32" s="4">
        <v>1.2E-2</v>
      </c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I32" t="s">
        <v>569</v>
      </c>
      <c r="AJ32">
        <v>5009</v>
      </c>
      <c r="AK32">
        <v>5010</v>
      </c>
      <c r="AL32">
        <v>5011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</row>
    <row r="33" spans="3:80" ht="16.5" x14ac:dyDescent="0.25">
      <c r="C33" s="4">
        <v>7003</v>
      </c>
      <c r="D33" s="4" t="s">
        <v>203</v>
      </c>
      <c r="E33" s="4" t="s">
        <v>216</v>
      </c>
      <c r="F33" s="4">
        <v>0.7</v>
      </c>
      <c r="G33" s="4">
        <v>0.3</v>
      </c>
      <c r="H33" s="4">
        <v>2.1999999999999999E-2</v>
      </c>
      <c r="I33" s="4">
        <v>1.2E-2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I33" t="s">
        <v>570</v>
      </c>
      <c r="AJ33">
        <v>5001</v>
      </c>
      <c r="AK33">
        <v>5002</v>
      </c>
      <c r="AL33">
        <v>5003</v>
      </c>
      <c r="AM33">
        <v>5004</v>
      </c>
      <c r="AN33">
        <v>5005</v>
      </c>
      <c r="AO33">
        <v>5006</v>
      </c>
      <c r="AP33">
        <v>5007</v>
      </c>
      <c r="AQ33">
        <v>5008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</row>
    <row r="34" spans="3:80" ht="16.5" x14ac:dyDescent="0.25">
      <c r="C34" s="4">
        <v>7004</v>
      </c>
      <c r="D34" s="4" t="s">
        <v>203</v>
      </c>
      <c r="E34" s="4" t="s">
        <v>216</v>
      </c>
      <c r="F34" s="4">
        <v>0.7</v>
      </c>
      <c r="G34" s="4">
        <v>0.3</v>
      </c>
      <c r="H34" s="4">
        <v>2.8000000000000001E-2</v>
      </c>
      <c r="I34" s="4">
        <v>1.6E-2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I34" t="s">
        <v>570</v>
      </c>
      <c r="AJ34">
        <v>5009</v>
      </c>
      <c r="AK34">
        <v>5010</v>
      </c>
      <c r="AL34">
        <v>5011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</row>
    <row r="35" spans="3:80" ht="16.5" x14ac:dyDescent="0.25">
      <c r="C35" s="4">
        <v>7005</v>
      </c>
      <c r="D35" s="4" t="s">
        <v>203</v>
      </c>
      <c r="E35" s="4" t="s">
        <v>216</v>
      </c>
      <c r="F35" s="4">
        <v>0.7</v>
      </c>
      <c r="G35" s="4">
        <v>0.35</v>
      </c>
      <c r="H35" s="4">
        <v>2.8000000000000001E-2</v>
      </c>
      <c r="I35" s="4">
        <v>1.6E-2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</row>
    <row r="36" spans="3:80" ht="16.5" x14ac:dyDescent="0.25">
      <c r="C36" s="4">
        <v>7006</v>
      </c>
      <c r="D36" s="4" t="s">
        <v>203</v>
      </c>
      <c r="E36" s="4" t="s">
        <v>216</v>
      </c>
      <c r="F36" s="4">
        <v>0.7</v>
      </c>
      <c r="G36" s="4">
        <v>0.3</v>
      </c>
      <c r="H36" s="4">
        <v>3.2000000000000001E-2</v>
      </c>
      <c r="I36" s="4">
        <v>1.9E-2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</row>
    <row r="37" spans="3:80" ht="16.5" x14ac:dyDescent="0.25">
      <c r="C37" s="4">
        <v>7007</v>
      </c>
      <c r="D37" s="4" t="s">
        <v>203</v>
      </c>
      <c r="E37" s="4" t="s">
        <v>216</v>
      </c>
      <c r="F37" s="4">
        <v>0.7</v>
      </c>
      <c r="G37" s="4">
        <v>0.35</v>
      </c>
      <c r="H37" s="4">
        <v>3.2000000000000001E-2</v>
      </c>
      <c r="I37" s="4">
        <v>1.9E-2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</row>
    <row r="38" spans="3:80" ht="16.5" x14ac:dyDescent="0.25">
      <c r="C38" s="4">
        <v>7008</v>
      </c>
      <c r="D38" s="4" t="s">
        <v>203</v>
      </c>
      <c r="E38" s="4" t="s">
        <v>216</v>
      </c>
      <c r="F38" s="4">
        <v>0.7</v>
      </c>
      <c r="G38" s="4">
        <v>0.3</v>
      </c>
      <c r="H38" s="4">
        <v>0.04</v>
      </c>
      <c r="I38" s="4">
        <v>2.1999999999999999E-2</v>
      </c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</row>
    <row r="39" spans="3:80" ht="16.5" x14ac:dyDescent="0.25">
      <c r="C39" s="4">
        <v>7009</v>
      </c>
      <c r="D39" s="4" t="s">
        <v>203</v>
      </c>
      <c r="E39" s="4" t="s">
        <v>216</v>
      </c>
      <c r="F39" s="4">
        <v>0.7</v>
      </c>
      <c r="G39" s="4">
        <v>0.35</v>
      </c>
      <c r="H39" s="4">
        <v>0.04</v>
      </c>
      <c r="I39" s="4">
        <v>2.1999999999999999E-2</v>
      </c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</row>
    <row r="40" spans="3:80" ht="16.5" x14ac:dyDescent="0.25">
      <c r="C40" s="4">
        <v>7010</v>
      </c>
      <c r="D40" s="4" t="s">
        <v>203</v>
      </c>
      <c r="E40" s="4" t="s">
        <v>216</v>
      </c>
      <c r="F40" s="4">
        <v>0.7</v>
      </c>
      <c r="G40" s="4">
        <v>0.35</v>
      </c>
      <c r="H40" s="4">
        <v>4.4999999999999998E-2</v>
      </c>
      <c r="I40" s="4">
        <v>2.5000000000000001E-2</v>
      </c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</row>
    <row r="41" spans="3:80" ht="16.5" x14ac:dyDescent="0.25">
      <c r="C41" s="4">
        <v>7011</v>
      </c>
      <c r="D41" s="4" t="s">
        <v>203</v>
      </c>
      <c r="E41" s="4" t="s">
        <v>216</v>
      </c>
      <c r="F41" s="4">
        <v>0.7</v>
      </c>
      <c r="G41" s="4">
        <v>0.35</v>
      </c>
      <c r="H41" s="4">
        <v>0.05</v>
      </c>
      <c r="I41" s="4">
        <v>2.8000000000000001E-2</v>
      </c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3:80" ht="16.5" x14ac:dyDescent="0.25">
      <c r="C42" s="4">
        <v>7501</v>
      </c>
      <c r="D42" s="4" t="s">
        <v>203</v>
      </c>
      <c r="E42" s="4" t="s">
        <v>216</v>
      </c>
      <c r="F42" s="4">
        <v>0.75</v>
      </c>
      <c r="G42" s="4">
        <v>0.2</v>
      </c>
      <c r="H42" s="4">
        <v>2.1999999999999999E-2</v>
      </c>
      <c r="I42" s="4">
        <v>1.2E-2</v>
      </c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3:80" ht="16.5" x14ac:dyDescent="0.25">
      <c r="C43" s="4">
        <v>7502</v>
      </c>
      <c r="D43" s="4" t="s">
        <v>203</v>
      </c>
      <c r="E43" s="4" t="s">
        <v>216</v>
      </c>
      <c r="F43" s="4">
        <v>0.75</v>
      </c>
      <c r="G43" s="4">
        <v>0.25</v>
      </c>
      <c r="H43" s="4">
        <v>2.1999999999999999E-2</v>
      </c>
      <c r="I43" s="4">
        <v>1.2E-2</v>
      </c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</row>
    <row r="44" spans="3:80" ht="16.5" x14ac:dyDescent="0.25">
      <c r="C44" s="4">
        <v>7503</v>
      </c>
      <c r="D44" s="4" t="s">
        <v>203</v>
      </c>
      <c r="E44" s="4" t="s">
        <v>216</v>
      </c>
      <c r="F44" s="4">
        <v>0.75</v>
      </c>
      <c r="G44" s="4">
        <v>0.3</v>
      </c>
      <c r="H44" s="4">
        <v>2.1999999999999999E-2</v>
      </c>
      <c r="I44" s="4">
        <v>1.2E-2</v>
      </c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</row>
    <row r="45" spans="3:80" ht="16.5" x14ac:dyDescent="0.25">
      <c r="C45" s="4">
        <v>7504</v>
      </c>
      <c r="D45" s="4" t="s">
        <v>203</v>
      </c>
      <c r="E45" s="4" t="s">
        <v>216</v>
      </c>
      <c r="F45" s="4">
        <v>0.75</v>
      </c>
      <c r="G45" s="4">
        <v>0.3</v>
      </c>
      <c r="H45" s="4">
        <v>2.8000000000000001E-2</v>
      </c>
      <c r="I45" s="4">
        <v>1.6E-2</v>
      </c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3:80" ht="16.5" x14ac:dyDescent="0.25">
      <c r="C46" s="4">
        <v>7505</v>
      </c>
      <c r="D46" s="4" t="s">
        <v>203</v>
      </c>
      <c r="E46" s="4" t="s">
        <v>216</v>
      </c>
      <c r="F46" s="4">
        <v>0.75</v>
      </c>
      <c r="G46" s="4">
        <v>0.35</v>
      </c>
      <c r="H46" s="4">
        <v>2.8000000000000001E-2</v>
      </c>
      <c r="I46" s="4">
        <v>1.6E-2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</row>
    <row r="47" spans="3:80" ht="16.5" x14ac:dyDescent="0.25">
      <c r="C47" s="4">
        <v>7506</v>
      </c>
      <c r="D47" s="4" t="s">
        <v>203</v>
      </c>
      <c r="E47" s="4" t="s">
        <v>216</v>
      </c>
      <c r="F47" s="4">
        <v>0.75</v>
      </c>
      <c r="G47" s="4">
        <v>0.3</v>
      </c>
      <c r="H47" s="4">
        <v>3.2000000000000001E-2</v>
      </c>
      <c r="I47" s="4">
        <v>1.9E-2</v>
      </c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</row>
    <row r="48" spans="3:80" ht="16.5" x14ac:dyDescent="0.25">
      <c r="C48" s="4">
        <v>7507</v>
      </c>
      <c r="D48" s="4" t="s">
        <v>203</v>
      </c>
      <c r="E48" s="4" t="s">
        <v>216</v>
      </c>
      <c r="F48" s="4">
        <v>0.75</v>
      </c>
      <c r="G48" s="4">
        <v>0.35</v>
      </c>
      <c r="H48" s="4">
        <v>3.2000000000000001E-2</v>
      </c>
      <c r="I48" s="4">
        <v>1.9E-2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</row>
    <row r="49" spans="3:80" ht="16.5" x14ac:dyDescent="0.25">
      <c r="C49" s="4">
        <v>7508</v>
      </c>
      <c r="D49" s="4" t="s">
        <v>203</v>
      </c>
      <c r="E49" s="4" t="s">
        <v>216</v>
      </c>
      <c r="F49" s="4">
        <v>0.75</v>
      </c>
      <c r="G49" s="4">
        <v>0.3</v>
      </c>
      <c r="H49" s="4">
        <v>0.04</v>
      </c>
      <c r="I49" s="4">
        <v>2.1999999999999999E-2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</row>
    <row r="50" spans="3:80" ht="16.5" x14ac:dyDescent="0.25">
      <c r="C50" s="4">
        <v>7509</v>
      </c>
      <c r="D50" s="4" t="s">
        <v>203</v>
      </c>
      <c r="E50" s="4" t="s">
        <v>216</v>
      </c>
      <c r="F50" s="4">
        <v>0.75</v>
      </c>
      <c r="G50" s="4">
        <v>0.35</v>
      </c>
      <c r="H50" s="4">
        <v>0.04</v>
      </c>
      <c r="I50" s="4">
        <v>2.1999999999999999E-2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</row>
    <row r="51" spans="3:80" ht="16.5" x14ac:dyDescent="0.25">
      <c r="C51" s="4">
        <v>7510</v>
      </c>
      <c r="D51" s="4" t="s">
        <v>203</v>
      </c>
      <c r="E51" s="4" t="s">
        <v>216</v>
      </c>
      <c r="F51" s="4">
        <v>0.75</v>
      </c>
      <c r="G51" s="4">
        <v>0.35</v>
      </c>
      <c r="H51" s="4">
        <v>4.4999999999999998E-2</v>
      </c>
      <c r="I51" s="4">
        <v>2.5000000000000001E-2</v>
      </c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</row>
    <row r="52" spans="3:80" ht="16.5" x14ac:dyDescent="0.25">
      <c r="C52" s="4">
        <v>7511</v>
      </c>
      <c r="D52" s="4" t="s">
        <v>203</v>
      </c>
      <c r="E52" s="4" t="s">
        <v>216</v>
      </c>
      <c r="F52" s="4">
        <v>0.7</v>
      </c>
      <c r="G52" s="4">
        <v>0.35</v>
      </c>
      <c r="H52" s="4">
        <v>0.05</v>
      </c>
      <c r="I52" s="4">
        <v>2.8000000000000001E-2</v>
      </c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</row>
    <row r="53" spans="3:80" ht="16.5" x14ac:dyDescent="0.25">
      <c r="C53" s="4">
        <v>8001</v>
      </c>
      <c r="D53" s="4" t="s">
        <v>203</v>
      </c>
      <c r="E53" s="4" t="s">
        <v>216</v>
      </c>
      <c r="F53" s="4">
        <v>0.8</v>
      </c>
      <c r="G53" s="4">
        <v>0.2</v>
      </c>
      <c r="H53" s="4">
        <v>2.1999999999999999E-2</v>
      </c>
      <c r="I53" s="4">
        <v>1.2E-2</v>
      </c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</row>
    <row r="54" spans="3:80" ht="16.5" x14ac:dyDescent="0.25">
      <c r="C54" s="4">
        <v>8002</v>
      </c>
      <c r="D54" s="4" t="s">
        <v>203</v>
      </c>
      <c r="E54" s="4" t="s">
        <v>216</v>
      </c>
      <c r="F54" s="4">
        <v>0.8</v>
      </c>
      <c r="G54" s="4">
        <v>0.25</v>
      </c>
      <c r="H54" s="4">
        <v>2.1999999999999999E-2</v>
      </c>
      <c r="I54" s="4">
        <v>1.2E-2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</row>
    <row r="55" spans="3:80" ht="16.5" x14ac:dyDescent="0.25">
      <c r="C55" s="4">
        <v>8003</v>
      </c>
      <c r="D55" s="4" t="s">
        <v>203</v>
      </c>
      <c r="E55" s="4" t="s">
        <v>216</v>
      </c>
      <c r="F55" s="4">
        <v>0.8</v>
      </c>
      <c r="G55" s="4">
        <v>0.3</v>
      </c>
      <c r="H55" s="4">
        <v>2.1999999999999999E-2</v>
      </c>
      <c r="I55" s="4">
        <v>1.2E-2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</row>
    <row r="56" spans="3:80" ht="16.5" x14ac:dyDescent="0.25">
      <c r="C56" s="4">
        <v>8004</v>
      </c>
      <c r="D56" s="4" t="s">
        <v>203</v>
      </c>
      <c r="E56" s="4" t="s">
        <v>216</v>
      </c>
      <c r="F56" s="4">
        <v>0.8</v>
      </c>
      <c r="G56" s="4">
        <v>0.3</v>
      </c>
      <c r="H56" s="4">
        <v>2.8000000000000001E-2</v>
      </c>
      <c r="I56" s="4">
        <v>1.6E-2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</row>
    <row r="57" spans="3:80" ht="16.5" x14ac:dyDescent="0.25">
      <c r="C57" s="4">
        <v>8005</v>
      </c>
      <c r="D57" s="4" t="s">
        <v>203</v>
      </c>
      <c r="E57" s="4" t="s">
        <v>216</v>
      </c>
      <c r="F57" s="4">
        <v>0.8</v>
      </c>
      <c r="G57" s="4">
        <v>0.35</v>
      </c>
      <c r="H57" s="4">
        <v>2.8000000000000001E-2</v>
      </c>
      <c r="I57" s="4">
        <v>1.6E-2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</row>
    <row r="58" spans="3:80" ht="16.5" x14ac:dyDescent="0.25">
      <c r="C58" s="4">
        <v>8006</v>
      </c>
      <c r="D58" s="4" t="s">
        <v>203</v>
      </c>
      <c r="E58" s="4" t="s">
        <v>216</v>
      </c>
      <c r="F58" s="4">
        <v>0.8</v>
      </c>
      <c r="G58" s="4">
        <v>0.3</v>
      </c>
      <c r="H58" s="4">
        <v>3.2000000000000001E-2</v>
      </c>
      <c r="I58" s="4">
        <v>1.9E-2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</row>
    <row r="59" spans="3:80" ht="16.5" x14ac:dyDescent="0.25">
      <c r="C59" s="4">
        <v>8007</v>
      </c>
      <c r="D59" s="4" t="s">
        <v>203</v>
      </c>
      <c r="E59" s="4" t="s">
        <v>216</v>
      </c>
      <c r="F59" s="4">
        <v>0.8</v>
      </c>
      <c r="G59" s="4">
        <v>0.35</v>
      </c>
      <c r="H59" s="4">
        <v>3.2000000000000001E-2</v>
      </c>
      <c r="I59" s="4">
        <v>1.9E-2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3:80" ht="16.5" x14ac:dyDescent="0.25">
      <c r="C60" s="4">
        <v>8008</v>
      </c>
      <c r="D60" s="4" t="s">
        <v>203</v>
      </c>
      <c r="E60" s="4" t="s">
        <v>216</v>
      </c>
      <c r="F60" s="4">
        <v>0.8</v>
      </c>
      <c r="G60" s="4">
        <v>0.3</v>
      </c>
      <c r="H60" s="4">
        <v>0.04</v>
      </c>
      <c r="I60" s="4">
        <v>2.1999999999999999E-2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3:80" ht="16.5" x14ac:dyDescent="0.25">
      <c r="C61" s="4">
        <v>8009</v>
      </c>
      <c r="D61" s="4" t="s">
        <v>203</v>
      </c>
      <c r="E61" s="4" t="s">
        <v>216</v>
      </c>
      <c r="F61" s="4">
        <v>0.8</v>
      </c>
      <c r="G61" s="4">
        <v>0.35</v>
      </c>
      <c r="H61" s="4">
        <v>0.04</v>
      </c>
      <c r="I61" s="4">
        <v>2.1999999999999999E-2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3:80" ht="16.5" x14ac:dyDescent="0.25">
      <c r="C62" s="4">
        <v>8010</v>
      </c>
      <c r="D62" s="4" t="s">
        <v>203</v>
      </c>
      <c r="E62" s="4" t="s">
        <v>216</v>
      </c>
      <c r="F62" s="4">
        <v>0.8</v>
      </c>
      <c r="G62" s="4">
        <v>0.35</v>
      </c>
      <c r="H62" s="4">
        <v>4.4999999999999998E-2</v>
      </c>
      <c r="I62" s="4">
        <v>2.5000000000000001E-2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3:80" ht="16.5" x14ac:dyDescent="0.25">
      <c r="C63" s="4">
        <v>8011</v>
      </c>
      <c r="D63" s="4" t="s">
        <v>203</v>
      </c>
      <c r="E63" s="4" t="s">
        <v>216</v>
      </c>
      <c r="F63" s="4">
        <v>0.8</v>
      </c>
      <c r="G63" s="4">
        <v>0.35</v>
      </c>
      <c r="H63" s="4">
        <v>0.05</v>
      </c>
      <c r="I63" s="4">
        <v>2.8000000000000001E-2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</row>
    <row r="64" spans="3:80" ht="16.5" x14ac:dyDescent="0.25">
      <c r="C64" s="4">
        <v>8501</v>
      </c>
      <c r="D64" s="4" t="s">
        <v>203</v>
      </c>
      <c r="E64" s="4" t="s">
        <v>216</v>
      </c>
      <c r="F64" s="4">
        <v>0.85</v>
      </c>
      <c r="G64" s="4">
        <v>0.2</v>
      </c>
      <c r="H64" s="4">
        <v>2.1999999999999999E-2</v>
      </c>
      <c r="I64" s="4">
        <v>1.2E-2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3:80" ht="16.5" x14ac:dyDescent="0.25">
      <c r="C65" s="4">
        <v>8502</v>
      </c>
      <c r="D65" s="4" t="s">
        <v>203</v>
      </c>
      <c r="E65" s="4" t="s">
        <v>216</v>
      </c>
      <c r="F65" s="4">
        <v>0.85</v>
      </c>
      <c r="G65" s="4">
        <v>0.25</v>
      </c>
      <c r="H65" s="4">
        <v>2.1999999999999999E-2</v>
      </c>
      <c r="I65" s="4">
        <v>1.2E-2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3:80" ht="16.5" x14ac:dyDescent="0.25">
      <c r="C66" s="4">
        <v>8503</v>
      </c>
      <c r="D66" s="4" t="s">
        <v>203</v>
      </c>
      <c r="E66" s="4" t="s">
        <v>216</v>
      </c>
      <c r="F66" s="4">
        <v>0.85</v>
      </c>
      <c r="G66" s="4">
        <v>0.3</v>
      </c>
      <c r="H66" s="4">
        <v>2.1999999999999999E-2</v>
      </c>
      <c r="I66" s="4">
        <v>1.2E-2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3:80" ht="16.5" x14ac:dyDescent="0.25">
      <c r="C67" s="4">
        <v>8504</v>
      </c>
      <c r="D67" s="4" t="s">
        <v>203</v>
      </c>
      <c r="E67" s="4" t="s">
        <v>216</v>
      </c>
      <c r="F67" s="4">
        <v>0.85</v>
      </c>
      <c r="G67" s="4">
        <v>0.3</v>
      </c>
      <c r="H67" s="4">
        <v>2.8000000000000001E-2</v>
      </c>
      <c r="I67" s="4">
        <v>1.6E-2</v>
      </c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3:80" ht="16.5" x14ac:dyDescent="0.25">
      <c r="C68" s="4">
        <v>8505</v>
      </c>
      <c r="D68" s="4" t="s">
        <v>203</v>
      </c>
      <c r="E68" s="4" t="s">
        <v>216</v>
      </c>
      <c r="F68" s="4">
        <v>0.85</v>
      </c>
      <c r="G68" s="4">
        <v>0.35</v>
      </c>
      <c r="H68" s="4">
        <v>2.8000000000000001E-2</v>
      </c>
      <c r="I68" s="4">
        <v>1.6E-2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3:80" ht="16.5" x14ac:dyDescent="0.25">
      <c r="C69" s="4">
        <v>8506</v>
      </c>
      <c r="D69" s="4" t="s">
        <v>203</v>
      </c>
      <c r="E69" s="4" t="s">
        <v>216</v>
      </c>
      <c r="F69" s="4">
        <v>0.85</v>
      </c>
      <c r="G69" s="4">
        <v>0.3</v>
      </c>
      <c r="H69" s="4">
        <v>3.2000000000000001E-2</v>
      </c>
      <c r="I69" s="4">
        <v>1.9E-2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3:80" ht="16.5" x14ac:dyDescent="0.25">
      <c r="C70" s="4">
        <v>8507</v>
      </c>
      <c r="D70" s="4" t="s">
        <v>203</v>
      </c>
      <c r="E70" s="4" t="s">
        <v>216</v>
      </c>
      <c r="F70" s="4">
        <v>0.85</v>
      </c>
      <c r="G70" s="4">
        <v>0.35</v>
      </c>
      <c r="H70" s="4">
        <v>3.2000000000000001E-2</v>
      </c>
      <c r="I70" s="4">
        <v>1.9E-2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3:80" ht="16.5" x14ac:dyDescent="0.25">
      <c r="C71" s="4">
        <v>8508</v>
      </c>
      <c r="D71" s="4" t="s">
        <v>203</v>
      </c>
      <c r="E71" s="4" t="s">
        <v>216</v>
      </c>
      <c r="F71" s="4">
        <v>0.85</v>
      </c>
      <c r="G71" s="4">
        <v>0.3</v>
      </c>
      <c r="H71" s="4">
        <v>0.04</v>
      </c>
      <c r="I71" s="4">
        <v>2.1999999999999999E-2</v>
      </c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3:80" x14ac:dyDescent="0.25">
      <c r="C72" s="4">
        <v>8509</v>
      </c>
      <c r="D72" s="4" t="s">
        <v>203</v>
      </c>
      <c r="E72" s="4" t="s">
        <v>216</v>
      </c>
      <c r="F72" s="4">
        <v>0.85</v>
      </c>
      <c r="G72" s="4">
        <v>0.35</v>
      </c>
      <c r="H72" s="4">
        <v>0.04</v>
      </c>
      <c r="I72" s="4">
        <v>2.1999999999999999E-2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R72" s="114"/>
    </row>
    <row r="73" spans="3:80" x14ac:dyDescent="0.25">
      <c r="C73" s="4">
        <v>8510</v>
      </c>
      <c r="D73" s="4" t="s">
        <v>203</v>
      </c>
      <c r="E73" s="4" t="s">
        <v>216</v>
      </c>
      <c r="F73" s="4">
        <v>0.85</v>
      </c>
      <c r="G73" s="4">
        <v>0.35</v>
      </c>
      <c r="H73" s="4">
        <v>4.4999999999999998E-2</v>
      </c>
      <c r="I73" s="4">
        <v>2.5000000000000001E-2</v>
      </c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3:80" x14ac:dyDescent="0.25">
      <c r="C74" s="4">
        <v>8511</v>
      </c>
      <c r="D74" s="4" t="s">
        <v>203</v>
      </c>
      <c r="E74" s="4" t="s">
        <v>216</v>
      </c>
      <c r="F74" s="4">
        <v>0.85</v>
      </c>
      <c r="G74" s="4">
        <v>0.35</v>
      </c>
      <c r="H74" s="4">
        <v>0.05</v>
      </c>
      <c r="I74" s="4">
        <v>2.8000000000000001E-2</v>
      </c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3:80" x14ac:dyDescent="0.25">
      <c r="C75" s="4">
        <v>9001</v>
      </c>
      <c r="D75" s="4" t="s">
        <v>203</v>
      </c>
      <c r="E75" s="4" t="s">
        <v>216</v>
      </c>
      <c r="F75" s="4">
        <v>0.9</v>
      </c>
      <c r="G75" s="4">
        <v>0.2</v>
      </c>
      <c r="H75" s="4">
        <v>2.1999999999999999E-2</v>
      </c>
      <c r="I75" s="4">
        <v>1.2E-2</v>
      </c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3:80" x14ac:dyDescent="0.25">
      <c r="C76" s="4">
        <v>9002</v>
      </c>
      <c r="D76" s="4" t="s">
        <v>203</v>
      </c>
      <c r="E76" s="4" t="s">
        <v>216</v>
      </c>
      <c r="F76" s="4">
        <v>0.9</v>
      </c>
      <c r="G76" s="4">
        <v>0.25</v>
      </c>
      <c r="H76" s="4">
        <v>2.1999999999999999E-2</v>
      </c>
      <c r="I76" s="4">
        <v>1.2E-2</v>
      </c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3:80" x14ac:dyDescent="0.25">
      <c r="C77" s="4">
        <v>9003</v>
      </c>
      <c r="D77" s="4" t="s">
        <v>203</v>
      </c>
      <c r="E77" s="4" t="s">
        <v>216</v>
      </c>
      <c r="F77" s="4">
        <v>0.9</v>
      </c>
      <c r="G77" s="4">
        <v>0.3</v>
      </c>
      <c r="H77" s="4">
        <v>2.1999999999999999E-2</v>
      </c>
      <c r="I77" s="4">
        <v>1.2E-2</v>
      </c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3:80" x14ac:dyDescent="0.25">
      <c r="C78" s="4">
        <v>9004</v>
      </c>
      <c r="D78" s="4" t="s">
        <v>203</v>
      </c>
      <c r="E78" s="4" t="s">
        <v>216</v>
      </c>
      <c r="F78" s="4">
        <v>0.9</v>
      </c>
      <c r="G78" s="4">
        <v>0.3</v>
      </c>
      <c r="H78" s="4">
        <v>2.8000000000000001E-2</v>
      </c>
      <c r="I78" s="4">
        <v>1.6E-2</v>
      </c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3:80" x14ac:dyDescent="0.25">
      <c r="C79" s="4">
        <v>9005</v>
      </c>
      <c r="D79" s="4" t="s">
        <v>203</v>
      </c>
      <c r="E79" s="4" t="s">
        <v>216</v>
      </c>
      <c r="F79" s="4">
        <v>0.9</v>
      </c>
      <c r="G79" s="4">
        <v>0.35</v>
      </c>
      <c r="H79" s="4">
        <v>2.8000000000000001E-2</v>
      </c>
      <c r="I79" s="4">
        <v>1.6E-2</v>
      </c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3:80" x14ac:dyDescent="0.25">
      <c r="C80" s="4">
        <v>9006</v>
      </c>
      <c r="D80" s="4" t="s">
        <v>203</v>
      </c>
      <c r="E80" s="4" t="s">
        <v>216</v>
      </c>
      <c r="F80" s="4">
        <v>0.9</v>
      </c>
      <c r="G80" s="4">
        <v>0.3</v>
      </c>
      <c r="H80" s="4">
        <v>3.2000000000000001E-2</v>
      </c>
      <c r="I80" s="4">
        <v>1.9E-2</v>
      </c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3:30" x14ac:dyDescent="0.25">
      <c r="C81" s="4">
        <v>9007</v>
      </c>
      <c r="D81" s="4" t="s">
        <v>203</v>
      </c>
      <c r="E81" s="4" t="s">
        <v>216</v>
      </c>
      <c r="F81" s="4">
        <v>0.9</v>
      </c>
      <c r="G81" s="4">
        <v>0.35</v>
      </c>
      <c r="H81" s="4">
        <v>3.2000000000000001E-2</v>
      </c>
      <c r="I81" s="4">
        <v>1.9E-2</v>
      </c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3:30" x14ac:dyDescent="0.25">
      <c r="C82" s="4">
        <v>9008</v>
      </c>
      <c r="D82" s="4" t="s">
        <v>203</v>
      </c>
      <c r="E82" s="4" t="s">
        <v>216</v>
      </c>
      <c r="F82" s="4">
        <v>0.9</v>
      </c>
      <c r="G82" s="4">
        <v>0.3</v>
      </c>
      <c r="H82" s="4">
        <v>0.04</v>
      </c>
      <c r="I82" s="4">
        <v>2.1999999999999999E-2</v>
      </c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3:30" x14ac:dyDescent="0.25">
      <c r="C83" s="4">
        <v>9009</v>
      </c>
      <c r="D83" s="4" t="s">
        <v>203</v>
      </c>
      <c r="E83" s="4" t="s">
        <v>216</v>
      </c>
      <c r="F83" s="4">
        <v>0.9</v>
      </c>
      <c r="G83" s="4">
        <v>0.35</v>
      </c>
      <c r="H83" s="4">
        <v>0.04</v>
      </c>
      <c r="I83" s="4">
        <v>2.1999999999999999E-2</v>
      </c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3:30" x14ac:dyDescent="0.25">
      <c r="C84" s="4">
        <v>9010</v>
      </c>
      <c r="D84" s="4" t="s">
        <v>203</v>
      </c>
      <c r="E84" s="4" t="s">
        <v>216</v>
      </c>
      <c r="F84" s="4">
        <v>0.9</v>
      </c>
      <c r="G84" s="4">
        <v>0.35</v>
      </c>
      <c r="H84" s="4">
        <v>4.4999999999999998E-2</v>
      </c>
      <c r="I84" s="4">
        <v>2.5000000000000001E-2</v>
      </c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3:30" x14ac:dyDescent="0.25">
      <c r="C85" s="4">
        <v>9011</v>
      </c>
      <c r="D85" s="4" t="s">
        <v>203</v>
      </c>
      <c r="E85" s="4" t="s">
        <v>216</v>
      </c>
      <c r="F85" s="4">
        <v>0.9</v>
      </c>
      <c r="G85" s="4">
        <v>0.35</v>
      </c>
      <c r="H85" s="4">
        <v>0.05</v>
      </c>
      <c r="I85" s="4">
        <v>2.8000000000000001E-2</v>
      </c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3:30" x14ac:dyDescent="0.25">
      <c r="C86" s="4">
        <v>9501</v>
      </c>
      <c r="D86" s="4" t="s">
        <v>203</v>
      </c>
      <c r="E86" s="4" t="s">
        <v>216</v>
      </c>
      <c r="F86" s="4">
        <v>0.95</v>
      </c>
      <c r="G86" s="4">
        <v>0.2</v>
      </c>
      <c r="H86" s="4">
        <v>2.1999999999999999E-2</v>
      </c>
      <c r="I86" s="4">
        <v>1.2E-2</v>
      </c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3:30" x14ac:dyDescent="0.25">
      <c r="C87" s="4">
        <v>9502</v>
      </c>
      <c r="D87" s="4" t="s">
        <v>203</v>
      </c>
      <c r="E87" s="4" t="s">
        <v>216</v>
      </c>
      <c r="F87" s="4">
        <v>0.95</v>
      </c>
      <c r="G87" s="4">
        <v>0.25</v>
      </c>
      <c r="H87" s="4">
        <v>2.1999999999999999E-2</v>
      </c>
      <c r="I87" s="4">
        <v>1.2E-2</v>
      </c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3:30" x14ac:dyDescent="0.25">
      <c r="C88" s="4">
        <v>9503</v>
      </c>
      <c r="D88" s="4" t="s">
        <v>203</v>
      </c>
      <c r="E88" s="4" t="s">
        <v>216</v>
      </c>
      <c r="F88" s="4">
        <v>0.95</v>
      </c>
      <c r="G88" s="4">
        <v>0.3</v>
      </c>
      <c r="H88" s="4">
        <v>2.1999999999999999E-2</v>
      </c>
      <c r="I88" s="4">
        <v>1.2E-2</v>
      </c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3:30" x14ac:dyDescent="0.25">
      <c r="C89" s="4">
        <v>9504</v>
      </c>
      <c r="D89" s="4" t="s">
        <v>203</v>
      </c>
      <c r="E89" s="4" t="s">
        <v>216</v>
      </c>
      <c r="F89" s="4">
        <v>0.95</v>
      </c>
      <c r="G89" s="4">
        <v>0.3</v>
      </c>
      <c r="H89" s="4">
        <v>2.8000000000000001E-2</v>
      </c>
      <c r="I89" s="4">
        <v>1.6E-2</v>
      </c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3:30" x14ac:dyDescent="0.25">
      <c r="C90" s="4">
        <v>9505</v>
      </c>
      <c r="D90" s="4" t="s">
        <v>203</v>
      </c>
      <c r="E90" s="4" t="s">
        <v>216</v>
      </c>
      <c r="F90" s="4">
        <v>0.95</v>
      </c>
      <c r="G90" s="4">
        <v>0.35</v>
      </c>
      <c r="H90" s="4">
        <v>2.8000000000000001E-2</v>
      </c>
      <c r="I90" s="4">
        <v>1.6E-2</v>
      </c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3:30" x14ac:dyDescent="0.25">
      <c r="C91" s="4">
        <v>9506</v>
      </c>
      <c r="D91" s="4" t="s">
        <v>203</v>
      </c>
      <c r="E91" s="4" t="s">
        <v>216</v>
      </c>
      <c r="F91" s="4">
        <v>0.95</v>
      </c>
      <c r="G91" s="4">
        <v>0.3</v>
      </c>
      <c r="H91" s="4">
        <v>3.2000000000000001E-2</v>
      </c>
      <c r="I91" s="4">
        <v>1.9E-2</v>
      </c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3:30" x14ac:dyDescent="0.25">
      <c r="C92" s="4">
        <v>9507</v>
      </c>
      <c r="D92" s="4" t="s">
        <v>203</v>
      </c>
      <c r="E92" s="4" t="s">
        <v>216</v>
      </c>
      <c r="F92" s="4">
        <v>0.95</v>
      </c>
      <c r="G92" s="4">
        <v>0.35</v>
      </c>
      <c r="H92" s="4">
        <v>3.2000000000000001E-2</v>
      </c>
      <c r="I92" s="4">
        <v>1.9E-2</v>
      </c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3:30" x14ac:dyDescent="0.25">
      <c r="C93" s="4">
        <v>9508</v>
      </c>
      <c r="D93" s="4" t="s">
        <v>203</v>
      </c>
      <c r="E93" s="4" t="s">
        <v>216</v>
      </c>
      <c r="F93" s="4">
        <v>0.95</v>
      </c>
      <c r="G93" s="4">
        <v>0.3</v>
      </c>
      <c r="H93" s="4">
        <v>0.04</v>
      </c>
      <c r="I93" s="4">
        <v>2.1999999999999999E-2</v>
      </c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3:30" x14ac:dyDescent="0.25">
      <c r="C94" s="4">
        <v>9509</v>
      </c>
      <c r="D94" s="4" t="s">
        <v>203</v>
      </c>
      <c r="E94" s="4" t="s">
        <v>216</v>
      </c>
      <c r="F94" s="4">
        <v>0.95</v>
      </c>
      <c r="G94" s="4">
        <v>0.35</v>
      </c>
      <c r="H94" s="4">
        <v>0.04</v>
      </c>
      <c r="I94" s="4">
        <v>2.1999999999999999E-2</v>
      </c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3:30" x14ac:dyDescent="0.25">
      <c r="C95" s="4">
        <v>9510</v>
      </c>
      <c r="D95" s="4" t="s">
        <v>203</v>
      </c>
      <c r="E95" s="4" t="s">
        <v>216</v>
      </c>
      <c r="F95" s="4">
        <v>0.95</v>
      </c>
      <c r="G95" s="4">
        <v>0.35</v>
      </c>
      <c r="H95" s="4">
        <v>4.4999999999999998E-2</v>
      </c>
      <c r="I95" s="4">
        <v>2.5000000000000001E-2</v>
      </c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3:30" x14ac:dyDescent="0.25">
      <c r="C96" s="4">
        <v>9511</v>
      </c>
      <c r="D96" s="4" t="s">
        <v>203</v>
      </c>
      <c r="E96" s="4" t="s">
        <v>216</v>
      </c>
      <c r="F96" s="4">
        <v>0.95</v>
      </c>
      <c r="G96" s="4">
        <v>0.35</v>
      </c>
      <c r="H96" s="4">
        <v>0.05</v>
      </c>
      <c r="I96" s="4">
        <v>2.8000000000000001E-2</v>
      </c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3:30" x14ac:dyDescent="0.25">
      <c r="C97" s="4" t="s">
        <v>548</v>
      </c>
      <c r="D97" s="4" t="s">
        <v>203</v>
      </c>
      <c r="E97" s="4" t="s">
        <v>216</v>
      </c>
      <c r="F97" s="4">
        <v>0.35</v>
      </c>
      <c r="G97" s="4">
        <v>0.35</v>
      </c>
      <c r="H97" s="4">
        <v>1.9E-2</v>
      </c>
      <c r="I97" s="4">
        <v>1.2E-2</v>
      </c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3:30" x14ac:dyDescent="0.25">
      <c r="C98" s="4" t="s">
        <v>549</v>
      </c>
      <c r="D98" s="4" t="s">
        <v>203</v>
      </c>
      <c r="E98" s="4" t="s">
        <v>216</v>
      </c>
      <c r="F98" s="4">
        <v>0.4</v>
      </c>
      <c r="G98" s="4">
        <v>0.4</v>
      </c>
      <c r="H98" s="4">
        <v>2.1000000000000001E-2</v>
      </c>
      <c r="I98" s="4">
        <v>2.1000000000000001E-2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3:30" x14ac:dyDescent="0.25">
      <c r="C99" s="4" t="s">
        <v>550</v>
      </c>
      <c r="D99" s="4" t="s">
        <v>203</v>
      </c>
      <c r="E99" s="4" t="s">
        <v>216</v>
      </c>
      <c r="F99" s="4">
        <v>0.442</v>
      </c>
      <c r="G99" s="4">
        <v>0.4</v>
      </c>
      <c r="H99" s="4">
        <v>3.5999999999999997E-2</v>
      </c>
      <c r="I99" s="4">
        <v>2.1999999999999999E-2</v>
      </c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3:30" x14ac:dyDescent="0.25">
      <c r="C100" s="4" t="s">
        <v>551</v>
      </c>
      <c r="D100" s="4" t="s">
        <v>203</v>
      </c>
      <c r="E100" s="4" t="s">
        <v>216</v>
      </c>
      <c r="F100" s="4">
        <v>0.45</v>
      </c>
      <c r="G100" s="4">
        <v>0.4</v>
      </c>
      <c r="H100" s="4">
        <v>0.04</v>
      </c>
      <c r="I100" s="4">
        <v>2.5000000000000001E-2</v>
      </c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3:30" x14ac:dyDescent="0.25">
      <c r="C101" s="4" t="s">
        <v>552</v>
      </c>
      <c r="D101" s="4" t="s">
        <v>203</v>
      </c>
      <c r="E101" s="4" t="s">
        <v>216</v>
      </c>
      <c r="F101" s="4">
        <v>0.46</v>
      </c>
      <c r="G101" s="4">
        <v>0.4</v>
      </c>
      <c r="H101" s="4">
        <v>2.8000000000000001E-2</v>
      </c>
      <c r="I101" s="4">
        <v>4.4999999999999998E-2</v>
      </c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3:30" x14ac:dyDescent="0.25">
      <c r="C102" s="4" t="s">
        <v>553</v>
      </c>
      <c r="D102" s="4" t="s">
        <v>203</v>
      </c>
      <c r="E102" s="4" t="s">
        <v>216</v>
      </c>
      <c r="F102" s="4">
        <v>0.47</v>
      </c>
      <c r="G102" s="4">
        <v>0.4</v>
      </c>
      <c r="H102" s="4">
        <v>3.2000000000000001E-2</v>
      </c>
      <c r="I102" s="4">
        <v>0.05</v>
      </c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3:30" x14ac:dyDescent="0.25">
      <c r="C103" s="4" t="s">
        <v>554</v>
      </c>
      <c r="D103" s="4" t="s">
        <v>203</v>
      </c>
      <c r="E103" s="4" t="s">
        <v>216</v>
      </c>
      <c r="F103" s="4">
        <v>0.47</v>
      </c>
      <c r="G103" s="4">
        <v>0.5</v>
      </c>
      <c r="H103" s="4">
        <v>2.5000000000000001E-2</v>
      </c>
      <c r="I103" s="4">
        <v>1.6E-2</v>
      </c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3:30" x14ac:dyDescent="0.25">
      <c r="C104" s="4" t="s">
        <v>555</v>
      </c>
      <c r="D104" s="4" t="s">
        <v>203</v>
      </c>
      <c r="E104" s="4" t="s">
        <v>216</v>
      </c>
      <c r="F104" s="4">
        <v>0.47599999999999998</v>
      </c>
      <c r="G104" s="4">
        <v>0.5</v>
      </c>
      <c r="H104" s="4">
        <v>2.8000000000000001E-2</v>
      </c>
      <c r="I104" s="4">
        <v>1.6E-2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3:30" x14ac:dyDescent="0.25">
      <c r="C105" s="4" t="s">
        <v>556</v>
      </c>
      <c r="D105" s="4" t="s">
        <v>203</v>
      </c>
      <c r="E105" s="4" t="s">
        <v>216</v>
      </c>
      <c r="F105" s="4">
        <v>0.48399999999999999</v>
      </c>
      <c r="G105" s="4">
        <v>0.5</v>
      </c>
      <c r="H105" s="4">
        <v>3.2000000000000001E-2</v>
      </c>
      <c r="I105" s="4">
        <v>1.9E-2</v>
      </c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3:30" x14ac:dyDescent="0.25">
      <c r="C106" s="4" t="s">
        <v>557</v>
      </c>
      <c r="D106" s="4" t="s">
        <v>203</v>
      </c>
      <c r="E106" s="4" t="s">
        <v>216</v>
      </c>
      <c r="F106" s="4">
        <v>0.49199999999999999</v>
      </c>
      <c r="G106" s="4">
        <v>0.5</v>
      </c>
      <c r="H106" s="4">
        <v>3.5999999999999997E-2</v>
      </c>
      <c r="I106" s="4">
        <v>2.1999999999999999E-2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3:30" x14ac:dyDescent="0.25">
      <c r="C107" s="4" t="s">
        <v>558</v>
      </c>
      <c r="D107" s="4" t="s">
        <v>203</v>
      </c>
      <c r="E107" s="4" t="s">
        <v>216</v>
      </c>
      <c r="F107" s="4">
        <v>0.5</v>
      </c>
      <c r="G107" s="4">
        <v>0.5</v>
      </c>
      <c r="H107" s="4">
        <v>0.04</v>
      </c>
      <c r="I107" s="4">
        <v>2.5000000000000001E-2</v>
      </c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3:30" x14ac:dyDescent="0.25">
      <c r="C108" s="4" t="s">
        <v>559</v>
      </c>
      <c r="D108" s="4" t="s">
        <v>203</v>
      </c>
      <c r="E108" s="4" t="s">
        <v>216</v>
      </c>
      <c r="F108" s="4">
        <v>0.51</v>
      </c>
      <c r="G108" s="4">
        <v>0.5</v>
      </c>
      <c r="H108" s="4">
        <v>4.4999999999999998E-2</v>
      </c>
      <c r="I108" s="4">
        <v>2.8000000000000001E-2</v>
      </c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3:30" x14ac:dyDescent="0.25">
      <c r="C109" s="4" t="s">
        <v>560</v>
      </c>
      <c r="D109" s="4" t="s">
        <v>203</v>
      </c>
      <c r="E109" s="4" t="s">
        <v>216</v>
      </c>
      <c r="F109" s="4">
        <v>0.52</v>
      </c>
      <c r="G109" s="4">
        <v>0.5</v>
      </c>
      <c r="H109" s="4">
        <v>0.05</v>
      </c>
      <c r="I109" s="4">
        <v>3.2000000000000001E-2</v>
      </c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3:30" x14ac:dyDescent="0.25">
      <c r="C110" s="4" t="s">
        <v>205</v>
      </c>
      <c r="D110" s="4" t="s">
        <v>440</v>
      </c>
      <c r="E110" s="4" t="s">
        <v>394</v>
      </c>
      <c r="F110" s="4">
        <v>0.04</v>
      </c>
      <c r="G110" s="4">
        <v>0.04</v>
      </c>
      <c r="H110" s="4"/>
      <c r="I110" s="4"/>
      <c r="J110" s="4"/>
      <c r="K110" s="4">
        <v>3</v>
      </c>
      <c r="L110" s="4">
        <v>3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3:30" x14ac:dyDescent="0.25">
      <c r="C111" s="4" t="s">
        <v>206</v>
      </c>
      <c r="D111" s="4" t="s">
        <v>440</v>
      </c>
      <c r="E111" s="4" t="s">
        <v>394</v>
      </c>
      <c r="F111" s="4">
        <v>4.4999999999999998E-2</v>
      </c>
      <c r="G111" s="4">
        <v>4.4999999999999998E-2</v>
      </c>
      <c r="H111" s="4"/>
      <c r="I111" s="4"/>
      <c r="J111" s="4"/>
      <c r="K111" s="4">
        <v>3</v>
      </c>
      <c r="L111" s="4">
        <v>3</v>
      </c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3:30" x14ac:dyDescent="0.25">
      <c r="C112" s="4" t="s">
        <v>207</v>
      </c>
      <c r="D112" s="4" t="s">
        <v>440</v>
      </c>
      <c r="E112" s="4" t="s">
        <v>394</v>
      </c>
      <c r="F112" s="4">
        <v>0.05</v>
      </c>
      <c r="G112" s="4">
        <v>0.05</v>
      </c>
      <c r="H112" s="4"/>
      <c r="I112" s="4"/>
      <c r="J112" s="4"/>
      <c r="K112" s="4">
        <v>3</v>
      </c>
      <c r="L112" s="4">
        <v>3</v>
      </c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3:30" x14ac:dyDescent="0.25">
      <c r="C113" s="4" t="s">
        <v>208</v>
      </c>
      <c r="D113" s="4" t="s">
        <v>440</v>
      </c>
      <c r="E113" s="4" t="s">
        <v>394</v>
      </c>
      <c r="F113" s="4">
        <v>5.5E-2</v>
      </c>
      <c r="G113" s="4">
        <v>5.5E-2</v>
      </c>
      <c r="H113" s="4"/>
      <c r="I113" s="4"/>
      <c r="J113" s="4"/>
      <c r="K113" s="4">
        <v>3</v>
      </c>
      <c r="L113" s="4">
        <v>3</v>
      </c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3:30" x14ac:dyDescent="0.25">
      <c r="C114" s="4" t="s">
        <v>209</v>
      </c>
      <c r="D114" s="4" t="s">
        <v>440</v>
      </c>
      <c r="E114" s="4" t="s">
        <v>394</v>
      </c>
      <c r="F114" s="4">
        <v>0.06</v>
      </c>
      <c r="G114" s="4">
        <v>0.06</v>
      </c>
      <c r="H114" s="4"/>
      <c r="I114" s="4"/>
      <c r="J114" s="4"/>
      <c r="K114" s="4">
        <v>3</v>
      </c>
      <c r="L114" s="4">
        <v>3</v>
      </c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3:30" x14ac:dyDescent="0.25">
      <c r="C115" s="4" t="s">
        <v>212</v>
      </c>
      <c r="D115" s="4" t="s">
        <v>440</v>
      </c>
      <c r="E115" s="4" t="s">
        <v>394</v>
      </c>
      <c r="F115" s="4">
        <v>6.5000000000000002E-2</v>
      </c>
      <c r="G115" s="4">
        <v>6.5000000000000002E-2</v>
      </c>
      <c r="H115" s="4"/>
      <c r="I115" s="4"/>
      <c r="J115" s="4"/>
      <c r="K115" s="4">
        <v>3</v>
      </c>
      <c r="L115" s="4">
        <v>3</v>
      </c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3:30" x14ac:dyDescent="0.25">
      <c r="C116" s="4" t="s">
        <v>210</v>
      </c>
      <c r="D116" s="4" t="s">
        <v>440</v>
      </c>
      <c r="E116" s="4" t="s">
        <v>394</v>
      </c>
      <c r="F116" s="4">
        <v>7.0000000000000007E-2</v>
      </c>
      <c r="G116" s="4">
        <v>7.0000000000000007E-2</v>
      </c>
      <c r="H116" s="4"/>
      <c r="I116" s="4"/>
      <c r="J116" s="4"/>
      <c r="K116" s="4">
        <v>3</v>
      </c>
      <c r="L116" s="4">
        <v>3</v>
      </c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3:30" x14ac:dyDescent="0.25">
      <c r="C117" s="4" t="s">
        <v>211</v>
      </c>
      <c r="D117" s="4" t="s">
        <v>440</v>
      </c>
      <c r="E117" s="4" t="s">
        <v>394</v>
      </c>
      <c r="F117" s="4">
        <v>7.4999999999999997E-2</v>
      </c>
      <c r="G117" s="4">
        <v>7.4999999999999997E-2</v>
      </c>
      <c r="H117" s="4"/>
      <c r="I117" s="4"/>
      <c r="J117" s="4"/>
      <c r="K117" s="4">
        <v>3</v>
      </c>
      <c r="L117" s="4">
        <v>3</v>
      </c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3:30" x14ac:dyDescent="0.25">
      <c r="C118" s="4" t="s">
        <v>215</v>
      </c>
      <c r="D118" s="4" t="s">
        <v>440</v>
      </c>
      <c r="E118" s="4" t="s">
        <v>394</v>
      </c>
      <c r="F118" s="4">
        <v>0.08</v>
      </c>
      <c r="G118" s="4">
        <v>0.08</v>
      </c>
      <c r="H118" s="4"/>
      <c r="I118" s="4"/>
      <c r="J118" s="4"/>
      <c r="K118" s="4">
        <v>3</v>
      </c>
      <c r="L118" s="4">
        <v>3</v>
      </c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3:30" x14ac:dyDescent="0.25">
      <c r="C119" s="4" t="s">
        <v>213</v>
      </c>
      <c r="D119" s="4" t="s">
        <v>440</v>
      </c>
      <c r="E119" s="4" t="s">
        <v>394</v>
      </c>
      <c r="F119" s="4">
        <v>0.09</v>
      </c>
      <c r="G119" s="4">
        <v>0.09</v>
      </c>
      <c r="H119" s="4"/>
      <c r="I119" s="4"/>
      <c r="J119" s="4"/>
      <c r="K119" s="4">
        <v>3</v>
      </c>
      <c r="L119" s="4">
        <v>3</v>
      </c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3:30" x14ac:dyDescent="0.25">
      <c r="C120" s="4" t="s">
        <v>214</v>
      </c>
      <c r="D120" s="4" t="s">
        <v>440</v>
      </c>
      <c r="E120" s="4" t="s">
        <v>394</v>
      </c>
      <c r="F120" s="4">
        <v>0.1</v>
      </c>
      <c r="G120" s="4">
        <v>0.1</v>
      </c>
      <c r="H120" s="4"/>
      <c r="I120" s="4"/>
      <c r="J120" s="4"/>
      <c r="K120" s="4">
        <v>3</v>
      </c>
      <c r="L120" s="4">
        <v>3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3:30" x14ac:dyDescent="0.25">
      <c r="C121" s="4" t="s">
        <v>380</v>
      </c>
      <c r="D121" s="4" t="s">
        <v>440</v>
      </c>
      <c r="E121" s="4" t="s">
        <v>394</v>
      </c>
      <c r="F121" s="4">
        <v>0.11</v>
      </c>
      <c r="G121" s="4">
        <v>0.11</v>
      </c>
      <c r="H121" s="4"/>
      <c r="I121" s="4"/>
      <c r="J121" s="4"/>
      <c r="K121" s="4">
        <v>3</v>
      </c>
      <c r="L121" s="4">
        <v>3</v>
      </c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3:30" x14ac:dyDescent="0.25">
      <c r="C122" s="4" t="s">
        <v>381</v>
      </c>
      <c r="D122" s="4" t="s">
        <v>440</v>
      </c>
      <c r="E122" s="4" t="s">
        <v>394</v>
      </c>
      <c r="F122" s="4">
        <v>0.12</v>
      </c>
      <c r="G122" s="4">
        <v>0.12</v>
      </c>
      <c r="H122" s="4"/>
      <c r="I122" s="4"/>
      <c r="J122" s="4"/>
      <c r="K122" s="4">
        <v>3</v>
      </c>
      <c r="L122" s="4">
        <v>3</v>
      </c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3:30" x14ac:dyDescent="0.25">
      <c r="C123" s="4" t="s">
        <v>382</v>
      </c>
      <c r="D123" s="4" t="s">
        <v>440</v>
      </c>
      <c r="E123" s="4" t="s">
        <v>394</v>
      </c>
      <c r="F123" s="4">
        <v>0.13</v>
      </c>
      <c r="G123" s="4">
        <v>0.13</v>
      </c>
      <c r="H123" s="4"/>
      <c r="I123" s="4"/>
      <c r="J123" s="4"/>
      <c r="K123" s="4">
        <v>3</v>
      </c>
      <c r="L123" s="4">
        <v>3</v>
      </c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3:30" x14ac:dyDescent="0.25">
      <c r="C124" s="4" t="s">
        <v>383</v>
      </c>
      <c r="D124" s="4" t="s">
        <v>440</v>
      </c>
      <c r="E124" s="4" t="s">
        <v>394</v>
      </c>
      <c r="F124" s="4">
        <v>0.14000000000000001</v>
      </c>
      <c r="G124" s="4">
        <v>0.14000000000000001</v>
      </c>
      <c r="H124" s="4"/>
      <c r="I124" s="4"/>
      <c r="J124" s="4"/>
      <c r="K124" s="4">
        <v>3</v>
      </c>
      <c r="L124" s="4">
        <v>3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3:30" x14ac:dyDescent="0.25">
      <c r="C125" s="4" t="s">
        <v>384</v>
      </c>
      <c r="D125" s="4" t="s">
        <v>440</v>
      </c>
      <c r="E125" s="4" t="s">
        <v>394</v>
      </c>
      <c r="F125" s="4">
        <v>0.15</v>
      </c>
      <c r="G125" s="4">
        <v>0.15</v>
      </c>
      <c r="H125" s="4"/>
      <c r="I125" s="4"/>
      <c r="J125" s="4"/>
      <c r="K125" s="4">
        <v>3</v>
      </c>
      <c r="L125" s="4">
        <v>3</v>
      </c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3:30" x14ac:dyDescent="0.25">
      <c r="C126" s="4" t="s">
        <v>373</v>
      </c>
      <c r="D126" s="4" t="s">
        <v>262</v>
      </c>
      <c r="E126" s="4" t="s">
        <v>216</v>
      </c>
      <c r="F126" s="4">
        <v>0.35</v>
      </c>
      <c r="G126" s="4">
        <v>0.17499999999999999</v>
      </c>
      <c r="H126" s="4">
        <v>1.0999999999999999E-2</v>
      </c>
      <c r="I126" s="4">
        <v>7.0000000000000001E-3</v>
      </c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3:30" x14ac:dyDescent="0.25">
      <c r="C127" s="4" t="s">
        <v>374</v>
      </c>
      <c r="D127" s="4" t="s">
        <v>262</v>
      </c>
      <c r="E127" s="4" t="s">
        <v>216</v>
      </c>
      <c r="F127" s="4">
        <v>0.4</v>
      </c>
      <c r="G127" s="4">
        <v>0.2</v>
      </c>
      <c r="H127" s="4">
        <v>1.2999999999999999E-2</v>
      </c>
      <c r="I127" s="4">
        <v>8.0000000000000002E-3</v>
      </c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3:30" x14ac:dyDescent="0.25">
      <c r="C128" s="4" t="s">
        <v>375</v>
      </c>
      <c r="D128" s="4" t="s">
        <v>262</v>
      </c>
      <c r="E128" s="4" t="s">
        <v>216</v>
      </c>
      <c r="F128" s="4">
        <v>0.5</v>
      </c>
      <c r="G128" s="4">
        <v>0.2</v>
      </c>
      <c r="H128" s="4">
        <v>1.6E-2</v>
      </c>
      <c r="I128" s="4">
        <v>0.01</v>
      </c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3:30" x14ac:dyDescent="0.25">
      <c r="C129" s="4" t="s">
        <v>376</v>
      </c>
      <c r="D129" s="4" t="s">
        <v>262</v>
      </c>
      <c r="E129" s="4" t="s">
        <v>216</v>
      </c>
      <c r="F129" s="4">
        <v>0.6</v>
      </c>
      <c r="G129" s="4">
        <v>0.2</v>
      </c>
      <c r="H129" s="4">
        <v>1.7000000000000001E-2</v>
      </c>
      <c r="I129" s="4">
        <v>1.0999999999999999E-2</v>
      </c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3:30" x14ac:dyDescent="0.25">
      <c r="C130" s="4" t="s">
        <v>378</v>
      </c>
      <c r="D130" s="4" t="s">
        <v>262</v>
      </c>
      <c r="E130" s="4" t="s">
        <v>216</v>
      </c>
      <c r="F130" s="4">
        <v>0.7</v>
      </c>
      <c r="G130" s="4">
        <v>0.3</v>
      </c>
      <c r="H130" s="4">
        <v>2.4E-2</v>
      </c>
      <c r="I130" s="4">
        <v>1.2999999999999999E-2</v>
      </c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3:30" x14ac:dyDescent="0.25">
      <c r="C131" s="4" t="s">
        <v>379</v>
      </c>
      <c r="D131" s="4" t="s">
        <v>262</v>
      </c>
      <c r="E131" s="4" t="s">
        <v>216</v>
      </c>
      <c r="F131" s="4">
        <v>0.8</v>
      </c>
      <c r="G131" s="4">
        <v>0.3</v>
      </c>
      <c r="H131" s="4">
        <v>2.5999999999999999E-2</v>
      </c>
      <c r="I131" s="4">
        <v>1.4E-2</v>
      </c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3:30" x14ac:dyDescent="0.25">
      <c r="C132" s="4" t="s">
        <v>561</v>
      </c>
      <c r="D132" s="4"/>
      <c r="E132" s="4" t="s">
        <v>256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3:30" x14ac:dyDescent="0.25">
      <c r="C133" s="4" t="s">
        <v>377</v>
      </c>
      <c r="D133" s="4"/>
      <c r="E133" s="4" t="s">
        <v>256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3:30" x14ac:dyDescent="0.25">
      <c r="C134" s="4" t="s">
        <v>562</v>
      </c>
      <c r="D134" s="4"/>
      <c r="E134" s="4" t="s">
        <v>256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3:30" x14ac:dyDescent="0.25">
      <c r="C135" s="4" t="s">
        <v>563</v>
      </c>
      <c r="D135" s="4"/>
      <c r="E135" s="4" t="s">
        <v>256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3:30" x14ac:dyDescent="0.25">
      <c r="C136" s="4" t="s">
        <v>564</v>
      </c>
      <c r="D136" s="4"/>
      <c r="E136" s="4" t="s">
        <v>256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3:30" x14ac:dyDescent="0.25">
      <c r="C137" s="4" t="s">
        <v>565</v>
      </c>
      <c r="D137" s="4"/>
      <c r="E137" s="4" t="s">
        <v>256</v>
      </c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3:30" x14ac:dyDescent="0.25">
      <c r="C138" s="4" t="s">
        <v>566</v>
      </c>
      <c r="D138" s="4"/>
      <c r="E138" s="4" t="s">
        <v>256</v>
      </c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3:30" x14ac:dyDescent="0.25">
      <c r="C139" s="4" t="s">
        <v>567</v>
      </c>
      <c r="D139" s="4"/>
      <c r="E139" s="4" t="s">
        <v>256</v>
      </c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3:30" x14ac:dyDescent="0.25">
      <c r="C140" s="4" t="s">
        <v>568</v>
      </c>
      <c r="D140" s="4"/>
      <c r="E140" s="4" t="s">
        <v>256</v>
      </c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3:30" x14ac:dyDescent="0.25">
      <c r="C141" s="4" t="s">
        <v>569</v>
      </c>
      <c r="D141" s="4"/>
      <c r="E141" s="4" t="s">
        <v>256</v>
      </c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3:30" x14ac:dyDescent="0.25">
      <c r="C142" s="4" t="s">
        <v>570</v>
      </c>
      <c r="D142" s="4"/>
      <c r="E142" s="4" t="s">
        <v>256</v>
      </c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3:30" ht="16.5" x14ac:dyDescent="0.25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3:30" ht="16.5" x14ac:dyDescent="0.25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3:30" ht="16.5" x14ac:dyDescent="0.25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3:30" ht="16.5" x14ac:dyDescent="0.25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3:30" ht="16.5" x14ac:dyDescent="0.25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3:30" ht="16.5" x14ac:dyDescent="0.25"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3:30" ht="16.5" x14ac:dyDescent="0.25"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3:30" ht="16.5" x14ac:dyDescent="0.25"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3:30" ht="16.5" x14ac:dyDescent="0.25"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3:30" ht="16.5" x14ac:dyDescent="0.25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3:30" ht="16.5" x14ac:dyDescent="0.25"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3:30" ht="16.5" x14ac:dyDescent="0.25"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3:30" ht="16.5" x14ac:dyDescent="0.25"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3:30" ht="16.5" x14ac:dyDescent="0.25"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3:30" ht="16.5" x14ac:dyDescent="0.25"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3:30" ht="16.5" x14ac:dyDescent="0.25"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3:30" ht="16.5" x14ac:dyDescent="0.25"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3:30" ht="16.5" x14ac:dyDescent="0.25"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3:30" ht="16.5" x14ac:dyDescent="0.25"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3:30" ht="16.5" x14ac:dyDescent="0.25"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3:30" ht="16.5" x14ac:dyDescent="0.25"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3:30" ht="16.5" x14ac:dyDescent="0.25"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3:30" ht="16.5" x14ac:dyDescent="0.25"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3:30" ht="16.5" x14ac:dyDescent="0.25"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3:30" ht="16.5" x14ac:dyDescent="0.25"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3:30" ht="16.5" x14ac:dyDescent="0.25"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3:30" ht="16.5" x14ac:dyDescent="0.25"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3:30" ht="16.5" x14ac:dyDescent="0.25"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3:30" ht="16.5" x14ac:dyDescent="0.25"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3:30" ht="16.5" x14ac:dyDescent="0.25"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3:30" ht="16.5" x14ac:dyDescent="0.25"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3:30" ht="16.5" x14ac:dyDescent="0.25"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3:30" ht="16.5" x14ac:dyDescent="0.25"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3:30" ht="16.5" x14ac:dyDescent="0.25"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3:30" ht="16.5" x14ac:dyDescent="0.25"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3:30" ht="16.5" x14ac:dyDescent="0.25"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3:30" ht="16.5" x14ac:dyDescent="0.25"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3:30" ht="16.5" x14ac:dyDescent="0.25"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3:30" ht="16.5" x14ac:dyDescent="0.25"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3:30" ht="16.5" x14ac:dyDescent="0.25"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3:30" ht="16.5" x14ac:dyDescent="0.25"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3:30" ht="16.5" x14ac:dyDescent="0.25"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3:30" ht="16.5" x14ac:dyDescent="0.25"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3:30" ht="16.5" x14ac:dyDescent="0.25"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3:30" ht="16.5" x14ac:dyDescent="0.25"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3:30" ht="16.5" x14ac:dyDescent="0.25"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3:30" ht="16.5" x14ac:dyDescent="0.25"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3:30" ht="16.5" x14ac:dyDescent="0.25"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3:30" ht="16.5" x14ac:dyDescent="0.25"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3:30" ht="16.5" x14ac:dyDescent="0.25"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3:30" ht="16.5" x14ac:dyDescent="0.25"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3:30" ht="16.5" x14ac:dyDescent="0.25"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3:30" ht="16.5" x14ac:dyDescent="0.25"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3:30" ht="16.5" x14ac:dyDescent="0.25"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3:30" ht="16.5" x14ac:dyDescent="0.25"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3:30" ht="16.5" x14ac:dyDescent="0.25"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3:30" ht="16.5" x14ac:dyDescent="0.25"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3:30" ht="16.5" x14ac:dyDescent="0.25"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3:30" ht="16.5" x14ac:dyDescent="0.25"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3:30" ht="16.5" x14ac:dyDescent="0.25"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3:30" ht="16.5" x14ac:dyDescent="0.25"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3:30" ht="16.5" x14ac:dyDescent="0.25"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3:30" ht="16.5" x14ac:dyDescent="0.25"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3:30" ht="16.5" x14ac:dyDescent="0.25"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3:30" ht="16.5" x14ac:dyDescent="0.25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3:30" ht="16.5" x14ac:dyDescent="0.25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3:30" ht="16.5" x14ac:dyDescent="0.25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3:30" ht="16.5" x14ac:dyDescent="0.25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3:30" ht="16.5" x14ac:dyDescent="0.25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3:30" ht="16.5" x14ac:dyDescent="0.25"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3:30" ht="16.5" x14ac:dyDescent="0.25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3:30" ht="16.5" x14ac:dyDescent="0.25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3:30" ht="16.5" x14ac:dyDescent="0.25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3:30" ht="16.5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3:30" ht="16.5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3:30" ht="16.5" x14ac:dyDescent="0.25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3:30" ht="16.5" x14ac:dyDescent="0.25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3:30" ht="16.5" x14ac:dyDescent="0.25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3:30" ht="16.5" x14ac:dyDescent="0.25"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3:30" ht="16.5" x14ac:dyDescent="0.25"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3:30" ht="16.5" x14ac:dyDescent="0.25"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3:30" ht="16.5" x14ac:dyDescent="0.25"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3:30" ht="16.5" x14ac:dyDescent="0.25"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3:30" ht="16.5" x14ac:dyDescent="0.25"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3:30" ht="16.5" x14ac:dyDescent="0.25"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3:30" ht="16.5" x14ac:dyDescent="0.25"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3:30" ht="16.5" x14ac:dyDescent="0.25"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3:30" ht="16.5" x14ac:dyDescent="0.25"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3:30" ht="16.5" x14ac:dyDescent="0.25"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3:30" ht="16.5" x14ac:dyDescent="0.25"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3:30" ht="16.5" x14ac:dyDescent="0.25"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3:30" ht="16.5" x14ac:dyDescent="0.25"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3:30" ht="16.5" x14ac:dyDescent="0.25"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3:30" ht="16.5" x14ac:dyDescent="0.25"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3:30" ht="16.5" x14ac:dyDescent="0.25"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3:30" ht="16.5" x14ac:dyDescent="0.25"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3:30" ht="16.5" x14ac:dyDescent="0.25"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3:30" ht="16.5" x14ac:dyDescent="0.25"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3:30" ht="16.5" x14ac:dyDescent="0.25"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3:30" ht="16.5" x14ac:dyDescent="0.25"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3:30" ht="16.5" x14ac:dyDescent="0.25"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3:30" ht="16.5" x14ac:dyDescent="0.25"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3:30" ht="16.5" x14ac:dyDescent="0.25"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3:30" ht="16.5" x14ac:dyDescent="0.25"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3:30" ht="16.5" x14ac:dyDescent="0.25"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3:30" ht="16.5" x14ac:dyDescent="0.25"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3:30" ht="16.5" x14ac:dyDescent="0.25"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</sheetData>
  <mergeCells count="4">
    <mergeCell ref="U12:U13"/>
    <mergeCell ref="V12:V13"/>
    <mergeCell ref="W12:W13"/>
    <mergeCell ref="X12:X13"/>
  </mergeCells>
  <phoneticPr fontId="2" type="noConversion"/>
  <conditionalFormatting sqref="G1:G13 G250:G1048576">
    <cfRule type="expression" dxfId="0" priority="1">
      <formula>$F23-$G23&lt;0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rgb="FF92D050"/>
  </sheetPr>
  <dimension ref="A1:P60"/>
  <sheetViews>
    <sheetView workbookViewId="0">
      <selection activeCell="C12" sqref="C12:P15"/>
    </sheetView>
  </sheetViews>
  <sheetFormatPr defaultRowHeight="12.75" x14ac:dyDescent="0.25"/>
  <cols>
    <col min="1" max="2" width="9" style="1"/>
    <col min="3" max="3" width="14.875" style="1" customWidth="1"/>
    <col min="4" max="4" width="10.5" style="1" customWidth="1"/>
    <col min="5" max="5" width="9" style="1"/>
    <col min="6" max="6" width="12.25" style="1" customWidth="1"/>
    <col min="7" max="7" width="9.25" style="1" bestFit="1" customWidth="1"/>
    <col min="8" max="8" width="10.875" style="1" bestFit="1" customWidth="1"/>
    <col min="9" max="9" width="13.625" style="1" customWidth="1"/>
    <col min="10" max="10" width="11.75" style="1" customWidth="1"/>
    <col min="11" max="16384" width="9" style="1"/>
  </cols>
  <sheetData>
    <row r="1" spans="1:16" ht="13.5" thickBot="1" x14ac:dyDescent="0.3">
      <c r="A1" s="3" t="s">
        <v>40</v>
      </c>
    </row>
    <row r="2" spans="1:16" x14ac:dyDescent="0.25">
      <c r="C2" s="17" t="s">
        <v>44</v>
      </c>
      <c r="D2" s="15" t="s">
        <v>42</v>
      </c>
      <c r="E2" s="15" t="s">
        <v>50</v>
      </c>
    </row>
    <row r="3" spans="1:16" ht="13.5" thickBot="1" x14ac:dyDescent="0.3">
      <c r="C3" s="18" t="s">
        <v>46</v>
      </c>
      <c r="D3" s="19" t="s">
        <v>47</v>
      </c>
      <c r="E3" s="16" t="s">
        <v>51</v>
      </c>
    </row>
    <row r="4" spans="1:16" ht="13.5" thickBot="1" x14ac:dyDescent="0.3">
      <c r="D4" s="16" t="s">
        <v>48</v>
      </c>
    </row>
    <row r="6" spans="1:16" x14ac:dyDescent="0.25">
      <c r="A6" s="1" t="s">
        <v>32</v>
      </c>
    </row>
    <row r="10" spans="1:16" x14ac:dyDescent="0.25">
      <c r="K10" s="35" t="s">
        <v>33</v>
      </c>
      <c r="L10" s="37"/>
      <c r="M10" s="37"/>
      <c r="N10" s="37"/>
      <c r="O10" s="37"/>
      <c r="P10" s="36"/>
    </row>
    <row r="11" spans="1:16" x14ac:dyDescent="0.25">
      <c r="C11" s="55" t="s">
        <v>41</v>
      </c>
      <c r="D11" s="48" t="s">
        <v>26</v>
      </c>
      <c r="E11" s="43" t="s">
        <v>140</v>
      </c>
      <c r="F11" s="43" t="s">
        <v>139</v>
      </c>
      <c r="G11" s="43" t="s">
        <v>141</v>
      </c>
      <c r="H11" s="45" t="s">
        <v>49</v>
      </c>
      <c r="I11" s="46" t="s">
        <v>52</v>
      </c>
      <c r="J11" s="46" t="s">
        <v>53</v>
      </c>
      <c r="K11" s="44" t="s">
        <v>54</v>
      </c>
      <c r="L11" s="44" t="s">
        <v>55</v>
      </c>
      <c r="M11" s="44" t="s">
        <v>56</v>
      </c>
      <c r="N11" s="44" t="s">
        <v>57</v>
      </c>
      <c r="O11" s="44" t="s">
        <v>58</v>
      </c>
      <c r="P11" s="44" t="s">
        <v>59</v>
      </c>
    </row>
    <row r="12" spans="1:16" x14ac:dyDescent="0.25">
      <c r="C12" s="4" t="s">
        <v>571</v>
      </c>
      <c r="D12" s="4" t="s">
        <v>241</v>
      </c>
      <c r="E12" s="4" t="s">
        <v>43</v>
      </c>
      <c r="F12" s="4" t="s">
        <v>47</v>
      </c>
      <c r="G12" s="4"/>
      <c r="H12" s="4" t="s">
        <v>113</v>
      </c>
      <c r="I12" s="4">
        <v>0.15</v>
      </c>
      <c r="J12" s="4">
        <v>0.15</v>
      </c>
      <c r="K12" s="4">
        <v>0.4</v>
      </c>
      <c r="L12" s="4">
        <v>0.4</v>
      </c>
      <c r="M12" s="4">
        <v>0.4</v>
      </c>
      <c r="N12" s="4"/>
      <c r="O12" s="4"/>
      <c r="P12" s="4"/>
    </row>
    <row r="13" spans="1:16" x14ac:dyDescent="0.25">
      <c r="C13" s="4" t="s">
        <v>572</v>
      </c>
      <c r="D13" s="4" t="s">
        <v>241</v>
      </c>
      <c r="E13" s="4" t="s">
        <v>43</v>
      </c>
      <c r="F13" s="4" t="s">
        <v>47</v>
      </c>
      <c r="G13" s="4"/>
      <c r="H13" s="4" t="s">
        <v>113</v>
      </c>
      <c r="I13" s="4">
        <v>0.24</v>
      </c>
      <c r="J13" s="4">
        <v>0.24</v>
      </c>
      <c r="K13" s="4">
        <v>0.4</v>
      </c>
      <c r="L13" s="4">
        <v>0.4</v>
      </c>
      <c r="M13" s="4">
        <v>0.4</v>
      </c>
      <c r="N13" s="4"/>
      <c r="O13" s="4"/>
      <c r="P13" s="4"/>
    </row>
    <row r="14" spans="1:16" x14ac:dyDescent="0.25">
      <c r="C14" s="4" t="s">
        <v>573</v>
      </c>
      <c r="D14" s="4" t="s">
        <v>241</v>
      </c>
      <c r="E14" s="4" t="s">
        <v>43</v>
      </c>
      <c r="F14" s="4" t="s">
        <v>395</v>
      </c>
      <c r="G14" s="4" t="s">
        <v>396</v>
      </c>
      <c r="H14" s="4" t="s">
        <v>113</v>
      </c>
      <c r="I14" s="4">
        <v>0.5</v>
      </c>
      <c r="J14" s="4">
        <v>0.5</v>
      </c>
      <c r="K14" s="4">
        <v>0.4</v>
      </c>
      <c r="L14" s="4">
        <v>0.4</v>
      </c>
      <c r="M14" s="4">
        <v>0.4</v>
      </c>
      <c r="N14" s="4">
        <v>0.7</v>
      </c>
      <c r="O14" s="4">
        <v>0.7</v>
      </c>
      <c r="P14" s="4">
        <v>0.7</v>
      </c>
    </row>
    <row r="15" spans="1:16" x14ac:dyDescent="0.25">
      <c r="C15" s="4" t="s">
        <v>574</v>
      </c>
      <c r="D15" s="4" t="s">
        <v>241</v>
      </c>
      <c r="E15" s="4" t="s">
        <v>45</v>
      </c>
      <c r="F15" s="4" t="s">
        <v>47</v>
      </c>
      <c r="G15" s="4"/>
      <c r="H15" s="4" t="s">
        <v>113</v>
      </c>
      <c r="I15" s="4">
        <v>0.25</v>
      </c>
      <c r="J15" s="4">
        <v>0.25</v>
      </c>
      <c r="K15" s="4">
        <v>0.4</v>
      </c>
      <c r="L15" s="4">
        <v>0.4</v>
      </c>
      <c r="M15" s="4">
        <v>0.4</v>
      </c>
      <c r="N15" s="4"/>
      <c r="O15" s="4"/>
      <c r="P15" s="4"/>
    </row>
    <row r="16" spans="1:16" ht="16.5" x14ac:dyDescent="0.25"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3:16" ht="16.5" x14ac:dyDescent="0.25"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3:16" ht="16.5" x14ac:dyDescent="0.25"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3:16" ht="16.5" x14ac:dyDescent="0.25"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3:16" ht="16.5" x14ac:dyDescent="0.25"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3:16" ht="16.5" x14ac:dyDescent="0.25"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3:16" ht="16.5" x14ac:dyDescent="0.25"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3:16" ht="16.5" x14ac:dyDescent="0.25"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3:16" ht="16.5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3:16" ht="16.5" x14ac:dyDescent="0.25"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3:16" ht="16.5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3:16" ht="16.5" x14ac:dyDescent="0.25"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3:16" ht="16.5" x14ac:dyDescent="0.25"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3:16" ht="16.5" x14ac:dyDescent="0.25"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3:16" ht="16.5" x14ac:dyDescent="0.25"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3:16" ht="16.5" x14ac:dyDescent="0.25"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3:16" ht="16.5" x14ac:dyDescent="0.25"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3:16" ht="16.5" x14ac:dyDescent="0.25"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3:16" ht="16.5" x14ac:dyDescent="0.25"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3:16" ht="16.5" x14ac:dyDescent="0.25"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3:16" ht="16.5" x14ac:dyDescent="0.25"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3:16" ht="16.5" x14ac:dyDescent="0.25"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3:16" ht="16.5" x14ac:dyDescent="0.25"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3:16" ht="16.5" x14ac:dyDescent="0.25"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3:16" ht="16.5" x14ac:dyDescent="0.25"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3:16" ht="16.5" x14ac:dyDescent="0.25"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3:16" ht="16.5" x14ac:dyDescent="0.25"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3:16" ht="16.5" x14ac:dyDescent="0.25"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3:16" ht="16.5" x14ac:dyDescent="0.25"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3:16" ht="16.5" x14ac:dyDescent="0.25"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3:16" ht="16.5" x14ac:dyDescent="0.25"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3:16" ht="16.5" x14ac:dyDescent="0.25"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3:16" ht="16.5" x14ac:dyDescent="0.25"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3:16" ht="16.5" x14ac:dyDescent="0.25"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3:16" ht="16.5" x14ac:dyDescent="0.25"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3:16" ht="16.5" x14ac:dyDescent="0.25"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3:16" ht="16.5" x14ac:dyDescent="0.25"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3:16" ht="16.5" x14ac:dyDescent="0.25"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3:16" ht="16.5" x14ac:dyDescent="0.25"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3:16" ht="16.5" x14ac:dyDescent="0.25"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3:16" ht="16.5" x14ac:dyDescent="0.25"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3:16" ht="16.5" x14ac:dyDescent="0.25"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3:16" ht="16.5" x14ac:dyDescent="0.25"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3:16" ht="16.5" x14ac:dyDescent="0.25"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3:16" ht="16.5" x14ac:dyDescent="0.25"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0000"/>
  </sheetPr>
  <dimension ref="A1:BI493"/>
  <sheetViews>
    <sheetView workbookViewId="0">
      <selection activeCell="P14" sqref="P14:AB14"/>
    </sheetView>
  </sheetViews>
  <sheetFormatPr defaultRowHeight="12.75" x14ac:dyDescent="0.25"/>
  <cols>
    <col min="1" max="1" width="9" style="1"/>
    <col min="2" max="2" width="12.875" style="1" customWidth="1"/>
    <col min="3" max="3" width="13.875" style="1" customWidth="1"/>
    <col min="4" max="7" width="9" style="1"/>
    <col min="8" max="8" width="16.5" style="1" customWidth="1"/>
    <col min="9" max="9" width="9.75" style="1" customWidth="1"/>
    <col min="10" max="10" width="11.5" style="1" customWidth="1"/>
    <col min="11" max="12" width="9" style="1"/>
    <col min="13" max="13" width="10.5" style="1" customWidth="1"/>
    <col min="14" max="15" width="9" style="1"/>
    <col min="16" max="17" width="9.875" style="1" customWidth="1"/>
    <col min="18" max="19" width="9" style="1"/>
    <col min="20" max="20" width="10.125" style="1" bestFit="1" customWidth="1"/>
    <col min="21" max="21" width="9" style="1"/>
    <col min="22" max="22" width="10.125" style="1" bestFit="1" customWidth="1"/>
    <col min="23" max="16384" width="9" style="1"/>
  </cols>
  <sheetData>
    <row r="1" spans="1:61" ht="13.5" thickBot="1" x14ac:dyDescent="0.3">
      <c r="A1" s="3" t="s">
        <v>60</v>
      </c>
    </row>
    <row r="2" spans="1:61" x14ac:dyDescent="0.25">
      <c r="A2" s="3"/>
      <c r="C2" s="15" t="s">
        <v>63</v>
      </c>
      <c r="I2" s="15" t="s">
        <v>84</v>
      </c>
    </row>
    <row r="3" spans="1:61" x14ac:dyDescent="0.25">
      <c r="A3" s="3"/>
      <c r="C3" s="19" t="s">
        <v>64</v>
      </c>
      <c r="I3" s="19" t="s">
        <v>86</v>
      </c>
    </row>
    <row r="4" spans="1:61" x14ac:dyDescent="0.25">
      <c r="A4" s="3"/>
      <c r="C4" s="19" t="s">
        <v>67</v>
      </c>
      <c r="I4" s="19" t="s">
        <v>87</v>
      </c>
    </row>
    <row r="5" spans="1:61" ht="13.5" thickBot="1" x14ac:dyDescent="0.3">
      <c r="A5" s="3"/>
      <c r="C5" s="19" t="s">
        <v>65</v>
      </c>
      <c r="I5" s="16" t="s">
        <v>85</v>
      </c>
    </row>
    <row r="6" spans="1:61" x14ac:dyDescent="0.25">
      <c r="A6" s="3"/>
      <c r="C6" s="19" t="s">
        <v>68</v>
      </c>
    </row>
    <row r="7" spans="1:61" x14ac:dyDescent="0.25">
      <c r="A7" s="3"/>
      <c r="C7" s="19" t="s">
        <v>70</v>
      </c>
    </row>
    <row r="8" spans="1:61" x14ac:dyDescent="0.25">
      <c r="A8" s="3"/>
      <c r="C8" s="19" t="s">
        <v>71</v>
      </c>
    </row>
    <row r="9" spans="1:61" x14ac:dyDescent="0.25">
      <c r="C9" s="19" t="s">
        <v>72</v>
      </c>
    </row>
    <row r="10" spans="1:61" ht="13.5" thickBot="1" x14ac:dyDescent="0.3">
      <c r="C10" s="16" t="s">
        <v>73</v>
      </c>
      <c r="P10" s="56" t="s">
        <v>152</v>
      </c>
      <c r="Q10" s="56">
        <v>11</v>
      </c>
    </row>
    <row r="12" spans="1:61" x14ac:dyDescent="0.25">
      <c r="B12" s="21" t="s">
        <v>61</v>
      </c>
      <c r="G12" s="21" t="s">
        <v>148</v>
      </c>
      <c r="P12" s="21" t="s">
        <v>150</v>
      </c>
      <c r="Q12" s="21"/>
    </row>
    <row r="14" spans="1:61" ht="16.5" x14ac:dyDescent="0.25">
      <c r="B14" s="45" t="s">
        <v>74</v>
      </c>
      <c r="C14" s="45" t="s">
        <v>75</v>
      </c>
      <c r="D14" s="45" t="s">
        <v>76</v>
      </c>
      <c r="G14" s="43" t="s">
        <v>74</v>
      </c>
      <c r="H14" s="43" t="s">
        <v>77</v>
      </c>
      <c r="I14" s="43" t="s">
        <v>78</v>
      </c>
      <c r="J14" s="43" t="s">
        <v>79</v>
      </c>
      <c r="K14" s="43" t="s">
        <v>80</v>
      </c>
      <c r="L14" s="43" t="s">
        <v>81</v>
      </c>
      <c r="M14" s="43" t="s">
        <v>82</v>
      </c>
      <c r="N14" s="43" t="s">
        <v>83</v>
      </c>
      <c r="P14" s="14" t="s">
        <v>151</v>
      </c>
      <c r="Q14" s="14" t="s">
        <v>156</v>
      </c>
      <c r="R14" s="14" t="s">
        <v>153</v>
      </c>
      <c r="S14" s="14" t="s">
        <v>154</v>
      </c>
      <c r="T14" s="14" t="s">
        <v>192</v>
      </c>
      <c r="U14" s="14" t="s">
        <v>149</v>
      </c>
      <c r="V14" s="14" t="s">
        <v>155</v>
      </c>
      <c r="W14" s="4" t="s">
        <v>386</v>
      </c>
      <c r="X14" s="4" t="s">
        <v>242</v>
      </c>
      <c r="Y14" s="4" t="s">
        <v>243</v>
      </c>
      <c r="Z14" s="4" t="s">
        <v>244</v>
      </c>
      <c r="AA14" s="4" t="s">
        <v>387</v>
      </c>
      <c r="AB14" s="4" t="s">
        <v>142</v>
      </c>
      <c r="AC14" s="64"/>
      <c r="AD14" s="4"/>
      <c r="AE14" s="4"/>
      <c r="AF14" s="4"/>
      <c r="AG14" s="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</row>
    <row r="15" spans="1:61" ht="16.5" x14ac:dyDescent="0.25">
      <c r="B15" s="4" t="s">
        <v>117</v>
      </c>
      <c r="C15" s="4" t="s">
        <v>62</v>
      </c>
      <c r="D15" s="4">
        <v>1</v>
      </c>
      <c r="G15" s="4" t="s">
        <v>253</v>
      </c>
      <c r="H15" s="4" t="s">
        <v>147</v>
      </c>
      <c r="I15" s="4" t="s">
        <v>86</v>
      </c>
      <c r="J15" s="4">
        <v>0.05</v>
      </c>
      <c r="K15" s="4" t="s">
        <v>386</v>
      </c>
      <c r="L15" s="4" t="s">
        <v>387</v>
      </c>
      <c r="M15" s="4">
        <v>0.1125</v>
      </c>
      <c r="N15" s="4">
        <v>1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</row>
    <row r="16" spans="1:61" ht="16.5" x14ac:dyDescent="0.25">
      <c r="B16" s="4" t="s">
        <v>245</v>
      </c>
      <c r="C16" s="4" t="s">
        <v>66</v>
      </c>
      <c r="D16" s="4"/>
      <c r="G16" s="4" t="s">
        <v>254</v>
      </c>
      <c r="H16" s="4" t="s">
        <v>147</v>
      </c>
      <c r="I16" s="4" t="s">
        <v>87</v>
      </c>
      <c r="J16" s="4">
        <v>0.05</v>
      </c>
      <c r="K16" s="4" t="s">
        <v>386</v>
      </c>
      <c r="L16" s="4" t="s">
        <v>387</v>
      </c>
      <c r="M16" s="4">
        <v>0.20699999999999999</v>
      </c>
      <c r="N16" s="4">
        <v>1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</row>
    <row r="17" spans="2:61" ht="16.5" x14ac:dyDescent="0.25">
      <c r="B17" s="4" t="s">
        <v>252</v>
      </c>
      <c r="C17" s="4" t="s">
        <v>69</v>
      </c>
      <c r="D17" s="4"/>
      <c r="G17" s="4" t="s">
        <v>443</v>
      </c>
      <c r="H17" s="4" t="s">
        <v>445</v>
      </c>
      <c r="I17" s="4" t="s">
        <v>446</v>
      </c>
      <c r="J17" s="4">
        <v>0.05</v>
      </c>
      <c r="K17" s="4" t="s">
        <v>447</v>
      </c>
      <c r="L17" s="4" t="s">
        <v>444</v>
      </c>
      <c r="M17" s="4">
        <v>0.20699999999999999</v>
      </c>
      <c r="N17" s="4">
        <v>1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</row>
    <row r="18" spans="2:61" ht="16.5" x14ac:dyDescent="0.25">
      <c r="B18" s="4" t="s">
        <v>253</v>
      </c>
      <c r="C18" s="4" t="s">
        <v>69</v>
      </c>
      <c r="D18" s="4"/>
      <c r="G18" s="4" t="s">
        <v>252</v>
      </c>
      <c r="H18" s="4" t="s">
        <v>147</v>
      </c>
      <c r="I18" s="4" t="s">
        <v>84</v>
      </c>
      <c r="J18" s="4">
        <v>0.05</v>
      </c>
      <c r="K18" s="4" t="s">
        <v>386</v>
      </c>
      <c r="L18" s="4" t="s">
        <v>387</v>
      </c>
      <c r="M18" s="4">
        <v>0.1125</v>
      </c>
      <c r="N18" s="4">
        <v>1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</row>
    <row r="19" spans="2:61" ht="16.5" x14ac:dyDescent="0.25">
      <c r="B19" s="4" t="s">
        <v>254</v>
      </c>
      <c r="C19" s="4" t="s">
        <v>69</v>
      </c>
      <c r="D19" s="4"/>
      <c r="G19"/>
      <c r="H19"/>
      <c r="I19"/>
      <c r="J19"/>
      <c r="K19"/>
      <c r="L19"/>
      <c r="M19"/>
      <c r="N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</row>
    <row r="20" spans="2:61" ht="16.5" x14ac:dyDescent="0.25">
      <c r="B20" s="4" t="s">
        <v>255</v>
      </c>
      <c r="C20" s="4" t="s">
        <v>69</v>
      </c>
      <c r="D20" s="4"/>
      <c r="G20"/>
      <c r="H20"/>
      <c r="I20"/>
      <c r="J20"/>
      <c r="K20"/>
      <c r="L20"/>
      <c r="M20"/>
      <c r="N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</row>
    <row r="21" spans="2:61" ht="16.5" x14ac:dyDescent="0.25">
      <c r="B21" s="4" t="s">
        <v>263</v>
      </c>
      <c r="C21" s="4" t="s">
        <v>264</v>
      </c>
      <c r="D21" s="4"/>
      <c r="G21"/>
      <c r="H21"/>
      <c r="I21"/>
      <c r="J21"/>
      <c r="K21"/>
      <c r="L21"/>
      <c r="M21"/>
      <c r="N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</row>
    <row r="22" spans="2:61" ht="16.5" x14ac:dyDescent="0.25">
      <c r="B22" s="4" t="s">
        <v>265</v>
      </c>
      <c r="C22" s="4" t="s">
        <v>264</v>
      </c>
      <c r="D22" s="4"/>
      <c r="G22"/>
      <c r="H22"/>
      <c r="I22"/>
      <c r="J22"/>
      <c r="K22"/>
      <c r="L22"/>
      <c r="M22"/>
      <c r="N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</row>
    <row r="23" spans="2:61" ht="16.5" x14ac:dyDescent="0.25">
      <c r="B23" s="4" t="s">
        <v>266</v>
      </c>
      <c r="C23" s="4" t="s">
        <v>264</v>
      </c>
      <c r="D23" s="4"/>
      <c r="G23"/>
      <c r="H23"/>
      <c r="I23"/>
      <c r="J23"/>
      <c r="K23"/>
      <c r="L23"/>
      <c r="M23"/>
      <c r="N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</row>
    <row r="24" spans="2:61" ht="16.5" x14ac:dyDescent="0.25">
      <c r="B24" s="4" t="s">
        <v>267</v>
      </c>
      <c r="C24" s="4" t="s">
        <v>264</v>
      </c>
      <c r="D24" s="4"/>
      <c r="G24"/>
      <c r="H24"/>
      <c r="I24"/>
      <c r="J24"/>
      <c r="K24"/>
      <c r="L24"/>
      <c r="M24"/>
      <c r="N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</row>
    <row r="25" spans="2:61" ht="16.5" x14ac:dyDescent="0.25">
      <c r="B25" s="4" t="s">
        <v>268</v>
      </c>
      <c r="C25" s="4" t="s">
        <v>264</v>
      </c>
      <c r="D25" s="4"/>
      <c r="G25"/>
      <c r="H25"/>
      <c r="I25"/>
      <c r="J25"/>
      <c r="K25"/>
      <c r="L25"/>
      <c r="M25"/>
      <c r="N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</row>
    <row r="26" spans="2:61" ht="16.5" x14ac:dyDescent="0.25">
      <c r="B26" s="4" t="s">
        <v>269</v>
      </c>
      <c r="C26" s="4" t="s">
        <v>264</v>
      </c>
      <c r="D26" s="4"/>
      <c r="G26"/>
      <c r="H26"/>
      <c r="I26"/>
      <c r="J26"/>
      <c r="K26"/>
      <c r="L26"/>
      <c r="M26"/>
      <c r="N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</row>
    <row r="27" spans="2:61" ht="16.5" x14ac:dyDescent="0.25">
      <c r="B27" s="4" t="s">
        <v>390</v>
      </c>
      <c r="C27" s="4" t="s">
        <v>261</v>
      </c>
      <c r="D27" s="4"/>
      <c r="G27"/>
      <c r="H27"/>
      <c r="I27"/>
      <c r="J27"/>
      <c r="K27"/>
      <c r="L27"/>
      <c r="M27"/>
      <c r="N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</row>
    <row r="28" spans="2:61" ht="16.5" x14ac:dyDescent="0.25">
      <c r="B28" s="4" t="s">
        <v>391</v>
      </c>
      <c r="C28" s="4" t="s">
        <v>261</v>
      </c>
      <c r="D28" s="4"/>
      <c r="G28"/>
      <c r="H28"/>
      <c r="I28"/>
      <c r="J28"/>
      <c r="K28"/>
      <c r="L28"/>
      <c r="M28"/>
      <c r="N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</row>
    <row r="29" spans="2:61" ht="16.5" x14ac:dyDescent="0.25">
      <c r="B29" s="4" t="s">
        <v>392</v>
      </c>
      <c r="C29" s="4" t="s">
        <v>69</v>
      </c>
      <c r="D29" s="4"/>
      <c r="G29"/>
      <c r="H29"/>
      <c r="I29"/>
      <c r="J29"/>
      <c r="K29"/>
      <c r="L29"/>
      <c r="M29"/>
      <c r="N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</row>
    <row r="30" spans="2:61" ht="16.5" x14ac:dyDescent="0.25">
      <c r="B30" s="4" t="s">
        <v>393</v>
      </c>
      <c r="C30" s="4" t="s">
        <v>69</v>
      </c>
      <c r="D30" s="4"/>
      <c r="G30"/>
      <c r="H30"/>
      <c r="I30"/>
      <c r="J30"/>
      <c r="K30"/>
      <c r="L30"/>
      <c r="M30"/>
      <c r="N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</row>
    <row r="31" spans="2:61" ht="16.5" x14ac:dyDescent="0.25">
      <c r="B31"/>
      <c r="C31"/>
      <c r="D31"/>
      <c r="G31"/>
      <c r="H31"/>
      <c r="I31"/>
      <c r="J31"/>
      <c r="K31"/>
      <c r="L31"/>
      <c r="M31"/>
      <c r="N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</row>
    <row r="32" spans="2:61" ht="16.5" x14ac:dyDescent="0.25">
      <c r="B32"/>
      <c r="C32"/>
      <c r="D32"/>
      <c r="G32"/>
      <c r="H32"/>
      <c r="I32"/>
      <c r="J32"/>
      <c r="K32"/>
      <c r="L32"/>
      <c r="M32"/>
      <c r="N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2:50" ht="16.5" x14ac:dyDescent="0.25">
      <c r="B33"/>
      <c r="C33"/>
      <c r="D33"/>
      <c r="G33"/>
      <c r="H33"/>
      <c r="I33"/>
      <c r="J33"/>
      <c r="K33"/>
      <c r="L33"/>
      <c r="M33"/>
      <c r="N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2:50" ht="16.5" x14ac:dyDescent="0.25">
      <c r="B34"/>
      <c r="C34"/>
      <c r="D34"/>
      <c r="G34"/>
      <c r="H34"/>
      <c r="I34"/>
      <c r="J34"/>
      <c r="K34"/>
      <c r="L34"/>
      <c r="M34"/>
      <c r="N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2:50" ht="16.5" x14ac:dyDescent="0.25">
      <c r="B35"/>
      <c r="C35"/>
      <c r="D35"/>
      <c r="G35"/>
      <c r="H35"/>
      <c r="I35"/>
      <c r="J35"/>
      <c r="K35"/>
      <c r="L35"/>
      <c r="M35"/>
      <c r="N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2:50" ht="16.5" x14ac:dyDescent="0.25">
      <c r="B36"/>
      <c r="C36"/>
      <c r="D36"/>
      <c r="G36"/>
      <c r="H36"/>
      <c r="I36"/>
      <c r="J36"/>
      <c r="K36"/>
      <c r="L36"/>
      <c r="M36"/>
      <c r="N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2:50" ht="16.5" x14ac:dyDescent="0.25">
      <c r="B37"/>
      <c r="C37"/>
      <c r="D37"/>
      <c r="G37"/>
      <c r="H37"/>
      <c r="I37"/>
      <c r="J37"/>
      <c r="K37"/>
      <c r="L37"/>
      <c r="M37"/>
      <c r="N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2:50" ht="16.5" x14ac:dyDescent="0.25">
      <c r="B38"/>
      <c r="C38"/>
      <c r="D38"/>
      <c r="G38"/>
      <c r="H38"/>
      <c r="I38"/>
      <c r="J38"/>
      <c r="K38"/>
      <c r="L38"/>
      <c r="M38"/>
      <c r="N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2:50" ht="16.5" x14ac:dyDescent="0.25">
      <c r="B39"/>
      <c r="C39"/>
      <c r="D39"/>
      <c r="G39"/>
      <c r="H39"/>
      <c r="I39"/>
      <c r="J39"/>
      <c r="K39"/>
      <c r="L39"/>
      <c r="M39"/>
      <c r="N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2:50" ht="16.5" x14ac:dyDescent="0.25">
      <c r="B40"/>
      <c r="C40"/>
      <c r="D40"/>
      <c r="G40"/>
      <c r="H40"/>
      <c r="I40"/>
      <c r="J40"/>
      <c r="K40"/>
      <c r="L40"/>
      <c r="M40"/>
      <c r="N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2:50" ht="16.5" x14ac:dyDescent="0.25">
      <c r="B41"/>
      <c r="C41"/>
      <c r="D41"/>
      <c r="G41"/>
      <c r="H41"/>
      <c r="I41"/>
      <c r="J41"/>
      <c r="K41"/>
      <c r="L41"/>
      <c r="M41"/>
      <c r="N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2:50" ht="16.5" x14ac:dyDescent="0.25">
      <c r="B42"/>
      <c r="C42"/>
      <c r="D42"/>
      <c r="G42"/>
      <c r="H42"/>
      <c r="I42"/>
      <c r="J42"/>
      <c r="K42"/>
      <c r="L42"/>
      <c r="M42"/>
      <c r="N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2:50" ht="16.5" x14ac:dyDescent="0.25">
      <c r="B43"/>
      <c r="C43"/>
      <c r="D43"/>
      <c r="G43"/>
      <c r="H43"/>
      <c r="I43"/>
      <c r="J43"/>
      <c r="K43"/>
      <c r="L43"/>
      <c r="M43"/>
      <c r="N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2:50" ht="16.5" x14ac:dyDescent="0.25">
      <c r="B44"/>
      <c r="C44"/>
      <c r="D44"/>
      <c r="G44"/>
      <c r="H44"/>
      <c r="I44"/>
      <c r="J44"/>
      <c r="K44"/>
      <c r="L44"/>
      <c r="M44"/>
      <c r="N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2:50" ht="16.5" x14ac:dyDescent="0.25">
      <c r="B45"/>
      <c r="C45"/>
      <c r="D45"/>
      <c r="G45"/>
      <c r="H45"/>
      <c r="I45"/>
      <c r="J45"/>
      <c r="K45"/>
      <c r="L45"/>
      <c r="M45"/>
      <c r="N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2:50" ht="16.5" x14ac:dyDescent="0.25">
      <c r="B46"/>
      <c r="C46"/>
      <c r="D46"/>
      <c r="G46"/>
      <c r="H46"/>
      <c r="I46"/>
      <c r="J46"/>
      <c r="K46"/>
      <c r="L46"/>
      <c r="M46"/>
      <c r="N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2:50" ht="16.5" x14ac:dyDescent="0.25">
      <c r="B47"/>
      <c r="C47"/>
      <c r="D47"/>
      <c r="G47"/>
      <c r="H47"/>
      <c r="I47"/>
      <c r="J47"/>
      <c r="K47"/>
      <c r="L47"/>
      <c r="M47"/>
      <c r="N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2:50" ht="16.5" x14ac:dyDescent="0.25">
      <c r="B48"/>
      <c r="C48"/>
      <c r="D48"/>
      <c r="G48"/>
      <c r="H48"/>
      <c r="I48"/>
      <c r="J48"/>
      <c r="K48"/>
      <c r="L48"/>
      <c r="M48"/>
      <c r="N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2:50" ht="16.5" x14ac:dyDescent="0.25">
      <c r="B49"/>
      <c r="C49"/>
      <c r="D49"/>
      <c r="G49"/>
      <c r="H49"/>
      <c r="I49"/>
      <c r="J49"/>
      <c r="K49"/>
      <c r="L49"/>
      <c r="M49"/>
      <c r="N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2:50" ht="16.5" x14ac:dyDescent="0.25">
      <c r="B50"/>
      <c r="C50"/>
      <c r="D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2:50" ht="16.5" x14ac:dyDescent="0.25">
      <c r="B51"/>
      <c r="C51"/>
      <c r="D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2:50" ht="16.5" x14ac:dyDescent="0.25">
      <c r="B52"/>
      <c r="C52"/>
      <c r="D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2:50" ht="16.5" x14ac:dyDescent="0.25">
      <c r="B53"/>
      <c r="C53"/>
      <c r="D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2:50" ht="16.5" x14ac:dyDescent="0.25">
      <c r="B54"/>
      <c r="C54"/>
      <c r="D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2:50" ht="16.5" x14ac:dyDescent="0.25">
      <c r="B55"/>
      <c r="C55"/>
      <c r="D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2:50" ht="16.5" x14ac:dyDescent="0.25">
      <c r="B56"/>
      <c r="C56"/>
      <c r="D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2:50" ht="16.5" x14ac:dyDescent="0.25">
      <c r="B57"/>
      <c r="C57"/>
      <c r="D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2:50" ht="16.5" x14ac:dyDescent="0.25">
      <c r="B58"/>
      <c r="C58"/>
      <c r="D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2:50" ht="16.5" x14ac:dyDescent="0.25">
      <c r="B59"/>
      <c r="C59"/>
      <c r="D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2:50" ht="16.5" x14ac:dyDescent="0.25">
      <c r="B60"/>
      <c r="C60"/>
      <c r="D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2:50" ht="16.5" x14ac:dyDescent="0.25">
      <c r="B61"/>
      <c r="C61"/>
      <c r="D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2:50" ht="16.5" x14ac:dyDescent="0.25">
      <c r="B62"/>
      <c r="C62"/>
      <c r="D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2:50" ht="16.5" x14ac:dyDescent="0.25">
      <c r="B63"/>
      <c r="C63"/>
      <c r="D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2:50" ht="16.5" x14ac:dyDescent="0.25">
      <c r="B64"/>
      <c r="C64"/>
      <c r="D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2:50" ht="16.5" x14ac:dyDescent="0.25">
      <c r="B65"/>
      <c r="C65"/>
      <c r="D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2:50" ht="16.5" x14ac:dyDescent="0.25">
      <c r="B66"/>
      <c r="C66"/>
      <c r="D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2:50" ht="16.5" x14ac:dyDescent="0.25">
      <c r="B67"/>
      <c r="C67"/>
      <c r="D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2:50" ht="16.5" x14ac:dyDescent="0.25">
      <c r="B68"/>
      <c r="C68"/>
      <c r="D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2:50" ht="16.5" x14ac:dyDescent="0.25">
      <c r="B69"/>
      <c r="C69"/>
      <c r="D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2:50" ht="16.5" x14ac:dyDescent="0.25">
      <c r="B70"/>
      <c r="C70"/>
      <c r="D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2:50" ht="16.5" x14ac:dyDescent="0.25">
      <c r="B71"/>
      <c r="C71"/>
      <c r="D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2:50" ht="16.5" x14ac:dyDescent="0.25"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2:50" ht="16.5" x14ac:dyDescent="0.25"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2:50" ht="16.5" x14ac:dyDescent="0.25"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2:50" ht="16.5" x14ac:dyDescent="0.25"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2:50" ht="16.5" x14ac:dyDescent="0.25"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2:50" ht="16.5" x14ac:dyDescent="0.25"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2:50" ht="16.5" x14ac:dyDescent="0.25"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2:50" ht="16.5" x14ac:dyDescent="0.25"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2:50" ht="16.5" x14ac:dyDescent="0.25"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6:50" ht="16.5" x14ac:dyDescent="0.25"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6:50" ht="16.5" x14ac:dyDescent="0.25"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6:50" ht="16.5" x14ac:dyDescent="0.25"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6:50" ht="16.5" x14ac:dyDescent="0.25"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6:50" ht="16.5" x14ac:dyDescent="0.25"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6:50" ht="16.5" x14ac:dyDescent="0.25"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6:50" ht="16.5" x14ac:dyDescent="0.25"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6:50" ht="16.5" x14ac:dyDescent="0.25"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6:50" ht="16.5" x14ac:dyDescent="0.25"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6:50" ht="16.5" x14ac:dyDescent="0.25"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6:50" ht="16.5" x14ac:dyDescent="0.25"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6:50" ht="16.5" x14ac:dyDescent="0.25"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6:50" ht="16.5" x14ac:dyDescent="0.25"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6:50" ht="16.5" x14ac:dyDescent="0.25"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6:50" ht="16.5" x14ac:dyDescent="0.25"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6:50" ht="16.5" x14ac:dyDescent="0.25"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6:50" ht="16.5" x14ac:dyDescent="0.25"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6:50" ht="16.5" x14ac:dyDescent="0.25"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6:50" ht="16.5" x14ac:dyDescent="0.25"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6:50" ht="16.5" x14ac:dyDescent="0.25"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  <row r="101" spans="16:50" ht="16.5" x14ac:dyDescent="0.25"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</row>
    <row r="102" spans="16:50" ht="16.5" x14ac:dyDescent="0.25"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</row>
    <row r="103" spans="16:50" ht="16.5" x14ac:dyDescent="0.25"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</row>
    <row r="104" spans="16:50" ht="16.5" x14ac:dyDescent="0.25"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</row>
    <row r="105" spans="16:50" ht="16.5" x14ac:dyDescent="0.25"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6:50" ht="16.5" x14ac:dyDescent="0.25"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</row>
    <row r="107" spans="16:50" ht="16.5" x14ac:dyDescent="0.25"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</row>
    <row r="108" spans="16:50" ht="16.5" x14ac:dyDescent="0.25"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</row>
    <row r="109" spans="16:50" ht="16.5" x14ac:dyDescent="0.25"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</row>
    <row r="110" spans="16:50" ht="16.5" x14ac:dyDescent="0.25"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</row>
    <row r="111" spans="16:50" ht="16.5" x14ac:dyDescent="0.25"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</row>
    <row r="112" spans="16:50" ht="16.5" x14ac:dyDescent="0.25"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</row>
    <row r="113" spans="16:50" ht="16.5" x14ac:dyDescent="0.25"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</row>
    <row r="114" spans="16:50" ht="16.5" x14ac:dyDescent="0.25"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</row>
    <row r="115" spans="16:50" ht="16.5" x14ac:dyDescent="0.25"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</row>
    <row r="116" spans="16:50" ht="16.5" x14ac:dyDescent="0.25"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</row>
    <row r="117" spans="16:50" ht="16.5" x14ac:dyDescent="0.25"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</row>
    <row r="118" spans="16:50" ht="16.5" x14ac:dyDescent="0.25"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</row>
    <row r="119" spans="16:50" ht="16.5" x14ac:dyDescent="0.25"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</row>
    <row r="120" spans="16:50" ht="16.5" x14ac:dyDescent="0.25"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</row>
    <row r="121" spans="16:50" ht="16.5" x14ac:dyDescent="0.25"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</row>
    <row r="122" spans="16:50" ht="16.5" x14ac:dyDescent="0.25"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</row>
    <row r="123" spans="16:50" ht="16.5" x14ac:dyDescent="0.25"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</row>
    <row r="124" spans="16:50" ht="16.5" x14ac:dyDescent="0.25"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</row>
    <row r="125" spans="16:50" ht="16.5" x14ac:dyDescent="0.25"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</row>
    <row r="126" spans="16:50" ht="16.5" x14ac:dyDescent="0.25"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</row>
    <row r="127" spans="16:50" ht="16.5" x14ac:dyDescent="0.25"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</row>
    <row r="128" spans="16:50" ht="16.5" x14ac:dyDescent="0.25"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</row>
    <row r="129" spans="16:50" ht="16.5" x14ac:dyDescent="0.25"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</row>
    <row r="130" spans="16:50" ht="16.5" x14ac:dyDescent="0.25"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</row>
    <row r="131" spans="16:50" ht="16.5" x14ac:dyDescent="0.25"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</row>
    <row r="132" spans="16:50" ht="16.5" x14ac:dyDescent="0.25"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</row>
    <row r="133" spans="16:50" ht="16.5" x14ac:dyDescent="0.25"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</row>
    <row r="134" spans="16:50" ht="16.5" x14ac:dyDescent="0.25"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</row>
    <row r="135" spans="16:50" ht="16.5" x14ac:dyDescent="0.25"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</row>
    <row r="136" spans="16:50" ht="16.5" x14ac:dyDescent="0.25"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</row>
    <row r="137" spans="16:50" ht="16.5" x14ac:dyDescent="0.25"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</row>
    <row r="138" spans="16:50" ht="16.5" x14ac:dyDescent="0.25"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</row>
    <row r="139" spans="16:50" ht="16.5" x14ac:dyDescent="0.25"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</row>
    <row r="140" spans="16:50" ht="16.5" x14ac:dyDescent="0.25"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</row>
    <row r="141" spans="16:50" ht="16.5" x14ac:dyDescent="0.25"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</row>
    <row r="142" spans="16:50" ht="16.5" x14ac:dyDescent="0.25"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</row>
    <row r="143" spans="16:50" ht="16.5" x14ac:dyDescent="0.25"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</row>
    <row r="144" spans="16:50" ht="16.5" x14ac:dyDescent="0.25"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</row>
    <row r="145" spans="16:50" ht="16.5" x14ac:dyDescent="0.25"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</row>
    <row r="146" spans="16:50" ht="16.5" x14ac:dyDescent="0.25"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</row>
    <row r="147" spans="16:50" ht="16.5" x14ac:dyDescent="0.25"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</row>
    <row r="148" spans="16:50" ht="16.5" x14ac:dyDescent="0.25"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</row>
    <row r="149" spans="16:50" ht="16.5" x14ac:dyDescent="0.25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</row>
    <row r="150" spans="16:50" ht="16.5" x14ac:dyDescent="0.25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</row>
    <row r="151" spans="16:50" ht="16.5" x14ac:dyDescent="0.25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</row>
    <row r="152" spans="16:50" ht="16.5" x14ac:dyDescent="0.25"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</row>
    <row r="153" spans="16:50" ht="16.5" x14ac:dyDescent="0.25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</row>
    <row r="154" spans="16:50" ht="16.5" x14ac:dyDescent="0.25"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</row>
    <row r="155" spans="16:50" ht="16.5" x14ac:dyDescent="0.25"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</row>
    <row r="156" spans="16:50" ht="16.5" x14ac:dyDescent="0.25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</row>
    <row r="157" spans="16:50" ht="16.5" x14ac:dyDescent="0.25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</row>
    <row r="158" spans="16:50" ht="16.5" x14ac:dyDescent="0.25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</row>
    <row r="159" spans="16:50" ht="16.5" x14ac:dyDescent="0.25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</row>
    <row r="160" spans="16:50" ht="16.5" x14ac:dyDescent="0.25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</row>
    <row r="161" spans="16:50" ht="16.5" x14ac:dyDescent="0.25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</row>
    <row r="162" spans="16:50" ht="16.5" x14ac:dyDescent="0.25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</row>
    <row r="163" spans="16:50" ht="16.5" x14ac:dyDescent="0.25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</row>
    <row r="164" spans="16:50" ht="16.5" x14ac:dyDescent="0.25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</row>
    <row r="165" spans="16:50" ht="16.5" x14ac:dyDescent="0.25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</row>
    <row r="166" spans="16:50" ht="16.5" x14ac:dyDescent="0.25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</row>
    <row r="167" spans="16:50" ht="16.5" x14ac:dyDescent="0.25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</row>
    <row r="168" spans="16:50" ht="16.5" x14ac:dyDescent="0.25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</row>
    <row r="169" spans="16:50" ht="16.5" x14ac:dyDescent="0.25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</row>
    <row r="170" spans="16:50" ht="16.5" x14ac:dyDescent="0.25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</row>
    <row r="171" spans="16:50" ht="16.5" x14ac:dyDescent="0.25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</row>
    <row r="172" spans="16:50" ht="16.5" x14ac:dyDescent="0.25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</row>
    <row r="173" spans="16:50" ht="16.5" x14ac:dyDescent="0.25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</row>
    <row r="174" spans="16:50" ht="16.5" x14ac:dyDescent="0.25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</row>
    <row r="175" spans="16:50" ht="16.5" x14ac:dyDescent="0.25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</row>
    <row r="176" spans="16:50" ht="16.5" x14ac:dyDescent="0.25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</row>
    <row r="177" spans="16:50" ht="16.5" x14ac:dyDescent="0.25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</row>
    <row r="178" spans="16:50" ht="16.5" x14ac:dyDescent="0.25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</row>
    <row r="179" spans="16:50" ht="16.5" x14ac:dyDescent="0.25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</row>
    <row r="180" spans="16:50" ht="16.5" x14ac:dyDescent="0.25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</row>
    <row r="181" spans="16:50" ht="16.5" x14ac:dyDescent="0.25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</row>
    <row r="182" spans="16:50" ht="16.5" x14ac:dyDescent="0.25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</row>
    <row r="183" spans="16:50" ht="16.5" x14ac:dyDescent="0.25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</row>
    <row r="184" spans="16:50" ht="16.5" x14ac:dyDescent="0.25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</row>
    <row r="185" spans="16:50" ht="16.5" x14ac:dyDescent="0.25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</row>
    <row r="186" spans="16:50" ht="16.5" x14ac:dyDescent="0.25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</row>
    <row r="187" spans="16:50" ht="16.5" x14ac:dyDescent="0.25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</row>
    <row r="188" spans="16:50" ht="16.5" x14ac:dyDescent="0.25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</row>
    <row r="189" spans="16:50" ht="16.5" x14ac:dyDescent="0.25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</row>
    <row r="190" spans="16:50" ht="16.5" x14ac:dyDescent="0.25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</row>
    <row r="191" spans="16:50" ht="16.5" x14ac:dyDescent="0.25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</row>
    <row r="192" spans="16:50" ht="16.5" x14ac:dyDescent="0.25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6:50" ht="16.5" x14ac:dyDescent="0.25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</row>
    <row r="194" spans="16:50" ht="16.5" x14ac:dyDescent="0.25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</row>
    <row r="195" spans="16:50" ht="16.5" x14ac:dyDescent="0.25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</row>
    <row r="196" spans="16:50" ht="16.5" x14ac:dyDescent="0.25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</row>
    <row r="197" spans="16:50" ht="16.5" x14ac:dyDescent="0.25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</row>
    <row r="198" spans="16:50" ht="16.5" x14ac:dyDescent="0.25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</row>
    <row r="199" spans="16:50" ht="16.5" x14ac:dyDescent="0.25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</row>
    <row r="200" spans="16:50" ht="16.5" x14ac:dyDescent="0.25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</row>
    <row r="201" spans="16:50" ht="16.5" x14ac:dyDescent="0.25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</row>
    <row r="202" spans="16:50" ht="16.5" x14ac:dyDescent="0.25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</row>
    <row r="203" spans="16:50" ht="16.5" x14ac:dyDescent="0.25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</row>
    <row r="204" spans="16:50" ht="16.5" x14ac:dyDescent="0.25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</row>
    <row r="205" spans="16:50" ht="16.5" x14ac:dyDescent="0.25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</row>
    <row r="206" spans="16:50" ht="16.5" x14ac:dyDescent="0.25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</row>
    <row r="207" spans="16:50" ht="16.5" x14ac:dyDescent="0.25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</row>
    <row r="208" spans="16:50" ht="16.5" x14ac:dyDescent="0.25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</row>
    <row r="209" spans="16:50" ht="16.5" x14ac:dyDescent="0.25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</row>
    <row r="210" spans="16:50" ht="16.5" x14ac:dyDescent="0.25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</row>
    <row r="211" spans="16:50" ht="16.5" x14ac:dyDescent="0.25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</row>
    <row r="212" spans="16:50" ht="16.5" x14ac:dyDescent="0.25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</row>
    <row r="213" spans="16:50" ht="16.5" x14ac:dyDescent="0.25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</row>
    <row r="214" spans="16:50" ht="16.5" x14ac:dyDescent="0.25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</row>
    <row r="215" spans="16:50" ht="16.5" x14ac:dyDescent="0.25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</row>
    <row r="216" spans="16:50" ht="16.5" x14ac:dyDescent="0.25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</row>
    <row r="217" spans="16:50" ht="16.5" x14ac:dyDescent="0.25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</row>
    <row r="218" spans="16:50" ht="16.5" x14ac:dyDescent="0.25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</row>
    <row r="219" spans="16:50" ht="16.5" x14ac:dyDescent="0.25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</row>
    <row r="220" spans="16:50" ht="16.5" x14ac:dyDescent="0.25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</row>
    <row r="221" spans="16:50" ht="16.5" x14ac:dyDescent="0.25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</row>
    <row r="222" spans="16:50" ht="16.5" x14ac:dyDescent="0.25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</row>
    <row r="223" spans="16:50" ht="16.5" x14ac:dyDescent="0.25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</row>
    <row r="224" spans="16:50" ht="16.5" x14ac:dyDescent="0.25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</row>
    <row r="225" spans="16:50" ht="16.5" x14ac:dyDescent="0.25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</row>
    <row r="226" spans="16:50" ht="16.5" x14ac:dyDescent="0.25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</row>
    <row r="227" spans="16:50" ht="16.5" x14ac:dyDescent="0.25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</row>
    <row r="228" spans="16:50" ht="16.5" x14ac:dyDescent="0.25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</row>
    <row r="229" spans="16:50" ht="16.5" x14ac:dyDescent="0.25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</row>
    <row r="230" spans="16:50" ht="16.5" x14ac:dyDescent="0.25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</row>
    <row r="231" spans="16:50" ht="16.5" x14ac:dyDescent="0.25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</row>
    <row r="232" spans="16:50" ht="16.5" x14ac:dyDescent="0.25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</row>
    <row r="233" spans="16:50" ht="16.5" x14ac:dyDescent="0.25"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</row>
    <row r="234" spans="16:50" ht="16.5" x14ac:dyDescent="0.25"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</row>
    <row r="235" spans="16:50" ht="16.5" x14ac:dyDescent="0.25"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</row>
    <row r="236" spans="16:50" ht="16.5" x14ac:dyDescent="0.25"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</row>
    <row r="237" spans="16:50" ht="16.5" x14ac:dyDescent="0.25"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</row>
    <row r="238" spans="16:50" ht="16.5" x14ac:dyDescent="0.25"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</row>
    <row r="239" spans="16:50" ht="16.5" x14ac:dyDescent="0.25"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</row>
    <row r="240" spans="16:50" ht="16.5" x14ac:dyDescent="0.25"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</row>
    <row r="241" spans="16:50" ht="16.5" x14ac:dyDescent="0.25"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</row>
    <row r="242" spans="16:50" ht="16.5" x14ac:dyDescent="0.25"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</row>
    <row r="243" spans="16:50" ht="16.5" x14ac:dyDescent="0.25"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</row>
    <row r="244" spans="16:50" ht="16.5" x14ac:dyDescent="0.25"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</row>
    <row r="245" spans="16:50" ht="16.5" x14ac:dyDescent="0.25"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</row>
    <row r="246" spans="16:50" ht="16.5" x14ac:dyDescent="0.25"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</row>
    <row r="247" spans="16:50" ht="16.5" x14ac:dyDescent="0.25"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</row>
    <row r="248" spans="16:50" ht="16.5" x14ac:dyDescent="0.25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</row>
    <row r="249" spans="16:50" ht="16.5" x14ac:dyDescent="0.25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</row>
    <row r="250" spans="16:50" ht="16.5" x14ac:dyDescent="0.25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</row>
    <row r="251" spans="16:50" ht="16.5" x14ac:dyDescent="0.25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</row>
    <row r="252" spans="16:50" ht="16.5" x14ac:dyDescent="0.25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</row>
    <row r="253" spans="16:50" ht="16.5" x14ac:dyDescent="0.25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</row>
    <row r="254" spans="16:50" ht="16.5" x14ac:dyDescent="0.25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</row>
    <row r="255" spans="16:50" ht="16.5" x14ac:dyDescent="0.25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</row>
    <row r="256" spans="16:50" ht="16.5" x14ac:dyDescent="0.25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</row>
    <row r="257" spans="16:50" ht="16.5" x14ac:dyDescent="0.25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</row>
    <row r="258" spans="16:50" ht="16.5" x14ac:dyDescent="0.25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</row>
    <row r="259" spans="16:50" ht="16.5" x14ac:dyDescent="0.25"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</row>
    <row r="260" spans="16:50" ht="16.5" x14ac:dyDescent="0.25"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</row>
    <row r="261" spans="16:50" ht="16.5" x14ac:dyDescent="0.25"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</row>
    <row r="262" spans="16:50" ht="16.5" x14ac:dyDescent="0.25"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</row>
    <row r="263" spans="16:50" ht="16.5" x14ac:dyDescent="0.25"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</row>
    <row r="264" spans="16:50" ht="16.5" x14ac:dyDescent="0.25"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</row>
    <row r="265" spans="16:50" ht="16.5" x14ac:dyDescent="0.25"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</row>
    <row r="266" spans="16:50" ht="16.5" x14ac:dyDescent="0.25"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</row>
    <row r="267" spans="16:50" ht="16.5" x14ac:dyDescent="0.25"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</row>
    <row r="268" spans="16:50" ht="16.5" x14ac:dyDescent="0.25"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</row>
    <row r="269" spans="16:50" ht="16.5" x14ac:dyDescent="0.25"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</row>
    <row r="270" spans="16:50" ht="16.5" x14ac:dyDescent="0.25"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</row>
    <row r="271" spans="16:50" ht="16.5" x14ac:dyDescent="0.25"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</row>
    <row r="272" spans="16:50" ht="16.5" x14ac:dyDescent="0.25"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</row>
    <row r="273" spans="16:50" ht="16.5" x14ac:dyDescent="0.25"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</row>
    <row r="274" spans="16:50" ht="16.5" x14ac:dyDescent="0.25"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</row>
    <row r="275" spans="16:50" ht="16.5" x14ac:dyDescent="0.25"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</row>
    <row r="276" spans="16:50" ht="16.5" x14ac:dyDescent="0.25"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</row>
    <row r="277" spans="16:50" ht="16.5" x14ac:dyDescent="0.25"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</row>
    <row r="278" spans="16:50" ht="16.5" x14ac:dyDescent="0.25"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</row>
    <row r="279" spans="16:50" ht="16.5" x14ac:dyDescent="0.25"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</row>
    <row r="280" spans="16:50" ht="16.5" x14ac:dyDescent="0.25"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</row>
    <row r="281" spans="16:50" ht="16.5" x14ac:dyDescent="0.25"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</row>
    <row r="282" spans="16:50" ht="16.5" x14ac:dyDescent="0.25"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</row>
    <row r="283" spans="16:50" ht="16.5" x14ac:dyDescent="0.25"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</row>
    <row r="284" spans="16:50" ht="16.5" x14ac:dyDescent="0.25"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</row>
    <row r="285" spans="16:50" ht="16.5" x14ac:dyDescent="0.25"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</row>
    <row r="286" spans="16:50" ht="16.5" x14ac:dyDescent="0.25"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</row>
    <row r="287" spans="16:50" ht="16.5" x14ac:dyDescent="0.25"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</row>
    <row r="288" spans="16:50" ht="16.5" x14ac:dyDescent="0.25"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</row>
    <row r="289" spans="16:50" ht="16.5" x14ac:dyDescent="0.25"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</row>
    <row r="290" spans="16:50" ht="16.5" x14ac:dyDescent="0.25"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</row>
    <row r="291" spans="16:50" ht="16.5" x14ac:dyDescent="0.25"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</row>
    <row r="292" spans="16:50" ht="16.5" x14ac:dyDescent="0.25"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</row>
    <row r="293" spans="16:50" ht="16.5" x14ac:dyDescent="0.25"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</row>
    <row r="294" spans="16:50" ht="16.5" x14ac:dyDescent="0.25"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</row>
    <row r="295" spans="16:50" ht="16.5" x14ac:dyDescent="0.25"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</row>
    <row r="296" spans="16:50" ht="16.5" x14ac:dyDescent="0.25"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</row>
    <row r="297" spans="16:50" ht="16.5" x14ac:dyDescent="0.25"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</row>
    <row r="298" spans="16:50" ht="16.5" x14ac:dyDescent="0.25"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</row>
    <row r="299" spans="16:50" ht="16.5" x14ac:dyDescent="0.25"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</row>
    <row r="300" spans="16:50" ht="16.5" x14ac:dyDescent="0.25"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</row>
    <row r="301" spans="16:50" ht="16.5" x14ac:dyDescent="0.25"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</row>
    <row r="302" spans="16:50" ht="16.5" x14ac:dyDescent="0.25"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</row>
    <row r="303" spans="16:50" ht="16.5" x14ac:dyDescent="0.25"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</row>
    <row r="304" spans="16:50" ht="16.5" x14ac:dyDescent="0.25"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</row>
    <row r="305" spans="16:50" ht="16.5" x14ac:dyDescent="0.25"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</row>
    <row r="306" spans="16:50" ht="16.5" x14ac:dyDescent="0.25"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</row>
    <row r="307" spans="16:50" ht="16.5" x14ac:dyDescent="0.25"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</row>
    <row r="308" spans="16:50" ht="16.5" x14ac:dyDescent="0.25"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</row>
    <row r="309" spans="16:50" ht="16.5" x14ac:dyDescent="0.25"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</row>
    <row r="310" spans="16:50" ht="16.5" x14ac:dyDescent="0.25"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</row>
    <row r="311" spans="16:50" ht="16.5" x14ac:dyDescent="0.25"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</row>
    <row r="312" spans="16:50" ht="16.5" x14ac:dyDescent="0.25"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</row>
    <row r="313" spans="16:50" ht="16.5" x14ac:dyDescent="0.25"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</row>
    <row r="314" spans="16:50" ht="16.5" x14ac:dyDescent="0.25"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</row>
    <row r="315" spans="16:50" ht="16.5" x14ac:dyDescent="0.25"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</row>
    <row r="316" spans="16:50" ht="16.5" x14ac:dyDescent="0.25"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</row>
    <row r="317" spans="16:50" ht="16.5" x14ac:dyDescent="0.25"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</row>
    <row r="318" spans="16:50" ht="16.5" x14ac:dyDescent="0.25"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</row>
    <row r="319" spans="16:50" ht="16.5" x14ac:dyDescent="0.25"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</row>
    <row r="320" spans="16:50" ht="16.5" x14ac:dyDescent="0.25"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</row>
    <row r="321" spans="16:50" ht="16.5" x14ac:dyDescent="0.25"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</row>
    <row r="322" spans="16:50" ht="16.5" x14ac:dyDescent="0.25"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</row>
    <row r="323" spans="16:50" ht="16.5" x14ac:dyDescent="0.25"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</row>
    <row r="324" spans="16:50" ht="16.5" x14ac:dyDescent="0.25"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</row>
    <row r="325" spans="16:50" ht="16.5" x14ac:dyDescent="0.25"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</row>
    <row r="326" spans="16:50" ht="16.5" x14ac:dyDescent="0.25"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</row>
    <row r="327" spans="16:50" ht="16.5" x14ac:dyDescent="0.25"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</row>
    <row r="328" spans="16:50" ht="16.5" x14ac:dyDescent="0.25"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</row>
    <row r="329" spans="16:50" ht="16.5" x14ac:dyDescent="0.25"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</row>
    <row r="330" spans="16:50" ht="16.5" x14ac:dyDescent="0.25"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</row>
    <row r="331" spans="16:50" ht="16.5" x14ac:dyDescent="0.25"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</row>
    <row r="332" spans="16:50" ht="16.5" x14ac:dyDescent="0.25"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</row>
    <row r="333" spans="16:50" ht="16.5" x14ac:dyDescent="0.25"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</row>
    <row r="334" spans="16:50" ht="16.5" x14ac:dyDescent="0.25"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</row>
    <row r="335" spans="16:50" ht="16.5" x14ac:dyDescent="0.25"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</row>
    <row r="336" spans="16:50" ht="16.5" x14ac:dyDescent="0.25"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</row>
    <row r="337" spans="16:50" ht="16.5" x14ac:dyDescent="0.25"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</row>
    <row r="338" spans="16:50" ht="16.5" x14ac:dyDescent="0.25"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</row>
    <row r="339" spans="16:50" ht="16.5" x14ac:dyDescent="0.25"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</row>
    <row r="340" spans="16:50" ht="16.5" x14ac:dyDescent="0.25"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</row>
    <row r="341" spans="16:50" ht="16.5" x14ac:dyDescent="0.25"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</row>
    <row r="342" spans="16:50" ht="16.5" x14ac:dyDescent="0.25"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</row>
    <row r="343" spans="16:50" ht="16.5" x14ac:dyDescent="0.25"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</row>
    <row r="344" spans="16:50" ht="16.5" x14ac:dyDescent="0.25"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</row>
    <row r="345" spans="16:50" ht="16.5" x14ac:dyDescent="0.25"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</row>
    <row r="346" spans="16:50" ht="16.5" x14ac:dyDescent="0.25"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</row>
    <row r="347" spans="16:50" ht="16.5" x14ac:dyDescent="0.25"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</row>
    <row r="348" spans="16:50" ht="16.5" x14ac:dyDescent="0.25"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</row>
    <row r="349" spans="16:50" ht="16.5" x14ac:dyDescent="0.25"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</row>
    <row r="350" spans="16:50" ht="16.5" x14ac:dyDescent="0.25"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</row>
    <row r="351" spans="16:50" ht="16.5" x14ac:dyDescent="0.25"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</row>
    <row r="352" spans="16:50" ht="16.5" x14ac:dyDescent="0.25"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</row>
    <row r="353" spans="16:50" ht="16.5" x14ac:dyDescent="0.25"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</row>
    <row r="354" spans="16:50" ht="16.5" x14ac:dyDescent="0.25"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</row>
    <row r="355" spans="16:50" ht="16.5" x14ac:dyDescent="0.25"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</row>
    <row r="356" spans="16:50" ht="16.5" x14ac:dyDescent="0.25"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</row>
    <row r="357" spans="16:50" ht="16.5" x14ac:dyDescent="0.25"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</row>
    <row r="358" spans="16:50" ht="16.5" x14ac:dyDescent="0.25"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</row>
    <row r="359" spans="16:50" ht="16.5" x14ac:dyDescent="0.25"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</row>
    <row r="360" spans="16:50" ht="16.5" x14ac:dyDescent="0.25"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</row>
    <row r="361" spans="16:50" ht="16.5" x14ac:dyDescent="0.25"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</row>
    <row r="362" spans="16:50" ht="16.5" x14ac:dyDescent="0.25"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</row>
    <row r="363" spans="16:50" ht="16.5" x14ac:dyDescent="0.25"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</row>
    <row r="364" spans="16:50" ht="16.5" x14ac:dyDescent="0.25"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</row>
    <row r="365" spans="16:50" ht="16.5" x14ac:dyDescent="0.25"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</row>
    <row r="366" spans="16:50" ht="16.5" x14ac:dyDescent="0.25"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</row>
    <row r="367" spans="16:50" ht="16.5" x14ac:dyDescent="0.25"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</row>
    <row r="368" spans="16:50" ht="16.5" x14ac:dyDescent="0.25"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</row>
    <row r="369" spans="16:50" ht="16.5" x14ac:dyDescent="0.25"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</row>
    <row r="370" spans="16:50" ht="16.5" x14ac:dyDescent="0.25"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</row>
    <row r="371" spans="16:50" ht="16.5" x14ac:dyDescent="0.25"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</row>
    <row r="372" spans="16:50" ht="16.5" x14ac:dyDescent="0.25"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</row>
    <row r="373" spans="16:50" ht="16.5" x14ac:dyDescent="0.25"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</row>
    <row r="374" spans="16:50" ht="16.5" x14ac:dyDescent="0.25"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</row>
    <row r="375" spans="16:50" ht="16.5" x14ac:dyDescent="0.25"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</row>
    <row r="376" spans="16:50" ht="16.5" x14ac:dyDescent="0.25"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</row>
    <row r="377" spans="16:50" ht="16.5" x14ac:dyDescent="0.25"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</row>
    <row r="378" spans="16:50" ht="16.5" x14ac:dyDescent="0.25"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</row>
    <row r="379" spans="16:50" ht="16.5" x14ac:dyDescent="0.25"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</row>
    <row r="380" spans="16:50" ht="16.5" x14ac:dyDescent="0.25"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</row>
    <row r="381" spans="16:50" ht="16.5" x14ac:dyDescent="0.25"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</row>
    <row r="382" spans="16:50" ht="16.5" x14ac:dyDescent="0.25"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</row>
    <row r="383" spans="16:50" ht="16.5" x14ac:dyDescent="0.25"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</row>
    <row r="384" spans="16:50" ht="16.5" x14ac:dyDescent="0.25"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</row>
    <row r="385" spans="16:50" ht="16.5" x14ac:dyDescent="0.25"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</row>
    <row r="386" spans="16:50" ht="16.5" x14ac:dyDescent="0.25"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</row>
    <row r="387" spans="16:50" ht="16.5" x14ac:dyDescent="0.25"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</row>
    <row r="388" spans="16:50" ht="16.5" x14ac:dyDescent="0.25"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</row>
    <row r="389" spans="16:50" ht="16.5" x14ac:dyDescent="0.25"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</row>
    <row r="390" spans="16:50" ht="16.5" x14ac:dyDescent="0.25"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</row>
    <row r="391" spans="16:50" ht="16.5" x14ac:dyDescent="0.25"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</row>
    <row r="392" spans="16:50" ht="16.5" x14ac:dyDescent="0.25"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</row>
    <row r="393" spans="16:50" ht="16.5" x14ac:dyDescent="0.25"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</row>
    <row r="394" spans="16:50" ht="16.5" x14ac:dyDescent="0.25"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</row>
    <row r="395" spans="16:50" ht="16.5" x14ac:dyDescent="0.25"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</row>
    <row r="396" spans="16:50" ht="16.5" x14ac:dyDescent="0.25"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</row>
    <row r="397" spans="16:50" ht="16.5" x14ac:dyDescent="0.25"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</row>
    <row r="398" spans="16:50" ht="16.5" x14ac:dyDescent="0.25"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</row>
    <row r="399" spans="16:50" ht="16.5" x14ac:dyDescent="0.25"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</row>
    <row r="400" spans="16:50" ht="16.5" x14ac:dyDescent="0.25"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</row>
    <row r="401" spans="16:50" ht="16.5" x14ac:dyDescent="0.25"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</row>
    <row r="402" spans="16:50" ht="16.5" x14ac:dyDescent="0.25"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</row>
    <row r="403" spans="16:50" ht="16.5" x14ac:dyDescent="0.25"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</row>
    <row r="404" spans="16:50" ht="16.5" x14ac:dyDescent="0.25"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</row>
    <row r="405" spans="16:50" ht="16.5" x14ac:dyDescent="0.25"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</row>
    <row r="406" spans="16:50" ht="16.5" x14ac:dyDescent="0.25"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</row>
    <row r="407" spans="16:50" ht="16.5" x14ac:dyDescent="0.25"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</row>
    <row r="408" spans="16:50" ht="16.5" x14ac:dyDescent="0.25"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</row>
    <row r="409" spans="16:50" ht="16.5" x14ac:dyDescent="0.25"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</row>
    <row r="410" spans="16:50" ht="16.5" x14ac:dyDescent="0.25"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</row>
    <row r="411" spans="16:50" ht="16.5" x14ac:dyDescent="0.25"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</row>
    <row r="412" spans="16:50" ht="16.5" x14ac:dyDescent="0.25"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</row>
    <row r="413" spans="16:50" ht="16.5" x14ac:dyDescent="0.25"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</row>
    <row r="414" spans="16:50" ht="16.5" x14ac:dyDescent="0.25"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</row>
    <row r="415" spans="16:50" ht="16.5" x14ac:dyDescent="0.25"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</row>
    <row r="416" spans="16:50" ht="16.5" x14ac:dyDescent="0.25"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</row>
    <row r="417" spans="16:50" ht="16.5" x14ac:dyDescent="0.25"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</row>
    <row r="418" spans="16:50" ht="16.5" x14ac:dyDescent="0.25"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</row>
    <row r="419" spans="16:50" ht="16.5" x14ac:dyDescent="0.25"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</row>
    <row r="420" spans="16:50" ht="16.5" x14ac:dyDescent="0.25"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</row>
    <row r="421" spans="16:50" ht="16.5" x14ac:dyDescent="0.25"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</row>
    <row r="422" spans="16:50" ht="16.5" x14ac:dyDescent="0.25"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</row>
    <row r="423" spans="16:50" ht="16.5" x14ac:dyDescent="0.25"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</row>
    <row r="424" spans="16:50" ht="16.5" x14ac:dyDescent="0.25"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</row>
    <row r="425" spans="16:50" ht="16.5" x14ac:dyDescent="0.25"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</row>
    <row r="426" spans="16:50" ht="16.5" x14ac:dyDescent="0.25"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</row>
    <row r="427" spans="16:50" ht="16.5" x14ac:dyDescent="0.25"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</row>
    <row r="428" spans="16:50" ht="16.5" x14ac:dyDescent="0.25"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</row>
    <row r="429" spans="16:50" ht="16.5" x14ac:dyDescent="0.25"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</row>
    <row r="430" spans="16:50" ht="16.5" x14ac:dyDescent="0.25"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</row>
    <row r="431" spans="16:50" ht="16.5" x14ac:dyDescent="0.25"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</row>
    <row r="432" spans="16:50" ht="16.5" x14ac:dyDescent="0.25"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</row>
    <row r="433" spans="16:50" ht="16.5" x14ac:dyDescent="0.25"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</row>
    <row r="434" spans="16:50" ht="16.5" x14ac:dyDescent="0.25"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</row>
    <row r="435" spans="16:50" ht="16.5" x14ac:dyDescent="0.25"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</row>
    <row r="436" spans="16:50" ht="16.5" x14ac:dyDescent="0.25"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</row>
    <row r="437" spans="16:50" ht="16.5" x14ac:dyDescent="0.25"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</row>
    <row r="438" spans="16:50" ht="16.5" x14ac:dyDescent="0.25"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</row>
    <row r="439" spans="16:50" ht="16.5" x14ac:dyDescent="0.25"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</row>
    <row r="440" spans="16:50" ht="16.5" x14ac:dyDescent="0.25"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</row>
    <row r="441" spans="16:50" ht="16.5" x14ac:dyDescent="0.25"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</row>
    <row r="442" spans="16:50" ht="16.5" x14ac:dyDescent="0.25"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</row>
    <row r="443" spans="16:50" ht="16.5" x14ac:dyDescent="0.25"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</row>
    <row r="444" spans="16:50" ht="16.5" x14ac:dyDescent="0.25"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</row>
    <row r="445" spans="16:50" ht="16.5" x14ac:dyDescent="0.25"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</row>
    <row r="446" spans="16:50" ht="16.5" x14ac:dyDescent="0.25"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</row>
    <row r="447" spans="16:50" ht="16.5" x14ac:dyDescent="0.25"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</row>
    <row r="448" spans="16:50" ht="16.5" x14ac:dyDescent="0.25"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</row>
    <row r="449" spans="16:50" ht="16.5" x14ac:dyDescent="0.25"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</row>
    <row r="450" spans="16:50" ht="16.5" x14ac:dyDescent="0.25"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</row>
    <row r="451" spans="16:50" ht="16.5" x14ac:dyDescent="0.25"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</row>
    <row r="452" spans="16:50" ht="16.5" x14ac:dyDescent="0.25"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</row>
    <row r="453" spans="16:50" ht="16.5" x14ac:dyDescent="0.25"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</row>
    <row r="454" spans="16:50" ht="16.5" x14ac:dyDescent="0.25"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</row>
    <row r="455" spans="16:50" ht="16.5" x14ac:dyDescent="0.25"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</row>
    <row r="456" spans="16:50" ht="16.5" x14ac:dyDescent="0.25"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</row>
    <row r="457" spans="16:50" ht="16.5" x14ac:dyDescent="0.25"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</row>
    <row r="458" spans="16:50" ht="16.5" x14ac:dyDescent="0.25"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</row>
    <row r="459" spans="16:50" ht="16.5" x14ac:dyDescent="0.25"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</row>
    <row r="460" spans="16:50" ht="16.5" x14ac:dyDescent="0.25"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</row>
    <row r="461" spans="16:50" ht="16.5" x14ac:dyDescent="0.25"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</row>
    <row r="462" spans="16:50" ht="16.5" x14ac:dyDescent="0.25"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</row>
    <row r="463" spans="16:50" ht="16.5" x14ac:dyDescent="0.25"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</row>
    <row r="464" spans="16:50" ht="16.5" x14ac:dyDescent="0.25"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</row>
    <row r="465" spans="16:50" ht="16.5" x14ac:dyDescent="0.25"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</row>
    <row r="466" spans="16:50" ht="16.5" x14ac:dyDescent="0.25"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</row>
    <row r="467" spans="16:50" ht="16.5" x14ac:dyDescent="0.25"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</row>
    <row r="468" spans="16:50" ht="16.5" x14ac:dyDescent="0.25"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</row>
    <row r="469" spans="16:50" ht="16.5" x14ac:dyDescent="0.25"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</row>
    <row r="470" spans="16:50" ht="16.5" x14ac:dyDescent="0.25"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</row>
    <row r="471" spans="16:50" ht="16.5" x14ac:dyDescent="0.25"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</row>
    <row r="472" spans="16:50" ht="16.5" x14ac:dyDescent="0.25"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</row>
    <row r="473" spans="16:50" ht="16.5" x14ac:dyDescent="0.25"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</row>
    <row r="474" spans="16:50" ht="16.5" x14ac:dyDescent="0.25"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</row>
    <row r="475" spans="16:50" ht="16.5" x14ac:dyDescent="0.25"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</row>
    <row r="476" spans="16:50" ht="16.5" x14ac:dyDescent="0.25"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</row>
    <row r="477" spans="16:50" ht="16.5" x14ac:dyDescent="0.25"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</row>
    <row r="478" spans="16:50" ht="16.5" x14ac:dyDescent="0.25"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</row>
    <row r="479" spans="16:50" ht="16.5" x14ac:dyDescent="0.25"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</row>
    <row r="480" spans="16:50" ht="16.5" x14ac:dyDescent="0.25"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</row>
    <row r="481" spans="16:50" ht="16.5" x14ac:dyDescent="0.25"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</row>
    <row r="482" spans="16:50" ht="16.5" x14ac:dyDescent="0.25"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</row>
    <row r="483" spans="16:50" ht="16.5" x14ac:dyDescent="0.25"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</row>
    <row r="484" spans="16:50" ht="16.5" x14ac:dyDescent="0.25"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</row>
    <row r="485" spans="16:50" ht="16.5" x14ac:dyDescent="0.25"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</row>
    <row r="486" spans="16:50" ht="16.5" x14ac:dyDescent="0.25"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</row>
    <row r="487" spans="16:50" ht="16.5" x14ac:dyDescent="0.25"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</row>
    <row r="488" spans="16:50" ht="16.5" x14ac:dyDescent="0.25"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</row>
    <row r="489" spans="16:50" ht="16.5" x14ac:dyDescent="0.25"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</row>
    <row r="490" spans="16:50" ht="16.5" x14ac:dyDescent="0.25"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</row>
    <row r="491" spans="16:50" ht="16.5" x14ac:dyDescent="0.25"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</row>
    <row r="492" spans="16:50" ht="16.5" x14ac:dyDescent="0.25"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</row>
    <row r="493" spans="16:50" ht="16.5" x14ac:dyDescent="0.25"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tabColor rgb="FFFF0000"/>
  </sheetPr>
  <dimension ref="A1:S61"/>
  <sheetViews>
    <sheetView workbookViewId="0">
      <selection activeCell="H11" sqref="H11:I61"/>
    </sheetView>
  </sheetViews>
  <sheetFormatPr defaultRowHeight="12.75" x14ac:dyDescent="0.25"/>
  <cols>
    <col min="1" max="1" width="9" style="1"/>
    <col min="2" max="2" width="13.75" style="1" customWidth="1"/>
    <col min="3" max="3" width="11.375" style="1" customWidth="1"/>
    <col min="4" max="5" width="9" style="1"/>
    <col min="6" max="6" width="11" style="1" customWidth="1"/>
    <col min="7" max="10" width="9" style="1"/>
    <col min="11" max="11" width="12.75" style="1" customWidth="1"/>
    <col min="12" max="12" width="9" style="1"/>
    <col min="13" max="14" width="10.625" style="1" customWidth="1"/>
    <col min="15" max="15" width="9" style="1"/>
    <col min="16" max="16" width="12.125" style="1" customWidth="1"/>
    <col min="17" max="17" width="13.125" style="1" customWidth="1"/>
    <col min="18" max="18" width="11.625" style="1" customWidth="1"/>
    <col min="19" max="16384" width="9" style="1"/>
  </cols>
  <sheetData>
    <row r="1" spans="1:19" x14ac:dyDescent="0.25">
      <c r="A1" s="68" t="s">
        <v>88</v>
      </c>
      <c r="B1" s="22"/>
      <c r="C1" s="22"/>
    </row>
    <row r="2" spans="1:19" ht="13.5" thickBot="1" x14ac:dyDescent="0.3">
      <c r="A2" s="3"/>
    </row>
    <row r="3" spans="1:19" x14ac:dyDescent="0.25">
      <c r="A3" s="3"/>
      <c r="M3" s="17" t="s">
        <v>97</v>
      </c>
      <c r="N3" s="15" t="s">
        <v>104</v>
      </c>
    </row>
    <row r="4" spans="1:19" ht="13.5" thickBot="1" x14ac:dyDescent="0.3">
      <c r="A4" s="3"/>
      <c r="M4" s="18" t="s">
        <v>98</v>
      </c>
      <c r="N4" s="19" t="s">
        <v>97</v>
      </c>
    </row>
    <row r="5" spans="1:19" x14ac:dyDescent="0.25">
      <c r="N5" s="19" t="s">
        <v>98</v>
      </c>
    </row>
    <row r="6" spans="1:19" ht="13.5" thickBot="1" x14ac:dyDescent="0.3">
      <c r="N6" s="16" t="s">
        <v>105</v>
      </c>
    </row>
    <row r="8" spans="1:19" x14ac:dyDescent="0.25">
      <c r="B8" s="20" t="s">
        <v>89</v>
      </c>
      <c r="K8" s="20" t="s">
        <v>95</v>
      </c>
    </row>
    <row r="9" spans="1:19" x14ac:dyDescent="0.25">
      <c r="E9" s="21" t="s">
        <v>94</v>
      </c>
      <c r="H9" s="21" t="s">
        <v>93</v>
      </c>
    </row>
    <row r="10" spans="1:19" x14ac:dyDescent="0.25">
      <c r="A10" s="34" t="s">
        <v>106</v>
      </c>
      <c r="B10" s="43" t="s">
        <v>91</v>
      </c>
      <c r="C10" s="43" t="s">
        <v>92</v>
      </c>
      <c r="E10" s="1" t="s">
        <v>90</v>
      </c>
      <c r="F10" s="20" t="str">
        <f>VLOOKUP("X",$A$11:$C$14,2,)</f>
        <v>SPEC</v>
      </c>
      <c r="H10" s="1" t="s">
        <v>90</v>
      </c>
      <c r="I10" s="20">
        <f>VLOOKUP("Y",$A$11:$C$14,2,)</f>
        <v>0</v>
      </c>
      <c r="K10" s="45" t="s">
        <v>60</v>
      </c>
      <c r="L10" s="45" t="s">
        <v>96</v>
      </c>
      <c r="M10" s="45" t="s">
        <v>99</v>
      </c>
      <c r="N10" s="45" t="s">
        <v>102</v>
      </c>
      <c r="O10" s="45" t="s">
        <v>100</v>
      </c>
      <c r="P10" s="45" t="s">
        <v>79</v>
      </c>
      <c r="Q10" s="45" t="s">
        <v>90</v>
      </c>
      <c r="R10" s="45" t="s">
        <v>101</v>
      </c>
      <c r="S10" s="24" t="s">
        <v>106</v>
      </c>
    </row>
    <row r="11" spans="1:19" ht="16.5" x14ac:dyDescent="0.25">
      <c r="A11" s="62" t="s">
        <v>114</v>
      </c>
      <c r="B11" s="4" t="s">
        <v>109</v>
      </c>
      <c r="C11" s="4">
        <v>0.05</v>
      </c>
      <c r="E11" s="115"/>
      <c r="F11" s="116"/>
      <c r="G11"/>
      <c r="H11" s="115"/>
      <c r="I11" s="116"/>
      <c r="K11" s="4" t="s">
        <v>338</v>
      </c>
      <c r="L11" s="4">
        <v>0.05</v>
      </c>
      <c r="M11" s="4" t="s">
        <v>188</v>
      </c>
      <c r="N11" s="4" t="s">
        <v>103</v>
      </c>
      <c r="O11" s="4">
        <v>0</v>
      </c>
      <c r="P11" s="4">
        <v>0.05</v>
      </c>
      <c r="Q11" s="4" t="s">
        <v>109</v>
      </c>
      <c r="R11" s="4">
        <v>1</v>
      </c>
      <c r="S11" s="64" t="str">
        <f>A11</f>
        <v>X</v>
      </c>
    </row>
    <row r="12" spans="1:19" ht="16.5" x14ac:dyDescent="0.25">
      <c r="A12" s="62" t="s">
        <v>115</v>
      </c>
      <c r="B12" s="4"/>
      <c r="C12" s="4"/>
      <c r="E12" s="117"/>
      <c r="F12" s="118"/>
      <c r="G12"/>
      <c r="H12" s="117"/>
      <c r="I12" s="118"/>
      <c r="K12" s="4" t="s">
        <v>340</v>
      </c>
      <c r="L12" s="4">
        <v>0.05</v>
      </c>
      <c r="M12" s="4" t="s">
        <v>188</v>
      </c>
      <c r="N12" s="4" t="s">
        <v>103</v>
      </c>
      <c r="O12" s="4">
        <v>0</v>
      </c>
      <c r="P12" s="4">
        <v>0.05</v>
      </c>
      <c r="Q12" s="4" t="s">
        <v>109</v>
      </c>
      <c r="R12" s="4">
        <v>1</v>
      </c>
      <c r="S12" s="64" t="str">
        <f>A12</f>
        <v>Y</v>
      </c>
    </row>
    <row r="13" spans="1:19" ht="16.5" x14ac:dyDescent="0.25">
      <c r="A13" s="62"/>
      <c r="B13" s="4"/>
      <c r="C13" s="4"/>
      <c r="E13" s="117"/>
      <c r="F13" s="118"/>
      <c r="G13"/>
      <c r="H13" s="117"/>
      <c r="I13" s="118"/>
      <c r="K13" s="4"/>
      <c r="L13" s="4"/>
      <c r="M13" s="4"/>
      <c r="N13" s="4"/>
      <c r="O13" s="4"/>
      <c r="P13" s="4"/>
      <c r="Q13" s="4"/>
      <c r="R13" s="4"/>
      <c r="S13" s="64"/>
    </row>
    <row r="14" spans="1:19" ht="16.5" x14ac:dyDescent="0.25">
      <c r="A14" s="62"/>
      <c r="B14"/>
      <c r="C14"/>
      <c r="E14" s="117"/>
      <c r="F14" s="118"/>
      <c r="G14"/>
      <c r="H14" s="117"/>
      <c r="I14" s="118"/>
      <c r="K14" s="63"/>
      <c r="L14" s="63"/>
      <c r="M14" s="63"/>
      <c r="N14" s="63"/>
      <c r="O14" s="63"/>
      <c r="P14" s="63"/>
      <c r="Q14" s="63"/>
      <c r="R14" s="63"/>
      <c r="S14" s="4"/>
    </row>
    <row r="15" spans="1:19" ht="16.5" x14ac:dyDescent="0.25">
      <c r="E15" s="117"/>
      <c r="F15" s="118"/>
      <c r="G15"/>
      <c r="H15" s="117"/>
      <c r="I15" s="118"/>
    </row>
    <row r="16" spans="1:19" ht="16.5" x14ac:dyDescent="0.25">
      <c r="E16" s="117"/>
      <c r="F16" s="118"/>
      <c r="G16"/>
      <c r="H16" s="117"/>
      <c r="I16" s="118"/>
    </row>
    <row r="17" spans="5:9" ht="16.5" x14ac:dyDescent="0.25">
      <c r="E17" s="117"/>
      <c r="F17" s="118"/>
      <c r="G17"/>
      <c r="H17" s="117"/>
      <c r="I17" s="118"/>
    </row>
    <row r="18" spans="5:9" ht="16.5" x14ac:dyDescent="0.25">
      <c r="E18" s="117"/>
      <c r="F18" s="118"/>
      <c r="G18"/>
      <c r="H18" s="117"/>
      <c r="I18" s="118"/>
    </row>
    <row r="19" spans="5:9" ht="16.5" x14ac:dyDescent="0.25">
      <c r="E19" s="117"/>
      <c r="F19" s="118"/>
      <c r="G19"/>
      <c r="H19" s="117"/>
      <c r="I19" s="118"/>
    </row>
    <row r="20" spans="5:9" ht="16.5" x14ac:dyDescent="0.25">
      <c r="E20" s="117"/>
      <c r="F20" s="118"/>
      <c r="G20"/>
      <c r="H20" s="117"/>
      <c r="I20" s="118"/>
    </row>
    <row r="21" spans="5:9" ht="16.5" x14ac:dyDescent="0.25">
      <c r="E21" s="117"/>
      <c r="F21" s="118"/>
      <c r="G21"/>
      <c r="H21" s="117"/>
      <c r="I21" s="118"/>
    </row>
    <row r="22" spans="5:9" ht="16.5" x14ac:dyDescent="0.25">
      <c r="E22" s="117"/>
      <c r="F22" s="118"/>
      <c r="G22"/>
      <c r="H22" s="117"/>
      <c r="I22" s="118"/>
    </row>
    <row r="23" spans="5:9" ht="16.5" x14ac:dyDescent="0.25">
      <c r="E23" s="117"/>
      <c r="F23" s="118"/>
      <c r="G23"/>
      <c r="H23" s="117"/>
      <c r="I23" s="118"/>
    </row>
    <row r="24" spans="5:9" ht="16.5" x14ac:dyDescent="0.25">
      <c r="E24" s="117"/>
      <c r="F24" s="118"/>
      <c r="G24"/>
      <c r="H24" s="117"/>
      <c r="I24" s="118"/>
    </row>
    <row r="25" spans="5:9" ht="16.5" x14ac:dyDescent="0.25">
      <c r="E25" s="117"/>
      <c r="F25" s="118"/>
      <c r="G25"/>
      <c r="H25" s="117"/>
      <c r="I25" s="118"/>
    </row>
    <row r="26" spans="5:9" ht="16.5" x14ac:dyDescent="0.25">
      <c r="E26" s="117"/>
      <c r="F26" s="118"/>
      <c r="G26"/>
      <c r="H26" s="117"/>
      <c r="I26" s="118"/>
    </row>
    <row r="27" spans="5:9" ht="16.5" x14ac:dyDescent="0.25">
      <c r="E27" s="117"/>
      <c r="F27" s="118"/>
      <c r="G27"/>
      <c r="H27" s="117"/>
      <c r="I27" s="118"/>
    </row>
    <row r="28" spans="5:9" ht="16.5" x14ac:dyDescent="0.25">
      <c r="E28" s="117"/>
      <c r="F28" s="118"/>
      <c r="G28"/>
      <c r="H28" s="117"/>
      <c r="I28" s="118"/>
    </row>
    <row r="29" spans="5:9" ht="16.5" x14ac:dyDescent="0.25">
      <c r="E29" s="117"/>
      <c r="F29" s="118"/>
      <c r="G29"/>
      <c r="H29" s="117"/>
      <c r="I29" s="118"/>
    </row>
    <row r="30" spans="5:9" ht="16.5" x14ac:dyDescent="0.25">
      <c r="E30" s="117"/>
      <c r="F30" s="118"/>
      <c r="G30"/>
      <c r="H30" s="117"/>
      <c r="I30" s="118"/>
    </row>
    <row r="31" spans="5:9" ht="16.5" x14ac:dyDescent="0.25">
      <c r="E31" s="117"/>
      <c r="F31" s="118"/>
      <c r="G31"/>
      <c r="H31" s="117"/>
      <c r="I31" s="118"/>
    </row>
    <row r="32" spans="5:9" ht="16.5" x14ac:dyDescent="0.25">
      <c r="E32" s="117"/>
      <c r="F32" s="118"/>
      <c r="G32"/>
      <c r="H32" s="117"/>
      <c r="I32" s="118"/>
    </row>
    <row r="33" spans="5:9" ht="16.5" x14ac:dyDescent="0.25">
      <c r="E33" s="117"/>
      <c r="F33" s="118"/>
      <c r="G33"/>
      <c r="H33" s="117"/>
      <c r="I33" s="118"/>
    </row>
    <row r="34" spans="5:9" ht="16.5" x14ac:dyDescent="0.25">
      <c r="E34" s="117"/>
      <c r="F34" s="118"/>
      <c r="G34"/>
      <c r="H34" s="117"/>
      <c r="I34" s="118"/>
    </row>
    <row r="35" spans="5:9" ht="16.5" x14ac:dyDescent="0.25">
      <c r="E35" s="117"/>
      <c r="F35" s="118"/>
      <c r="G35"/>
      <c r="H35" s="117"/>
      <c r="I35" s="118"/>
    </row>
    <row r="36" spans="5:9" ht="16.5" x14ac:dyDescent="0.25">
      <c r="E36" s="117"/>
      <c r="F36" s="118"/>
      <c r="G36"/>
      <c r="H36" s="117"/>
      <c r="I36" s="118"/>
    </row>
    <row r="37" spans="5:9" ht="16.5" x14ac:dyDescent="0.25">
      <c r="E37" s="117"/>
      <c r="F37" s="118"/>
      <c r="G37"/>
      <c r="H37" s="117"/>
      <c r="I37" s="118"/>
    </row>
    <row r="38" spans="5:9" ht="16.5" x14ac:dyDescent="0.25">
      <c r="E38" s="117"/>
      <c r="F38" s="118"/>
      <c r="G38"/>
      <c r="H38" s="117"/>
      <c r="I38" s="118"/>
    </row>
    <row r="39" spans="5:9" ht="16.5" x14ac:dyDescent="0.25">
      <c r="E39" s="117"/>
      <c r="F39" s="118"/>
      <c r="G39"/>
      <c r="H39" s="117"/>
      <c r="I39" s="118"/>
    </row>
    <row r="40" spans="5:9" ht="16.5" x14ac:dyDescent="0.25">
      <c r="E40" s="117"/>
      <c r="F40" s="118"/>
      <c r="G40"/>
      <c r="H40" s="117"/>
      <c r="I40" s="118"/>
    </row>
    <row r="41" spans="5:9" ht="16.5" x14ac:dyDescent="0.25">
      <c r="E41" s="117"/>
      <c r="F41" s="118"/>
      <c r="G41"/>
      <c r="H41" s="117"/>
      <c r="I41" s="118"/>
    </row>
    <row r="42" spans="5:9" ht="16.5" x14ac:dyDescent="0.25">
      <c r="E42" s="117"/>
      <c r="F42" s="118"/>
      <c r="G42"/>
      <c r="H42" s="117"/>
      <c r="I42" s="118"/>
    </row>
    <row r="43" spans="5:9" ht="16.5" x14ac:dyDescent="0.25">
      <c r="E43" s="117"/>
      <c r="F43" s="118"/>
      <c r="G43"/>
      <c r="H43" s="117"/>
      <c r="I43" s="118"/>
    </row>
    <row r="44" spans="5:9" ht="16.5" x14ac:dyDescent="0.25">
      <c r="E44" s="117"/>
      <c r="F44" s="118"/>
      <c r="G44"/>
      <c r="H44" s="117"/>
      <c r="I44" s="118"/>
    </row>
    <row r="45" spans="5:9" ht="16.5" x14ac:dyDescent="0.25">
      <c r="E45" s="117"/>
      <c r="F45" s="118"/>
      <c r="G45"/>
      <c r="H45" s="117"/>
      <c r="I45" s="118"/>
    </row>
    <row r="46" spans="5:9" ht="16.5" x14ac:dyDescent="0.25">
      <c r="E46" s="117"/>
      <c r="F46" s="118"/>
      <c r="G46"/>
      <c r="H46" s="117"/>
      <c r="I46" s="118"/>
    </row>
    <row r="47" spans="5:9" ht="16.5" x14ac:dyDescent="0.25">
      <c r="E47" s="117"/>
      <c r="F47" s="118"/>
      <c r="G47"/>
      <c r="H47" s="117"/>
      <c r="I47" s="118"/>
    </row>
    <row r="48" spans="5:9" ht="16.5" x14ac:dyDescent="0.25">
      <c r="E48" s="117"/>
      <c r="F48" s="118"/>
      <c r="G48"/>
      <c r="H48" s="117"/>
      <c r="I48" s="118"/>
    </row>
    <row r="49" spans="5:9" ht="16.5" x14ac:dyDescent="0.25">
      <c r="E49" s="117"/>
      <c r="F49" s="118"/>
      <c r="G49"/>
      <c r="H49" s="117"/>
      <c r="I49" s="118"/>
    </row>
    <row r="50" spans="5:9" ht="16.5" x14ac:dyDescent="0.25">
      <c r="E50" s="117"/>
      <c r="F50" s="118"/>
      <c r="G50"/>
      <c r="H50" s="117"/>
      <c r="I50" s="118"/>
    </row>
    <row r="51" spans="5:9" ht="16.5" x14ac:dyDescent="0.25">
      <c r="E51" s="117"/>
      <c r="F51" s="118"/>
      <c r="G51"/>
      <c r="H51" s="117"/>
      <c r="I51" s="118"/>
    </row>
    <row r="52" spans="5:9" ht="16.5" x14ac:dyDescent="0.25">
      <c r="E52" s="117"/>
      <c r="F52" s="118"/>
      <c r="G52"/>
      <c r="H52" s="117"/>
      <c r="I52" s="118"/>
    </row>
    <row r="53" spans="5:9" ht="16.5" x14ac:dyDescent="0.25">
      <c r="E53" s="117"/>
      <c r="F53" s="118"/>
      <c r="G53"/>
      <c r="H53" s="117"/>
      <c r="I53" s="118"/>
    </row>
    <row r="54" spans="5:9" ht="16.5" x14ac:dyDescent="0.25">
      <c r="E54" s="117"/>
      <c r="F54" s="118"/>
      <c r="G54"/>
      <c r="H54" s="117"/>
      <c r="I54" s="118"/>
    </row>
    <row r="55" spans="5:9" ht="16.5" x14ac:dyDescent="0.25">
      <c r="E55" s="117"/>
      <c r="F55" s="118"/>
      <c r="G55"/>
      <c r="H55" s="117"/>
      <c r="I55" s="118"/>
    </row>
    <row r="56" spans="5:9" ht="16.5" x14ac:dyDescent="0.25">
      <c r="E56" s="117"/>
      <c r="F56" s="118"/>
      <c r="G56"/>
      <c r="H56" s="117"/>
      <c r="I56" s="118"/>
    </row>
    <row r="57" spans="5:9" ht="16.5" x14ac:dyDescent="0.25">
      <c r="E57" s="117"/>
      <c r="F57" s="118"/>
      <c r="G57"/>
      <c r="H57" s="117"/>
      <c r="I57" s="118"/>
    </row>
    <row r="58" spans="5:9" ht="16.5" x14ac:dyDescent="0.25">
      <c r="E58" s="117"/>
      <c r="F58" s="118"/>
      <c r="G58"/>
      <c r="H58" s="117"/>
      <c r="I58" s="118"/>
    </row>
    <row r="59" spans="5:9" ht="16.5" x14ac:dyDescent="0.25">
      <c r="E59" s="117"/>
      <c r="F59" s="118"/>
      <c r="G59"/>
      <c r="H59" s="117"/>
      <c r="I59" s="118"/>
    </row>
    <row r="60" spans="5:9" ht="16.5" x14ac:dyDescent="0.25">
      <c r="E60" s="117"/>
      <c r="F60" s="118"/>
      <c r="G60"/>
      <c r="H60" s="117"/>
      <c r="I60" s="118"/>
    </row>
    <row r="61" spans="5:9" ht="16.5" x14ac:dyDescent="0.25">
      <c r="E61" s="119"/>
      <c r="F61" s="120"/>
      <c r="G61"/>
      <c r="H61" s="119"/>
      <c r="I61" s="120"/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FF0000"/>
  </sheetPr>
  <dimension ref="A1:CH597"/>
  <sheetViews>
    <sheetView zoomScale="85" zoomScaleNormal="85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B9" sqref="B9:X182"/>
    </sheetView>
  </sheetViews>
  <sheetFormatPr defaultRowHeight="12.75" x14ac:dyDescent="0.25"/>
  <cols>
    <col min="1" max="2" width="9" style="1"/>
    <col min="3" max="5" width="10.625" style="1" customWidth="1"/>
    <col min="6" max="8" width="9" style="1"/>
    <col min="9" max="10" width="9" style="121"/>
    <col min="11" max="12" width="9" style="122"/>
    <col min="13" max="22" width="9" style="1"/>
    <col min="23" max="23" width="9" style="121"/>
    <col min="24" max="24" width="9" style="122"/>
    <col min="25" max="16384" width="9" style="1"/>
  </cols>
  <sheetData>
    <row r="1" spans="1:86" ht="13.5" thickBot="1" x14ac:dyDescent="0.3">
      <c r="A1" s="3" t="s">
        <v>397</v>
      </c>
    </row>
    <row r="2" spans="1:86" x14ac:dyDescent="0.25">
      <c r="C2" s="15" t="s">
        <v>398</v>
      </c>
      <c r="D2" s="15" t="s">
        <v>398</v>
      </c>
      <c r="E2" s="15" t="s">
        <v>398</v>
      </c>
      <c r="F2" s="15" t="s">
        <v>399</v>
      </c>
    </row>
    <row r="3" spans="1:86" ht="13.5" thickBot="1" x14ac:dyDescent="0.3">
      <c r="C3" s="16" t="s">
        <v>400</v>
      </c>
      <c r="D3" s="16" t="s">
        <v>400</v>
      </c>
      <c r="E3" s="16" t="s">
        <v>400</v>
      </c>
      <c r="F3" s="19" t="s">
        <v>401</v>
      </c>
    </row>
    <row r="4" spans="1:86" ht="13.5" thickBot="1" x14ac:dyDescent="0.3">
      <c r="F4" s="16" t="s">
        <v>109</v>
      </c>
    </row>
    <row r="9" spans="1:86" ht="16.5" x14ac:dyDescent="0.25">
      <c r="B9" s="4"/>
      <c r="C9" s="42" t="s">
        <v>402</v>
      </c>
      <c r="D9" s="42"/>
      <c r="E9" s="42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</row>
    <row r="10" spans="1:86" ht="16.5" x14ac:dyDescent="0.25">
      <c r="B10" s="40" t="s">
        <v>403</v>
      </c>
      <c r="C10" s="23" t="s">
        <v>404</v>
      </c>
      <c r="D10" s="23" t="s">
        <v>405</v>
      </c>
      <c r="E10" s="23" t="s">
        <v>406</v>
      </c>
      <c r="F10" s="4" t="s">
        <v>117</v>
      </c>
      <c r="G10" s="4" t="s">
        <v>245</v>
      </c>
      <c r="H10" s="4" t="s">
        <v>116</v>
      </c>
      <c r="I10" s="4" t="s">
        <v>252</v>
      </c>
      <c r="J10" s="4" t="s">
        <v>392</v>
      </c>
      <c r="K10" s="4" t="s">
        <v>253</v>
      </c>
      <c r="L10" s="4" t="s">
        <v>254</v>
      </c>
      <c r="M10" s="4" t="s">
        <v>393</v>
      </c>
      <c r="N10" s="4" t="s">
        <v>255</v>
      </c>
      <c r="O10" s="4" t="s">
        <v>338</v>
      </c>
      <c r="P10" s="4" t="s">
        <v>340</v>
      </c>
      <c r="Q10" s="4" t="s">
        <v>337</v>
      </c>
      <c r="R10" s="4" t="s">
        <v>339</v>
      </c>
      <c r="S10" s="4" t="s">
        <v>263</v>
      </c>
      <c r="T10" s="4" t="s">
        <v>266</v>
      </c>
      <c r="U10" s="4" t="s">
        <v>268</v>
      </c>
      <c r="V10" s="4" t="s">
        <v>265</v>
      </c>
      <c r="W10" s="4" t="s">
        <v>267</v>
      </c>
      <c r="X10" s="4" t="s">
        <v>269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</row>
    <row r="11" spans="1:86" ht="16.5" x14ac:dyDescent="0.25">
      <c r="B11" s="40"/>
      <c r="C11" s="23" t="s">
        <v>407</v>
      </c>
      <c r="D11" s="23" t="s">
        <v>407</v>
      </c>
      <c r="E11" s="23" t="s">
        <v>407</v>
      </c>
      <c r="F11" s="4" t="s">
        <v>107</v>
      </c>
      <c r="G11" s="4" t="s">
        <v>107</v>
      </c>
      <c r="H11" s="4" t="s">
        <v>108</v>
      </c>
      <c r="I11" s="4" t="s">
        <v>107</v>
      </c>
      <c r="J11" s="4" t="s">
        <v>107</v>
      </c>
      <c r="K11" s="4" t="s">
        <v>107</v>
      </c>
      <c r="L11" s="4" t="s">
        <v>107</v>
      </c>
      <c r="M11" s="4" t="s">
        <v>107</v>
      </c>
      <c r="N11" s="4" t="s">
        <v>107</v>
      </c>
      <c r="O11" s="4" t="s">
        <v>109</v>
      </c>
      <c r="P11" s="4" t="s">
        <v>109</v>
      </c>
      <c r="Q11" s="4" t="s">
        <v>108</v>
      </c>
      <c r="R11" s="4" t="s">
        <v>108</v>
      </c>
      <c r="S11" s="4" t="s">
        <v>107</v>
      </c>
      <c r="T11" s="4" t="s">
        <v>107</v>
      </c>
      <c r="U11" s="4" t="s">
        <v>107</v>
      </c>
      <c r="V11" s="4" t="s">
        <v>107</v>
      </c>
      <c r="W11" s="4" t="s">
        <v>107</v>
      </c>
      <c r="X11" s="4" t="s">
        <v>107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</row>
    <row r="12" spans="1:86" ht="16.5" x14ac:dyDescent="0.25">
      <c r="B12" s="4" t="s">
        <v>116</v>
      </c>
      <c r="C12" s="4" t="s">
        <v>448</v>
      </c>
      <c r="D12" s="4" t="s">
        <v>450</v>
      </c>
      <c r="E12" s="4" t="s">
        <v>400</v>
      </c>
      <c r="F12" s="4">
        <v>0.13450000000000001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86" ht="16.5" x14ac:dyDescent="0.25">
      <c r="B13" s="4" t="s">
        <v>270</v>
      </c>
      <c r="C13" s="4" t="s">
        <v>448</v>
      </c>
      <c r="D13" s="4" t="s">
        <v>400</v>
      </c>
      <c r="E13" s="4" t="s">
        <v>398</v>
      </c>
      <c r="F13" s="4">
        <v>1.4</v>
      </c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86" ht="16.5" x14ac:dyDescent="0.25">
      <c r="B14" s="4" t="s">
        <v>271</v>
      </c>
      <c r="C14" s="4" t="s">
        <v>398</v>
      </c>
      <c r="D14" s="4" t="s">
        <v>451</v>
      </c>
      <c r="E14" s="4" t="s">
        <v>398</v>
      </c>
      <c r="F14" s="4">
        <v>1.2</v>
      </c>
      <c r="G14" s="4">
        <v>1.6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86" ht="16.5" x14ac:dyDescent="0.25">
      <c r="B15" s="4" t="s">
        <v>272</v>
      </c>
      <c r="C15" s="4" t="s">
        <v>452</v>
      </c>
      <c r="D15" s="4" t="s">
        <v>400</v>
      </c>
      <c r="E15" s="4" t="s">
        <v>453</v>
      </c>
      <c r="F15" s="4">
        <v>1.2</v>
      </c>
      <c r="G15" s="4">
        <v>0.5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86" s="2" customFormat="1" ht="16.5" x14ac:dyDescent="0.25">
      <c r="B16" s="4" t="s">
        <v>273</v>
      </c>
      <c r="C16" s="4" t="s">
        <v>454</v>
      </c>
      <c r="D16" s="4" t="s">
        <v>400</v>
      </c>
      <c r="E16" s="4" t="s">
        <v>398</v>
      </c>
      <c r="F16" s="4">
        <v>1.2</v>
      </c>
      <c r="G16" s="4">
        <v>0.5</v>
      </c>
      <c r="H16" s="4">
        <v>0.3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</row>
    <row r="17" spans="2:46" s="2" customFormat="1" ht="16.5" x14ac:dyDescent="0.25">
      <c r="B17" s="4" t="s">
        <v>274</v>
      </c>
      <c r="C17" s="4" t="s">
        <v>398</v>
      </c>
      <c r="D17" s="4" t="s">
        <v>400</v>
      </c>
      <c r="E17" s="4" t="s">
        <v>398</v>
      </c>
      <c r="F17" s="4">
        <v>1.2</v>
      </c>
      <c r="G17" s="4">
        <v>0.5</v>
      </c>
      <c r="H17" s="4">
        <v>0.3</v>
      </c>
      <c r="I17" s="4"/>
      <c r="J17" s="4">
        <v>1</v>
      </c>
      <c r="K17" s="4">
        <v>1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</row>
    <row r="18" spans="2:46" ht="16.5" x14ac:dyDescent="0.25">
      <c r="B18" s="4" t="s">
        <v>275</v>
      </c>
      <c r="C18" s="4" t="s">
        <v>398</v>
      </c>
      <c r="D18" s="4" t="s">
        <v>455</v>
      </c>
      <c r="E18" s="4" t="s">
        <v>398</v>
      </c>
      <c r="F18" s="4">
        <v>1.2</v>
      </c>
      <c r="G18" s="4">
        <v>0.5</v>
      </c>
      <c r="H18" s="4">
        <v>0.3</v>
      </c>
      <c r="I18" s="4">
        <v>-1</v>
      </c>
      <c r="J18" s="4">
        <v>-1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2:46" ht="16.5" x14ac:dyDescent="0.25">
      <c r="B19" s="4" t="s">
        <v>276</v>
      </c>
      <c r="C19" s="4" t="s">
        <v>398</v>
      </c>
      <c r="D19" s="4" t="s">
        <v>400</v>
      </c>
      <c r="E19" s="4" t="s">
        <v>448</v>
      </c>
      <c r="F19" s="4">
        <v>1.2</v>
      </c>
      <c r="G19" s="4">
        <v>0.5</v>
      </c>
      <c r="H19" s="4">
        <v>0.3</v>
      </c>
      <c r="I19" s="4"/>
      <c r="J19" s="4">
        <v>-1</v>
      </c>
      <c r="K19" s="4">
        <v>-1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2:46" s="2" customFormat="1" ht="16.5" x14ac:dyDescent="0.25">
      <c r="B20" s="4" t="s">
        <v>277</v>
      </c>
      <c r="C20" s="4" t="s">
        <v>456</v>
      </c>
      <c r="D20" s="4" t="s">
        <v>400</v>
      </c>
      <c r="E20" s="4" t="s">
        <v>448</v>
      </c>
      <c r="F20" s="4">
        <v>1.2</v>
      </c>
      <c r="G20" s="4">
        <v>0.5</v>
      </c>
      <c r="H20" s="4">
        <v>0.3</v>
      </c>
      <c r="I20" s="4"/>
      <c r="J20" s="4"/>
      <c r="K20" s="4"/>
      <c r="L20" s="4">
        <v>1</v>
      </c>
      <c r="M20" s="4">
        <v>1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</row>
    <row r="21" spans="2:46" s="2" customFormat="1" ht="16.5" x14ac:dyDescent="0.25">
      <c r="B21" s="4" t="s">
        <v>278</v>
      </c>
      <c r="C21" s="4" t="s">
        <v>398</v>
      </c>
      <c r="D21" s="4" t="s">
        <v>457</v>
      </c>
      <c r="E21" s="4" t="s">
        <v>398</v>
      </c>
      <c r="F21" s="4">
        <v>1.2</v>
      </c>
      <c r="G21" s="4">
        <v>0.5</v>
      </c>
      <c r="H21" s="4">
        <v>0.3</v>
      </c>
      <c r="I21" s="4"/>
      <c r="J21" s="4"/>
      <c r="K21" s="4"/>
      <c r="L21" s="4"/>
      <c r="M21" s="4">
        <v>1</v>
      </c>
      <c r="N21" s="4">
        <v>1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</row>
    <row r="22" spans="2:46" ht="16.5" x14ac:dyDescent="0.25">
      <c r="B22" s="4" t="s">
        <v>279</v>
      </c>
      <c r="C22" s="4" t="s">
        <v>398</v>
      </c>
      <c r="D22" s="4" t="s">
        <v>450</v>
      </c>
      <c r="E22" s="4" t="s">
        <v>454</v>
      </c>
      <c r="F22" s="4">
        <v>1.2</v>
      </c>
      <c r="G22" s="4">
        <v>0.5</v>
      </c>
      <c r="H22" s="4">
        <v>0.3</v>
      </c>
      <c r="I22" s="4"/>
      <c r="J22" s="4"/>
      <c r="K22" s="4"/>
      <c r="L22" s="4">
        <v>-1</v>
      </c>
      <c r="M22" s="4">
        <v>-1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</row>
    <row r="23" spans="2:46" ht="16.5" x14ac:dyDescent="0.25">
      <c r="B23" s="4" t="s">
        <v>280</v>
      </c>
      <c r="C23" s="4" t="s">
        <v>398</v>
      </c>
      <c r="D23" s="4" t="s">
        <v>400</v>
      </c>
      <c r="E23" s="4" t="s">
        <v>398</v>
      </c>
      <c r="F23" s="4">
        <v>1.2</v>
      </c>
      <c r="G23" s="4">
        <v>0.5</v>
      </c>
      <c r="H23" s="4">
        <v>0.3</v>
      </c>
      <c r="I23" s="4"/>
      <c r="J23" s="4"/>
      <c r="K23" s="4"/>
      <c r="L23" s="4"/>
      <c r="M23" s="4">
        <v>-1</v>
      </c>
      <c r="N23" s="4">
        <v>-1</v>
      </c>
      <c r="O23" s="4"/>
      <c r="P23" s="4"/>
      <c r="Q23" s="4"/>
      <c r="R23" s="4"/>
      <c r="S23" s="4"/>
      <c r="T23" s="4"/>
      <c r="U23" s="4"/>
      <c r="V23" s="4"/>
      <c r="W23" s="4"/>
      <c r="X23" s="4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</row>
    <row r="24" spans="2:46" s="2" customFormat="1" ht="16.5" x14ac:dyDescent="0.25">
      <c r="B24" s="4" t="s">
        <v>281</v>
      </c>
      <c r="C24" s="4" t="s">
        <v>398</v>
      </c>
      <c r="D24" s="4" t="s">
        <v>455</v>
      </c>
      <c r="E24" s="4" t="s">
        <v>448</v>
      </c>
      <c r="F24" s="4">
        <v>1.2</v>
      </c>
      <c r="G24" s="4">
        <v>0.5</v>
      </c>
      <c r="H24" s="4">
        <v>-0.3</v>
      </c>
      <c r="I24" s="4">
        <v>1</v>
      </c>
      <c r="J24" s="4">
        <v>1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</row>
    <row r="25" spans="2:46" s="2" customFormat="1" ht="16.5" x14ac:dyDescent="0.25">
      <c r="B25" s="4" t="s">
        <v>282</v>
      </c>
      <c r="C25" s="4" t="s">
        <v>448</v>
      </c>
      <c r="D25" s="4" t="s">
        <v>400</v>
      </c>
      <c r="E25" s="4" t="s">
        <v>398</v>
      </c>
      <c r="F25" s="4">
        <v>1.2</v>
      </c>
      <c r="G25" s="4">
        <v>0.5</v>
      </c>
      <c r="H25" s="4">
        <v>-0.3</v>
      </c>
      <c r="I25" s="4"/>
      <c r="J25" s="4">
        <v>1</v>
      </c>
      <c r="K25" s="4">
        <v>1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</row>
    <row r="26" spans="2:46" ht="16.5" x14ac:dyDescent="0.25">
      <c r="B26" s="4" t="s">
        <v>283</v>
      </c>
      <c r="C26" s="4" t="s">
        <v>398</v>
      </c>
      <c r="D26" s="4" t="s">
        <v>455</v>
      </c>
      <c r="E26" s="4" t="s">
        <v>398</v>
      </c>
      <c r="F26" s="4">
        <v>1.2</v>
      </c>
      <c r="G26" s="4">
        <v>0.5</v>
      </c>
      <c r="H26" s="4">
        <v>-0.3</v>
      </c>
      <c r="I26" s="4">
        <v>-1</v>
      </c>
      <c r="J26" s="4">
        <v>-1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</row>
    <row r="27" spans="2:46" ht="16.5" x14ac:dyDescent="0.25">
      <c r="B27" s="4" t="s">
        <v>284</v>
      </c>
      <c r="C27" s="4" t="s">
        <v>398</v>
      </c>
      <c r="D27" s="4" t="s">
        <v>400</v>
      </c>
      <c r="E27" s="4" t="s">
        <v>398</v>
      </c>
      <c r="F27" s="4">
        <v>1.2</v>
      </c>
      <c r="G27" s="4">
        <v>0.5</v>
      </c>
      <c r="H27" s="4">
        <v>-0.3</v>
      </c>
      <c r="I27" s="4"/>
      <c r="J27" s="4">
        <v>-1</v>
      </c>
      <c r="K27" s="4">
        <v>-1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</row>
    <row r="28" spans="2:46" s="2" customFormat="1" ht="16.5" x14ac:dyDescent="0.25">
      <c r="B28" s="4" t="s">
        <v>285</v>
      </c>
      <c r="C28" s="4" t="s">
        <v>398</v>
      </c>
      <c r="D28" s="4" t="s">
        <v>400</v>
      </c>
      <c r="E28" s="4" t="s">
        <v>398</v>
      </c>
      <c r="F28" s="4">
        <v>1.2</v>
      </c>
      <c r="G28" s="4">
        <v>0.5</v>
      </c>
      <c r="H28" s="4">
        <v>-0.3</v>
      </c>
      <c r="I28" s="4"/>
      <c r="J28" s="4"/>
      <c r="K28" s="4"/>
      <c r="L28" s="4">
        <v>1</v>
      </c>
      <c r="M28" s="4">
        <v>1</v>
      </c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</row>
    <row r="29" spans="2:46" s="2" customFormat="1" ht="16.5" x14ac:dyDescent="0.25">
      <c r="B29" s="4" t="s">
        <v>286</v>
      </c>
      <c r="C29" s="4" t="s">
        <v>398</v>
      </c>
      <c r="D29" s="4" t="s">
        <v>400</v>
      </c>
      <c r="E29" s="4" t="s">
        <v>398</v>
      </c>
      <c r="F29" s="4">
        <v>1.2</v>
      </c>
      <c r="G29" s="4">
        <v>0.5</v>
      </c>
      <c r="H29" s="4">
        <v>-0.3</v>
      </c>
      <c r="I29" s="4"/>
      <c r="J29" s="4"/>
      <c r="K29" s="4"/>
      <c r="L29" s="4"/>
      <c r="M29" s="4">
        <v>1</v>
      </c>
      <c r="N29" s="4">
        <v>1</v>
      </c>
      <c r="O29" s="4"/>
      <c r="P29" s="4"/>
      <c r="Q29" s="4"/>
      <c r="R29" s="4"/>
      <c r="S29" s="4"/>
      <c r="T29" s="4"/>
      <c r="U29" s="4"/>
      <c r="V29" s="4"/>
      <c r="W29" s="4"/>
      <c r="X29" s="4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</row>
    <row r="30" spans="2:46" ht="16.5" x14ac:dyDescent="0.25">
      <c r="B30" s="4" t="s">
        <v>287</v>
      </c>
      <c r="C30" s="4" t="s">
        <v>448</v>
      </c>
      <c r="D30" s="4" t="s">
        <v>400</v>
      </c>
      <c r="E30" s="4" t="s">
        <v>448</v>
      </c>
      <c r="F30" s="4">
        <v>1.2</v>
      </c>
      <c r="G30" s="4">
        <v>0.5</v>
      </c>
      <c r="H30" s="4">
        <v>-0.3</v>
      </c>
      <c r="I30" s="4"/>
      <c r="J30" s="4"/>
      <c r="K30" s="4"/>
      <c r="L30" s="4">
        <v>-1</v>
      </c>
      <c r="M30" s="4">
        <v>-1</v>
      </c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2:46" ht="16.5" x14ac:dyDescent="0.25">
      <c r="B31" s="4" t="s">
        <v>288</v>
      </c>
      <c r="C31" s="4" t="s">
        <v>398</v>
      </c>
      <c r="D31" s="4" t="s">
        <v>400</v>
      </c>
      <c r="E31" s="4" t="s">
        <v>448</v>
      </c>
      <c r="F31" s="4">
        <v>1.2</v>
      </c>
      <c r="G31" s="4">
        <v>0.5</v>
      </c>
      <c r="H31" s="4">
        <v>-0.3</v>
      </c>
      <c r="I31" s="4"/>
      <c r="J31" s="4"/>
      <c r="K31" s="4"/>
      <c r="L31" s="4"/>
      <c r="M31" s="4">
        <v>-1</v>
      </c>
      <c r="N31" s="4">
        <v>-1</v>
      </c>
      <c r="O31" s="4"/>
      <c r="P31" s="4"/>
      <c r="Q31" s="4"/>
      <c r="R31" s="4"/>
      <c r="S31" s="4"/>
      <c r="T31" s="4"/>
      <c r="U31" s="4"/>
      <c r="V31" s="4"/>
      <c r="W31" s="4"/>
      <c r="X31" s="4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2:46" s="2" customFormat="1" ht="16.5" x14ac:dyDescent="0.25">
      <c r="B32" s="4" t="s">
        <v>289</v>
      </c>
      <c r="C32" s="4" t="s">
        <v>448</v>
      </c>
      <c r="D32" s="4" t="s">
        <v>400</v>
      </c>
      <c r="E32" s="4" t="s">
        <v>448</v>
      </c>
      <c r="F32" s="4">
        <v>1.2</v>
      </c>
      <c r="G32" s="4">
        <v>0.5</v>
      </c>
      <c r="H32" s="4">
        <v>1</v>
      </c>
      <c r="I32" s="4">
        <v>0.3</v>
      </c>
      <c r="J32" s="4">
        <v>0.3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</row>
    <row r="33" spans="2:46" s="2" customFormat="1" ht="16.5" x14ac:dyDescent="0.25">
      <c r="B33" s="4" t="s">
        <v>290</v>
      </c>
      <c r="C33" s="4" t="s">
        <v>448</v>
      </c>
      <c r="D33" s="4" t="s">
        <v>400</v>
      </c>
      <c r="E33" s="4" t="s">
        <v>448</v>
      </c>
      <c r="F33" s="4">
        <v>1.2</v>
      </c>
      <c r="G33" s="4">
        <v>0.5</v>
      </c>
      <c r="H33" s="4">
        <v>1</v>
      </c>
      <c r="I33" s="4"/>
      <c r="J33" s="4">
        <v>0.3</v>
      </c>
      <c r="K33" s="4">
        <v>0.3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5"/>
      <c r="AT33" s="125"/>
    </row>
    <row r="34" spans="2:46" ht="16.5" x14ac:dyDescent="0.25">
      <c r="B34" s="4" t="s">
        <v>291</v>
      </c>
      <c r="C34" s="4" t="s">
        <v>398</v>
      </c>
      <c r="D34" s="4" t="s">
        <v>455</v>
      </c>
      <c r="E34" s="4" t="s">
        <v>398</v>
      </c>
      <c r="F34" s="4">
        <v>1.2</v>
      </c>
      <c r="G34" s="4">
        <v>0.5</v>
      </c>
      <c r="H34" s="4">
        <v>1</v>
      </c>
      <c r="I34" s="4">
        <v>-0.3</v>
      </c>
      <c r="J34" s="4">
        <v>-0.3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2:46" ht="16.5" x14ac:dyDescent="0.25">
      <c r="B35" s="4" t="s">
        <v>292</v>
      </c>
      <c r="C35" s="4" t="s">
        <v>456</v>
      </c>
      <c r="D35" s="4" t="s">
        <v>400</v>
      </c>
      <c r="E35" s="4" t="s">
        <v>398</v>
      </c>
      <c r="F35" s="4">
        <v>1.2</v>
      </c>
      <c r="G35" s="4">
        <v>0.5</v>
      </c>
      <c r="H35" s="4">
        <v>1</v>
      </c>
      <c r="I35" s="4"/>
      <c r="J35" s="4">
        <v>-0.3</v>
      </c>
      <c r="K35" s="4">
        <v>-0.3</v>
      </c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2:46" s="2" customFormat="1" ht="16.5" x14ac:dyDescent="0.25">
      <c r="B36" s="4" t="s">
        <v>293</v>
      </c>
      <c r="C36" s="4" t="s">
        <v>448</v>
      </c>
      <c r="D36" s="4" t="s">
        <v>400</v>
      </c>
      <c r="E36" s="4" t="s">
        <v>398</v>
      </c>
      <c r="F36" s="4">
        <v>1.2</v>
      </c>
      <c r="G36" s="4">
        <v>0.5</v>
      </c>
      <c r="H36" s="4">
        <v>1</v>
      </c>
      <c r="I36" s="4"/>
      <c r="J36" s="4"/>
      <c r="K36" s="4"/>
      <c r="L36" s="4">
        <v>0.3</v>
      </c>
      <c r="M36" s="4">
        <v>0.3</v>
      </c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</row>
    <row r="37" spans="2:46" s="2" customFormat="1" ht="16.5" x14ac:dyDescent="0.25">
      <c r="B37" s="4" t="s">
        <v>294</v>
      </c>
      <c r="C37" s="4" t="s">
        <v>398</v>
      </c>
      <c r="D37" s="4" t="s">
        <v>400</v>
      </c>
      <c r="E37" s="4" t="s">
        <v>398</v>
      </c>
      <c r="F37" s="4">
        <v>1.2</v>
      </c>
      <c r="G37" s="4">
        <v>0.5</v>
      </c>
      <c r="H37" s="4">
        <v>1</v>
      </c>
      <c r="I37" s="4"/>
      <c r="J37" s="4"/>
      <c r="K37" s="4"/>
      <c r="L37" s="4"/>
      <c r="M37" s="4">
        <v>0.3</v>
      </c>
      <c r="N37" s="4">
        <v>0.3</v>
      </c>
      <c r="O37" s="4"/>
      <c r="P37" s="4"/>
      <c r="Q37" s="4"/>
      <c r="R37" s="4"/>
      <c r="S37" s="4"/>
      <c r="T37" s="4"/>
      <c r="U37" s="4"/>
      <c r="V37" s="4"/>
      <c r="W37" s="4"/>
      <c r="X37" s="4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</row>
    <row r="38" spans="2:46" ht="16.5" x14ac:dyDescent="0.25">
      <c r="B38" s="4" t="s">
        <v>295</v>
      </c>
      <c r="C38" s="4" t="s">
        <v>448</v>
      </c>
      <c r="D38" s="4" t="s">
        <v>400</v>
      </c>
      <c r="E38" s="4" t="s">
        <v>448</v>
      </c>
      <c r="F38" s="4">
        <v>1.2</v>
      </c>
      <c r="G38" s="4">
        <v>0.5</v>
      </c>
      <c r="H38" s="4">
        <v>1</v>
      </c>
      <c r="I38" s="4"/>
      <c r="J38" s="4"/>
      <c r="K38" s="4"/>
      <c r="L38" s="4">
        <v>-0.3</v>
      </c>
      <c r="M38" s="4">
        <v>-0.3</v>
      </c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2:46" ht="16.5" x14ac:dyDescent="0.25">
      <c r="B39" s="4" t="s">
        <v>296</v>
      </c>
      <c r="C39" s="4" t="s">
        <v>398</v>
      </c>
      <c r="D39" s="4" t="s">
        <v>451</v>
      </c>
      <c r="E39" s="4" t="s">
        <v>456</v>
      </c>
      <c r="F39" s="4">
        <v>1.2</v>
      </c>
      <c r="G39" s="4">
        <v>0.5</v>
      </c>
      <c r="H39" s="4">
        <v>1</v>
      </c>
      <c r="I39" s="4"/>
      <c r="J39" s="4"/>
      <c r="K39" s="4"/>
      <c r="L39" s="4"/>
      <c r="M39" s="4">
        <v>-0.3</v>
      </c>
      <c r="N39" s="4">
        <v>-0.3</v>
      </c>
      <c r="O39" s="4"/>
      <c r="P39" s="4"/>
      <c r="Q39" s="4"/>
      <c r="R39" s="4"/>
      <c r="S39" s="4"/>
      <c r="T39" s="4"/>
      <c r="U39" s="4"/>
      <c r="V39" s="4"/>
      <c r="W39" s="4"/>
      <c r="X39" s="4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2:46" s="2" customFormat="1" ht="16.5" x14ac:dyDescent="0.25">
      <c r="B40" s="4" t="s">
        <v>297</v>
      </c>
      <c r="C40" s="4" t="s">
        <v>458</v>
      </c>
      <c r="D40" s="4" t="s">
        <v>400</v>
      </c>
      <c r="E40" s="4" t="s">
        <v>448</v>
      </c>
      <c r="F40" s="4">
        <v>1.2</v>
      </c>
      <c r="G40" s="4">
        <v>0.5</v>
      </c>
      <c r="H40" s="4">
        <v>-1</v>
      </c>
      <c r="I40" s="4">
        <v>0.3</v>
      </c>
      <c r="J40" s="4">
        <v>0.3</v>
      </c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</row>
    <row r="41" spans="2:46" s="2" customFormat="1" ht="16.5" x14ac:dyDescent="0.25">
      <c r="B41" s="4" t="s">
        <v>298</v>
      </c>
      <c r="C41" s="4" t="s">
        <v>459</v>
      </c>
      <c r="D41" s="4" t="s">
        <v>400</v>
      </c>
      <c r="E41" s="4" t="s">
        <v>448</v>
      </c>
      <c r="F41" s="4">
        <v>1.2</v>
      </c>
      <c r="G41" s="4">
        <v>0.5</v>
      </c>
      <c r="H41" s="4">
        <v>-1</v>
      </c>
      <c r="I41" s="4"/>
      <c r="J41" s="4">
        <v>0.3</v>
      </c>
      <c r="K41" s="4">
        <v>0.3</v>
      </c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</row>
    <row r="42" spans="2:46" ht="16.5" x14ac:dyDescent="0.25">
      <c r="B42" s="4" t="s">
        <v>299</v>
      </c>
      <c r="C42" s="4" t="s">
        <v>448</v>
      </c>
      <c r="D42" s="4" t="s">
        <v>400</v>
      </c>
      <c r="E42" s="4" t="s">
        <v>398</v>
      </c>
      <c r="F42" s="4">
        <v>1.2</v>
      </c>
      <c r="G42" s="4">
        <v>0.5</v>
      </c>
      <c r="H42" s="4">
        <v>-1</v>
      </c>
      <c r="I42" s="4">
        <v>-0.3</v>
      </c>
      <c r="J42" s="4">
        <v>-0.3</v>
      </c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2:46" ht="16.5" x14ac:dyDescent="0.25">
      <c r="B43" s="4" t="s">
        <v>300</v>
      </c>
      <c r="C43" s="4" t="s">
        <v>398</v>
      </c>
      <c r="D43" s="4" t="s">
        <v>400</v>
      </c>
      <c r="E43" s="4" t="s">
        <v>398</v>
      </c>
      <c r="F43" s="4">
        <v>1.2</v>
      </c>
      <c r="G43" s="4">
        <v>0.5</v>
      </c>
      <c r="H43" s="4">
        <v>-1</v>
      </c>
      <c r="I43" s="4"/>
      <c r="J43" s="4">
        <v>-0.3</v>
      </c>
      <c r="K43" s="4">
        <v>-0.3</v>
      </c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2:46" s="2" customFormat="1" ht="16.5" x14ac:dyDescent="0.25">
      <c r="B44" s="4" t="s">
        <v>301</v>
      </c>
      <c r="C44" s="4" t="s">
        <v>398</v>
      </c>
      <c r="D44" s="4" t="s">
        <v>455</v>
      </c>
      <c r="E44" s="4" t="s">
        <v>448</v>
      </c>
      <c r="F44" s="4">
        <v>1.2</v>
      </c>
      <c r="G44" s="4">
        <v>0.5</v>
      </c>
      <c r="H44" s="4">
        <v>-1</v>
      </c>
      <c r="I44" s="4"/>
      <c r="J44" s="4"/>
      <c r="K44" s="4"/>
      <c r="L44" s="4">
        <v>0.3</v>
      </c>
      <c r="M44" s="4">
        <v>0.3</v>
      </c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</row>
    <row r="45" spans="2:46" s="2" customFormat="1" ht="16.5" x14ac:dyDescent="0.25">
      <c r="B45" s="4" t="s">
        <v>302</v>
      </c>
      <c r="C45" s="4" t="s">
        <v>398</v>
      </c>
      <c r="D45" s="4" t="s">
        <v>400</v>
      </c>
      <c r="E45" s="4" t="s">
        <v>398</v>
      </c>
      <c r="F45" s="4">
        <v>1.2</v>
      </c>
      <c r="G45" s="4">
        <v>0.5</v>
      </c>
      <c r="H45" s="4">
        <v>-1</v>
      </c>
      <c r="I45" s="4"/>
      <c r="J45" s="4"/>
      <c r="K45" s="4"/>
      <c r="L45" s="4"/>
      <c r="M45" s="4">
        <v>0.3</v>
      </c>
      <c r="N45" s="4">
        <v>0.3</v>
      </c>
      <c r="O45" s="4"/>
      <c r="P45" s="4"/>
      <c r="Q45" s="4"/>
      <c r="R45" s="4"/>
      <c r="S45" s="4"/>
      <c r="T45" s="4"/>
      <c r="U45" s="4"/>
      <c r="V45" s="4"/>
      <c r="W45" s="4"/>
      <c r="X45" s="4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</row>
    <row r="46" spans="2:46" ht="16.5" x14ac:dyDescent="0.25">
      <c r="B46" s="4" t="s">
        <v>303</v>
      </c>
      <c r="C46" s="4" t="s">
        <v>398</v>
      </c>
      <c r="D46" s="4" t="s">
        <v>400</v>
      </c>
      <c r="E46" s="4" t="s">
        <v>448</v>
      </c>
      <c r="F46" s="4">
        <v>1.2</v>
      </c>
      <c r="G46" s="4">
        <v>0.5</v>
      </c>
      <c r="H46" s="4">
        <v>-1</v>
      </c>
      <c r="I46" s="4"/>
      <c r="J46" s="4"/>
      <c r="K46" s="4"/>
      <c r="L46" s="4">
        <v>-0.3</v>
      </c>
      <c r="M46" s="4">
        <v>-0.3</v>
      </c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2:46" ht="16.5" x14ac:dyDescent="0.25">
      <c r="B47" s="4" t="s">
        <v>304</v>
      </c>
      <c r="C47" s="4" t="s">
        <v>398</v>
      </c>
      <c r="D47" s="4" t="s">
        <v>455</v>
      </c>
      <c r="E47" s="4" t="s">
        <v>460</v>
      </c>
      <c r="F47" s="4">
        <v>1.2</v>
      </c>
      <c r="G47" s="4">
        <v>0.5</v>
      </c>
      <c r="H47" s="4">
        <v>-1</v>
      </c>
      <c r="I47" s="4"/>
      <c r="J47" s="4"/>
      <c r="K47" s="4"/>
      <c r="L47" s="4"/>
      <c r="M47" s="4">
        <v>-0.3</v>
      </c>
      <c r="N47" s="4">
        <v>-0.3</v>
      </c>
      <c r="O47" s="4"/>
      <c r="P47" s="4"/>
      <c r="Q47" s="4"/>
      <c r="R47" s="4"/>
      <c r="S47" s="4"/>
      <c r="T47" s="4"/>
      <c r="U47" s="4"/>
      <c r="V47" s="4"/>
      <c r="W47" s="4"/>
      <c r="X47" s="4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2:46" s="2" customFormat="1" ht="16.5" x14ac:dyDescent="0.25">
      <c r="B48" s="4" t="s">
        <v>305</v>
      </c>
      <c r="C48" s="4" t="s">
        <v>448</v>
      </c>
      <c r="D48" s="4" t="s">
        <v>400</v>
      </c>
      <c r="E48" s="4" t="s">
        <v>398</v>
      </c>
      <c r="F48" s="4">
        <v>0.9</v>
      </c>
      <c r="G48" s="4"/>
      <c r="H48" s="4">
        <v>0.3</v>
      </c>
      <c r="I48" s="4">
        <v>1</v>
      </c>
      <c r="J48" s="4">
        <v>1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</row>
    <row r="49" spans="2:46" s="2" customFormat="1" ht="16.5" x14ac:dyDescent="0.25">
      <c r="B49" s="4" t="s">
        <v>306</v>
      </c>
      <c r="C49" s="4" t="s">
        <v>398</v>
      </c>
      <c r="D49" s="4" t="s">
        <v>455</v>
      </c>
      <c r="E49" s="4" t="s">
        <v>398</v>
      </c>
      <c r="F49" s="4">
        <v>0.9</v>
      </c>
      <c r="G49" s="4"/>
      <c r="H49" s="4">
        <v>0.3</v>
      </c>
      <c r="I49" s="4"/>
      <c r="J49" s="4">
        <v>1</v>
      </c>
      <c r="K49" s="4">
        <v>1</v>
      </c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</row>
    <row r="50" spans="2:46" ht="16.5" x14ac:dyDescent="0.25">
      <c r="B50" s="4" t="s">
        <v>307</v>
      </c>
      <c r="C50" s="4" t="s">
        <v>398</v>
      </c>
      <c r="D50" s="4" t="s">
        <v>400</v>
      </c>
      <c r="E50" s="4" t="s">
        <v>398</v>
      </c>
      <c r="F50" s="4">
        <v>0.9</v>
      </c>
      <c r="G50" s="4"/>
      <c r="H50" s="4">
        <v>0.3</v>
      </c>
      <c r="I50" s="4">
        <v>-1</v>
      </c>
      <c r="J50" s="4">
        <v>-1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2:46" ht="16.5" x14ac:dyDescent="0.25">
      <c r="B51" s="4" t="s">
        <v>308</v>
      </c>
      <c r="C51" s="4" t="s">
        <v>398</v>
      </c>
      <c r="D51" s="4" t="s">
        <v>400</v>
      </c>
      <c r="E51" s="4" t="s">
        <v>398</v>
      </c>
      <c r="F51" s="4">
        <v>0.9</v>
      </c>
      <c r="G51" s="4"/>
      <c r="H51" s="4">
        <v>0.3</v>
      </c>
      <c r="I51" s="4"/>
      <c r="J51" s="4">
        <v>-1</v>
      </c>
      <c r="K51" s="4">
        <v>-1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2:46" s="2" customFormat="1" ht="16.5" x14ac:dyDescent="0.25">
      <c r="B52" s="4" t="s">
        <v>309</v>
      </c>
      <c r="C52" s="4" t="s">
        <v>398</v>
      </c>
      <c r="D52" s="4" t="s">
        <v>400</v>
      </c>
      <c r="E52" s="4" t="s">
        <v>398</v>
      </c>
      <c r="F52" s="4">
        <v>0.9</v>
      </c>
      <c r="G52" s="4"/>
      <c r="H52" s="4">
        <v>0.3</v>
      </c>
      <c r="I52" s="4"/>
      <c r="J52" s="4"/>
      <c r="K52" s="4"/>
      <c r="L52" s="4">
        <v>1</v>
      </c>
      <c r="M52" s="4">
        <v>1</v>
      </c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</row>
    <row r="53" spans="2:46" s="2" customFormat="1" ht="16.5" x14ac:dyDescent="0.25">
      <c r="B53" s="4" t="s">
        <v>310</v>
      </c>
      <c r="C53" s="4" t="s">
        <v>448</v>
      </c>
      <c r="D53" s="4" t="s">
        <v>400</v>
      </c>
      <c r="E53" s="4" t="s">
        <v>398</v>
      </c>
      <c r="F53" s="4">
        <v>0.9</v>
      </c>
      <c r="G53" s="4"/>
      <c r="H53" s="4">
        <v>0.3</v>
      </c>
      <c r="I53" s="4"/>
      <c r="J53" s="4"/>
      <c r="K53" s="4"/>
      <c r="L53" s="4"/>
      <c r="M53" s="4">
        <v>1</v>
      </c>
      <c r="N53" s="4">
        <v>1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</row>
    <row r="54" spans="2:46" ht="16.5" x14ac:dyDescent="0.25">
      <c r="B54" s="4" t="s">
        <v>311</v>
      </c>
      <c r="C54" s="4" t="s">
        <v>456</v>
      </c>
      <c r="D54" s="4" t="s">
        <v>451</v>
      </c>
      <c r="E54" s="4" t="s">
        <v>461</v>
      </c>
      <c r="F54" s="4">
        <v>0.9</v>
      </c>
      <c r="G54" s="4"/>
      <c r="H54" s="4">
        <v>0.3</v>
      </c>
      <c r="I54" s="4"/>
      <c r="J54" s="4"/>
      <c r="K54" s="4"/>
      <c r="L54" s="4">
        <v>-1</v>
      </c>
      <c r="M54" s="4">
        <v>-1</v>
      </c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2:46" ht="16.5" x14ac:dyDescent="0.25">
      <c r="B55" s="4" t="s">
        <v>312</v>
      </c>
      <c r="C55" s="4" t="s">
        <v>398</v>
      </c>
      <c r="D55" s="4" t="s">
        <v>400</v>
      </c>
      <c r="E55" s="4" t="s">
        <v>462</v>
      </c>
      <c r="F55" s="4">
        <v>0.9</v>
      </c>
      <c r="G55" s="4"/>
      <c r="H55" s="4">
        <v>0.3</v>
      </c>
      <c r="I55" s="4"/>
      <c r="J55" s="4"/>
      <c r="K55" s="4"/>
      <c r="L55" s="4"/>
      <c r="M55" s="4">
        <v>-1</v>
      </c>
      <c r="N55" s="4">
        <v>-1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2:46" s="2" customFormat="1" ht="16.5" x14ac:dyDescent="0.25">
      <c r="B56" s="4" t="s">
        <v>313</v>
      </c>
      <c r="C56" s="4" t="s">
        <v>398</v>
      </c>
      <c r="D56" s="4" t="s">
        <v>400</v>
      </c>
      <c r="E56" s="4" t="s">
        <v>448</v>
      </c>
      <c r="F56" s="4">
        <v>0.9</v>
      </c>
      <c r="G56" s="4"/>
      <c r="H56" s="4">
        <v>-0.3</v>
      </c>
      <c r="I56" s="4">
        <v>1</v>
      </c>
      <c r="J56" s="4">
        <v>1</v>
      </c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</row>
    <row r="57" spans="2:46" s="2" customFormat="1" ht="16.5" x14ac:dyDescent="0.25">
      <c r="B57" s="4" t="s">
        <v>314</v>
      </c>
      <c r="C57" s="4" t="s">
        <v>398</v>
      </c>
      <c r="D57" s="4" t="s">
        <v>400</v>
      </c>
      <c r="E57" s="4" t="s">
        <v>398</v>
      </c>
      <c r="F57" s="4">
        <v>0.9</v>
      </c>
      <c r="G57" s="4"/>
      <c r="H57" s="4">
        <v>-0.3</v>
      </c>
      <c r="I57" s="4"/>
      <c r="J57" s="4">
        <v>1</v>
      </c>
      <c r="K57" s="4">
        <v>1</v>
      </c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</row>
    <row r="58" spans="2:46" ht="16.5" x14ac:dyDescent="0.25">
      <c r="B58" s="4" t="s">
        <v>315</v>
      </c>
      <c r="C58" s="4" t="s">
        <v>448</v>
      </c>
      <c r="D58" s="4" t="s">
        <v>400</v>
      </c>
      <c r="E58" s="4" t="s">
        <v>398</v>
      </c>
      <c r="F58" s="4">
        <v>0.9</v>
      </c>
      <c r="G58" s="4"/>
      <c r="H58" s="4">
        <v>-0.3</v>
      </c>
      <c r="I58" s="4">
        <v>-1</v>
      </c>
      <c r="J58" s="4">
        <v>-1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2:46" ht="16.5" x14ac:dyDescent="0.25">
      <c r="B59" s="4" t="s">
        <v>316</v>
      </c>
      <c r="C59" s="4" t="s">
        <v>398</v>
      </c>
      <c r="D59" s="4" t="s">
        <v>400</v>
      </c>
      <c r="E59" s="4" t="s">
        <v>463</v>
      </c>
      <c r="F59" s="4">
        <v>0.9</v>
      </c>
      <c r="G59" s="4"/>
      <c r="H59" s="4">
        <v>-0.3</v>
      </c>
      <c r="I59" s="4"/>
      <c r="J59" s="4">
        <v>-1</v>
      </c>
      <c r="K59" s="4">
        <v>-1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2:46" s="2" customFormat="1" ht="16.5" x14ac:dyDescent="0.25">
      <c r="B60" s="4" t="s">
        <v>317</v>
      </c>
      <c r="C60" s="4" t="s">
        <v>398</v>
      </c>
      <c r="D60" s="4" t="s">
        <v>455</v>
      </c>
      <c r="E60" s="4" t="s">
        <v>398</v>
      </c>
      <c r="F60" s="4">
        <v>0.9</v>
      </c>
      <c r="G60" s="4"/>
      <c r="H60" s="4">
        <v>-0.3</v>
      </c>
      <c r="I60" s="4"/>
      <c r="J60" s="4"/>
      <c r="K60" s="4"/>
      <c r="L60" s="4">
        <v>1</v>
      </c>
      <c r="M60" s="4">
        <v>1</v>
      </c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</row>
    <row r="61" spans="2:46" s="2" customFormat="1" ht="16.5" x14ac:dyDescent="0.25">
      <c r="B61" s="4" t="s">
        <v>318</v>
      </c>
      <c r="C61" s="4" t="s">
        <v>398</v>
      </c>
      <c r="D61" s="4" t="s">
        <v>455</v>
      </c>
      <c r="E61" s="4" t="s">
        <v>398</v>
      </c>
      <c r="F61" s="4">
        <v>0.9</v>
      </c>
      <c r="G61" s="4"/>
      <c r="H61" s="4">
        <v>-0.3</v>
      </c>
      <c r="I61" s="4"/>
      <c r="J61" s="4"/>
      <c r="K61" s="4"/>
      <c r="L61" s="4"/>
      <c r="M61" s="4">
        <v>1</v>
      </c>
      <c r="N61" s="4">
        <v>1</v>
      </c>
      <c r="O61" s="4"/>
      <c r="P61" s="4"/>
      <c r="Q61" s="4"/>
      <c r="R61" s="4"/>
      <c r="S61" s="4"/>
      <c r="T61" s="4"/>
      <c r="U61" s="4"/>
      <c r="V61" s="4"/>
      <c r="W61" s="4"/>
      <c r="X61" s="4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</row>
    <row r="62" spans="2:46" ht="16.5" x14ac:dyDescent="0.25">
      <c r="B62" s="4" t="s">
        <v>319</v>
      </c>
      <c r="C62" s="4" t="s">
        <v>398</v>
      </c>
      <c r="D62" s="4" t="s">
        <v>400</v>
      </c>
      <c r="E62" s="4" t="s">
        <v>448</v>
      </c>
      <c r="F62" s="4">
        <v>0.9</v>
      </c>
      <c r="G62" s="4"/>
      <c r="H62" s="4">
        <v>-0.3</v>
      </c>
      <c r="I62" s="4"/>
      <c r="J62" s="4"/>
      <c r="K62" s="4"/>
      <c r="L62" s="4">
        <v>-1</v>
      </c>
      <c r="M62" s="4">
        <v>-1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2:46" ht="16.5" x14ac:dyDescent="0.25">
      <c r="B63" s="4" t="s">
        <v>320</v>
      </c>
      <c r="C63" s="4" t="s">
        <v>398</v>
      </c>
      <c r="D63" s="4" t="s">
        <v>400</v>
      </c>
      <c r="E63" s="4" t="s">
        <v>398</v>
      </c>
      <c r="F63" s="4">
        <v>0.9</v>
      </c>
      <c r="G63" s="4"/>
      <c r="H63" s="4">
        <v>-0.3</v>
      </c>
      <c r="I63" s="4"/>
      <c r="J63" s="4"/>
      <c r="K63" s="4"/>
      <c r="L63" s="4"/>
      <c r="M63" s="4">
        <v>-1</v>
      </c>
      <c r="N63" s="4">
        <v>-1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2:46" s="2" customFormat="1" ht="16.5" x14ac:dyDescent="0.25">
      <c r="B64" s="4" t="s">
        <v>321</v>
      </c>
      <c r="C64" s="4" t="s">
        <v>398</v>
      </c>
      <c r="D64" s="4" t="s">
        <v>400</v>
      </c>
      <c r="E64" s="4" t="s">
        <v>448</v>
      </c>
      <c r="F64" s="4">
        <v>0.9</v>
      </c>
      <c r="G64" s="4"/>
      <c r="H64" s="4">
        <v>1</v>
      </c>
      <c r="I64" s="4">
        <v>0.3</v>
      </c>
      <c r="J64" s="4">
        <v>0.3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</row>
    <row r="65" spans="2:46" s="2" customFormat="1" ht="16.5" x14ac:dyDescent="0.25">
      <c r="B65" s="4" t="s">
        <v>322</v>
      </c>
      <c r="C65" s="4" t="s">
        <v>398</v>
      </c>
      <c r="D65" s="4" t="s">
        <v>400</v>
      </c>
      <c r="E65" s="4" t="s">
        <v>398</v>
      </c>
      <c r="F65" s="4">
        <v>0.9</v>
      </c>
      <c r="G65" s="4"/>
      <c r="H65" s="4">
        <v>1</v>
      </c>
      <c r="I65" s="4"/>
      <c r="J65" s="4">
        <v>0.3</v>
      </c>
      <c r="K65" s="4">
        <v>0.3</v>
      </c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</row>
    <row r="66" spans="2:46" ht="16.5" x14ac:dyDescent="0.25">
      <c r="B66" s="4" t="s">
        <v>323</v>
      </c>
      <c r="C66" s="4" t="s">
        <v>398</v>
      </c>
      <c r="D66" s="4" t="s">
        <v>400</v>
      </c>
      <c r="E66" s="4" t="s">
        <v>448</v>
      </c>
      <c r="F66" s="4">
        <v>0.9</v>
      </c>
      <c r="G66" s="4"/>
      <c r="H66" s="4">
        <v>1</v>
      </c>
      <c r="I66" s="4">
        <v>-0.3</v>
      </c>
      <c r="J66" s="4">
        <v>-0.3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2:46" ht="16.5" x14ac:dyDescent="0.25">
      <c r="B67" s="4" t="s">
        <v>324</v>
      </c>
      <c r="C67" s="4" t="s">
        <v>448</v>
      </c>
      <c r="D67" s="4" t="s">
        <v>455</v>
      </c>
      <c r="E67" s="4" t="s">
        <v>448</v>
      </c>
      <c r="F67" s="4">
        <v>0.9</v>
      </c>
      <c r="G67" s="4"/>
      <c r="H67" s="4">
        <v>1</v>
      </c>
      <c r="I67" s="4"/>
      <c r="J67" s="4">
        <v>-0.3</v>
      </c>
      <c r="K67" s="4">
        <v>-0.3</v>
      </c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2:46" s="2" customFormat="1" ht="16.5" x14ac:dyDescent="0.25">
      <c r="B68" s="4" t="s">
        <v>325</v>
      </c>
      <c r="C68" s="4" t="s">
        <v>398</v>
      </c>
      <c r="D68" s="4" t="s">
        <v>455</v>
      </c>
      <c r="E68" s="4" t="s">
        <v>398</v>
      </c>
      <c r="F68" s="4">
        <v>0.9</v>
      </c>
      <c r="G68" s="4"/>
      <c r="H68" s="4">
        <v>1</v>
      </c>
      <c r="I68" s="4"/>
      <c r="J68" s="4"/>
      <c r="K68" s="4"/>
      <c r="L68" s="4">
        <v>0.3</v>
      </c>
      <c r="M68" s="4">
        <v>0.3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</row>
    <row r="69" spans="2:46" s="2" customFormat="1" ht="16.5" x14ac:dyDescent="0.25">
      <c r="B69" s="4" t="s">
        <v>326</v>
      </c>
      <c r="C69" s="4" t="s">
        <v>459</v>
      </c>
      <c r="D69" s="4" t="s">
        <v>400</v>
      </c>
      <c r="E69" s="4" t="s">
        <v>398</v>
      </c>
      <c r="F69" s="4">
        <v>0.9</v>
      </c>
      <c r="G69" s="4"/>
      <c r="H69" s="4">
        <v>1</v>
      </c>
      <c r="I69" s="4"/>
      <c r="J69" s="4"/>
      <c r="K69" s="4"/>
      <c r="L69" s="4"/>
      <c r="M69" s="4">
        <v>0.3</v>
      </c>
      <c r="N69" s="4">
        <v>0.3</v>
      </c>
      <c r="O69" s="4"/>
      <c r="P69" s="4"/>
      <c r="Q69" s="4"/>
      <c r="R69" s="4"/>
      <c r="S69" s="4"/>
      <c r="T69" s="4"/>
      <c r="U69" s="4"/>
      <c r="V69" s="4"/>
      <c r="W69" s="4"/>
      <c r="X69" s="4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</row>
    <row r="70" spans="2:46" ht="16.5" x14ac:dyDescent="0.25">
      <c r="B70" s="4" t="s">
        <v>327</v>
      </c>
      <c r="C70" s="4" t="s">
        <v>398</v>
      </c>
      <c r="D70" s="4" t="s">
        <v>400</v>
      </c>
      <c r="E70" s="4" t="s">
        <v>398</v>
      </c>
      <c r="F70" s="4">
        <v>0.9</v>
      </c>
      <c r="G70" s="4"/>
      <c r="H70" s="4">
        <v>1</v>
      </c>
      <c r="I70" s="4"/>
      <c r="J70" s="4"/>
      <c r="K70" s="4"/>
      <c r="L70" s="4">
        <v>-0.3</v>
      </c>
      <c r="M70" s="4">
        <v>-0.3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2:46" ht="16.5" x14ac:dyDescent="0.25">
      <c r="B71" s="4" t="s">
        <v>328</v>
      </c>
      <c r="C71" s="4" t="s">
        <v>398</v>
      </c>
      <c r="D71" s="4" t="s">
        <v>400</v>
      </c>
      <c r="E71" s="4" t="s">
        <v>448</v>
      </c>
      <c r="F71" s="4">
        <v>0.9</v>
      </c>
      <c r="G71" s="4"/>
      <c r="H71" s="4">
        <v>1</v>
      </c>
      <c r="I71" s="4"/>
      <c r="J71" s="4"/>
      <c r="K71" s="4"/>
      <c r="L71" s="4"/>
      <c r="M71" s="4">
        <v>-0.3</v>
      </c>
      <c r="N71" s="4">
        <v>-0.3</v>
      </c>
      <c r="O71" s="4"/>
      <c r="P71" s="4"/>
      <c r="Q71" s="4"/>
      <c r="R71" s="4"/>
      <c r="S71" s="4"/>
      <c r="T71" s="4"/>
      <c r="U71" s="4"/>
      <c r="V71" s="4"/>
      <c r="W71" s="4"/>
      <c r="X71" s="4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2:46" s="2" customFormat="1" ht="16.5" x14ac:dyDescent="0.25">
      <c r="B72" s="4" t="s">
        <v>329</v>
      </c>
      <c r="C72" s="4" t="s">
        <v>398</v>
      </c>
      <c r="D72" s="4" t="s">
        <v>400</v>
      </c>
      <c r="E72" s="4" t="s">
        <v>398</v>
      </c>
      <c r="F72" s="4">
        <v>0.9</v>
      </c>
      <c r="G72" s="4"/>
      <c r="H72" s="4">
        <v>-1</v>
      </c>
      <c r="I72" s="4">
        <v>0.3</v>
      </c>
      <c r="J72" s="4">
        <v>0.3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</row>
    <row r="73" spans="2:46" s="2" customFormat="1" ht="16.5" x14ac:dyDescent="0.25">
      <c r="B73" s="4" t="s">
        <v>330</v>
      </c>
      <c r="C73" s="4" t="s">
        <v>398</v>
      </c>
      <c r="D73" s="4" t="s">
        <v>400</v>
      </c>
      <c r="E73" s="4" t="s">
        <v>398</v>
      </c>
      <c r="F73" s="4">
        <v>0.9</v>
      </c>
      <c r="G73" s="4"/>
      <c r="H73" s="4">
        <v>-1</v>
      </c>
      <c r="I73" s="4"/>
      <c r="J73" s="4">
        <v>0.3</v>
      </c>
      <c r="K73" s="4">
        <v>0.3</v>
      </c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</row>
    <row r="74" spans="2:46" ht="16.5" x14ac:dyDescent="0.25">
      <c r="B74" s="4" t="s">
        <v>331</v>
      </c>
      <c r="C74" s="4" t="s">
        <v>398</v>
      </c>
      <c r="D74" s="4" t="s">
        <v>400</v>
      </c>
      <c r="E74" s="4" t="s">
        <v>398</v>
      </c>
      <c r="F74" s="4">
        <v>0.9</v>
      </c>
      <c r="G74" s="4"/>
      <c r="H74" s="4">
        <v>-1</v>
      </c>
      <c r="I74" s="4">
        <v>-0.3</v>
      </c>
      <c r="J74" s="4">
        <v>-0.3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</row>
    <row r="75" spans="2:46" ht="16.5" x14ac:dyDescent="0.25">
      <c r="B75" s="4" t="s">
        <v>332</v>
      </c>
      <c r="C75" s="4" t="s">
        <v>448</v>
      </c>
      <c r="D75" s="4" t="s">
        <v>400</v>
      </c>
      <c r="E75" s="4" t="s">
        <v>398</v>
      </c>
      <c r="F75" s="4">
        <v>0.9</v>
      </c>
      <c r="G75" s="4"/>
      <c r="H75" s="4">
        <v>-1</v>
      </c>
      <c r="I75" s="4"/>
      <c r="J75" s="4">
        <v>-0.3</v>
      </c>
      <c r="K75" s="4">
        <v>-0.3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</row>
    <row r="76" spans="2:46" s="2" customFormat="1" ht="16.5" x14ac:dyDescent="0.25">
      <c r="B76" s="4" t="s">
        <v>333</v>
      </c>
      <c r="C76" s="4" t="s">
        <v>448</v>
      </c>
      <c r="D76" s="4" t="s">
        <v>455</v>
      </c>
      <c r="E76" s="4" t="s">
        <v>448</v>
      </c>
      <c r="F76" s="4">
        <v>0.9</v>
      </c>
      <c r="G76" s="4"/>
      <c r="H76" s="4">
        <v>-1</v>
      </c>
      <c r="I76" s="4"/>
      <c r="J76" s="4"/>
      <c r="K76" s="4"/>
      <c r="L76" s="4">
        <v>0.3</v>
      </c>
      <c r="M76" s="4">
        <v>0.3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</row>
    <row r="77" spans="2:46" s="2" customFormat="1" ht="16.5" x14ac:dyDescent="0.25">
      <c r="B77" s="4" t="s">
        <v>334</v>
      </c>
      <c r="C77" s="4" t="s">
        <v>398</v>
      </c>
      <c r="D77" s="4" t="s">
        <v>455</v>
      </c>
      <c r="E77" s="4" t="s">
        <v>398</v>
      </c>
      <c r="F77" s="4">
        <v>0.9</v>
      </c>
      <c r="G77" s="4"/>
      <c r="H77" s="4">
        <v>-1</v>
      </c>
      <c r="I77" s="4"/>
      <c r="J77" s="4"/>
      <c r="K77" s="4"/>
      <c r="L77" s="4"/>
      <c r="M77" s="4">
        <v>0.3</v>
      </c>
      <c r="N77" s="4">
        <v>0.3</v>
      </c>
      <c r="O77" s="4"/>
      <c r="P77" s="4"/>
      <c r="Q77" s="4"/>
      <c r="R77" s="4"/>
      <c r="S77" s="4"/>
      <c r="T77" s="4"/>
      <c r="U77" s="4"/>
      <c r="V77" s="4"/>
      <c r="W77" s="4"/>
      <c r="X77" s="4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78" spans="2:46" ht="16.5" x14ac:dyDescent="0.25">
      <c r="B78" s="4" t="s">
        <v>335</v>
      </c>
      <c r="C78" s="4" t="s">
        <v>448</v>
      </c>
      <c r="D78" s="4" t="s">
        <v>455</v>
      </c>
      <c r="E78" s="4" t="s">
        <v>398</v>
      </c>
      <c r="F78" s="4">
        <v>0.9</v>
      </c>
      <c r="G78" s="4"/>
      <c r="H78" s="4">
        <v>-1</v>
      </c>
      <c r="I78" s="4"/>
      <c r="J78" s="4"/>
      <c r="K78" s="4"/>
      <c r="L78" s="4">
        <v>-0.3</v>
      </c>
      <c r="M78" s="4">
        <v>-0.3</v>
      </c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</row>
    <row r="79" spans="2:46" ht="16.5" x14ac:dyDescent="0.25">
      <c r="B79" s="4" t="s">
        <v>336</v>
      </c>
      <c r="C79" s="4" t="s">
        <v>398</v>
      </c>
      <c r="D79" s="4" t="s">
        <v>400</v>
      </c>
      <c r="E79" s="4" t="s">
        <v>398</v>
      </c>
      <c r="F79" s="4">
        <v>0.9</v>
      </c>
      <c r="G79" s="4"/>
      <c r="H79" s="4">
        <v>-1</v>
      </c>
      <c r="I79" s="4"/>
      <c r="J79" s="4"/>
      <c r="K79" s="4"/>
      <c r="L79" s="4"/>
      <c r="M79" s="4">
        <v>-0.3</v>
      </c>
      <c r="N79" s="4">
        <v>-0.3</v>
      </c>
      <c r="O79" s="4"/>
      <c r="P79" s="4"/>
      <c r="Q79" s="4"/>
      <c r="R79" s="4"/>
      <c r="S79" s="4"/>
      <c r="T79" s="4"/>
      <c r="U79" s="4"/>
      <c r="V79" s="4"/>
      <c r="W79" s="4"/>
      <c r="X79" s="4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</row>
    <row r="80" spans="2:46" s="2" customFormat="1" ht="16.5" x14ac:dyDescent="0.25">
      <c r="B80" s="4" t="s">
        <v>337</v>
      </c>
      <c r="C80" s="4" t="s">
        <v>400</v>
      </c>
      <c r="D80" s="4" t="s">
        <v>400</v>
      </c>
      <c r="E80" s="4" t="s">
        <v>400</v>
      </c>
      <c r="F80" s="4"/>
      <c r="G80" s="4"/>
      <c r="H80" s="4"/>
      <c r="I80" s="4"/>
      <c r="J80" s="4"/>
      <c r="K80" s="4"/>
      <c r="L80" s="4"/>
      <c r="M80" s="4"/>
      <c r="N80" s="4"/>
      <c r="O80" s="4">
        <v>1.249117</v>
      </c>
      <c r="P80" s="4"/>
      <c r="Q80" s="4"/>
      <c r="R80" s="4"/>
      <c r="S80" s="4"/>
      <c r="T80" s="4"/>
      <c r="U80" s="4"/>
      <c r="V80" s="4"/>
      <c r="W80" s="4"/>
      <c r="X80" s="4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/>
      <c r="AQ80" s="125"/>
      <c r="AR80" s="125"/>
      <c r="AS80" s="125"/>
      <c r="AT80" s="125"/>
    </row>
    <row r="81" spans="2:46" s="2" customFormat="1" ht="16.5" x14ac:dyDescent="0.25">
      <c r="B81" s="4" t="s">
        <v>339</v>
      </c>
      <c r="C81" s="4" t="s">
        <v>400</v>
      </c>
      <c r="D81" s="4" t="s">
        <v>400</v>
      </c>
      <c r="E81" s="4" t="s">
        <v>400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>
        <v>1.201192</v>
      </c>
      <c r="Q81" s="4"/>
      <c r="R81" s="4"/>
      <c r="S81" s="4"/>
      <c r="T81" s="4"/>
      <c r="U81" s="4"/>
      <c r="V81" s="4"/>
      <c r="W81" s="4"/>
      <c r="X81" s="4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/>
      <c r="AQ81" s="125"/>
      <c r="AR81" s="125"/>
      <c r="AS81" s="125"/>
      <c r="AT81" s="125"/>
    </row>
    <row r="82" spans="2:46" ht="16.5" x14ac:dyDescent="0.25">
      <c r="B82" s="4" t="s">
        <v>341</v>
      </c>
      <c r="C82" s="4" t="s">
        <v>400</v>
      </c>
      <c r="D82" s="4" t="s">
        <v>400</v>
      </c>
      <c r="E82" s="4" t="s">
        <v>448</v>
      </c>
      <c r="F82" s="4">
        <v>1.2</v>
      </c>
      <c r="G82" s="4">
        <v>0.5</v>
      </c>
      <c r="H82" s="4">
        <v>0.3</v>
      </c>
      <c r="I82" s="4"/>
      <c r="J82" s="4"/>
      <c r="K82" s="4"/>
      <c r="L82" s="4"/>
      <c r="M82" s="4"/>
      <c r="N82" s="4"/>
      <c r="O82" s="4"/>
      <c r="P82" s="4"/>
      <c r="Q82" s="4">
        <v>1</v>
      </c>
      <c r="R82" s="4"/>
      <c r="S82" s="4"/>
      <c r="T82" s="4"/>
      <c r="U82" s="4"/>
      <c r="V82" s="4"/>
      <c r="W82" s="4"/>
      <c r="X82" s="4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</row>
    <row r="83" spans="2:46" ht="16.5" x14ac:dyDescent="0.25">
      <c r="B83" s="4" t="s">
        <v>342</v>
      </c>
      <c r="C83" s="4" t="s">
        <v>455</v>
      </c>
      <c r="D83" s="4" t="s">
        <v>400</v>
      </c>
      <c r="E83" s="4" t="s">
        <v>448</v>
      </c>
      <c r="F83" s="4">
        <v>1.2</v>
      </c>
      <c r="G83" s="4">
        <v>0.5</v>
      </c>
      <c r="H83" s="4">
        <v>-0.3</v>
      </c>
      <c r="I83" s="4"/>
      <c r="J83" s="4"/>
      <c r="K83" s="4"/>
      <c r="L83" s="4"/>
      <c r="M83" s="4"/>
      <c r="N83" s="4"/>
      <c r="O83" s="4"/>
      <c r="P83" s="4"/>
      <c r="Q83" s="4">
        <v>1</v>
      </c>
      <c r="R83" s="4"/>
      <c r="S83" s="4"/>
      <c r="T83" s="4"/>
      <c r="U83" s="4"/>
      <c r="V83" s="4"/>
      <c r="W83" s="4"/>
      <c r="X83" s="4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</row>
    <row r="84" spans="2:46" s="2" customFormat="1" ht="16.5" x14ac:dyDescent="0.25">
      <c r="B84" s="4" t="s">
        <v>343</v>
      </c>
      <c r="C84" s="4" t="s">
        <v>400</v>
      </c>
      <c r="D84" s="4" t="s">
        <v>455</v>
      </c>
      <c r="E84" s="4" t="s">
        <v>398</v>
      </c>
      <c r="F84" s="4">
        <v>1.2</v>
      </c>
      <c r="G84" s="4">
        <v>0.5</v>
      </c>
      <c r="H84" s="4">
        <v>0.3</v>
      </c>
      <c r="I84" s="4"/>
      <c r="J84" s="4"/>
      <c r="K84" s="4"/>
      <c r="L84" s="4"/>
      <c r="M84" s="4"/>
      <c r="N84" s="4"/>
      <c r="O84" s="4"/>
      <c r="P84" s="4"/>
      <c r="Q84" s="4"/>
      <c r="R84" s="4">
        <v>1</v>
      </c>
      <c r="S84" s="4"/>
      <c r="T84" s="4"/>
      <c r="U84" s="4"/>
      <c r="V84" s="4"/>
      <c r="W84" s="4"/>
      <c r="X84" s="4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</row>
    <row r="85" spans="2:46" s="2" customFormat="1" ht="16.5" x14ac:dyDescent="0.25">
      <c r="B85" s="4" t="s">
        <v>344</v>
      </c>
      <c r="C85" s="4" t="s">
        <v>455</v>
      </c>
      <c r="D85" s="4" t="s">
        <v>400</v>
      </c>
      <c r="E85" s="4" t="s">
        <v>448</v>
      </c>
      <c r="F85" s="4">
        <v>1.2</v>
      </c>
      <c r="G85" s="4">
        <v>0.5</v>
      </c>
      <c r="H85" s="4">
        <v>-0.3</v>
      </c>
      <c r="I85" s="4"/>
      <c r="J85" s="4"/>
      <c r="K85" s="4"/>
      <c r="L85" s="4"/>
      <c r="M85" s="4"/>
      <c r="N85" s="4"/>
      <c r="O85" s="4"/>
      <c r="P85" s="4"/>
      <c r="Q85" s="4"/>
      <c r="R85" s="4">
        <v>1</v>
      </c>
      <c r="S85" s="4"/>
      <c r="T85" s="4"/>
      <c r="U85" s="4"/>
      <c r="V85" s="4"/>
      <c r="W85" s="4"/>
      <c r="X85" s="4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</row>
    <row r="86" spans="2:46" ht="16.5" x14ac:dyDescent="0.25">
      <c r="B86" s="4" t="s">
        <v>345</v>
      </c>
      <c r="C86" s="4" t="s">
        <v>400</v>
      </c>
      <c r="D86" s="4" t="s">
        <v>400</v>
      </c>
      <c r="E86" s="4" t="s">
        <v>448</v>
      </c>
      <c r="F86" s="4">
        <v>1.2</v>
      </c>
      <c r="G86" s="4">
        <v>0.5</v>
      </c>
      <c r="H86" s="4">
        <v>1</v>
      </c>
      <c r="I86" s="4"/>
      <c r="J86" s="4"/>
      <c r="K86" s="4"/>
      <c r="L86" s="4"/>
      <c r="M86" s="4"/>
      <c r="N86" s="4"/>
      <c r="O86" s="4"/>
      <c r="P86" s="4"/>
      <c r="Q86" s="4">
        <v>0.3</v>
      </c>
      <c r="R86" s="4"/>
      <c r="S86" s="4"/>
      <c r="T86" s="4"/>
      <c r="U86" s="4"/>
      <c r="V86" s="4"/>
      <c r="W86" s="4"/>
      <c r="X86" s="4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</row>
    <row r="87" spans="2:46" ht="16.5" x14ac:dyDescent="0.25">
      <c r="B87" s="4" t="s">
        <v>346</v>
      </c>
      <c r="C87" s="4" t="s">
        <v>455</v>
      </c>
      <c r="D87" s="4" t="s">
        <v>455</v>
      </c>
      <c r="E87" s="4" t="s">
        <v>398</v>
      </c>
      <c r="F87" s="4">
        <v>1.2</v>
      </c>
      <c r="G87" s="4">
        <v>0.5</v>
      </c>
      <c r="H87" s="4">
        <v>-1</v>
      </c>
      <c r="I87" s="4"/>
      <c r="J87" s="4"/>
      <c r="K87" s="4"/>
      <c r="L87" s="4"/>
      <c r="M87" s="4"/>
      <c r="N87" s="4"/>
      <c r="O87" s="4"/>
      <c r="P87" s="4"/>
      <c r="Q87" s="4">
        <v>0.3</v>
      </c>
      <c r="R87" s="4"/>
      <c r="S87" s="4"/>
      <c r="T87" s="4"/>
      <c r="U87" s="4"/>
      <c r="V87" s="4"/>
      <c r="W87" s="4"/>
      <c r="X87" s="4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</row>
    <row r="88" spans="2:46" s="2" customFormat="1" ht="16.5" x14ac:dyDescent="0.25">
      <c r="B88" s="4" t="s">
        <v>347</v>
      </c>
      <c r="C88" s="4" t="s">
        <v>400</v>
      </c>
      <c r="D88" s="4" t="s">
        <v>400</v>
      </c>
      <c r="E88" s="4" t="s">
        <v>398</v>
      </c>
      <c r="F88" s="4">
        <v>1.2</v>
      </c>
      <c r="G88" s="4">
        <v>0.5</v>
      </c>
      <c r="H88" s="4">
        <v>1</v>
      </c>
      <c r="I88" s="4"/>
      <c r="J88" s="4"/>
      <c r="K88" s="4"/>
      <c r="L88" s="4"/>
      <c r="M88" s="4"/>
      <c r="N88" s="4"/>
      <c r="O88" s="4"/>
      <c r="P88" s="4"/>
      <c r="Q88" s="4"/>
      <c r="R88" s="4">
        <v>0.3</v>
      </c>
      <c r="S88" s="4"/>
      <c r="T88" s="4"/>
      <c r="U88" s="4"/>
      <c r="V88" s="4"/>
      <c r="W88" s="4"/>
      <c r="X88" s="4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/>
      <c r="AS88" s="125"/>
      <c r="AT88" s="125"/>
    </row>
    <row r="89" spans="2:46" s="2" customFormat="1" ht="16.5" x14ac:dyDescent="0.25">
      <c r="B89" s="4" t="s">
        <v>348</v>
      </c>
      <c r="C89" s="4" t="s">
        <v>400</v>
      </c>
      <c r="D89" s="4" t="s">
        <v>455</v>
      </c>
      <c r="E89" s="4" t="s">
        <v>398</v>
      </c>
      <c r="F89" s="4">
        <v>1.2</v>
      </c>
      <c r="G89" s="4">
        <v>0.5</v>
      </c>
      <c r="H89" s="4">
        <v>-1</v>
      </c>
      <c r="I89" s="4"/>
      <c r="J89" s="4"/>
      <c r="K89" s="4"/>
      <c r="L89" s="4"/>
      <c r="M89" s="4"/>
      <c r="N89" s="4"/>
      <c r="O89" s="4"/>
      <c r="P89" s="4"/>
      <c r="Q89" s="4"/>
      <c r="R89" s="4">
        <v>0.3</v>
      </c>
      <c r="S89" s="4"/>
      <c r="T89" s="4"/>
      <c r="U89" s="4"/>
      <c r="V89" s="4"/>
      <c r="W89" s="4"/>
      <c r="X89" s="4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/>
      <c r="AQ89" s="125"/>
      <c r="AR89" s="125"/>
      <c r="AS89" s="125"/>
      <c r="AT89" s="125"/>
    </row>
    <row r="90" spans="2:46" ht="16.5" x14ac:dyDescent="0.25">
      <c r="B90" s="4" t="s">
        <v>349</v>
      </c>
      <c r="C90" s="4" t="s">
        <v>400</v>
      </c>
      <c r="D90" s="4" t="s">
        <v>455</v>
      </c>
      <c r="E90" s="4" t="s">
        <v>398</v>
      </c>
      <c r="F90" s="4">
        <v>0.9</v>
      </c>
      <c r="G90" s="4"/>
      <c r="H90" s="4">
        <v>0.3</v>
      </c>
      <c r="I90" s="4"/>
      <c r="J90" s="4"/>
      <c r="K90" s="4"/>
      <c r="L90" s="4"/>
      <c r="M90" s="4"/>
      <c r="N90" s="4"/>
      <c r="O90" s="4"/>
      <c r="P90" s="4"/>
      <c r="Q90" s="4">
        <v>1</v>
      </c>
      <c r="R90" s="4"/>
      <c r="S90" s="4"/>
      <c r="T90" s="4"/>
      <c r="U90" s="4"/>
      <c r="V90" s="4"/>
      <c r="W90" s="4"/>
      <c r="X90" s="4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</row>
    <row r="91" spans="2:46" ht="16.5" x14ac:dyDescent="0.25">
      <c r="B91" s="4" t="s">
        <v>350</v>
      </c>
      <c r="C91" s="4" t="s">
        <v>400</v>
      </c>
      <c r="D91" s="4" t="s">
        <v>400</v>
      </c>
      <c r="E91" s="4" t="s">
        <v>448</v>
      </c>
      <c r="F91" s="4">
        <v>0.9</v>
      </c>
      <c r="G91" s="4"/>
      <c r="H91" s="4">
        <v>-0.3</v>
      </c>
      <c r="I91" s="4"/>
      <c r="J91" s="4"/>
      <c r="K91" s="4"/>
      <c r="L91" s="4"/>
      <c r="M91" s="4"/>
      <c r="N91" s="4"/>
      <c r="O91" s="4"/>
      <c r="P91" s="4"/>
      <c r="Q91" s="4">
        <v>1</v>
      </c>
      <c r="R91" s="4"/>
      <c r="S91" s="4"/>
      <c r="T91" s="4"/>
      <c r="U91" s="4"/>
      <c r="V91" s="4"/>
      <c r="W91" s="4"/>
      <c r="X91" s="4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</row>
    <row r="92" spans="2:46" s="2" customFormat="1" ht="16.5" x14ac:dyDescent="0.25">
      <c r="B92" s="4" t="s">
        <v>351</v>
      </c>
      <c r="C92" s="4" t="s">
        <v>464</v>
      </c>
      <c r="D92" s="4" t="s">
        <v>400</v>
      </c>
      <c r="E92" s="4" t="s">
        <v>398</v>
      </c>
      <c r="F92" s="4">
        <v>0.9</v>
      </c>
      <c r="G92" s="4"/>
      <c r="H92" s="4">
        <v>0.3</v>
      </c>
      <c r="I92" s="4"/>
      <c r="J92" s="4"/>
      <c r="K92" s="4"/>
      <c r="L92" s="4"/>
      <c r="M92" s="4"/>
      <c r="N92" s="4"/>
      <c r="O92" s="4"/>
      <c r="P92" s="4"/>
      <c r="Q92" s="4"/>
      <c r="R92" s="4">
        <v>1</v>
      </c>
      <c r="S92" s="4"/>
      <c r="T92" s="4"/>
      <c r="U92" s="4"/>
      <c r="V92" s="4"/>
      <c r="W92" s="4"/>
      <c r="X92" s="4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25"/>
      <c r="AO92" s="125"/>
      <c r="AP92" s="125"/>
      <c r="AQ92" s="125"/>
      <c r="AR92" s="125"/>
      <c r="AS92" s="125"/>
      <c r="AT92" s="125"/>
    </row>
    <row r="93" spans="2:46" s="2" customFormat="1" ht="16.5" x14ac:dyDescent="0.25">
      <c r="B93" s="4" t="s">
        <v>352</v>
      </c>
      <c r="C93" s="4" t="s">
        <v>455</v>
      </c>
      <c r="D93" s="4" t="s">
        <v>455</v>
      </c>
      <c r="E93" s="4" t="s">
        <v>398</v>
      </c>
      <c r="F93" s="4">
        <v>0.9</v>
      </c>
      <c r="G93" s="4"/>
      <c r="H93" s="4">
        <v>-0.3</v>
      </c>
      <c r="I93" s="4"/>
      <c r="J93" s="4"/>
      <c r="K93" s="4"/>
      <c r="L93" s="4"/>
      <c r="M93" s="4"/>
      <c r="N93" s="4"/>
      <c r="O93" s="4"/>
      <c r="P93" s="4"/>
      <c r="Q93" s="4"/>
      <c r="R93" s="4">
        <v>1</v>
      </c>
      <c r="S93" s="4"/>
      <c r="T93" s="4"/>
      <c r="U93" s="4"/>
      <c r="V93" s="4"/>
      <c r="W93" s="4"/>
      <c r="X93" s="4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</row>
    <row r="94" spans="2:46" ht="16.5" x14ac:dyDescent="0.25">
      <c r="B94" s="4" t="s">
        <v>353</v>
      </c>
      <c r="C94" s="4" t="s">
        <v>400</v>
      </c>
      <c r="D94" s="4" t="s">
        <v>400</v>
      </c>
      <c r="E94" s="4" t="s">
        <v>398</v>
      </c>
      <c r="F94" s="4">
        <v>0.9</v>
      </c>
      <c r="G94" s="4"/>
      <c r="H94" s="4">
        <v>1</v>
      </c>
      <c r="I94" s="4"/>
      <c r="J94" s="4"/>
      <c r="K94" s="4"/>
      <c r="L94" s="4"/>
      <c r="M94" s="4"/>
      <c r="N94" s="4"/>
      <c r="O94" s="4"/>
      <c r="P94" s="4"/>
      <c r="Q94" s="4">
        <v>0.3</v>
      </c>
      <c r="R94" s="4"/>
      <c r="S94" s="4"/>
      <c r="T94" s="4"/>
      <c r="U94" s="4"/>
      <c r="V94" s="4"/>
      <c r="W94" s="4"/>
      <c r="X94" s="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</row>
    <row r="95" spans="2:46" ht="16.5" x14ac:dyDescent="0.25">
      <c r="B95" s="4" t="s">
        <v>354</v>
      </c>
      <c r="C95" s="4" t="s">
        <v>455</v>
      </c>
      <c r="D95" s="4" t="s">
        <v>455</v>
      </c>
      <c r="E95" s="4" t="s">
        <v>398</v>
      </c>
      <c r="F95" s="4">
        <v>0.9</v>
      </c>
      <c r="G95" s="4"/>
      <c r="H95" s="4">
        <v>-1</v>
      </c>
      <c r="I95" s="4"/>
      <c r="J95" s="4"/>
      <c r="K95" s="4"/>
      <c r="L95" s="4"/>
      <c r="M95" s="4"/>
      <c r="N95" s="4"/>
      <c r="O95" s="4"/>
      <c r="P95" s="4"/>
      <c r="Q95" s="4">
        <v>0.3</v>
      </c>
      <c r="R95" s="4"/>
      <c r="S95" s="4"/>
      <c r="T95" s="4"/>
      <c r="U95" s="4"/>
      <c r="V95" s="4"/>
      <c r="W95" s="4"/>
      <c r="X95" s="4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</row>
    <row r="96" spans="2:46" s="2" customFormat="1" ht="16.5" x14ac:dyDescent="0.25">
      <c r="B96" s="4" t="s">
        <v>355</v>
      </c>
      <c r="C96" s="4" t="s">
        <v>400</v>
      </c>
      <c r="D96" s="4" t="s">
        <v>400</v>
      </c>
      <c r="E96" s="4" t="s">
        <v>448</v>
      </c>
      <c r="F96" s="4">
        <v>0.9</v>
      </c>
      <c r="G96" s="4"/>
      <c r="H96" s="4">
        <v>1</v>
      </c>
      <c r="I96" s="4"/>
      <c r="J96" s="4"/>
      <c r="K96" s="4"/>
      <c r="L96" s="4"/>
      <c r="M96" s="4"/>
      <c r="N96" s="4"/>
      <c r="O96" s="4"/>
      <c r="P96" s="4"/>
      <c r="Q96" s="4"/>
      <c r="R96" s="4">
        <v>0.3</v>
      </c>
      <c r="S96" s="4"/>
      <c r="T96" s="4"/>
      <c r="U96" s="4"/>
      <c r="V96" s="4"/>
      <c r="W96" s="4"/>
      <c r="X96" s="4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25"/>
      <c r="AO96" s="125"/>
      <c r="AP96" s="125"/>
      <c r="AQ96" s="125"/>
      <c r="AR96" s="125"/>
      <c r="AS96" s="125"/>
      <c r="AT96" s="125"/>
    </row>
    <row r="97" spans="2:46" s="2" customFormat="1" ht="16.5" x14ac:dyDescent="0.25">
      <c r="B97" s="4" t="s">
        <v>356</v>
      </c>
      <c r="C97" s="4" t="s">
        <v>400</v>
      </c>
      <c r="D97" s="4" t="s">
        <v>400</v>
      </c>
      <c r="E97" s="4" t="s">
        <v>398</v>
      </c>
      <c r="F97" s="4">
        <v>0.9</v>
      </c>
      <c r="G97" s="4"/>
      <c r="H97" s="4">
        <v>-1</v>
      </c>
      <c r="I97" s="4"/>
      <c r="J97" s="4"/>
      <c r="K97" s="4"/>
      <c r="L97" s="4"/>
      <c r="M97" s="4"/>
      <c r="N97" s="4"/>
      <c r="O97" s="4"/>
      <c r="P97" s="4"/>
      <c r="Q97" s="4"/>
      <c r="R97" s="4">
        <v>0.3</v>
      </c>
      <c r="S97" s="4"/>
      <c r="T97" s="4"/>
      <c r="U97" s="4"/>
      <c r="V97" s="4"/>
      <c r="W97" s="4"/>
      <c r="X97" s="4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25"/>
      <c r="AO97" s="125"/>
      <c r="AP97" s="125"/>
      <c r="AQ97" s="125"/>
      <c r="AR97" s="125"/>
      <c r="AS97" s="125"/>
      <c r="AT97" s="125"/>
    </row>
    <row r="98" spans="2:46" ht="16.5" x14ac:dyDescent="0.25">
      <c r="B98" s="4" t="s">
        <v>357</v>
      </c>
      <c r="C98" s="4" t="s">
        <v>400</v>
      </c>
      <c r="D98" s="4" t="s">
        <v>400</v>
      </c>
      <c r="E98" s="4" t="s">
        <v>455</v>
      </c>
      <c r="F98" s="4">
        <v>1.2</v>
      </c>
      <c r="G98" s="4">
        <v>0.5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>
        <v>1.36</v>
      </c>
      <c r="T98" s="4">
        <v>1.1200000000000001</v>
      </c>
      <c r="U98" s="4">
        <v>1.1200000000000001</v>
      </c>
      <c r="V98" s="4"/>
      <c r="W98" s="4"/>
      <c r="X98" s="4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</row>
    <row r="99" spans="2:46" ht="16.5" x14ac:dyDescent="0.25">
      <c r="B99" s="4" t="s">
        <v>358</v>
      </c>
      <c r="C99" s="4" t="s">
        <v>400</v>
      </c>
      <c r="D99" s="4" t="s">
        <v>464</v>
      </c>
      <c r="E99" s="4" t="s">
        <v>400</v>
      </c>
      <c r="F99" s="4">
        <v>1.2</v>
      </c>
      <c r="G99" s="4">
        <v>0.5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>
        <v>1.36</v>
      </c>
      <c r="T99" s="4">
        <v>-1.1200000000000001</v>
      </c>
      <c r="U99" s="4">
        <v>1.1200000000000001</v>
      </c>
      <c r="V99" s="4"/>
      <c r="W99" s="4"/>
      <c r="X99" s="4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</row>
    <row r="100" spans="2:46" s="2" customFormat="1" ht="16.5" x14ac:dyDescent="0.25">
      <c r="B100" s="4" t="s">
        <v>359</v>
      </c>
      <c r="C100" s="4" t="s">
        <v>455</v>
      </c>
      <c r="D100" s="4" t="s">
        <v>400</v>
      </c>
      <c r="E100" s="4" t="s">
        <v>400</v>
      </c>
      <c r="F100" s="4">
        <v>1.2</v>
      </c>
      <c r="G100" s="4">
        <v>0.5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>
        <v>-1.36</v>
      </c>
      <c r="T100" s="4">
        <v>1.1200000000000001</v>
      </c>
      <c r="U100" s="4">
        <v>1.1200000000000001</v>
      </c>
      <c r="V100" s="4"/>
      <c r="W100" s="4"/>
      <c r="X100" s="4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</row>
    <row r="101" spans="2:46" s="2" customFormat="1" ht="16.5" x14ac:dyDescent="0.25">
      <c r="B101" s="4" t="s">
        <v>360</v>
      </c>
      <c r="C101" s="4" t="s">
        <v>400</v>
      </c>
      <c r="D101" s="4" t="s">
        <v>400</v>
      </c>
      <c r="E101" s="4" t="s">
        <v>465</v>
      </c>
      <c r="F101" s="4">
        <v>1.2</v>
      </c>
      <c r="G101" s="4">
        <v>0.5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>
        <v>-1.36</v>
      </c>
      <c r="T101" s="4">
        <v>-1.1200000000000001</v>
      </c>
      <c r="U101" s="4">
        <v>1.1200000000000001</v>
      </c>
      <c r="V101" s="4"/>
      <c r="W101" s="4"/>
      <c r="X101" s="4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</row>
    <row r="102" spans="2:46" ht="16.5" x14ac:dyDescent="0.25">
      <c r="B102" s="4" t="s">
        <v>361</v>
      </c>
      <c r="C102" s="4" t="s">
        <v>455</v>
      </c>
      <c r="D102" s="4" t="s">
        <v>400</v>
      </c>
      <c r="E102" s="4" t="s">
        <v>400</v>
      </c>
      <c r="F102" s="4">
        <v>1.2</v>
      </c>
      <c r="G102" s="4">
        <v>0.5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>
        <v>1.36</v>
      </c>
      <c r="W102" s="4">
        <v>1.1200000000000001</v>
      </c>
      <c r="X102" s="4">
        <v>1.1200000000000001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</row>
    <row r="103" spans="2:46" ht="16.5" x14ac:dyDescent="0.25">
      <c r="B103" s="4" t="s">
        <v>362</v>
      </c>
      <c r="C103" s="4" t="s">
        <v>400</v>
      </c>
      <c r="D103" s="4" t="s">
        <v>400</v>
      </c>
      <c r="E103" s="4" t="s">
        <v>400</v>
      </c>
      <c r="F103" s="4">
        <v>1.2</v>
      </c>
      <c r="G103" s="4">
        <v>0.5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>
        <v>1.36</v>
      </c>
      <c r="W103" s="4">
        <v>-1.1200000000000001</v>
      </c>
      <c r="X103" s="4">
        <v>1.1200000000000001</v>
      </c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</row>
    <row r="104" spans="2:46" s="2" customFormat="1" ht="16.5" x14ac:dyDescent="0.25">
      <c r="B104" s="4" t="s">
        <v>363</v>
      </c>
      <c r="C104" s="4" t="s">
        <v>400</v>
      </c>
      <c r="D104" s="4" t="s">
        <v>400</v>
      </c>
      <c r="E104" s="4" t="s">
        <v>400</v>
      </c>
      <c r="F104" s="4">
        <v>1.2</v>
      </c>
      <c r="G104" s="4">
        <v>0.5</v>
      </c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>
        <v>-1.36</v>
      </c>
      <c r="W104" s="4">
        <v>1.1200000000000001</v>
      </c>
      <c r="X104" s="4">
        <v>1.1200000000000001</v>
      </c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</row>
    <row r="105" spans="2:46" s="2" customFormat="1" ht="16.5" x14ac:dyDescent="0.25">
      <c r="B105" s="4" t="s">
        <v>364</v>
      </c>
      <c r="C105" s="4" t="s">
        <v>400</v>
      </c>
      <c r="D105" s="4" t="s">
        <v>455</v>
      </c>
      <c r="E105" s="4" t="s">
        <v>455</v>
      </c>
      <c r="F105" s="4">
        <v>1.2</v>
      </c>
      <c r="G105" s="4">
        <v>0.5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>
        <v>-1.36</v>
      </c>
      <c r="W105" s="4">
        <v>-1.1200000000000001</v>
      </c>
      <c r="X105" s="4">
        <v>1.1200000000000001</v>
      </c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</row>
    <row r="106" spans="2:46" ht="16.5" x14ac:dyDescent="0.25">
      <c r="B106" s="4" t="s">
        <v>365</v>
      </c>
      <c r="C106" s="4" t="s">
        <v>400</v>
      </c>
      <c r="D106" s="4" t="s">
        <v>400</v>
      </c>
      <c r="E106" s="4" t="s">
        <v>400</v>
      </c>
      <c r="F106" s="4">
        <v>0.9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>
        <v>1.36</v>
      </c>
      <c r="T106" s="4">
        <v>1.1200000000000001</v>
      </c>
      <c r="U106" s="4">
        <v>1.1200000000000001</v>
      </c>
      <c r="V106" s="4"/>
      <c r="W106" s="4"/>
      <c r="X106" s="4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</row>
    <row r="107" spans="2:46" ht="16.5" x14ac:dyDescent="0.25">
      <c r="B107" s="4" t="s">
        <v>366</v>
      </c>
      <c r="C107" s="4" t="s">
        <v>400</v>
      </c>
      <c r="D107" s="4" t="s">
        <v>451</v>
      </c>
      <c r="E107" s="4" t="s">
        <v>400</v>
      </c>
      <c r="F107" s="4">
        <v>0.9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>
        <v>1.36</v>
      </c>
      <c r="T107" s="4">
        <v>-1.1200000000000001</v>
      </c>
      <c r="U107" s="4">
        <v>1.1200000000000001</v>
      </c>
      <c r="V107" s="4"/>
      <c r="W107" s="4"/>
      <c r="X107" s="4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</row>
    <row r="108" spans="2:46" s="2" customFormat="1" ht="16.5" x14ac:dyDescent="0.25">
      <c r="B108" s="4" t="s">
        <v>367</v>
      </c>
      <c r="C108" s="4" t="s">
        <v>466</v>
      </c>
      <c r="D108" s="4" t="s">
        <v>455</v>
      </c>
      <c r="E108" s="4" t="s">
        <v>455</v>
      </c>
      <c r="F108" s="4">
        <v>0.9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>
        <v>-1.36</v>
      </c>
      <c r="T108" s="4">
        <v>1.1200000000000001</v>
      </c>
      <c r="U108" s="4">
        <v>1.1200000000000001</v>
      </c>
      <c r="V108" s="4"/>
      <c r="W108" s="4"/>
      <c r="X108" s="4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  <c r="AL108" s="125"/>
      <c r="AM108" s="125"/>
      <c r="AN108" s="125"/>
      <c r="AO108" s="125"/>
      <c r="AP108" s="125"/>
      <c r="AQ108" s="125"/>
      <c r="AR108" s="125"/>
      <c r="AS108" s="125"/>
      <c r="AT108" s="125"/>
    </row>
    <row r="109" spans="2:46" s="2" customFormat="1" ht="16.5" x14ac:dyDescent="0.25">
      <c r="B109" s="4" t="s">
        <v>368</v>
      </c>
      <c r="C109" s="4" t="s">
        <v>451</v>
      </c>
      <c r="D109" s="4" t="s">
        <v>467</v>
      </c>
      <c r="E109" s="4" t="s">
        <v>451</v>
      </c>
      <c r="F109" s="4">
        <v>0.9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>
        <v>-1.36</v>
      </c>
      <c r="T109" s="4">
        <v>-1.1200000000000001</v>
      </c>
      <c r="U109" s="4">
        <v>1.1200000000000001</v>
      </c>
      <c r="V109" s="4"/>
      <c r="W109" s="4"/>
      <c r="X109" s="4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</row>
    <row r="110" spans="2:46" ht="16.5" x14ac:dyDescent="0.25">
      <c r="B110" s="4" t="s">
        <v>369</v>
      </c>
      <c r="C110" s="4" t="s">
        <v>400</v>
      </c>
      <c r="D110" s="4" t="s">
        <v>464</v>
      </c>
      <c r="E110" s="4" t="s">
        <v>400</v>
      </c>
      <c r="F110" s="4">
        <v>0.9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>
        <v>1.36</v>
      </c>
      <c r="W110" s="4">
        <v>1.1200000000000001</v>
      </c>
      <c r="X110" s="4">
        <v>1.1200000000000001</v>
      </c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</row>
    <row r="111" spans="2:46" ht="16.5" x14ac:dyDescent="0.25">
      <c r="B111" s="4" t="s">
        <v>370</v>
      </c>
      <c r="C111" s="4" t="s">
        <v>400</v>
      </c>
      <c r="D111" s="4" t="s">
        <v>400</v>
      </c>
      <c r="E111" s="4" t="s">
        <v>400</v>
      </c>
      <c r="F111" s="4">
        <v>0.9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>
        <v>1.36</v>
      </c>
      <c r="W111" s="4">
        <v>-1.1200000000000001</v>
      </c>
      <c r="X111" s="4">
        <v>1.1200000000000001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</row>
    <row r="112" spans="2:46" s="2" customFormat="1" ht="16.5" x14ac:dyDescent="0.25">
      <c r="B112" s="4" t="s">
        <v>371</v>
      </c>
      <c r="C112" s="4" t="s">
        <v>400</v>
      </c>
      <c r="D112" s="4" t="s">
        <v>400</v>
      </c>
      <c r="E112" s="4" t="s">
        <v>455</v>
      </c>
      <c r="F112" s="4">
        <v>0.9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>
        <v>-1.36</v>
      </c>
      <c r="W112" s="4">
        <v>1.1200000000000001</v>
      </c>
      <c r="X112" s="4">
        <v>1.1200000000000001</v>
      </c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</row>
    <row r="113" spans="2:46" s="2" customFormat="1" ht="16.5" x14ac:dyDescent="0.25">
      <c r="B113" s="4" t="s">
        <v>372</v>
      </c>
      <c r="C113" s="4" t="s">
        <v>400</v>
      </c>
      <c r="D113" s="4" t="s">
        <v>468</v>
      </c>
      <c r="E113" s="4" t="s">
        <v>400</v>
      </c>
      <c r="F113" s="4">
        <v>0.9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>
        <v>-1.36</v>
      </c>
      <c r="W113" s="4">
        <v>-1.1200000000000001</v>
      </c>
      <c r="X113" s="4">
        <v>1.1200000000000001</v>
      </c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  <c r="AL113" s="125"/>
      <c r="AM113" s="125"/>
      <c r="AN113" s="125"/>
      <c r="AO113" s="125"/>
      <c r="AP113" s="125"/>
      <c r="AQ113" s="125"/>
      <c r="AR113" s="125"/>
      <c r="AS113" s="125"/>
      <c r="AT113" s="125"/>
    </row>
    <row r="114" spans="2:46" ht="16.5" x14ac:dyDescent="0.25">
      <c r="B114" s="4" t="s">
        <v>469</v>
      </c>
      <c r="C114" s="4" t="s">
        <v>398</v>
      </c>
      <c r="D114" s="4" t="s">
        <v>400</v>
      </c>
      <c r="E114" s="4" t="s">
        <v>400</v>
      </c>
      <c r="F114" s="4">
        <v>1.4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</row>
    <row r="115" spans="2:46" ht="16.5" x14ac:dyDescent="0.25">
      <c r="B115" s="4" t="s">
        <v>470</v>
      </c>
      <c r="C115" s="4" t="s">
        <v>456</v>
      </c>
      <c r="D115" s="4" t="s">
        <v>451</v>
      </c>
      <c r="E115" s="4" t="s">
        <v>400</v>
      </c>
      <c r="F115" s="4">
        <v>1.2</v>
      </c>
      <c r="G115" s="4">
        <v>1.6</v>
      </c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</row>
    <row r="116" spans="2:46" ht="16.5" x14ac:dyDescent="0.25">
      <c r="B116" s="4" t="s">
        <v>471</v>
      </c>
      <c r="C116" s="4" t="s">
        <v>398</v>
      </c>
      <c r="D116" s="4" t="s">
        <v>400</v>
      </c>
      <c r="E116" s="4" t="s">
        <v>400</v>
      </c>
      <c r="F116" s="4">
        <v>1.2</v>
      </c>
      <c r="G116" s="4">
        <v>0.5</v>
      </c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</row>
    <row r="117" spans="2:46" ht="16.5" x14ac:dyDescent="0.25">
      <c r="B117" s="4" t="s">
        <v>472</v>
      </c>
      <c r="C117" s="4" t="s">
        <v>398</v>
      </c>
      <c r="D117" s="4" t="s">
        <v>400</v>
      </c>
      <c r="E117" s="4" t="s">
        <v>400</v>
      </c>
      <c r="F117" s="4">
        <v>1.2</v>
      </c>
      <c r="G117" s="4">
        <v>0.5</v>
      </c>
      <c r="H117" s="4">
        <v>0.3</v>
      </c>
      <c r="I117" s="4">
        <v>1.4</v>
      </c>
      <c r="J117" s="4">
        <v>1.4</v>
      </c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</row>
    <row r="118" spans="2:46" s="2" customFormat="1" ht="16.5" x14ac:dyDescent="0.25">
      <c r="B118" s="4" t="s">
        <v>473</v>
      </c>
      <c r="C118" s="4" t="s">
        <v>398</v>
      </c>
      <c r="D118" s="4" t="s">
        <v>455</v>
      </c>
      <c r="E118" s="4" t="s">
        <v>455</v>
      </c>
      <c r="F118" s="4">
        <v>1.2</v>
      </c>
      <c r="G118" s="4">
        <v>0.5</v>
      </c>
      <c r="H118" s="4">
        <v>0.3</v>
      </c>
      <c r="I118" s="4"/>
      <c r="J118" s="4">
        <v>1.4</v>
      </c>
      <c r="K118" s="4">
        <v>1.4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125"/>
      <c r="AN118" s="125"/>
      <c r="AO118" s="125"/>
      <c r="AP118" s="125"/>
      <c r="AQ118" s="125"/>
      <c r="AR118" s="125"/>
      <c r="AS118" s="125"/>
      <c r="AT118" s="125"/>
    </row>
    <row r="119" spans="2:46" s="2" customFormat="1" ht="16.5" x14ac:dyDescent="0.25">
      <c r="B119" s="4" t="s">
        <v>474</v>
      </c>
      <c r="C119" s="4" t="s">
        <v>475</v>
      </c>
      <c r="D119" s="4" t="s">
        <v>400</v>
      </c>
      <c r="E119" s="4" t="s">
        <v>455</v>
      </c>
      <c r="F119" s="4">
        <v>1.2</v>
      </c>
      <c r="G119" s="4">
        <v>0.5</v>
      </c>
      <c r="H119" s="4">
        <v>0.3</v>
      </c>
      <c r="I119" s="4">
        <v>-1.4</v>
      </c>
      <c r="J119" s="4">
        <v>-1.4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125"/>
      <c r="AN119" s="125"/>
      <c r="AO119" s="125"/>
      <c r="AP119" s="125"/>
      <c r="AQ119" s="125"/>
      <c r="AR119" s="125"/>
      <c r="AS119" s="125"/>
      <c r="AT119" s="125"/>
    </row>
    <row r="120" spans="2:46" ht="16.5" x14ac:dyDescent="0.25">
      <c r="B120" s="4" t="s">
        <v>476</v>
      </c>
      <c r="C120" s="4" t="s">
        <v>398</v>
      </c>
      <c r="D120" s="4" t="s">
        <v>455</v>
      </c>
      <c r="E120" s="4" t="s">
        <v>400</v>
      </c>
      <c r="F120" s="4">
        <v>1.2</v>
      </c>
      <c r="G120" s="4">
        <v>0.5</v>
      </c>
      <c r="H120" s="4">
        <v>0.3</v>
      </c>
      <c r="I120" s="4"/>
      <c r="J120" s="4">
        <v>-1.4</v>
      </c>
      <c r="K120" s="4">
        <v>-1.4</v>
      </c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</row>
    <row r="121" spans="2:46" ht="16.5" x14ac:dyDescent="0.25">
      <c r="B121" s="4" t="s">
        <v>477</v>
      </c>
      <c r="C121" s="4" t="s">
        <v>448</v>
      </c>
      <c r="D121" s="4" t="s">
        <v>400</v>
      </c>
      <c r="E121" s="4" t="s">
        <v>451</v>
      </c>
      <c r="F121" s="4">
        <v>1.2</v>
      </c>
      <c r="G121" s="4">
        <v>0.5</v>
      </c>
      <c r="H121" s="4">
        <v>0.3</v>
      </c>
      <c r="I121" s="4"/>
      <c r="J121" s="4"/>
      <c r="K121" s="4"/>
      <c r="L121" s="4">
        <v>1.4</v>
      </c>
      <c r="M121" s="4">
        <v>1.4</v>
      </c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</row>
    <row r="122" spans="2:46" s="2" customFormat="1" ht="16.5" x14ac:dyDescent="0.25">
      <c r="B122" s="4" t="s">
        <v>478</v>
      </c>
      <c r="C122" s="4" t="s">
        <v>398</v>
      </c>
      <c r="D122" s="4" t="s">
        <v>455</v>
      </c>
      <c r="E122" s="4" t="s">
        <v>455</v>
      </c>
      <c r="F122" s="4">
        <v>1.2</v>
      </c>
      <c r="G122" s="4">
        <v>0.5</v>
      </c>
      <c r="H122" s="4">
        <v>0.3</v>
      </c>
      <c r="I122" s="4"/>
      <c r="J122" s="4"/>
      <c r="K122" s="4"/>
      <c r="L122" s="4"/>
      <c r="M122" s="4">
        <v>1.4</v>
      </c>
      <c r="N122" s="4">
        <v>1.4</v>
      </c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125"/>
      <c r="AN122" s="125"/>
      <c r="AO122" s="125"/>
      <c r="AP122" s="125"/>
      <c r="AQ122" s="125"/>
      <c r="AR122" s="125"/>
      <c r="AS122" s="125"/>
      <c r="AT122" s="125"/>
    </row>
    <row r="123" spans="2:46" s="2" customFormat="1" ht="16.5" x14ac:dyDescent="0.25">
      <c r="B123" s="4" t="s">
        <v>479</v>
      </c>
      <c r="C123" s="4" t="s">
        <v>398</v>
      </c>
      <c r="D123" s="4" t="s">
        <v>480</v>
      </c>
      <c r="E123" s="4" t="s">
        <v>400</v>
      </c>
      <c r="F123" s="4">
        <v>1.2</v>
      </c>
      <c r="G123" s="4">
        <v>0.5</v>
      </c>
      <c r="H123" s="4">
        <v>0.3</v>
      </c>
      <c r="I123" s="4"/>
      <c r="J123" s="4"/>
      <c r="K123" s="4"/>
      <c r="L123" s="4">
        <v>-1.4</v>
      </c>
      <c r="M123" s="4">
        <v>-1.4</v>
      </c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O123" s="125"/>
      <c r="AP123" s="125"/>
      <c r="AQ123" s="125"/>
      <c r="AR123" s="125"/>
      <c r="AS123" s="125"/>
      <c r="AT123" s="125"/>
    </row>
    <row r="124" spans="2:46" ht="16.5" x14ac:dyDescent="0.25">
      <c r="B124" s="4" t="s">
        <v>481</v>
      </c>
      <c r="C124" s="4" t="s">
        <v>448</v>
      </c>
      <c r="D124" s="4" t="s">
        <v>400</v>
      </c>
      <c r="E124" s="4" t="s">
        <v>400</v>
      </c>
      <c r="F124" s="4">
        <v>1.2</v>
      </c>
      <c r="G124" s="4">
        <v>0.5</v>
      </c>
      <c r="H124" s="4">
        <v>0.3</v>
      </c>
      <c r="I124" s="4"/>
      <c r="J124" s="4"/>
      <c r="K124" s="4"/>
      <c r="L124" s="4"/>
      <c r="M124" s="4">
        <v>-1.4</v>
      </c>
      <c r="N124" s="4">
        <v>-1.4</v>
      </c>
      <c r="O124" s="4"/>
      <c r="P124" s="4"/>
      <c r="Q124" s="4"/>
      <c r="R124" s="4"/>
      <c r="S124" s="4"/>
      <c r="T124" s="4"/>
      <c r="U124" s="4"/>
      <c r="V124" s="4"/>
      <c r="W124" s="4"/>
      <c r="X124" s="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</row>
    <row r="125" spans="2:46" ht="16.5" x14ac:dyDescent="0.25">
      <c r="B125" s="4" t="s">
        <v>482</v>
      </c>
      <c r="C125" s="4" t="s">
        <v>398</v>
      </c>
      <c r="D125" s="4" t="s">
        <v>455</v>
      </c>
      <c r="E125" s="4" t="s">
        <v>455</v>
      </c>
      <c r="F125" s="4">
        <v>1.2</v>
      </c>
      <c r="G125" s="4">
        <v>0.5</v>
      </c>
      <c r="H125" s="4">
        <v>-0.3</v>
      </c>
      <c r="I125" s="4">
        <v>1.4</v>
      </c>
      <c r="J125" s="4">
        <v>1.4</v>
      </c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</row>
    <row r="126" spans="2:46" s="2" customFormat="1" ht="16.5" x14ac:dyDescent="0.25">
      <c r="B126" s="4" t="s">
        <v>483</v>
      </c>
      <c r="C126" s="4" t="s">
        <v>398</v>
      </c>
      <c r="D126" s="4" t="s">
        <v>455</v>
      </c>
      <c r="E126" s="4" t="s">
        <v>400</v>
      </c>
      <c r="F126" s="4">
        <v>1.2</v>
      </c>
      <c r="G126" s="4">
        <v>0.5</v>
      </c>
      <c r="H126" s="4">
        <v>-0.3</v>
      </c>
      <c r="I126" s="4"/>
      <c r="J126" s="4">
        <v>1.4</v>
      </c>
      <c r="K126" s="4">
        <v>1.4</v>
      </c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125"/>
      <c r="Z126" s="125"/>
      <c r="AA126" s="125"/>
      <c r="AB126" s="125"/>
      <c r="AC126" s="125"/>
      <c r="AD126" s="125"/>
      <c r="AE126" s="125"/>
      <c r="AF126" s="125"/>
      <c r="AG126" s="125"/>
      <c r="AH126" s="125"/>
      <c r="AI126" s="125"/>
      <c r="AJ126" s="125"/>
      <c r="AK126" s="125"/>
      <c r="AL126" s="125"/>
      <c r="AM126" s="125"/>
      <c r="AN126" s="125"/>
      <c r="AO126" s="125"/>
      <c r="AP126" s="125"/>
      <c r="AQ126" s="125"/>
      <c r="AR126" s="125"/>
      <c r="AS126" s="125"/>
      <c r="AT126" s="125"/>
    </row>
    <row r="127" spans="2:46" s="2" customFormat="1" ht="16.5" x14ac:dyDescent="0.25">
      <c r="B127" s="4" t="s">
        <v>484</v>
      </c>
      <c r="C127" s="4" t="s">
        <v>456</v>
      </c>
      <c r="D127" s="4" t="s">
        <v>400</v>
      </c>
      <c r="E127" s="4" t="s">
        <v>455</v>
      </c>
      <c r="F127" s="4">
        <v>1.2</v>
      </c>
      <c r="G127" s="4">
        <v>0.5</v>
      </c>
      <c r="H127" s="4">
        <v>-0.3</v>
      </c>
      <c r="I127" s="4">
        <v>-1.4</v>
      </c>
      <c r="J127" s="4">
        <v>-1.4</v>
      </c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125"/>
      <c r="Z127" s="125"/>
      <c r="AA127" s="125"/>
      <c r="AB127" s="125"/>
      <c r="AC127" s="125"/>
      <c r="AD127" s="125"/>
      <c r="AE127" s="125"/>
      <c r="AF127" s="125"/>
      <c r="AG127" s="125"/>
      <c r="AH127" s="125"/>
      <c r="AI127" s="125"/>
      <c r="AJ127" s="125"/>
      <c r="AK127" s="125"/>
      <c r="AL127" s="125"/>
      <c r="AM127" s="125"/>
      <c r="AN127" s="125"/>
      <c r="AO127" s="125"/>
      <c r="AP127" s="125"/>
      <c r="AQ127" s="125"/>
      <c r="AR127" s="125"/>
      <c r="AS127" s="125"/>
      <c r="AT127" s="125"/>
    </row>
    <row r="128" spans="2:46" ht="16.5" x14ac:dyDescent="0.25">
      <c r="B128" s="4" t="s">
        <v>485</v>
      </c>
      <c r="C128" s="4" t="s">
        <v>398</v>
      </c>
      <c r="D128" s="4" t="s">
        <v>400</v>
      </c>
      <c r="E128" s="4" t="s">
        <v>455</v>
      </c>
      <c r="F128" s="4">
        <v>1.2</v>
      </c>
      <c r="G128" s="4">
        <v>0.5</v>
      </c>
      <c r="H128" s="4">
        <v>-0.3</v>
      </c>
      <c r="I128" s="4"/>
      <c r="J128" s="4">
        <v>-1.4</v>
      </c>
      <c r="K128" s="4">
        <v>-1.4</v>
      </c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</row>
    <row r="129" spans="2:46" ht="16.5" x14ac:dyDescent="0.25">
      <c r="B129" s="4" t="s">
        <v>486</v>
      </c>
      <c r="C129" s="4" t="s">
        <v>398</v>
      </c>
      <c r="D129" s="4" t="s">
        <v>400</v>
      </c>
      <c r="E129" s="4" t="s">
        <v>400</v>
      </c>
      <c r="F129" s="4">
        <v>1.2</v>
      </c>
      <c r="G129" s="4">
        <v>0.5</v>
      </c>
      <c r="H129" s="4">
        <v>-0.3</v>
      </c>
      <c r="I129" s="4"/>
      <c r="J129" s="4"/>
      <c r="K129" s="4"/>
      <c r="L129" s="4">
        <v>1.4</v>
      </c>
      <c r="M129" s="4">
        <v>1.4</v>
      </c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</row>
    <row r="130" spans="2:46" s="2" customFormat="1" ht="16.5" x14ac:dyDescent="0.25">
      <c r="B130" s="4" t="s">
        <v>487</v>
      </c>
      <c r="C130" s="4" t="s">
        <v>398</v>
      </c>
      <c r="D130" s="4" t="s">
        <v>455</v>
      </c>
      <c r="E130" s="4" t="s">
        <v>455</v>
      </c>
      <c r="F130" s="4">
        <v>1.2</v>
      </c>
      <c r="G130" s="4">
        <v>0.5</v>
      </c>
      <c r="H130" s="4">
        <v>-0.3</v>
      </c>
      <c r="I130" s="4"/>
      <c r="J130" s="4"/>
      <c r="K130" s="4"/>
      <c r="L130" s="4"/>
      <c r="M130" s="4">
        <v>1.4</v>
      </c>
      <c r="N130" s="4">
        <v>1.4</v>
      </c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125"/>
      <c r="AN130" s="125"/>
      <c r="AO130" s="125"/>
      <c r="AP130" s="125"/>
      <c r="AQ130" s="125"/>
      <c r="AR130" s="125"/>
      <c r="AS130" s="125"/>
      <c r="AT130" s="125"/>
    </row>
    <row r="131" spans="2:46" s="2" customFormat="1" ht="16.5" x14ac:dyDescent="0.25">
      <c r="B131" s="4" t="s">
        <v>488</v>
      </c>
      <c r="C131" s="4" t="s">
        <v>459</v>
      </c>
      <c r="D131" s="4" t="s">
        <v>455</v>
      </c>
      <c r="E131" s="4" t="s">
        <v>400</v>
      </c>
      <c r="F131" s="4">
        <v>1.2</v>
      </c>
      <c r="G131" s="4">
        <v>0.5</v>
      </c>
      <c r="H131" s="4">
        <v>-0.3</v>
      </c>
      <c r="I131" s="4"/>
      <c r="J131" s="4"/>
      <c r="K131" s="4"/>
      <c r="L131" s="4">
        <v>-1.4</v>
      </c>
      <c r="M131" s="4">
        <v>-1.4</v>
      </c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/>
      <c r="AS131" s="125"/>
      <c r="AT131" s="125"/>
    </row>
    <row r="132" spans="2:46" ht="16.5" x14ac:dyDescent="0.25">
      <c r="B132" s="4" t="s">
        <v>489</v>
      </c>
      <c r="C132" s="4" t="s">
        <v>398</v>
      </c>
      <c r="D132" s="4" t="s">
        <v>455</v>
      </c>
      <c r="E132" s="4" t="s">
        <v>400</v>
      </c>
      <c r="F132" s="4">
        <v>1.2</v>
      </c>
      <c r="G132" s="4">
        <v>0.5</v>
      </c>
      <c r="H132" s="4">
        <v>-0.3</v>
      </c>
      <c r="I132" s="4"/>
      <c r="J132" s="4"/>
      <c r="K132" s="4"/>
      <c r="L132" s="4"/>
      <c r="M132" s="4">
        <v>-1.4</v>
      </c>
      <c r="N132" s="4">
        <v>-1.4</v>
      </c>
      <c r="O132" s="4"/>
      <c r="P132" s="4"/>
      <c r="Q132" s="4"/>
      <c r="R132" s="4"/>
      <c r="S132" s="4"/>
      <c r="T132" s="4"/>
      <c r="U132" s="4"/>
      <c r="V132" s="4"/>
      <c r="W132" s="4"/>
      <c r="X132" s="4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</row>
    <row r="133" spans="2:46" ht="16.5" x14ac:dyDescent="0.25">
      <c r="B133" s="4" t="s">
        <v>490</v>
      </c>
      <c r="C133" s="4" t="s">
        <v>448</v>
      </c>
      <c r="D133" s="4" t="s">
        <v>455</v>
      </c>
      <c r="E133" s="4" t="s">
        <v>400</v>
      </c>
      <c r="F133" s="4">
        <v>1.2</v>
      </c>
      <c r="G133" s="4">
        <v>0.5</v>
      </c>
      <c r="H133" s="4">
        <v>1</v>
      </c>
      <c r="I133" s="4">
        <v>0.42</v>
      </c>
      <c r="J133" s="4">
        <v>0.42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</row>
    <row r="134" spans="2:46" s="2" customFormat="1" ht="16.5" x14ac:dyDescent="0.25">
      <c r="B134" s="4" t="s">
        <v>491</v>
      </c>
      <c r="C134" s="4" t="s">
        <v>398</v>
      </c>
      <c r="D134" s="4" t="s">
        <v>400</v>
      </c>
      <c r="E134" s="4" t="s">
        <v>400</v>
      </c>
      <c r="F134" s="4">
        <v>1.2</v>
      </c>
      <c r="G134" s="4">
        <v>0.5</v>
      </c>
      <c r="H134" s="4">
        <v>1</v>
      </c>
      <c r="I134" s="4"/>
      <c r="J134" s="4">
        <v>0.42</v>
      </c>
      <c r="K134" s="4">
        <v>0.42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125"/>
      <c r="Z134" s="125"/>
      <c r="AA134" s="125"/>
      <c r="AB134" s="125"/>
      <c r="AC134" s="125"/>
      <c r="AD134" s="125"/>
      <c r="AE134" s="125"/>
      <c r="AF134" s="125"/>
      <c r="AG134" s="125"/>
      <c r="AH134" s="125"/>
      <c r="AI134" s="125"/>
      <c r="AJ134" s="125"/>
      <c r="AK134" s="125"/>
      <c r="AL134" s="125"/>
      <c r="AM134" s="125"/>
      <c r="AN134" s="125"/>
      <c r="AO134" s="125"/>
      <c r="AP134" s="125"/>
      <c r="AQ134" s="125"/>
      <c r="AR134" s="125"/>
      <c r="AS134" s="125"/>
      <c r="AT134" s="125"/>
    </row>
    <row r="135" spans="2:46" s="2" customFormat="1" ht="16.5" x14ac:dyDescent="0.25">
      <c r="B135" s="4" t="s">
        <v>492</v>
      </c>
      <c r="C135" s="4" t="s">
        <v>398</v>
      </c>
      <c r="D135" s="4" t="s">
        <v>400</v>
      </c>
      <c r="E135" s="4" t="s">
        <v>455</v>
      </c>
      <c r="F135" s="4">
        <v>1.2</v>
      </c>
      <c r="G135" s="4">
        <v>0.5</v>
      </c>
      <c r="H135" s="4">
        <v>1</v>
      </c>
      <c r="I135" s="4">
        <v>-0.42</v>
      </c>
      <c r="J135" s="4">
        <v>-0.42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125"/>
      <c r="Z135" s="125"/>
      <c r="AA135" s="125"/>
      <c r="AB135" s="125"/>
      <c r="AC135" s="125"/>
      <c r="AD135" s="125"/>
      <c r="AE135" s="125"/>
      <c r="AF135" s="125"/>
      <c r="AG135" s="125"/>
      <c r="AH135" s="125"/>
      <c r="AI135" s="125"/>
      <c r="AJ135" s="125"/>
      <c r="AK135" s="125"/>
      <c r="AL135" s="125"/>
      <c r="AM135" s="125"/>
      <c r="AN135" s="125"/>
      <c r="AO135" s="125"/>
      <c r="AP135" s="125"/>
      <c r="AQ135" s="125"/>
      <c r="AR135" s="125"/>
      <c r="AS135" s="125"/>
      <c r="AT135" s="125"/>
    </row>
    <row r="136" spans="2:46" ht="16.5" x14ac:dyDescent="0.25">
      <c r="B136" s="4" t="s">
        <v>493</v>
      </c>
      <c r="C136" s="4" t="s">
        <v>398</v>
      </c>
      <c r="D136" s="4" t="s">
        <v>400</v>
      </c>
      <c r="E136" s="4" t="s">
        <v>455</v>
      </c>
      <c r="F136" s="4">
        <v>1.2</v>
      </c>
      <c r="G136" s="4">
        <v>0.5</v>
      </c>
      <c r="H136" s="4">
        <v>1</v>
      </c>
      <c r="I136" s="4"/>
      <c r="J136" s="4">
        <v>-0.42</v>
      </c>
      <c r="K136" s="4">
        <v>-0.42</v>
      </c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</row>
    <row r="137" spans="2:46" ht="16.5" x14ac:dyDescent="0.25">
      <c r="B137" s="4" t="s">
        <v>494</v>
      </c>
      <c r="C137" s="4" t="s">
        <v>495</v>
      </c>
      <c r="D137" s="4" t="s">
        <v>400</v>
      </c>
      <c r="E137" s="4" t="s">
        <v>400</v>
      </c>
      <c r="F137" s="4">
        <v>1.2</v>
      </c>
      <c r="G137" s="4">
        <v>0.5</v>
      </c>
      <c r="H137" s="4">
        <v>1</v>
      </c>
      <c r="I137" s="4"/>
      <c r="J137" s="4"/>
      <c r="K137" s="4"/>
      <c r="L137" s="4">
        <v>0.42</v>
      </c>
      <c r="M137" s="4">
        <v>0.42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</row>
    <row r="138" spans="2:46" s="2" customFormat="1" ht="16.5" x14ac:dyDescent="0.25">
      <c r="B138" s="4" t="s">
        <v>496</v>
      </c>
      <c r="C138" s="4" t="s">
        <v>398</v>
      </c>
      <c r="D138" s="4" t="s">
        <v>400</v>
      </c>
      <c r="E138" s="4" t="s">
        <v>400</v>
      </c>
      <c r="F138" s="4">
        <v>1.2</v>
      </c>
      <c r="G138" s="4">
        <v>0.5</v>
      </c>
      <c r="H138" s="4">
        <v>1</v>
      </c>
      <c r="I138" s="4"/>
      <c r="J138" s="4"/>
      <c r="K138" s="4"/>
      <c r="L138" s="4"/>
      <c r="M138" s="4">
        <v>0.42</v>
      </c>
      <c r="N138" s="4">
        <v>0.42</v>
      </c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125"/>
      <c r="Z138" s="125"/>
      <c r="AA138" s="125"/>
      <c r="AB138" s="125"/>
      <c r="AC138" s="125"/>
      <c r="AD138" s="125"/>
      <c r="AE138" s="125"/>
      <c r="AF138" s="125"/>
      <c r="AG138" s="125"/>
      <c r="AH138" s="125"/>
      <c r="AI138" s="125"/>
      <c r="AJ138" s="125"/>
      <c r="AK138" s="125"/>
      <c r="AL138" s="125"/>
      <c r="AM138" s="125"/>
      <c r="AN138" s="125"/>
      <c r="AO138" s="125"/>
      <c r="AP138" s="125"/>
      <c r="AQ138" s="125"/>
      <c r="AR138" s="125"/>
      <c r="AS138" s="125"/>
      <c r="AT138" s="125"/>
    </row>
    <row r="139" spans="2:46" s="2" customFormat="1" ht="16.5" x14ac:dyDescent="0.25">
      <c r="B139" s="4" t="s">
        <v>497</v>
      </c>
      <c r="C139" s="4" t="s">
        <v>398</v>
      </c>
      <c r="D139" s="4" t="s">
        <v>400</v>
      </c>
      <c r="E139" s="4" t="s">
        <v>455</v>
      </c>
      <c r="F139" s="4">
        <v>1.2</v>
      </c>
      <c r="G139" s="4">
        <v>0.5</v>
      </c>
      <c r="H139" s="4">
        <v>1</v>
      </c>
      <c r="I139" s="4"/>
      <c r="J139" s="4"/>
      <c r="K139" s="4"/>
      <c r="L139" s="4">
        <v>-0.42</v>
      </c>
      <c r="M139" s="4">
        <v>-0.42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125"/>
      <c r="AN139" s="125"/>
      <c r="AO139" s="125"/>
      <c r="AP139" s="125"/>
      <c r="AQ139" s="125"/>
      <c r="AR139" s="125"/>
      <c r="AS139" s="125"/>
      <c r="AT139" s="125"/>
    </row>
    <row r="140" spans="2:46" ht="16.5" x14ac:dyDescent="0.25">
      <c r="B140" s="4" t="s">
        <v>498</v>
      </c>
      <c r="C140" s="4" t="s">
        <v>398</v>
      </c>
      <c r="D140" s="4" t="s">
        <v>400</v>
      </c>
      <c r="E140" s="4" t="s">
        <v>455</v>
      </c>
      <c r="F140" s="4">
        <v>1.2</v>
      </c>
      <c r="G140" s="4">
        <v>0.5</v>
      </c>
      <c r="H140" s="4">
        <v>1</v>
      </c>
      <c r="I140" s="4"/>
      <c r="J140" s="4"/>
      <c r="K140" s="4"/>
      <c r="L140" s="4"/>
      <c r="M140" s="4">
        <v>-0.42</v>
      </c>
      <c r="N140" s="4">
        <v>-0.42</v>
      </c>
      <c r="O140" s="4"/>
      <c r="P140" s="4"/>
      <c r="Q140" s="4"/>
      <c r="R140" s="4"/>
      <c r="S140" s="4"/>
      <c r="T140" s="4"/>
      <c r="U140" s="4"/>
      <c r="V140" s="4"/>
      <c r="W140" s="4"/>
      <c r="X140" s="4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</row>
    <row r="141" spans="2:46" ht="16.5" x14ac:dyDescent="0.25">
      <c r="B141" s="4" t="s">
        <v>499</v>
      </c>
      <c r="C141" s="4" t="s">
        <v>398</v>
      </c>
      <c r="D141" s="4" t="s">
        <v>400</v>
      </c>
      <c r="E141" s="4" t="s">
        <v>455</v>
      </c>
      <c r="F141" s="4">
        <v>1.2</v>
      </c>
      <c r="G141" s="4">
        <v>0.5</v>
      </c>
      <c r="H141" s="4">
        <v>-1</v>
      </c>
      <c r="I141" s="4">
        <v>0.42</v>
      </c>
      <c r="J141" s="4">
        <v>0.42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</row>
    <row r="142" spans="2:46" s="2" customFormat="1" ht="16.5" x14ac:dyDescent="0.25">
      <c r="B142" s="4" t="s">
        <v>500</v>
      </c>
      <c r="C142" s="4" t="s">
        <v>398</v>
      </c>
      <c r="D142" s="4" t="s">
        <v>400</v>
      </c>
      <c r="E142" s="4" t="s">
        <v>400</v>
      </c>
      <c r="F142" s="4">
        <v>1.2</v>
      </c>
      <c r="G142" s="4">
        <v>0.5</v>
      </c>
      <c r="H142" s="4">
        <v>-1</v>
      </c>
      <c r="I142" s="4"/>
      <c r="J142" s="4">
        <v>0.42</v>
      </c>
      <c r="K142" s="4">
        <v>0.42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125"/>
      <c r="Z142" s="125"/>
      <c r="AA142" s="125"/>
      <c r="AB142" s="125"/>
      <c r="AC142" s="125"/>
      <c r="AD142" s="125"/>
      <c r="AE142" s="125"/>
      <c r="AF142" s="125"/>
      <c r="AG142" s="125"/>
      <c r="AH142" s="125"/>
      <c r="AI142" s="125"/>
      <c r="AJ142" s="125"/>
      <c r="AK142" s="125"/>
      <c r="AL142" s="125"/>
      <c r="AM142" s="125"/>
      <c r="AN142" s="125"/>
      <c r="AO142" s="125"/>
      <c r="AP142" s="125"/>
      <c r="AQ142" s="125"/>
      <c r="AR142" s="125"/>
      <c r="AS142" s="125"/>
      <c r="AT142" s="125"/>
    </row>
    <row r="143" spans="2:46" s="2" customFormat="1" ht="16.5" x14ac:dyDescent="0.25">
      <c r="B143" s="4" t="s">
        <v>501</v>
      </c>
      <c r="C143" s="4" t="s">
        <v>448</v>
      </c>
      <c r="D143" s="4" t="s">
        <v>455</v>
      </c>
      <c r="E143" s="4" t="s">
        <v>400</v>
      </c>
      <c r="F143" s="4">
        <v>1.2</v>
      </c>
      <c r="G143" s="4">
        <v>0.5</v>
      </c>
      <c r="H143" s="4">
        <v>-1</v>
      </c>
      <c r="I143" s="4">
        <v>-0.42</v>
      </c>
      <c r="J143" s="4">
        <v>-0.42</v>
      </c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125"/>
      <c r="Z143" s="125"/>
      <c r="AA143" s="125"/>
      <c r="AB143" s="125"/>
      <c r="AC143" s="125"/>
      <c r="AD143" s="125"/>
      <c r="AE143" s="125"/>
      <c r="AF143" s="125"/>
      <c r="AG143" s="125"/>
      <c r="AH143" s="125"/>
      <c r="AI143" s="125"/>
      <c r="AJ143" s="125"/>
      <c r="AK143" s="125"/>
      <c r="AL143" s="125"/>
      <c r="AM143" s="125"/>
      <c r="AN143" s="125"/>
      <c r="AO143" s="125"/>
      <c r="AP143" s="125"/>
      <c r="AQ143" s="125"/>
      <c r="AR143" s="125"/>
      <c r="AS143" s="125"/>
      <c r="AT143" s="125"/>
    </row>
    <row r="144" spans="2:46" ht="16.5" x14ac:dyDescent="0.25">
      <c r="B144" s="4" t="s">
        <v>502</v>
      </c>
      <c r="C144" s="4" t="s">
        <v>448</v>
      </c>
      <c r="D144" s="4" t="s">
        <v>400</v>
      </c>
      <c r="E144" s="4" t="s">
        <v>400</v>
      </c>
      <c r="F144" s="4">
        <v>1.2</v>
      </c>
      <c r="G144" s="4">
        <v>0.5</v>
      </c>
      <c r="H144" s="4">
        <v>-1</v>
      </c>
      <c r="I144" s="4"/>
      <c r="J144" s="4">
        <v>-0.42</v>
      </c>
      <c r="K144" s="4">
        <v>-0.42</v>
      </c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</row>
    <row r="145" spans="2:46" ht="16.5" x14ac:dyDescent="0.25">
      <c r="B145" s="4" t="s">
        <v>503</v>
      </c>
      <c r="C145" s="4" t="s">
        <v>456</v>
      </c>
      <c r="D145" s="4" t="s">
        <v>400</v>
      </c>
      <c r="E145" s="4" t="s">
        <v>455</v>
      </c>
      <c r="F145" s="4">
        <v>1.2</v>
      </c>
      <c r="G145" s="4">
        <v>0.5</v>
      </c>
      <c r="H145" s="4">
        <v>-1</v>
      </c>
      <c r="I145" s="4"/>
      <c r="J145" s="4"/>
      <c r="K145" s="4"/>
      <c r="L145" s="4">
        <v>0.42</v>
      </c>
      <c r="M145" s="4">
        <v>0.42</v>
      </c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</row>
    <row r="146" spans="2:46" s="2" customFormat="1" ht="16.5" x14ac:dyDescent="0.25">
      <c r="B146" s="4" t="s">
        <v>504</v>
      </c>
      <c r="C146" s="4" t="s">
        <v>462</v>
      </c>
      <c r="D146" s="4" t="s">
        <v>455</v>
      </c>
      <c r="E146" s="4" t="s">
        <v>400</v>
      </c>
      <c r="F146" s="4">
        <v>1.2</v>
      </c>
      <c r="G146" s="4">
        <v>0.5</v>
      </c>
      <c r="H146" s="4">
        <v>-1</v>
      </c>
      <c r="I146" s="4"/>
      <c r="J146" s="4"/>
      <c r="K146" s="4"/>
      <c r="L146" s="4"/>
      <c r="M146" s="4">
        <v>0.42</v>
      </c>
      <c r="N146" s="4">
        <v>0.42</v>
      </c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125"/>
      <c r="Z146" s="125"/>
      <c r="AA146" s="125"/>
      <c r="AB146" s="125"/>
      <c r="AC146" s="125"/>
      <c r="AD146" s="125"/>
      <c r="AE146" s="125"/>
      <c r="AF146" s="125"/>
      <c r="AG146" s="125"/>
      <c r="AH146" s="125"/>
      <c r="AI146" s="125"/>
      <c r="AJ146" s="125"/>
      <c r="AK146" s="125"/>
      <c r="AL146" s="125"/>
      <c r="AM146" s="125"/>
      <c r="AN146" s="125"/>
      <c r="AO146" s="125"/>
      <c r="AP146" s="125"/>
      <c r="AQ146" s="125"/>
      <c r="AR146" s="125"/>
      <c r="AS146" s="125"/>
      <c r="AT146" s="125"/>
    </row>
    <row r="147" spans="2:46" s="2" customFormat="1" ht="16.5" x14ac:dyDescent="0.25">
      <c r="B147" s="4" t="s">
        <v>505</v>
      </c>
      <c r="C147" s="4" t="s">
        <v>506</v>
      </c>
      <c r="D147" s="4" t="s">
        <v>464</v>
      </c>
      <c r="E147" s="4" t="s">
        <v>400</v>
      </c>
      <c r="F147" s="4">
        <v>1.2</v>
      </c>
      <c r="G147" s="4">
        <v>0.5</v>
      </c>
      <c r="H147" s="4">
        <v>-1</v>
      </c>
      <c r="I147" s="4"/>
      <c r="J147" s="4"/>
      <c r="K147" s="4"/>
      <c r="L147" s="4">
        <v>-0.42</v>
      </c>
      <c r="M147" s="4">
        <v>-0.42</v>
      </c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125"/>
      <c r="Z147" s="125"/>
      <c r="AA147" s="125"/>
      <c r="AB147" s="125"/>
      <c r="AC147" s="125"/>
      <c r="AD147" s="125"/>
      <c r="AE147" s="125"/>
      <c r="AF147" s="125"/>
      <c r="AG147" s="125"/>
      <c r="AH147" s="125"/>
      <c r="AI147" s="125"/>
      <c r="AJ147" s="125"/>
      <c r="AK147" s="125"/>
      <c r="AL147" s="125"/>
      <c r="AM147" s="125"/>
      <c r="AN147" s="125"/>
      <c r="AO147" s="125"/>
      <c r="AP147" s="125"/>
      <c r="AQ147" s="125"/>
      <c r="AR147" s="125"/>
      <c r="AS147" s="125"/>
      <c r="AT147" s="125"/>
    </row>
    <row r="148" spans="2:46" ht="16.5" x14ac:dyDescent="0.25">
      <c r="B148" s="4" t="s">
        <v>507</v>
      </c>
      <c r="C148" s="4" t="s">
        <v>398</v>
      </c>
      <c r="D148" s="4" t="s">
        <v>455</v>
      </c>
      <c r="E148" s="4" t="s">
        <v>400</v>
      </c>
      <c r="F148" s="4">
        <v>1.2</v>
      </c>
      <c r="G148" s="4">
        <v>0.5</v>
      </c>
      <c r="H148" s="4">
        <v>-1</v>
      </c>
      <c r="I148" s="4"/>
      <c r="J148" s="4"/>
      <c r="K148" s="4"/>
      <c r="L148" s="4"/>
      <c r="M148" s="4">
        <v>-0.42</v>
      </c>
      <c r="N148" s="4">
        <v>-0.42</v>
      </c>
      <c r="O148" s="4"/>
      <c r="P148" s="4"/>
      <c r="Q148" s="4"/>
      <c r="R148" s="4"/>
      <c r="S148" s="4"/>
      <c r="T148" s="4"/>
      <c r="U148" s="4"/>
      <c r="V148" s="4"/>
      <c r="W148" s="4"/>
      <c r="X148" s="4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</row>
    <row r="149" spans="2:46" ht="16.5" x14ac:dyDescent="0.25">
      <c r="B149" s="4" t="s">
        <v>508</v>
      </c>
      <c r="C149" s="4" t="s">
        <v>398</v>
      </c>
      <c r="D149" s="4" t="s">
        <v>464</v>
      </c>
      <c r="E149" s="4" t="s">
        <v>455</v>
      </c>
      <c r="F149" s="4">
        <v>0.9</v>
      </c>
      <c r="G149" s="4"/>
      <c r="H149" s="4">
        <v>0.3</v>
      </c>
      <c r="I149" s="4">
        <v>1.4</v>
      </c>
      <c r="J149" s="4">
        <v>1.4</v>
      </c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</row>
    <row r="150" spans="2:46" s="2" customFormat="1" ht="16.5" x14ac:dyDescent="0.25">
      <c r="B150" s="4" t="s">
        <v>509</v>
      </c>
      <c r="C150" s="4" t="s">
        <v>398</v>
      </c>
      <c r="D150" s="4" t="s">
        <v>455</v>
      </c>
      <c r="E150" s="4" t="s">
        <v>455</v>
      </c>
      <c r="F150" s="4">
        <v>0.9</v>
      </c>
      <c r="G150" s="4"/>
      <c r="H150" s="4">
        <v>0.3</v>
      </c>
      <c r="I150" s="4"/>
      <c r="J150" s="4">
        <v>1.4</v>
      </c>
      <c r="K150" s="4">
        <v>1.4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125"/>
      <c r="Z150" s="125"/>
      <c r="AA150" s="125"/>
      <c r="AB150" s="125"/>
      <c r="AC150" s="125"/>
      <c r="AD150" s="125"/>
      <c r="AE150" s="125"/>
      <c r="AF150" s="125"/>
      <c r="AG150" s="125"/>
      <c r="AH150" s="125"/>
      <c r="AI150" s="125"/>
      <c r="AJ150" s="125"/>
      <c r="AK150" s="125"/>
      <c r="AL150" s="125"/>
      <c r="AM150" s="125"/>
      <c r="AN150" s="125"/>
      <c r="AO150" s="125"/>
      <c r="AP150" s="125"/>
      <c r="AQ150" s="125"/>
      <c r="AR150" s="125"/>
      <c r="AS150" s="125"/>
      <c r="AT150" s="125"/>
    </row>
    <row r="151" spans="2:46" s="2" customFormat="1" ht="16.5" x14ac:dyDescent="0.25">
      <c r="B151" s="4" t="s">
        <v>510</v>
      </c>
      <c r="C151" s="4" t="s">
        <v>398</v>
      </c>
      <c r="D151" s="4" t="s">
        <v>400</v>
      </c>
      <c r="E151" s="4" t="s">
        <v>400</v>
      </c>
      <c r="F151" s="4">
        <v>0.9</v>
      </c>
      <c r="G151" s="4"/>
      <c r="H151" s="4">
        <v>0.3</v>
      </c>
      <c r="I151" s="4">
        <v>-1.4</v>
      </c>
      <c r="J151" s="4">
        <v>-1.4</v>
      </c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125"/>
      <c r="Z151" s="125"/>
      <c r="AA151" s="125"/>
      <c r="AB151" s="125"/>
      <c r="AC151" s="125"/>
      <c r="AD151" s="125"/>
      <c r="AE151" s="125"/>
      <c r="AF151" s="125"/>
      <c r="AG151" s="125"/>
      <c r="AH151" s="125"/>
      <c r="AI151" s="125"/>
      <c r="AJ151" s="125"/>
      <c r="AK151" s="125"/>
      <c r="AL151" s="125"/>
      <c r="AM151" s="125"/>
      <c r="AN151" s="125"/>
      <c r="AO151" s="125"/>
      <c r="AP151" s="125"/>
      <c r="AQ151" s="125"/>
      <c r="AR151" s="125"/>
      <c r="AS151" s="125"/>
      <c r="AT151" s="125"/>
    </row>
    <row r="152" spans="2:46" ht="16.5" x14ac:dyDescent="0.25">
      <c r="B152" s="4" t="s">
        <v>511</v>
      </c>
      <c r="C152" s="4" t="s">
        <v>448</v>
      </c>
      <c r="D152" s="4" t="s">
        <v>455</v>
      </c>
      <c r="E152" s="4" t="s">
        <v>455</v>
      </c>
      <c r="F152" s="4">
        <v>0.9</v>
      </c>
      <c r="G152" s="4"/>
      <c r="H152" s="4">
        <v>0.3</v>
      </c>
      <c r="I152" s="4"/>
      <c r="J152" s="4">
        <v>-1.4</v>
      </c>
      <c r="K152" s="4">
        <v>-1.4</v>
      </c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</row>
    <row r="153" spans="2:46" ht="16.5" x14ac:dyDescent="0.25">
      <c r="B153" s="4" t="s">
        <v>512</v>
      </c>
      <c r="C153" s="4" t="s">
        <v>448</v>
      </c>
      <c r="D153" s="4" t="s">
        <v>400</v>
      </c>
      <c r="E153" s="4" t="s">
        <v>400</v>
      </c>
      <c r="F153" s="4">
        <v>0.9</v>
      </c>
      <c r="G153" s="4"/>
      <c r="H153" s="4">
        <v>0.3</v>
      </c>
      <c r="I153" s="4"/>
      <c r="J153" s="4"/>
      <c r="K153" s="4"/>
      <c r="L153" s="4">
        <v>1.4</v>
      </c>
      <c r="M153" s="4">
        <v>1.4</v>
      </c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</row>
    <row r="154" spans="2:46" s="2" customFormat="1" ht="16.5" x14ac:dyDescent="0.25">
      <c r="B154" s="4" t="s">
        <v>513</v>
      </c>
      <c r="C154" s="4" t="s">
        <v>398</v>
      </c>
      <c r="D154" s="4" t="s">
        <v>400</v>
      </c>
      <c r="E154" s="4" t="s">
        <v>400</v>
      </c>
      <c r="F154" s="4">
        <v>0.9</v>
      </c>
      <c r="G154" s="4"/>
      <c r="H154" s="4">
        <v>0.3</v>
      </c>
      <c r="I154" s="4"/>
      <c r="J154" s="4"/>
      <c r="K154" s="4"/>
      <c r="L154" s="4"/>
      <c r="M154" s="4">
        <v>1.4</v>
      </c>
      <c r="N154" s="4">
        <v>1.4</v>
      </c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125"/>
      <c r="Z154" s="125"/>
      <c r="AA154" s="125"/>
      <c r="AB154" s="125"/>
      <c r="AC154" s="125"/>
      <c r="AD154" s="125"/>
      <c r="AE154" s="125"/>
      <c r="AF154" s="125"/>
      <c r="AG154" s="125"/>
      <c r="AH154" s="125"/>
      <c r="AI154" s="125"/>
      <c r="AJ154" s="125"/>
      <c r="AK154" s="125"/>
      <c r="AL154" s="125"/>
      <c r="AM154" s="125"/>
      <c r="AN154" s="125"/>
      <c r="AO154" s="125"/>
      <c r="AP154" s="125"/>
      <c r="AQ154" s="125"/>
      <c r="AR154" s="125"/>
      <c r="AS154" s="125"/>
      <c r="AT154" s="125"/>
    </row>
    <row r="155" spans="2:46" s="2" customFormat="1" ht="16.5" x14ac:dyDescent="0.25">
      <c r="B155" s="4" t="s">
        <v>514</v>
      </c>
      <c r="C155" s="4" t="s">
        <v>398</v>
      </c>
      <c r="D155" s="4" t="s">
        <v>455</v>
      </c>
      <c r="E155" s="4" t="s">
        <v>515</v>
      </c>
      <c r="F155" s="4">
        <v>0.9</v>
      </c>
      <c r="G155" s="4"/>
      <c r="H155" s="4">
        <v>0.3</v>
      </c>
      <c r="I155" s="4"/>
      <c r="J155" s="4"/>
      <c r="K155" s="4"/>
      <c r="L155" s="4">
        <v>-1.4</v>
      </c>
      <c r="M155" s="4">
        <v>-1.4</v>
      </c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125"/>
      <c r="Z155" s="125"/>
      <c r="AA155" s="125"/>
      <c r="AB155" s="125"/>
      <c r="AC155" s="125"/>
      <c r="AD155" s="125"/>
      <c r="AE155" s="125"/>
      <c r="AF155" s="125"/>
      <c r="AG155" s="125"/>
      <c r="AH155" s="125"/>
      <c r="AI155" s="125"/>
      <c r="AJ155" s="125"/>
      <c r="AK155" s="125"/>
      <c r="AL155" s="125"/>
      <c r="AM155" s="125"/>
      <c r="AN155" s="125"/>
      <c r="AO155" s="125"/>
      <c r="AP155" s="125"/>
      <c r="AQ155" s="125"/>
      <c r="AR155" s="125"/>
      <c r="AS155" s="125"/>
      <c r="AT155" s="125"/>
    </row>
    <row r="156" spans="2:46" ht="16.5" x14ac:dyDescent="0.25">
      <c r="B156" s="4" t="s">
        <v>516</v>
      </c>
      <c r="C156" s="4" t="s">
        <v>475</v>
      </c>
      <c r="D156" s="4" t="s">
        <v>400</v>
      </c>
      <c r="E156" s="4" t="s">
        <v>400</v>
      </c>
      <c r="F156" s="4">
        <v>0.9</v>
      </c>
      <c r="G156" s="4"/>
      <c r="H156" s="4">
        <v>0.3</v>
      </c>
      <c r="I156" s="4"/>
      <c r="J156" s="4"/>
      <c r="K156" s="4"/>
      <c r="L156" s="4"/>
      <c r="M156" s="4">
        <v>-1.4</v>
      </c>
      <c r="N156" s="4">
        <v>-1.4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</row>
    <row r="157" spans="2:46" ht="16.5" x14ac:dyDescent="0.25">
      <c r="B157" s="4" t="s">
        <v>517</v>
      </c>
      <c r="C157" s="4" t="s">
        <v>461</v>
      </c>
      <c r="D157" s="4" t="s">
        <v>455</v>
      </c>
      <c r="E157" s="4" t="s">
        <v>455</v>
      </c>
      <c r="F157" s="4">
        <v>0.9</v>
      </c>
      <c r="G157" s="4"/>
      <c r="H157" s="4">
        <v>-0.3</v>
      </c>
      <c r="I157" s="4">
        <v>1.4</v>
      </c>
      <c r="J157" s="4">
        <v>1.4</v>
      </c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</row>
    <row r="158" spans="2:46" s="2" customFormat="1" ht="16.5" x14ac:dyDescent="0.25">
      <c r="B158" s="4" t="s">
        <v>518</v>
      </c>
      <c r="C158" s="4" t="s">
        <v>398</v>
      </c>
      <c r="D158" s="4" t="s">
        <v>455</v>
      </c>
      <c r="E158" s="4" t="s">
        <v>400</v>
      </c>
      <c r="F158" s="4">
        <v>0.9</v>
      </c>
      <c r="G158" s="4"/>
      <c r="H158" s="4">
        <v>-0.3</v>
      </c>
      <c r="I158" s="4"/>
      <c r="J158" s="4">
        <v>1.4</v>
      </c>
      <c r="K158" s="4">
        <v>1.4</v>
      </c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125"/>
      <c r="Z158" s="125"/>
      <c r="AA158" s="125"/>
      <c r="AB158" s="125"/>
      <c r="AC158" s="125"/>
      <c r="AD158" s="125"/>
      <c r="AE158" s="125"/>
      <c r="AF158" s="125"/>
      <c r="AG158" s="125"/>
      <c r="AH158" s="125"/>
      <c r="AI158" s="125"/>
      <c r="AJ158" s="125"/>
      <c r="AK158" s="125"/>
      <c r="AL158" s="125"/>
      <c r="AM158" s="125"/>
      <c r="AN158" s="125"/>
      <c r="AO158" s="125"/>
      <c r="AP158" s="125"/>
      <c r="AQ158" s="125"/>
      <c r="AR158" s="125"/>
      <c r="AS158" s="125"/>
      <c r="AT158" s="125"/>
    </row>
    <row r="159" spans="2:46" s="2" customFormat="1" ht="16.5" x14ac:dyDescent="0.25">
      <c r="B159" s="4" t="s">
        <v>519</v>
      </c>
      <c r="C159" s="4" t="s">
        <v>448</v>
      </c>
      <c r="D159" s="4" t="s">
        <v>520</v>
      </c>
      <c r="E159" s="4" t="s">
        <v>400</v>
      </c>
      <c r="F159" s="4">
        <v>0.9</v>
      </c>
      <c r="G159" s="4"/>
      <c r="H159" s="4">
        <v>-0.3</v>
      </c>
      <c r="I159" s="4">
        <v>-1.4</v>
      </c>
      <c r="J159" s="4">
        <v>-1.4</v>
      </c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125"/>
      <c r="Z159" s="125"/>
      <c r="AA159" s="125"/>
      <c r="AB159" s="125"/>
      <c r="AC159" s="125"/>
      <c r="AD159" s="125"/>
      <c r="AE159" s="125"/>
      <c r="AF159" s="125"/>
      <c r="AG159" s="125"/>
      <c r="AH159" s="125"/>
      <c r="AI159" s="125"/>
      <c r="AJ159" s="125"/>
      <c r="AK159" s="125"/>
      <c r="AL159" s="125"/>
      <c r="AM159" s="125"/>
      <c r="AN159" s="125"/>
      <c r="AO159" s="125"/>
      <c r="AP159" s="125"/>
      <c r="AQ159" s="125"/>
      <c r="AR159" s="125"/>
      <c r="AS159" s="125"/>
      <c r="AT159" s="125"/>
    </row>
    <row r="160" spans="2:46" ht="16.5" x14ac:dyDescent="0.25">
      <c r="B160" s="4" t="s">
        <v>521</v>
      </c>
      <c r="C160" s="4" t="s">
        <v>398</v>
      </c>
      <c r="D160" s="4" t="s">
        <v>400</v>
      </c>
      <c r="E160" s="4" t="s">
        <v>455</v>
      </c>
      <c r="F160" s="4">
        <v>0.9</v>
      </c>
      <c r="G160" s="4"/>
      <c r="H160" s="4">
        <v>-0.3</v>
      </c>
      <c r="I160" s="4"/>
      <c r="J160" s="4">
        <v>-1.4</v>
      </c>
      <c r="K160" s="4">
        <v>-1.4</v>
      </c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</row>
    <row r="161" spans="2:46" ht="16.5" x14ac:dyDescent="0.25">
      <c r="B161" s="4" t="s">
        <v>522</v>
      </c>
      <c r="C161" s="4" t="s">
        <v>448</v>
      </c>
      <c r="D161" s="4" t="s">
        <v>400</v>
      </c>
      <c r="E161" s="4" t="s">
        <v>400</v>
      </c>
      <c r="F161" s="4">
        <v>0.9</v>
      </c>
      <c r="G161" s="4"/>
      <c r="H161" s="4">
        <v>-0.3</v>
      </c>
      <c r="I161" s="4"/>
      <c r="J161" s="4"/>
      <c r="K161" s="4"/>
      <c r="L161" s="4">
        <v>1.4</v>
      </c>
      <c r="M161" s="4">
        <v>1.4</v>
      </c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</row>
    <row r="162" spans="2:46" s="2" customFormat="1" ht="16.5" x14ac:dyDescent="0.25">
      <c r="B162" s="4" t="s">
        <v>523</v>
      </c>
      <c r="C162" s="4" t="s">
        <v>398</v>
      </c>
      <c r="D162" s="4" t="s">
        <v>455</v>
      </c>
      <c r="E162" s="4" t="s">
        <v>400</v>
      </c>
      <c r="F162" s="4">
        <v>0.9</v>
      </c>
      <c r="G162" s="4"/>
      <c r="H162" s="4">
        <v>-0.3</v>
      </c>
      <c r="I162" s="4"/>
      <c r="J162" s="4"/>
      <c r="K162" s="4"/>
      <c r="L162" s="4"/>
      <c r="M162" s="4">
        <v>1.4</v>
      </c>
      <c r="N162" s="4">
        <v>1.4</v>
      </c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125"/>
      <c r="Z162" s="125"/>
      <c r="AA162" s="125"/>
      <c r="AB162" s="125"/>
      <c r="AC162" s="125"/>
      <c r="AD162" s="125"/>
      <c r="AE162" s="125"/>
      <c r="AF162" s="125"/>
      <c r="AG162" s="125"/>
      <c r="AH162" s="125"/>
      <c r="AI162" s="125"/>
      <c r="AJ162" s="125"/>
      <c r="AK162" s="125"/>
      <c r="AL162" s="125"/>
      <c r="AM162" s="125"/>
      <c r="AN162" s="125"/>
      <c r="AO162" s="125"/>
      <c r="AP162" s="125"/>
      <c r="AQ162" s="125"/>
      <c r="AR162" s="125"/>
      <c r="AS162" s="125"/>
      <c r="AT162" s="125"/>
    </row>
    <row r="163" spans="2:46" s="2" customFormat="1" ht="16.5" x14ac:dyDescent="0.25">
      <c r="B163" s="4" t="s">
        <v>524</v>
      </c>
      <c r="C163" s="4" t="s">
        <v>459</v>
      </c>
      <c r="D163" s="4" t="s">
        <v>400</v>
      </c>
      <c r="E163" s="4" t="s">
        <v>525</v>
      </c>
      <c r="F163" s="4">
        <v>0.9</v>
      </c>
      <c r="G163" s="4"/>
      <c r="H163" s="4">
        <v>-0.3</v>
      </c>
      <c r="I163" s="4"/>
      <c r="J163" s="4"/>
      <c r="K163" s="4"/>
      <c r="L163" s="4">
        <v>-1.4</v>
      </c>
      <c r="M163" s="4">
        <v>-1.4</v>
      </c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125"/>
      <c r="Z163" s="125"/>
      <c r="AA163" s="125"/>
      <c r="AB163" s="125"/>
      <c r="AC163" s="125"/>
      <c r="AD163" s="125"/>
      <c r="AE163" s="125"/>
      <c r="AF163" s="125"/>
      <c r="AG163" s="125"/>
      <c r="AH163" s="125"/>
      <c r="AI163" s="125"/>
      <c r="AJ163" s="125"/>
      <c r="AK163" s="125"/>
      <c r="AL163" s="125"/>
      <c r="AM163" s="125"/>
      <c r="AN163" s="125"/>
      <c r="AO163" s="125"/>
      <c r="AP163" s="125"/>
      <c r="AQ163" s="125"/>
      <c r="AR163" s="125"/>
      <c r="AS163" s="125"/>
      <c r="AT163" s="125"/>
    </row>
    <row r="164" spans="2:46" ht="16.5" x14ac:dyDescent="0.25">
      <c r="B164" s="4" t="s">
        <v>526</v>
      </c>
      <c r="C164" s="4" t="s">
        <v>398</v>
      </c>
      <c r="D164" s="4" t="s">
        <v>527</v>
      </c>
      <c r="E164" s="4" t="s">
        <v>400</v>
      </c>
      <c r="F164" s="4">
        <v>0.9</v>
      </c>
      <c r="G164" s="4"/>
      <c r="H164" s="4">
        <v>-0.3</v>
      </c>
      <c r="I164" s="4"/>
      <c r="J164" s="4"/>
      <c r="K164" s="4"/>
      <c r="L164" s="4"/>
      <c r="M164" s="4">
        <v>-1.4</v>
      </c>
      <c r="N164" s="4">
        <v>-1.4</v>
      </c>
      <c r="O164" s="4"/>
      <c r="P164" s="4"/>
      <c r="Q164" s="4"/>
      <c r="R164" s="4"/>
      <c r="S164" s="4"/>
      <c r="T164" s="4"/>
      <c r="U164" s="4"/>
      <c r="V164" s="4"/>
      <c r="W164" s="4"/>
      <c r="X164" s="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</row>
    <row r="165" spans="2:46" ht="16.5" x14ac:dyDescent="0.25">
      <c r="B165" s="4" t="s">
        <v>528</v>
      </c>
      <c r="C165" s="4" t="s">
        <v>398</v>
      </c>
      <c r="D165" s="4" t="s">
        <v>400</v>
      </c>
      <c r="E165" s="4" t="s">
        <v>455</v>
      </c>
      <c r="F165" s="4">
        <v>0.9</v>
      </c>
      <c r="G165" s="4"/>
      <c r="H165" s="4">
        <v>1</v>
      </c>
      <c r="I165" s="4">
        <v>0.42</v>
      </c>
      <c r="J165" s="4">
        <v>0.42</v>
      </c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</row>
    <row r="166" spans="2:46" s="2" customFormat="1" ht="16.5" x14ac:dyDescent="0.25">
      <c r="B166" s="4" t="s">
        <v>529</v>
      </c>
      <c r="C166" s="4" t="s">
        <v>398</v>
      </c>
      <c r="D166" s="4" t="s">
        <v>527</v>
      </c>
      <c r="E166" s="4" t="s">
        <v>400</v>
      </c>
      <c r="F166" s="4">
        <v>0.9</v>
      </c>
      <c r="G166" s="4"/>
      <c r="H166" s="4">
        <v>1</v>
      </c>
      <c r="I166" s="4"/>
      <c r="J166" s="4">
        <v>0.42</v>
      </c>
      <c r="K166" s="4">
        <v>0.42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125"/>
      <c r="Z166" s="125"/>
      <c r="AA166" s="125"/>
      <c r="AB166" s="125"/>
      <c r="AC166" s="125"/>
      <c r="AD166" s="125"/>
      <c r="AE166" s="125"/>
      <c r="AF166" s="125"/>
      <c r="AG166" s="125"/>
      <c r="AH166" s="125"/>
      <c r="AI166" s="125"/>
      <c r="AJ166" s="125"/>
      <c r="AK166" s="125"/>
      <c r="AL166" s="125"/>
      <c r="AM166" s="125"/>
      <c r="AN166" s="125"/>
      <c r="AO166" s="125"/>
      <c r="AP166" s="125"/>
      <c r="AQ166" s="125"/>
      <c r="AR166" s="125"/>
      <c r="AS166" s="125"/>
      <c r="AT166" s="125"/>
    </row>
    <row r="167" spans="2:46" s="2" customFormat="1" ht="16.5" x14ac:dyDescent="0.25">
      <c r="B167" s="4" t="s">
        <v>530</v>
      </c>
      <c r="C167" s="4" t="s">
        <v>475</v>
      </c>
      <c r="D167" s="4" t="s">
        <v>451</v>
      </c>
      <c r="E167" s="4" t="s">
        <v>400</v>
      </c>
      <c r="F167" s="4">
        <v>0.9</v>
      </c>
      <c r="G167" s="4"/>
      <c r="H167" s="4">
        <v>1</v>
      </c>
      <c r="I167" s="4">
        <v>-0.42</v>
      </c>
      <c r="J167" s="4">
        <v>-0.42</v>
      </c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125"/>
      <c r="Z167" s="125"/>
      <c r="AA167" s="125"/>
      <c r="AB167" s="125"/>
      <c r="AC167" s="125"/>
      <c r="AD167" s="125"/>
      <c r="AE167" s="125"/>
      <c r="AF167" s="125"/>
      <c r="AG167" s="125"/>
      <c r="AH167" s="125"/>
      <c r="AI167" s="125"/>
      <c r="AJ167" s="125"/>
      <c r="AK167" s="125"/>
      <c r="AL167" s="125"/>
      <c r="AM167" s="125"/>
      <c r="AN167" s="125"/>
      <c r="AO167" s="125"/>
      <c r="AP167" s="125"/>
      <c r="AQ167" s="125"/>
      <c r="AR167" s="125"/>
      <c r="AS167" s="125"/>
      <c r="AT167" s="125"/>
    </row>
    <row r="168" spans="2:46" ht="16.5" x14ac:dyDescent="0.25">
      <c r="B168" s="4" t="s">
        <v>531</v>
      </c>
      <c r="C168" s="4" t="s">
        <v>532</v>
      </c>
      <c r="D168" s="4" t="s">
        <v>455</v>
      </c>
      <c r="E168" s="4" t="s">
        <v>400</v>
      </c>
      <c r="F168" s="4">
        <v>0.9</v>
      </c>
      <c r="G168" s="4"/>
      <c r="H168" s="4">
        <v>1</v>
      </c>
      <c r="I168" s="4"/>
      <c r="J168" s="4">
        <v>-0.42</v>
      </c>
      <c r="K168" s="4">
        <v>-0.42</v>
      </c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</row>
    <row r="169" spans="2:46" ht="16.5" x14ac:dyDescent="0.25">
      <c r="B169" s="4" t="s">
        <v>533</v>
      </c>
      <c r="C169" s="4" t="s">
        <v>448</v>
      </c>
      <c r="D169" s="4" t="s">
        <v>400</v>
      </c>
      <c r="E169" s="4" t="s">
        <v>455</v>
      </c>
      <c r="F169" s="4">
        <v>0.9</v>
      </c>
      <c r="G169" s="4"/>
      <c r="H169" s="4">
        <v>1</v>
      </c>
      <c r="I169" s="4"/>
      <c r="J169" s="4"/>
      <c r="K169" s="4"/>
      <c r="L169" s="4">
        <v>0.42</v>
      </c>
      <c r="M169" s="4">
        <v>0.42</v>
      </c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</row>
    <row r="170" spans="2:46" s="2" customFormat="1" ht="16.5" x14ac:dyDescent="0.25">
      <c r="B170" s="4" t="s">
        <v>534</v>
      </c>
      <c r="C170" s="4" t="s">
        <v>398</v>
      </c>
      <c r="D170" s="4" t="s">
        <v>455</v>
      </c>
      <c r="E170" s="4" t="s">
        <v>400</v>
      </c>
      <c r="F170" s="4">
        <v>0.9</v>
      </c>
      <c r="G170" s="4"/>
      <c r="H170" s="4">
        <v>1</v>
      </c>
      <c r="I170" s="4"/>
      <c r="J170" s="4"/>
      <c r="K170" s="4"/>
      <c r="L170" s="4"/>
      <c r="M170" s="4">
        <v>0.42</v>
      </c>
      <c r="N170" s="4">
        <v>0.42</v>
      </c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125"/>
      <c r="Z170" s="125"/>
      <c r="AA170" s="125"/>
      <c r="AB170" s="125"/>
      <c r="AC170" s="125"/>
      <c r="AD170" s="125"/>
      <c r="AE170" s="125"/>
      <c r="AF170" s="125"/>
      <c r="AG170" s="125"/>
      <c r="AH170" s="125"/>
      <c r="AI170" s="125"/>
      <c r="AJ170" s="125"/>
      <c r="AK170" s="125"/>
      <c r="AL170" s="125"/>
      <c r="AM170" s="125"/>
      <c r="AN170" s="125"/>
      <c r="AO170" s="125"/>
      <c r="AP170" s="125"/>
      <c r="AQ170" s="125"/>
      <c r="AR170" s="125"/>
      <c r="AS170" s="125"/>
      <c r="AT170" s="125"/>
    </row>
    <row r="171" spans="2:46" s="2" customFormat="1" ht="16.5" x14ac:dyDescent="0.25">
      <c r="B171" s="4" t="s">
        <v>535</v>
      </c>
      <c r="C171" s="4" t="s">
        <v>398</v>
      </c>
      <c r="D171" s="4" t="s">
        <v>455</v>
      </c>
      <c r="E171" s="4" t="s">
        <v>451</v>
      </c>
      <c r="F171" s="4">
        <v>0.9</v>
      </c>
      <c r="G171" s="4"/>
      <c r="H171" s="4">
        <v>1</v>
      </c>
      <c r="I171" s="4"/>
      <c r="J171" s="4"/>
      <c r="K171" s="4"/>
      <c r="L171" s="4">
        <v>-0.42</v>
      </c>
      <c r="M171" s="4">
        <v>-0.42</v>
      </c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125"/>
      <c r="Z171" s="125"/>
      <c r="AA171" s="125"/>
      <c r="AB171" s="125"/>
      <c r="AC171" s="125"/>
      <c r="AD171" s="125"/>
      <c r="AE171" s="125"/>
      <c r="AF171" s="125"/>
      <c r="AG171" s="125"/>
      <c r="AH171" s="125"/>
      <c r="AI171" s="125"/>
      <c r="AJ171" s="125"/>
      <c r="AK171" s="125"/>
      <c r="AL171" s="125"/>
      <c r="AM171" s="125"/>
      <c r="AN171" s="125"/>
      <c r="AO171" s="125"/>
      <c r="AP171" s="125"/>
      <c r="AQ171" s="125"/>
      <c r="AR171" s="125"/>
      <c r="AS171" s="125"/>
      <c r="AT171" s="125"/>
    </row>
    <row r="172" spans="2:46" ht="16.5" x14ac:dyDescent="0.25">
      <c r="B172" s="4" t="s">
        <v>536</v>
      </c>
      <c r="C172" s="4" t="s">
        <v>398</v>
      </c>
      <c r="D172" s="4" t="s">
        <v>455</v>
      </c>
      <c r="E172" s="4" t="s">
        <v>400</v>
      </c>
      <c r="F172" s="4">
        <v>0.9</v>
      </c>
      <c r="G172" s="4"/>
      <c r="H172" s="4">
        <v>1</v>
      </c>
      <c r="I172" s="4"/>
      <c r="J172" s="4"/>
      <c r="K172" s="4"/>
      <c r="L172" s="4"/>
      <c r="M172" s="4">
        <v>-0.42</v>
      </c>
      <c r="N172" s="4">
        <v>-0.42</v>
      </c>
      <c r="O172" s="4"/>
      <c r="P172" s="4"/>
      <c r="Q172" s="4"/>
      <c r="R172" s="4"/>
      <c r="S172" s="4"/>
      <c r="T172" s="4"/>
      <c r="U172" s="4"/>
      <c r="V172" s="4"/>
      <c r="W172" s="4"/>
      <c r="X172" s="4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</row>
    <row r="173" spans="2:46" ht="16.5" x14ac:dyDescent="0.25">
      <c r="B173" s="4" t="s">
        <v>537</v>
      </c>
      <c r="C173" s="4" t="s">
        <v>398</v>
      </c>
      <c r="D173" s="4" t="s">
        <v>400</v>
      </c>
      <c r="E173" s="4" t="s">
        <v>400</v>
      </c>
      <c r="F173" s="4">
        <v>0.9</v>
      </c>
      <c r="G173" s="4"/>
      <c r="H173" s="4">
        <v>-1</v>
      </c>
      <c r="I173" s="4">
        <v>0.42</v>
      </c>
      <c r="J173" s="4">
        <v>0.42</v>
      </c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</row>
    <row r="174" spans="2:46" s="2" customFormat="1" ht="16.5" x14ac:dyDescent="0.25">
      <c r="B174" s="4" t="s">
        <v>538</v>
      </c>
      <c r="C174" s="4" t="s">
        <v>398</v>
      </c>
      <c r="D174" s="4" t="s">
        <v>400</v>
      </c>
      <c r="E174" s="4" t="s">
        <v>400</v>
      </c>
      <c r="F174" s="4">
        <v>0.9</v>
      </c>
      <c r="G174" s="4"/>
      <c r="H174" s="4">
        <v>-1</v>
      </c>
      <c r="I174" s="4"/>
      <c r="J174" s="4">
        <v>0.42</v>
      </c>
      <c r="K174" s="4">
        <v>0.42</v>
      </c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125"/>
      <c r="Z174" s="125"/>
      <c r="AA174" s="125"/>
      <c r="AB174" s="125"/>
      <c r="AC174" s="125"/>
      <c r="AD174" s="125"/>
      <c r="AE174" s="125"/>
      <c r="AF174" s="125"/>
      <c r="AG174" s="125"/>
      <c r="AH174" s="125"/>
      <c r="AI174" s="125"/>
      <c r="AJ174" s="125"/>
      <c r="AK174" s="125"/>
      <c r="AL174" s="125"/>
      <c r="AM174" s="125"/>
      <c r="AN174" s="125"/>
      <c r="AO174" s="125"/>
      <c r="AP174" s="125"/>
      <c r="AQ174" s="125"/>
      <c r="AR174" s="125"/>
      <c r="AS174" s="125"/>
      <c r="AT174" s="125"/>
    </row>
    <row r="175" spans="2:46" s="2" customFormat="1" ht="16.5" x14ac:dyDescent="0.25">
      <c r="B175" s="4" t="s">
        <v>539</v>
      </c>
      <c r="C175" s="4" t="s">
        <v>398</v>
      </c>
      <c r="D175" s="4" t="s">
        <v>400</v>
      </c>
      <c r="E175" s="4" t="s">
        <v>455</v>
      </c>
      <c r="F175" s="4">
        <v>0.9</v>
      </c>
      <c r="G175" s="4"/>
      <c r="H175" s="4">
        <v>-1</v>
      </c>
      <c r="I175" s="4">
        <v>-0.42</v>
      </c>
      <c r="J175" s="4">
        <v>-0.42</v>
      </c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125"/>
      <c r="Z175" s="125"/>
      <c r="AA175" s="125"/>
      <c r="AB175" s="125"/>
      <c r="AC175" s="125"/>
      <c r="AD175" s="125"/>
      <c r="AE175" s="125"/>
      <c r="AF175" s="125"/>
      <c r="AG175" s="125"/>
      <c r="AH175" s="125"/>
      <c r="AI175" s="125"/>
      <c r="AJ175" s="125"/>
      <c r="AK175" s="125"/>
      <c r="AL175" s="125"/>
      <c r="AM175" s="125"/>
      <c r="AN175" s="125"/>
      <c r="AO175" s="125"/>
      <c r="AP175" s="125"/>
      <c r="AQ175" s="125"/>
      <c r="AR175" s="125"/>
      <c r="AS175" s="125"/>
      <c r="AT175" s="125"/>
    </row>
    <row r="176" spans="2:46" ht="16.5" x14ac:dyDescent="0.25">
      <c r="B176" s="4" t="s">
        <v>540</v>
      </c>
      <c r="C176" s="4" t="s">
        <v>398</v>
      </c>
      <c r="D176" s="4" t="s">
        <v>400</v>
      </c>
      <c r="E176" s="4" t="s">
        <v>455</v>
      </c>
      <c r="F176" s="4">
        <v>0.9</v>
      </c>
      <c r="G176" s="4"/>
      <c r="H176" s="4">
        <v>-1</v>
      </c>
      <c r="I176" s="4"/>
      <c r="J176" s="4">
        <v>-0.42</v>
      </c>
      <c r="K176" s="4">
        <v>-0.42</v>
      </c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</row>
    <row r="177" spans="2:46" ht="16.5" x14ac:dyDescent="0.25">
      <c r="B177" s="4" t="s">
        <v>541</v>
      </c>
      <c r="C177" s="4" t="s">
        <v>398</v>
      </c>
      <c r="D177" s="4" t="s">
        <v>400</v>
      </c>
      <c r="E177" s="4" t="s">
        <v>400</v>
      </c>
      <c r="F177" s="4">
        <v>0.9</v>
      </c>
      <c r="G177" s="4"/>
      <c r="H177" s="4">
        <v>-1</v>
      </c>
      <c r="I177" s="4"/>
      <c r="J177" s="4"/>
      <c r="K177" s="4"/>
      <c r="L177" s="4">
        <v>0.42</v>
      </c>
      <c r="M177" s="4">
        <v>0.42</v>
      </c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</row>
    <row r="178" spans="2:46" s="2" customFormat="1" ht="16.5" x14ac:dyDescent="0.25">
      <c r="B178" s="4" t="s">
        <v>542</v>
      </c>
      <c r="C178" s="4" t="s">
        <v>398</v>
      </c>
      <c r="D178" s="4" t="s">
        <v>451</v>
      </c>
      <c r="E178" s="4" t="s">
        <v>400</v>
      </c>
      <c r="F178" s="4">
        <v>0.9</v>
      </c>
      <c r="G178" s="4"/>
      <c r="H178" s="4">
        <v>-1</v>
      </c>
      <c r="I178" s="4"/>
      <c r="J178" s="4"/>
      <c r="K178" s="4"/>
      <c r="L178" s="4"/>
      <c r="M178" s="4">
        <v>0.42</v>
      </c>
      <c r="N178" s="4">
        <v>0.42</v>
      </c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125"/>
      <c r="Z178" s="125"/>
      <c r="AA178" s="125"/>
      <c r="AB178" s="125"/>
      <c r="AC178" s="125"/>
      <c r="AD178" s="125"/>
      <c r="AE178" s="125"/>
      <c r="AF178" s="125"/>
      <c r="AG178" s="125"/>
      <c r="AH178" s="125"/>
      <c r="AI178" s="125"/>
      <c r="AJ178" s="125"/>
      <c r="AK178" s="125"/>
      <c r="AL178" s="125"/>
      <c r="AM178" s="125"/>
      <c r="AN178" s="125"/>
      <c r="AO178" s="125"/>
      <c r="AP178" s="125"/>
      <c r="AQ178" s="125"/>
      <c r="AR178" s="125"/>
      <c r="AS178" s="125"/>
      <c r="AT178" s="125"/>
    </row>
    <row r="179" spans="2:46" s="2" customFormat="1" ht="16.5" x14ac:dyDescent="0.25">
      <c r="B179" s="4" t="s">
        <v>543</v>
      </c>
      <c r="C179" s="4" t="s">
        <v>448</v>
      </c>
      <c r="D179" s="4" t="s">
        <v>400</v>
      </c>
      <c r="E179" s="4" t="s">
        <v>400</v>
      </c>
      <c r="F179" s="4">
        <v>0.9</v>
      </c>
      <c r="G179" s="4"/>
      <c r="H179" s="4">
        <v>-1</v>
      </c>
      <c r="I179" s="4"/>
      <c r="J179" s="4"/>
      <c r="K179" s="4"/>
      <c r="L179" s="4">
        <v>-0.42</v>
      </c>
      <c r="M179" s="4">
        <v>-0.42</v>
      </c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125"/>
      <c r="Z179" s="125"/>
      <c r="AA179" s="125"/>
      <c r="AB179" s="125"/>
      <c r="AC179" s="125"/>
      <c r="AD179" s="125"/>
      <c r="AE179" s="125"/>
      <c r="AF179" s="125"/>
      <c r="AG179" s="125"/>
      <c r="AH179" s="125"/>
      <c r="AI179" s="125"/>
      <c r="AJ179" s="125"/>
      <c r="AK179" s="125"/>
      <c r="AL179" s="125"/>
      <c r="AM179" s="125"/>
      <c r="AN179" s="125"/>
      <c r="AO179" s="125"/>
      <c r="AP179" s="125"/>
      <c r="AQ179" s="125"/>
      <c r="AR179" s="125"/>
      <c r="AS179" s="125"/>
      <c r="AT179" s="125"/>
    </row>
    <row r="180" spans="2:46" ht="16.5" x14ac:dyDescent="0.25">
      <c r="B180" s="4" t="s">
        <v>544</v>
      </c>
      <c r="C180" s="4" t="s">
        <v>398</v>
      </c>
      <c r="D180" s="4" t="s">
        <v>400</v>
      </c>
      <c r="E180" s="4" t="s">
        <v>400</v>
      </c>
      <c r="F180" s="4">
        <v>0.9</v>
      </c>
      <c r="G180" s="4"/>
      <c r="H180" s="4">
        <v>-1</v>
      </c>
      <c r="I180" s="4"/>
      <c r="J180" s="4"/>
      <c r="K180" s="4"/>
      <c r="L180" s="4"/>
      <c r="M180" s="4">
        <v>-0.42</v>
      </c>
      <c r="N180" s="4">
        <v>-0.42</v>
      </c>
      <c r="O180" s="4"/>
      <c r="P180" s="4"/>
      <c r="Q180" s="4"/>
      <c r="R180" s="4"/>
      <c r="S180" s="4"/>
      <c r="T180" s="4"/>
      <c r="U180" s="4"/>
      <c r="V180" s="4"/>
      <c r="W180" s="4"/>
      <c r="X180" s="4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</row>
    <row r="181" spans="2:46" ht="16.5" x14ac:dyDescent="0.25">
      <c r="B181" s="4" t="s">
        <v>545</v>
      </c>
      <c r="C181" s="4" t="s">
        <v>400</v>
      </c>
      <c r="D181" s="4" t="s">
        <v>546</v>
      </c>
      <c r="E181" s="4" t="s">
        <v>400</v>
      </c>
      <c r="F181" s="4">
        <v>1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</row>
    <row r="182" spans="2:46" ht="16.5" x14ac:dyDescent="0.25">
      <c r="B182" s="4" t="s">
        <v>547</v>
      </c>
      <c r="C182" s="4" t="s">
        <v>449</v>
      </c>
      <c r="D182" s="4" t="s">
        <v>449</v>
      </c>
      <c r="E182" s="4" t="s">
        <v>449</v>
      </c>
      <c r="F182" s="4">
        <v>1</v>
      </c>
      <c r="G182" s="4">
        <v>1</v>
      </c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</row>
    <row r="183" spans="2:46" ht="16.5" x14ac:dyDescent="0.25">
      <c r="B183"/>
      <c r="C183" s="63"/>
      <c r="D183" s="63"/>
      <c r="E183" s="6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</row>
    <row r="184" spans="2:46" ht="16.5" x14ac:dyDescent="0.25">
      <c r="B184"/>
      <c r="C184" s="4"/>
      <c r="D184" s="4"/>
      <c r="E184" s="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</row>
    <row r="185" spans="2:46" ht="16.5" x14ac:dyDescent="0.25">
      <c r="B185"/>
      <c r="C185" s="4"/>
      <c r="D185" s="4"/>
      <c r="E185" s="4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</row>
    <row r="186" spans="2:46" ht="16.5" x14ac:dyDescent="0.25">
      <c r="B186"/>
      <c r="C186" s="4"/>
      <c r="D186" s="4"/>
      <c r="E186" s="4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</row>
    <row r="187" spans="2:46" ht="16.5" x14ac:dyDescent="0.25">
      <c r="B187"/>
      <c r="C187" s="4"/>
      <c r="D187" s="4"/>
      <c r="E187" s="4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</row>
    <row r="188" spans="2:46" ht="16.5" x14ac:dyDescent="0.25">
      <c r="B188"/>
      <c r="C188" s="4"/>
      <c r="D188" s="4"/>
      <c r="E188" s="4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</row>
    <row r="189" spans="2:46" ht="16.5" x14ac:dyDescent="0.25">
      <c r="B189"/>
      <c r="C189" s="4"/>
      <c r="D189" s="4"/>
      <c r="E189" s="4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</row>
    <row r="190" spans="2:46" ht="16.5" x14ac:dyDescent="0.25">
      <c r="B190"/>
      <c r="C190" s="4"/>
      <c r="D190" s="4"/>
      <c r="E190" s="4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</row>
    <row r="191" spans="2:46" ht="16.5" x14ac:dyDescent="0.25">
      <c r="B191"/>
      <c r="C191" s="4"/>
      <c r="D191" s="4"/>
      <c r="E191" s="4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</row>
    <row r="192" spans="2:46" ht="16.5" x14ac:dyDescent="0.25">
      <c r="B192"/>
      <c r="C192" s="4"/>
      <c r="D192" s="4"/>
      <c r="E192" s="4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</row>
    <row r="193" spans="2:46" ht="16.5" x14ac:dyDescent="0.25">
      <c r="B193"/>
      <c r="C193" s="4"/>
      <c r="D193" s="4"/>
      <c r="E193" s="4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</row>
    <row r="194" spans="2:46" ht="16.5" x14ac:dyDescent="0.25">
      <c r="B194"/>
      <c r="C194" s="4"/>
      <c r="D194" s="4"/>
      <c r="E194" s="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</row>
    <row r="195" spans="2:46" ht="16.5" x14ac:dyDescent="0.25">
      <c r="B195"/>
      <c r="C195" s="4"/>
      <c r="D195" s="4"/>
      <c r="E195" s="4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</row>
    <row r="196" spans="2:46" ht="16.5" x14ac:dyDescent="0.25">
      <c r="B196"/>
      <c r="C196" s="4"/>
      <c r="D196" s="4"/>
      <c r="E196" s="4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</row>
    <row r="197" spans="2:46" ht="16.5" x14ac:dyDescent="0.25">
      <c r="B197"/>
      <c r="C197" s="4"/>
      <c r="D197" s="4"/>
      <c r="E197" s="4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</row>
    <row r="198" spans="2:46" ht="16.5" x14ac:dyDescent="0.25">
      <c r="B198"/>
      <c r="C198" s="4"/>
      <c r="D198" s="4"/>
      <c r="E198" s="4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</row>
    <row r="199" spans="2:46" ht="16.5" x14ac:dyDescent="0.25">
      <c r="B199"/>
      <c r="C199" s="4"/>
      <c r="D199" s="4"/>
      <c r="E199" s="4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</row>
    <row r="200" spans="2:46" ht="16.5" x14ac:dyDescent="0.25">
      <c r="B200"/>
      <c r="C200" s="4"/>
      <c r="D200" s="4"/>
      <c r="E200" s="4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</row>
    <row r="201" spans="2:46" ht="16.5" x14ac:dyDescent="0.25">
      <c r="B201"/>
      <c r="C201" s="4"/>
      <c r="D201" s="4"/>
      <c r="E201" s="4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</row>
    <row r="202" spans="2:46" ht="16.5" x14ac:dyDescent="0.25">
      <c r="B202"/>
      <c r="C202" s="4"/>
      <c r="D202" s="4"/>
      <c r="E202" s="4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</row>
    <row r="203" spans="2:46" ht="16.5" x14ac:dyDescent="0.25">
      <c r="B203"/>
      <c r="C203" s="4"/>
      <c r="D203" s="4"/>
      <c r="E203" s="4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</row>
    <row r="204" spans="2:46" ht="16.5" x14ac:dyDescent="0.25">
      <c r="B204"/>
      <c r="C204" s="4"/>
      <c r="D204" s="4"/>
      <c r="E204" s="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</row>
    <row r="205" spans="2:46" ht="16.5" x14ac:dyDescent="0.25">
      <c r="B205"/>
      <c r="C205" s="4"/>
      <c r="D205" s="4"/>
      <c r="E205" s="4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</row>
    <row r="206" spans="2:46" ht="16.5" x14ac:dyDescent="0.25">
      <c r="B206"/>
      <c r="C206" s="4"/>
      <c r="D206" s="4"/>
      <c r="E206" s="4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</row>
    <row r="207" spans="2:46" ht="16.5" x14ac:dyDescent="0.25">
      <c r="B207"/>
      <c r="C207" s="4"/>
      <c r="D207" s="4"/>
      <c r="E207" s="4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</row>
    <row r="208" spans="2:46" ht="16.5" x14ac:dyDescent="0.25">
      <c r="B208"/>
      <c r="C208" s="4"/>
      <c r="D208" s="4"/>
      <c r="E208" s="4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</row>
    <row r="209" spans="2:46" ht="16.5" x14ac:dyDescent="0.25">
      <c r="B209"/>
      <c r="C209" s="4"/>
      <c r="D209" s="4"/>
      <c r="E209" s="4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</row>
    <row r="210" spans="2:46" ht="16.5" x14ac:dyDescent="0.25">
      <c r="B210"/>
      <c r="C210" s="4"/>
      <c r="D210" s="4"/>
      <c r="E210" s="4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</row>
    <row r="211" spans="2:46" ht="16.5" x14ac:dyDescent="0.25">
      <c r="B211"/>
      <c r="C211" s="4"/>
      <c r="D211" s="4"/>
      <c r="E211" s="4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</row>
    <row r="212" spans="2:46" ht="16.5" x14ac:dyDescent="0.25">
      <c r="B212"/>
      <c r="C212" s="4"/>
      <c r="D212" s="4"/>
      <c r="E212" s="4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</row>
    <row r="213" spans="2:46" ht="16.5" x14ac:dyDescent="0.25">
      <c r="B213"/>
      <c r="C213" s="4"/>
      <c r="D213" s="4"/>
      <c r="E213" s="4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</row>
    <row r="214" spans="2:46" ht="16.5" x14ac:dyDescent="0.25">
      <c r="B214"/>
      <c r="C214" s="4"/>
      <c r="D214" s="4"/>
      <c r="E214" s="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</row>
    <row r="215" spans="2:46" ht="16.5" x14ac:dyDescent="0.25">
      <c r="B215"/>
      <c r="C215" s="4"/>
      <c r="D215" s="4"/>
      <c r="E215" s="4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</row>
    <row r="216" spans="2:46" ht="16.5" x14ac:dyDescent="0.25">
      <c r="B216"/>
      <c r="C216" s="4"/>
      <c r="D216" s="4"/>
      <c r="E216" s="4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</row>
    <row r="217" spans="2:46" ht="16.5" x14ac:dyDescent="0.25">
      <c r="B217"/>
      <c r="C217" s="4"/>
      <c r="D217" s="4"/>
      <c r="E217" s="4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</row>
    <row r="218" spans="2:46" ht="16.5" x14ac:dyDescent="0.25">
      <c r="B218"/>
      <c r="C218" s="4"/>
      <c r="D218" s="4"/>
      <c r="E218" s="4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</row>
    <row r="219" spans="2:46" ht="16.5" x14ac:dyDescent="0.25">
      <c r="B219"/>
      <c r="C219" s="4"/>
      <c r="D219" s="4"/>
      <c r="E219" s="4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</row>
    <row r="220" spans="2:46" ht="16.5" x14ac:dyDescent="0.25">
      <c r="B220"/>
      <c r="C220" s="4"/>
      <c r="D220" s="4"/>
      <c r="E220" s="4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</row>
    <row r="221" spans="2:46" ht="16.5" x14ac:dyDescent="0.25">
      <c r="B221"/>
      <c r="C221" s="4"/>
      <c r="D221" s="4"/>
      <c r="E221" s="4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</row>
    <row r="222" spans="2:46" ht="16.5" x14ac:dyDescent="0.25">
      <c r="B222"/>
      <c r="C222" s="4"/>
      <c r="D222" s="4"/>
      <c r="E222" s="4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</row>
    <row r="223" spans="2:46" ht="16.5" x14ac:dyDescent="0.25">
      <c r="B223"/>
      <c r="C223" s="4"/>
      <c r="D223" s="4"/>
      <c r="E223" s="4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</row>
    <row r="224" spans="2:46" ht="16.5" x14ac:dyDescent="0.25">
      <c r="B224"/>
      <c r="C224" s="4"/>
      <c r="D224" s="4"/>
      <c r="E224" s="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</row>
    <row r="225" spans="2:46" ht="16.5" x14ac:dyDescent="0.25">
      <c r="B225"/>
      <c r="C225" s="4"/>
      <c r="D225" s="4"/>
      <c r="E225" s="4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</row>
    <row r="226" spans="2:46" ht="16.5" x14ac:dyDescent="0.25">
      <c r="B226"/>
      <c r="C226" s="4"/>
      <c r="D226" s="4"/>
      <c r="E226" s="4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</row>
    <row r="227" spans="2:46" ht="16.5" x14ac:dyDescent="0.25">
      <c r="B227"/>
      <c r="C227" s="4"/>
      <c r="D227" s="4"/>
      <c r="E227" s="4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</row>
    <row r="228" spans="2:46" ht="16.5" x14ac:dyDescent="0.25">
      <c r="B228"/>
      <c r="C228" s="4"/>
      <c r="D228" s="4"/>
      <c r="E228" s="4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</row>
    <row r="229" spans="2:46" ht="16.5" x14ac:dyDescent="0.25">
      <c r="B229"/>
      <c r="C229" s="4"/>
      <c r="D229" s="4"/>
      <c r="E229" s="4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</row>
    <row r="230" spans="2:46" ht="16.5" x14ac:dyDescent="0.25">
      <c r="B230"/>
      <c r="C230" s="4"/>
      <c r="D230" s="4"/>
      <c r="E230" s="4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</row>
    <row r="231" spans="2:46" ht="16.5" x14ac:dyDescent="0.25">
      <c r="B231"/>
      <c r="C231" s="4"/>
      <c r="D231" s="4"/>
      <c r="E231" s="4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</row>
    <row r="232" spans="2:46" ht="16.5" x14ac:dyDescent="0.25">
      <c r="B232"/>
      <c r="C232" s="4"/>
      <c r="D232" s="4"/>
      <c r="E232" s="4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</row>
    <row r="233" spans="2:46" ht="16.5" x14ac:dyDescent="0.25">
      <c r="B233"/>
      <c r="C233" s="4"/>
      <c r="D233" s="4"/>
      <c r="E233" s="4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  <row r="234" spans="2:46" ht="16.5" x14ac:dyDescent="0.25">
      <c r="B234"/>
      <c r="C234" s="4"/>
      <c r="D234" s="4"/>
      <c r="E234" s="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</row>
    <row r="235" spans="2:46" ht="16.5" x14ac:dyDescent="0.25">
      <c r="B235" s="4"/>
      <c r="C235" s="4"/>
      <c r="D235" s="4"/>
      <c r="E235" s="4"/>
      <c r="F235" s="4"/>
      <c r="G235" s="4"/>
      <c r="H235" s="4"/>
      <c r="I235" s="123"/>
      <c r="J235" s="123"/>
      <c r="K235" s="124"/>
      <c r="L235" s="12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123"/>
      <c r="X235" s="124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</row>
    <row r="236" spans="2:46" ht="16.5" x14ac:dyDescent="0.25">
      <c r="B236" s="4"/>
      <c r="C236" s="4"/>
      <c r="D236" s="4"/>
      <c r="E236" s="4"/>
      <c r="F236" s="4"/>
      <c r="G236" s="4"/>
      <c r="H236" s="4"/>
      <c r="I236" s="123"/>
      <c r="J236" s="123"/>
      <c r="K236" s="124"/>
      <c r="L236" s="12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123"/>
      <c r="X236" s="124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</row>
    <row r="237" spans="2:46" ht="16.5" x14ac:dyDescent="0.25">
      <c r="B237" s="4"/>
      <c r="C237" s="4"/>
      <c r="D237" s="4"/>
      <c r="E237" s="4"/>
      <c r="F237" s="4"/>
      <c r="G237" s="4"/>
      <c r="H237" s="4"/>
      <c r="I237" s="123"/>
      <c r="J237" s="123"/>
      <c r="K237" s="124"/>
      <c r="L237" s="12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123"/>
      <c r="X237" s="124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</row>
    <row r="238" spans="2:46" ht="16.5" x14ac:dyDescent="0.25">
      <c r="B238" s="4"/>
      <c r="C238" s="4"/>
      <c r="D238" s="4"/>
      <c r="E238" s="4"/>
      <c r="F238" s="4"/>
      <c r="G238" s="4"/>
      <c r="H238" s="4"/>
      <c r="I238" s="123"/>
      <c r="J238" s="123"/>
      <c r="K238" s="124"/>
      <c r="L238" s="12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123"/>
      <c r="X238" s="124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</row>
    <row r="239" spans="2:46" ht="16.5" x14ac:dyDescent="0.25">
      <c r="B239" s="4"/>
      <c r="C239" s="4"/>
      <c r="D239" s="4"/>
      <c r="E239" s="4"/>
      <c r="F239" s="4"/>
      <c r="G239" s="4"/>
      <c r="H239" s="4"/>
      <c r="I239" s="123"/>
      <c r="J239" s="123"/>
      <c r="K239" s="124"/>
      <c r="L239" s="12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123"/>
      <c r="X239" s="124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</row>
    <row r="240" spans="2:46" ht="16.5" x14ac:dyDescent="0.25">
      <c r="B240" s="4"/>
      <c r="C240" s="4"/>
      <c r="D240" s="4"/>
      <c r="E240" s="4"/>
      <c r="F240" s="4"/>
      <c r="G240" s="4"/>
      <c r="H240" s="4"/>
      <c r="I240" s="123"/>
      <c r="J240" s="123"/>
      <c r="K240" s="124"/>
      <c r="L240" s="12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123"/>
      <c r="X240" s="124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</row>
    <row r="241" spans="2:46" ht="16.5" x14ac:dyDescent="0.25">
      <c r="B241" s="4"/>
      <c r="C241" s="4"/>
      <c r="D241" s="4"/>
      <c r="E241" s="4"/>
      <c r="F241" s="4"/>
      <c r="G241" s="4"/>
      <c r="H241" s="4"/>
      <c r="I241" s="123"/>
      <c r="J241" s="123"/>
      <c r="K241" s="124"/>
      <c r="L241" s="12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123"/>
      <c r="X241" s="124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</row>
    <row r="242" spans="2:46" ht="16.5" x14ac:dyDescent="0.25">
      <c r="B242" s="4"/>
      <c r="C242" s="41"/>
      <c r="D242" s="41"/>
      <c r="E242" s="41"/>
      <c r="F242" s="4"/>
      <c r="G242" s="4"/>
      <c r="H242" s="4"/>
      <c r="I242" s="123"/>
      <c r="J242" s="123"/>
      <c r="K242" s="124"/>
      <c r="L242" s="12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123"/>
      <c r="X242" s="124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</row>
    <row r="243" spans="2:46" ht="16.5" x14ac:dyDescent="0.25">
      <c r="B243" s="4"/>
      <c r="C243" s="41"/>
      <c r="D243" s="41"/>
      <c r="E243" s="41"/>
      <c r="F243" s="4"/>
      <c r="G243" s="4"/>
      <c r="H243" s="4"/>
      <c r="I243" s="123"/>
      <c r="J243" s="123"/>
      <c r="K243" s="124"/>
      <c r="L243" s="12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123"/>
      <c r="X243" s="124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</row>
    <row r="244" spans="2:46" ht="16.5" x14ac:dyDescent="0.25">
      <c r="B244" s="4"/>
      <c r="C244" s="41"/>
      <c r="D244" s="41"/>
      <c r="E244" s="41"/>
      <c r="F244" s="4"/>
      <c r="G244" s="4"/>
      <c r="H244" s="4"/>
      <c r="I244" s="123"/>
      <c r="J244" s="123"/>
      <c r="K244" s="124"/>
      <c r="L244" s="12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123"/>
      <c r="X244" s="12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</row>
    <row r="245" spans="2:46" ht="16.5" x14ac:dyDescent="0.25">
      <c r="B245" s="4"/>
      <c r="C245" s="41"/>
      <c r="D245" s="41"/>
      <c r="E245" s="41"/>
      <c r="F245" s="4"/>
      <c r="G245" s="4"/>
      <c r="H245" s="4"/>
      <c r="I245" s="123"/>
      <c r="J245" s="123"/>
      <c r="K245" s="124"/>
      <c r="L245" s="12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123"/>
      <c r="X245" s="124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</row>
    <row r="246" spans="2:46" ht="16.5" x14ac:dyDescent="0.25">
      <c r="B246" s="4"/>
      <c r="C246" s="41"/>
      <c r="D246" s="41"/>
      <c r="E246" s="41"/>
      <c r="F246" s="4"/>
      <c r="G246" s="4"/>
      <c r="H246" s="4"/>
      <c r="I246" s="123"/>
      <c r="J246" s="123"/>
      <c r="K246" s="124"/>
      <c r="L246" s="12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123"/>
      <c r="X246" s="124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</row>
    <row r="247" spans="2:46" ht="16.5" x14ac:dyDescent="0.25">
      <c r="B247" s="4"/>
      <c r="C247" s="41"/>
      <c r="D247" s="41"/>
      <c r="E247" s="41"/>
      <c r="F247" s="4"/>
      <c r="G247" s="4"/>
      <c r="H247" s="4"/>
      <c r="I247" s="123"/>
      <c r="J247" s="123"/>
      <c r="K247" s="124"/>
      <c r="L247" s="12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123"/>
      <c r="X247" s="124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</row>
    <row r="248" spans="2:46" ht="16.5" x14ac:dyDescent="0.25">
      <c r="B248" s="4"/>
      <c r="C248" s="41"/>
      <c r="D248" s="41"/>
      <c r="E248" s="41"/>
      <c r="F248" s="4"/>
      <c r="G248" s="4"/>
      <c r="H248" s="4"/>
      <c r="I248" s="123"/>
      <c r="J248" s="123"/>
      <c r="K248" s="124"/>
      <c r="L248" s="12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123"/>
      <c r="X248" s="124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</row>
    <row r="249" spans="2:46" ht="16.5" x14ac:dyDescent="0.25">
      <c r="B249" s="4"/>
      <c r="C249" s="41"/>
      <c r="D249" s="41"/>
      <c r="E249" s="41"/>
      <c r="F249" s="4"/>
      <c r="G249" s="4"/>
      <c r="H249" s="4"/>
      <c r="I249" s="123"/>
      <c r="J249" s="123"/>
      <c r="K249" s="124"/>
      <c r="L249" s="12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123"/>
      <c r="X249" s="124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</row>
    <row r="250" spans="2:46" ht="16.5" x14ac:dyDescent="0.25">
      <c r="B250" s="4"/>
      <c r="C250" s="41"/>
      <c r="D250" s="41"/>
      <c r="E250" s="41"/>
      <c r="F250" s="4"/>
      <c r="G250" s="4"/>
      <c r="H250" s="4"/>
      <c r="I250" s="123"/>
      <c r="J250" s="123"/>
      <c r="K250" s="124"/>
      <c r="L250" s="12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123"/>
      <c r="X250" s="124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</row>
    <row r="251" spans="2:46" ht="16.5" x14ac:dyDescent="0.25">
      <c r="B251" s="4"/>
      <c r="C251" s="41"/>
      <c r="D251" s="41"/>
      <c r="E251" s="41"/>
      <c r="F251" s="4"/>
      <c r="G251" s="4"/>
      <c r="H251" s="4"/>
      <c r="I251" s="123"/>
      <c r="J251" s="123"/>
      <c r="K251" s="124"/>
      <c r="L251" s="12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123"/>
      <c r="X251" s="124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</row>
    <row r="252" spans="2:46" ht="16.5" x14ac:dyDescent="0.25">
      <c r="B252" s="4"/>
      <c r="C252" s="41"/>
      <c r="D252" s="41"/>
      <c r="E252" s="41"/>
      <c r="F252" s="4"/>
      <c r="G252" s="4"/>
      <c r="H252" s="4"/>
      <c r="I252" s="123"/>
      <c r="J252" s="123"/>
      <c r="K252" s="124"/>
      <c r="L252" s="12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123"/>
      <c r="X252" s="124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</row>
    <row r="253" spans="2:46" ht="16.5" x14ac:dyDescent="0.25">
      <c r="B253" s="4"/>
      <c r="C253" s="41"/>
      <c r="D253" s="41"/>
      <c r="E253" s="41"/>
      <c r="F253" s="4"/>
      <c r="G253" s="4"/>
      <c r="H253" s="4"/>
      <c r="I253" s="123"/>
      <c r="J253" s="123"/>
      <c r="K253" s="124"/>
      <c r="L253" s="12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123"/>
      <c r="X253" s="124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</row>
    <row r="254" spans="2:46" ht="16.5" x14ac:dyDescent="0.25">
      <c r="B254" s="4"/>
      <c r="C254" s="41"/>
      <c r="D254" s="41"/>
      <c r="E254" s="41"/>
      <c r="F254" s="4"/>
      <c r="G254" s="4"/>
      <c r="H254" s="4"/>
      <c r="I254" s="123"/>
      <c r="J254" s="123"/>
      <c r="K254" s="124"/>
      <c r="L254" s="12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123"/>
      <c r="X254" s="12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</row>
    <row r="255" spans="2:46" ht="16.5" x14ac:dyDescent="0.25">
      <c r="B255" s="4"/>
      <c r="C255" s="41"/>
      <c r="D255" s="41"/>
      <c r="E255" s="41"/>
      <c r="F255" s="4"/>
      <c r="G255" s="4"/>
      <c r="H255" s="4"/>
      <c r="I255" s="123"/>
      <c r="J255" s="123"/>
      <c r="K255" s="124"/>
      <c r="L255" s="12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123"/>
      <c r="X255" s="124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</row>
    <row r="256" spans="2:46" ht="16.5" x14ac:dyDescent="0.25">
      <c r="B256" s="4"/>
      <c r="C256" s="41"/>
      <c r="D256" s="41"/>
      <c r="E256" s="41"/>
      <c r="F256" s="4"/>
      <c r="G256" s="4"/>
      <c r="H256" s="4"/>
      <c r="I256" s="123"/>
      <c r="J256" s="123"/>
      <c r="K256" s="124"/>
      <c r="L256" s="12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123"/>
      <c r="X256" s="124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</row>
    <row r="257" spans="2:46" ht="16.5" x14ac:dyDescent="0.25">
      <c r="B257" s="4"/>
      <c r="C257" s="41"/>
      <c r="D257" s="41"/>
      <c r="E257" s="41"/>
      <c r="F257" s="4"/>
      <c r="G257" s="4"/>
      <c r="H257" s="4"/>
      <c r="I257" s="123"/>
      <c r="J257" s="123"/>
      <c r="K257" s="124"/>
      <c r="L257" s="12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123"/>
      <c r="X257" s="124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</row>
    <row r="258" spans="2:46" ht="16.5" x14ac:dyDescent="0.25">
      <c r="B258" s="4"/>
      <c r="C258" s="41"/>
      <c r="D258" s="41"/>
      <c r="E258" s="41"/>
      <c r="F258" s="4"/>
      <c r="G258" s="4"/>
      <c r="H258" s="4"/>
      <c r="I258" s="123"/>
      <c r="J258" s="123"/>
      <c r="K258" s="124"/>
      <c r="L258" s="12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123"/>
      <c r="X258" s="124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</row>
    <row r="259" spans="2:46" ht="16.5" x14ac:dyDescent="0.25">
      <c r="B259" s="4"/>
      <c r="C259" s="41"/>
      <c r="D259" s="41"/>
      <c r="E259" s="41"/>
      <c r="F259" s="4"/>
      <c r="G259" s="4"/>
      <c r="H259" s="4"/>
      <c r="I259" s="123"/>
      <c r="J259" s="123"/>
      <c r="K259" s="124"/>
      <c r="L259" s="12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123"/>
      <c r="X259" s="124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</row>
    <row r="260" spans="2:46" ht="16.5" x14ac:dyDescent="0.25">
      <c r="B260"/>
      <c r="C260" s="60" t="s">
        <v>409</v>
      </c>
      <c r="D260" s="60" t="s">
        <v>408</v>
      </c>
      <c r="E260" s="60" t="s">
        <v>409</v>
      </c>
      <c r="F260"/>
      <c r="G260"/>
      <c r="H260"/>
      <c r="I260" s="126"/>
      <c r="J260" s="126"/>
      <c r="K260" s="127"/>
      <c r="L260" s="127"/>
      <c r="M260"/>
      <c r="N260"/>
      <c r="O260"/>
      <c r="P260"/>
      <c r="Q260"/>
      <c r="R260"/>
      <c r="S260"/>
      <c r="T260"/>
      <c r="U260"/>
      <c r="V260"/>
      <c r="W260" s="126"/>
      <c r="X260" s="127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</row>
    <row r="261" spans="2:46" ht="16.5" x14ac:dyDescent="0.25">
      <c r="B261"/>
      <c r="C261" s="41" t="s">
        <v>409</v>
      </c>
      <c r="D261" s="41" t="s">
        <v>408</v>
      </c>
      <c r="E261" s="41" t="s">
        <v>409</v>
      </c>
      <c r="F261"/>
      <c r="G261"/>
      <c r="H261"/>
      <c r="I261" s="126"/>
      <c r="J261" s="126"/>
      <c r="K261" s="127"/>
      <c r="L261" s="127"/>
      <c r="M261"/>
      <c r="N261"/>
      <c r="O261"/>
      <c r="P261"/>
      <c r="Q261"/>
      <c r="R261"/>
      <c r="S261"/>
      <c r="T261"/>
      <c r="U261"/>
      <c r="V261"/>
      <c r="W261" s="126"/>
      <c r="X261" s="127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</row>
    <row r="262" spans="2:46" ht="16.5" x14ac:dyDescent="0.25">
      <c r="B262"/>
      <c r="C262" s="41" t="s">
        <v>409</v>
      </c>
      <c r="D262" s="41" t="s">
        <v>408</v>
      </c>
      <c r="E262" s="41" t="s">
        <v>409</v>
      </c>
      <c r="F262"/>
      <c r="G262"/>
      <c r="H262"/>
      <c r="I262" s="126"/>
      <c r="J262" s="126"/>
      <c r="K262" s="127"/>
      <c r="L262" s="127"/>
      <c r="M262"/>
      <c r="N262"/>
      <c r="O262"/>
      <c r="P262"/>
      <c r="Q262"/>
      <c r="R262"/>
      <c r="S262"/>
      <c r="T262"/>
      <c r="U262"/>
      <c r="V262"/>
      <c r="W262" s="126"/>
      <c r="X262" s="127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</row>
    <row r="263" spans="2:46" ht="16.5" x14ac:dyDescent="0.25">
      <c r="B263"/>
      <c r="C263" s="41" t="s">
        <v>409</v>
      </c>
      <c r="D263" s="41" t="s">
        <v>408</v>
      </c>
      <c r="E263" s="41" t="s">
        <v>409</v>
      </c>
      <c r="F263"/>
      <c r="G263"/>
      <c r="H263"/>
      <c r="I263" s="126"/>
      <c r="J263" s="126"/>
      <c r="K263" s="127"/>
      <c r="L263" s="127"/>
      <c r="M263"/>
      <c r="N263"/>
      <c r="O263"/>
      <c r="P263"/>
      <c r="Q263"/>
      <c r="R263"/>
      <c r="S263"/>
      <c r="T263"/>
      <c r="U263"/>
      <c r="V263"/>
      <c r="W263" s="126"/>
      <c r="X263" s="127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</row>
    <row r="264" spans="2:46" ht="16.5" x14ac:dyDescent="0.25">
      <c r="B264"/>
      <c r="C264" s="41" t="s">
        <v>409</v>
      </c>
      <c r="D264" s="41" t="s">
        <v>408</v>
      </c>
      <c r="E264" s="41" t="s">
        <v>409</v>
      </c>
      <c r="F264"/>
      <c r="G264"/>
      <c r="H264"/>
      <c r="I264" s="126"/>
      <c r="J264" s="126"/>
      <c r="K264" s="127"/>
      <c r="L264" s="127"/>
      <c r="M264"/>
      <c r="N264"/>
      <c r="O264"/>
      <c r="P264"/>
      <c r="Q264"/>
      <c r="R264"/>
      <c r="S264"/>
      <c r="T264"/>
      <c r="U264"/>
      <c r="V264"/>
      <c r="W264" s="126"/>
      <c r="X264" s="127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</row>
    <row r="265" spans="2:46" ht="16.5" x14ac:dyDescent="0.25">
      <c r="B265"/>
      <c r="C265" s="41" t="s">
        <v>409</v>
      </c>
      <c r="D265" s="41" t="s">
        <v>408</v>
      </c>
      <c r="E265" s="41" t="s">
        <v>409</v>
      </c>
      <c r="F265"/>
      <c r="G265"/>
      <c r="H265"/>
      <c r="I265" s="126"/>
      <c r="J265" s="126"/>
      <c r="K265" s="127"/>
      <c r="L265" s="127"/>
      <c r="M265"/>
      <c r="N265"/>
      <c r="O265"/>
      <c r="P265"/>
      <c r="Q265"/>
      <c r="R265"/>
      <c r="S265"/>
      <c r="T265"/>
      <c r="U265"/>
      <c r="V265"/>
      <c r="W265" s="126"/>
      <c r="X265" s="127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</row>
    <row r="266" spans="2:46" ht="16.5" x14ac:dyDescent="0.25">
      <c r="B266"/>
      <c r="C266" s="41" t="s">
        <v>409</v>
      </c>
      <c r="D266" s="41" t="s">
        <v>408</v>
      </c>
      <c r="E266" s="41" t="s">
        <v>409</v>
      </c>
      <c r="F266"/>
      <c r="G266"/>
      <c r="H266"/>
      <c r="I266" s="126"/>
      <c r="J266" s="126"/>
      <c r="K266" s="127"/>
      <c r="L266" s="127"/>
      <c r="M266"/>
      <c r="N266"/>
      <c r="O266"/>
      <c r="P266"/>
      <c r="Q266"/>
      <c r="R266"/>
      <c r="S266"/>
      <c r="T266"/>
      <c r="U266"/>
      <c r="V266"/>
      <c r="W266" s="126"/>
      <c r="X266" s="127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</row>
    <row r="267" spans="2:46" ht="16.5" x14ac:dyDescent="0.25">
      <c r="B267"/>
      <c r="C267" s="41" t="s">
        <v>409</v>
      </c>
      <c r="D267" s="41" t="s">
        <v>408</v>
      </c>
      <c r="E267" s="41" t="s">
        <v>409</v>
      </c>
      <c r="F267"/>
      <c r="G267"/>
      <c r="H267"/>
      <c r="I267" s="126"/>
      <c r="J267" s="126"/>
      <c r="K267" s="127"/>
      <c r="L267" s="127"/>
      <c r="M267"/>
      <c r="N267"/>
      <c r="O267"/>
      <c r="P267"/>
      <c r="Q267"/>
      <c r="R267"/>
      <c r="S267"/>
      <c r="T267"/>
      <c r="U267"/>
      <c r="V267"/>
      <c r="W267" s="126"/>
      <c r="X267" s="12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</row>
    <row r="268" spans="2:46" ht="16.5" x14ac:dyDescent="0.25">
      <c r="B268"/>
      <c r="C268" s="41" t="s">
        <v>409</v>
      </c>
      <c r="D268" s="41" t="s">
        <v>408</v>
      </c>
      <c r="E268" s="41" t="s">
        <v>409</v>
      </c>
      <c r="F268"/>
      <c r="G268"/>
      <c r="H268"/>
      <c r="I268" s="126"/>
      <c r="J268" s="126"/>
      <c r="K268" s="127"/>
      <c r="L268" s="127"/>
      <c r="M268"/>
      <c r="N268"/>
      <c r="O268"/>
      <c r="P268"/>
      <c r="Q268"/>
      <c r="R268"/>
      <c r="S268"/>
      <c r="T268"/>
      <c r="U268"/>
      <c r="V268"/>
      <c r="W268" s="126"/>
      <c r="X268" s="127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</row>
    <row r="269" spans="2:46" ht="16.5" x14ac:dyDescent="0.25">
      <c r="B269"/>
      <c r="C269" s="41" t="s">
        <v>409</v>
      </c>
      <c r="D269" s="41" t="s">
        <v>408</v>
      </c>
      <c r="E269" s="41" t="s">
        <v>409</v>
      </c>
      <c r="F269"/>
      <c r="G269"/>
      <c r="H269"/>
      <c r="I269" s="126"/>
      <c r="J269" s="126"/>
      <c r="K269" s="127"/>
      <c r="L269" s="127"/>
      <c r="M269"/>
      <c r="N269"/>
      <c r="O269"/>
      <c r="P269"/>
      <c r="Q269"/>
      <c r="R269"/>
      <c r="S269"/>
      <c r="T269"/>
      <c r="U269"/>
      <c r="V269"/>
      <c r="W269" s="126"/>
      <c r="X269" s="127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</row>
    <row r="270" spans="2:46" ht="16.5" x14ac:dyDescent="0.25">
      <c r="B270"/>
      <c r="C270" s="41" t="s">
        <v>409</v>
      </c>
      <c r="D270" s="41" t="s">
        <v>408</v>
      </c>
      <c r="E270" s="41" t="s">
        <v>409</v>
      </c>
      <c r="F270"/>
      <c r="G270"/>
      <c r="H270"/>
      <c r="I270" s="126"/>
      <c r="J270" s="126"/>
      <c r="K270" s="127"/>
      <c r="L270" s="127"/>
      <c r="M270"/>
      <c r="N270"/>
      <c r="O270"/>
      <c r="P270"/>
      <c r="Q270"/>
      <c r="R270"/>
      <c r="S270"/>
      <c r="T270"/>
      <c r="U270"/>
      <c r="V270"/>
      <c r="W270" s="126"/>
      <c r="X270" s="127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</row>
    <row r="271" spans="2:46" ht="16.5" x14ac:dyDescent="0.25">
      <c r="B271"/>
      <c r="C271" s="41" t="s">
        <v>409</v>
      </c>
      <c r="D271" s="41" t="s">
        <v>408</v>
      </c>
      <c r="E271" s="41" t="s">
        <v>409</v>
      </c>
      <c r="F271"/>
      <c r="G271"/>
      <c r="H271"/>
      <c r="I271" s="126"/>
      <c r="J271" s="126"/>
      <c r="K271" s="127"/>
      <c r="L271" s="127"/>
      <c r="M271"/>
      <c r="N271"/>
      <c r="O271"/>
      <c r="P271"/>
      <c r="Q271"/>
      <c r="R271"/>
      <c r="S271"/>
      <c r="T271"/>
      <c r="U271"/>
      <c r="V271"/>
      <c r="W271" s="126"/>
      <c r="X271" s="127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</row>
    <row r="272" spans="2:46" ht="16.5" x14ac:dyDescent="0.25">
      <c r="B272"/>
      <c r="C272" s="41" t="s">
        <v>409</v>
      </c>
      <c r="D272" s="41" t="s">
        <v>408</v>
      </c>
      <c r="E272" s="41" t="s">
        <v>409</v>
      </c>
      <c r="F272"/>
      <c r="G272"/>
      <c r="H272"/>
      <c r="I272" s="126"/>
      <c r="J272" s="126"/>
      <c r="K272" s="127"/>
      <c r="L272" s="127"/>
      <c r="M272"/>
      <c r="N272"/>
      <c r="O272"/>
      <c r="P272"/>
      <c r="Q272"/>
      <c r="R272"/>
      <c r="S272"/>
      <c r="T272"/>
      <c r="U272"/>
      <c r="V272"/>
      <c r="W272" s="126"/>
      <c r="X272" s="127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</row>
    <row r="273" spans="2:46" ht="16.5" x14ac:dyDescent="0.25">
      <c r="B273"/>
      <c r="C273" s="41" t="s">
        <v>409</v>
      </c>
      <c r="D273" s="41" t="s">
        <v>408</v>
      </c>
      <c r="E273" s="41" t="s">
        <v>409</v>
      </c>
      <c r="F273"/>
      <c r="G273"/>
      <c r="H273"/>
      <c r="I273" s="126"/>
      <c r="J273" s="126"/>
      <c r="K273" s="127"/>
      <c r="L273" s="127"/>
      <c r="M273"/>
      <c r="N273"/>
      <c r="O273"/>
      <c r="P273"/>
      <c r="Q273"/>
      <c r="R273"/>
      <c r="S273"/>
      <c r="T273"/>
      <c r="U273"/>
      <c r="V273"/>
      <c r="W273" s="126"/>
      <c r="X273" s="127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</row>
    <row r="274" spans="2:46" ht="16.5" x14ac:dyDescent="0.25">
      <c r="B274"/>
      <c r="C274" s="41" t="s">
        <v>409</v>
      </c>
      <c r="D274" s="41" t="s">
        <v>408</v>
      </c>
      <c r="E274" s="41" t="s">
        <v>409</v>
      </c>
      <c r="F274"/>
      <c r="G274"/>
      <c r="H274"/>
      <c r="I274" s="126"/>
      <c r="J274" s="126"/>
      <c r="K274" s="127"/>
      <c r="L274" s="127"/>
      <c r="M274"/>
      <c r="N274"/>
      <c r="O274"/>
      <c r="P274"/>
      <c r="Q274"/>
      <c r="R274"/>
      <c r="S274"/>
      <c r="T274"/>
      <c r="U274"/>
      <c r="V274"/>
      <c r="W274" s="126"/>
      <c r="X274" s="127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</row>
    <row r="275" spans="2:46" ht="16.5" x14ac:dyDescent="0.25">
      <c r="B275"/>
      <c r="C275" s="41" t="s">
        <v>409</v>
      </c>
      <c r="D275" s="41" t="s">
        <v>408</v>
      </c>
      <c r="E275" s="41" t="s">
        <v>409</v>
      </c>
      <c r="F275"/>
      <c r="G275"/>
      <c r="H275"/>
      <c r="I275" s="126"/>
      <c r="J275" s="126"/>
      <c r="K275" s="127"/>
      <c r="L275" s="127"/>
      <c r="M275"/>
      <c r="N275"/>
      <c r="O275"/>
      <c r="P275"/>
      <c r="Q275"/>
      <c r="R275"/>
      <c r="S275"/>
      <c r="T275"/>
      <c r="U275"/>
      <c r="V275"/>
      <c r="W275" s="126"/>
      <c r="X275" s="127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</row>
    <row r="276" spans="2:46" ht="16.5" x14ac:dyDescent="0.25">
      <c r="B276"/>
      <c r="C276" s="41" t="s">
        <v>409</v>
      </c>
      <c r="D276" s="41" t="s">
        <v>408</v>
      </c>
      <c r="E276" s="41" t="s">
        <v>409</v>
      </c>
      <c r="F276"/>
      <c r="G276"/>
      <c r="H276"/>
      <c r="I276" s="126"/>
      <c r="J276" s="126"/>
      <c r="K276" s="127"/>
      <c r="L276" s="127"/>
      <c r="M276"/>
      <c r="N276"/>
      <c r="O276"/>
      <c r="P276"/>
      <c r="Q276"/>
      <c r="R276"/>
      <c r="S276"/>
      <c r="T276"/>
      <c r="U276"/>
      <c r="V276"/>
      <c r="W276" s="126"/>
      <c r="X276" s="127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</row>
    <row r="277" spans="2:46" ht="16.5" x14ac:dyDescent="0.25">
      <c r="B277"/>
      <c r="C277" s="41" t="s">
        <v>409</v>
      </c>
      <c r="D277" s="41" t="s">
        <v>408</v>
      </c>
      <c r="E277" s="41" t="s">
        <v>409</v>
      </c>
      <c r="F277"/>
      <c r="G277"/>
      <c r="H277"/>
      <c r="I277" s="126"/>
      <c r="J277" s="126"/>
      <c r="K277" s="127"/>
      <c r="L277" s="127"/>
      <c r="M277"/>
      <c r="N277"/>
      <c r="O277"/>
      <c r="P277"/>
      <c r="Q277"/>
      <c r="R277"/>
      <c r="S277"/>
      <c r="T277"/>
      <c r="U277"/>
      <c r="V277"/>
      <c r="W277" s="126"/>
      <c r="X277" s="12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</row>
    <row r="278" spans="2:46" ht="16.5" x14ac:dyDescent="0.25">
      <c r="B278"/>
      <c r="C278" s="41" t="s">
        <v>409</v>
      </c>
      <c r="D278" s="41" t="s">
        <v>408</v>
      </c>
      <c r="E278" s="41" t="s">
        <v>409</v>
      </c>
      <c r="F278"/>
      <c r="G278"/>
      <c r="H278"/>
      <c r="I278" s="126"/>
      <c r="J278" s="126"/>
      <c r="K278" s="127"/>
      <c r="L278" s="127"/>
      <c r="M278"/>
      <c r="N278"/>
      <c r="O278"/>
      <c r="P278"/>
      <c r="Q278"/>
      <c r="R278"/>
      <c r="S278"/>
      <c r="T278"/>
      <c r="U278"/>
      <c r="V278"/>
      <c r="W278" s="126"/>
      <c r="X278" s="127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</row>
    <row r="279" spans="2:46" ht="16.5" x14ac:dyDescent="0.25">
      <c r="B279"/>
      <c r="C279" s="41" t="s">
        <v>409</v>
      </c>
      <c r="D279" s="41" t="s">
        <v>408</v>
      </c>
      <c r="E279" s="41" t="s">
        <v>409</v>
      </c>
      <c r="F279"/>
      <c r="G279"/>
      <c r="H279"/>
      <c r="I279" s="126"/>
      <c r="J279" s="126"/>
      <c r="K279" s="127"/>
      <c r="L279" s="127"/>
      <c r="M279"/>
      <c r="N279"/>
      <c r="O279"/>
      <c r="P279"/>
      <c r="Q279"/>
      <c r="R279"/>
      <c r="S279"/>
      <c r="T279"/>
      <c r="U279"/>
      <c r="V279"/>
      <c r="W279" s="126"/>
      <c r="X279" s="127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</row>
    <row r="280" spans="2:46" ht="16.5" x14ac:dyDescent="0.25">
      <c r="B280"/>
      <c r="C280" s="41" t="s">
        <v>409</v>
      </c>
      <c r="D280" s="41" t="s">
        <v>408</v>
      </c>
      <c r="E280" s="41" t="s">
        <v>409</v>
      </c>
      <c r="F280"/>
      <c r="G280"/>
      <c r="H280"/>
      <c r="I280" s="126"/>
      <c r="J280" s="126"/>
      <c r="K280" s="127"/>
      <c r="L280" s="127"/>
      <c r="M280"/>
      <c r="N280"/>
      <c r="O280"/>
      <c r="P280"/>
      <c r="Q280"/>
      <c r="R280"/>
      <c r="S280"/>
      <c r="T280"/>
      <c r="U280"/>
      <c r="V280"/>
      <c r="W280" s="126"/>
      <c r="X280" s="127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</row>
    <row r="281" spans="2:46" ht="16.5" x14ac:dyDescent="0.25">
      <c r="B281"/>
      <c r="C281" s="41" t="s">
        <v>409</v>
      </c>
      <c r="D281" s="41" t="s">
        <v>408</v>
      </c>
      <c r="E281" s="41" t="s">
        <v>409</v>
      </c>
      <c r="F281"/>
      <c r="G281"/>
      <c r="H281"/>
      <c r="I281" s="126"/>
      <c r="J281" s="126"/>
      <c r="K281" s="127"/>
      <c r="L281" s="127"/>
      <c r="M281"/>
      <c r="N281"/>
      <c r="O281"/>
      <c r="P281"/>
      <c r="Q281"/>
      <c r="R281"/>
      <c r="S281"/>
      <c r="T281"/>
      <c r="U281"/>
      <c r="V281"/>
      <c r="W281" s="126"/>
      <c r="X281" s="127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</row>
    <row r="282" spans="2:46" ht="16.5" x14ac:dyDescent="0.25">
      <c r="B282"/>
      <c r="C282" s="41" t="s">
        <v>409</v>
      </c>
      <c r="D282" s="41" t="s">
        <v>408</v>
      </c>
      <c r="E282" s="41" t="s">
        <v>409</v>
      </c>
      <c r="F282"/>
      <c r="G282"/>
      <c r="H282"/>
      <c r="I282" s="126"/>
      <c r="J282" s="126"/>
      <c r="K282" s="127"/>
      <c r="L282" s="127"/>
      <c r="M282"/>
      <c r="N282"/>
      <c r="O282"/>
      <c r="P282"/>
      <c r="Q282"/>
      <c r="R282"/>
      <c r="S282"/>
      <c r="T282"/>
      <c r="U282"/>
      <c r="V282"/>
      <c r="W282" s="126"/>
      <c r="X282" s="127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</row>
    <row r="283" spans="2:46" ht="16.5" x14ac:dyDescent="0.25">
      <c r="B283"/>
      <c r="C283" s="41" t="s">
        <v>409</v>
      </c>
      <c r="D283" s="41" t="s">
        <v>408</v>
      </c>
      <c r="E283" s="41" t="s">
        <v>409</v>
      </c>
      <c r="F283"/>
      <c r="G283"/>
      <c r="H283"/>
      <c r="I283" s="126"/>
      <c r="J283" s="126"/>
      <c r="K283" s="127"/>
      <c r="L283" s="127"/>
      <c r="M283"/>
      <c r="N283"/>
      <c r="O283"/>
      <c r="P283"/>
      <c r="Q283"/>
      <c r="R283"/>
      <c r="S283"/>
      <c r="T283"/>
      <c r="U283"/>
      <c r="V283"/>
      <c r="W283" s="126"/>
      <c r="X283" s="127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</row>
    <row r="284" spans="2:46" ht="16.5" x14ac:dyDescent="0.25">
      <c r="B284"/>
      <c r="C284" s="41" t="s">
        <v>409</v>
      </c>
      <c r="D284" s="41" t="s">
        <v>408</v>
      </c>
      <c r="E284" s="41" t="s">
        <v>409</v>
      </c>
      <c r="F284"/>
      <c r="G284"/>
      <c r="H284"/>
      <c r="I284" s="126"/>
      <c r="J284" s="126"/>
      <c r="K284" s="127"/>
      <c r="L284" s="127"/>
      <c r="M284"/>
      <c r="N284"/>
      <c r="O284"/>
      <c r="P284"/>
      <c r="Q284"/>
      <c r="R284"/>
      <c r="S284"/>
      <c r="T284"/>
      <c r="U284"/>
      <c r="V284"/>
      <c r="W284" s="126"/>
      <c r="X284" s="127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</row>
    <row r="285" spans="2:46" ht="16.5" x14ac:dyDescent="0.25">
      <c r="B285"/>
      <c r="C285" s="41" t="s">
        <v>409</v>
      </c>
      <c r="D285" s="41" t="s">
        <v>408</v>
      </c>
      <c r="E285" s="41" t="s">
        <v>409</v>
      </c>
      <c r="F285"/>
      <c r="G285"/>
      <c r="H285"/>
      <c r="I285" s="126"/>
      <c r="J285" s="126"/>
      <c r="K285" s="127"/>
      <c r="L285" s="127"/>
      <c r="M285"/>
      <c r="N285"/>
      <c r="O285"/>
      <c r="P285"/>
      <c r="Q285"/>
      <c r="R285"/>
      <c r="S285"/>
      <c r="T285"/>
      <c r="U285"/>
      <c r="V285"/>
      <c r="W285" s="126"/>
      <c r="X285" s="127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</row>
    <row r="286" spans="2:46" ht="16.5" x14ac:dyDescent="0.25">
      <c r="B286"/>
      <c r="C286" s="41" t="s">
        <v>409</v>
      </c>
      <c r="D286" s="41" t="s">
        <v>408</v>
      </c>
      <c r="E286" s="41" t="s">
        <v>409</v>
      </c>
      <c r="F286"/>
      <c r="G286"/>
      <c r="H286"/>
      <c r="I286" s="126"/>
      <c r="J286" s="126"/>
      <c r="K286" s="127"/>
      <c r="L286" s="127"/>
      <c r="M286"/>
      <c r="N286"/>
      <c r="O286"/>
      <c r="P286"/>
      <c r="Q286"/>
      <c r="R286"/>
      <c r="S286"/>
      <c r="T286"/>
      <c r="U286"/>
      <c r="V286"/>
      <c r="W286" s="126"/>
      <c r="X286" s="127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</row>
    <row r="287" spans="2:46" ht="16.5" x14ac:dyDescent="0.25">
      <c r="B287"/>
      <c r="C287" s="41" t="s">
        <v>409</v>
      </c>
      <c r="D287" s="41" t="s">
        <v>408</v>
      </c>
      <c r="E287" s="41" t="s">
        <v>409</v>
      </c>
      <c r="F287"/>
      <c r="G287"/>
      <c r="H287"/>
      <c r="I287" s="126"/>
      <c r="J287" s="126"/>
      <c r="K287" s="127"/>
      <c r="L287" s="127"/>
      <c r="M287"/>
      <c r="N287"/>
      <c r="O287"/>
      <c r="P287"/>
      <c r="Q287"/>
      <c r="R287"/>
      <c r="S287"/>
      <c r="T287"/>
      <c r="U287"/>
      <c r="V287"/>
      <c r="W287" s="126"/>
      <c r="X287" s="12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</row>
    <row r="288" spans="2:46" ht="16.5" x14ac:dyDescent="0.25">
      <c r="B288"/>
      <c r="C288" s="41" t="s">
        <v>409</v>
      </c>
      <c r="D288" s="41" t="s">
        <v>408</v>
      </c>
      <c r="E288" s="41" t="s">
        <v>409</v>
      </c>
      <c r="F288"/>
      <c r="G288"/>
      <c r="H288"/>
      <c r="I288" s="126"/>
      <c r="J288" s="126"/>
      <c r="K288" s="127"/>
      <c r="L288" s="127"/>
      <c r="M288"/>
      <c r="N288"/>
      <c r="O288"/>
      <c r="P288"/>
      <c r="Q288"/>
      <c r="R288"/>
      <c r="S288"/>
      <c r="T288"/>
      <c r="U288"/>
      <c r="V288"/>
      <c r="W288" s="126"/>
      <c r="X288" s="127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</row>
    <row r="289" spans="2:46" ht="16.5" x14ac:dyDescent="0.25">
      <c r="B289"/>
      <c r="C289" s="41" t="s">
        <v>409</v>
      </c>
      <c r="D289" s="41" t="s">
        <v>408</v>
      </c>
      <c r="E289" s="41" t="s">
        <v>409</v>
      </c>
      <c r="F289"/>
      <c r="G289"/>
      <c r="H289"/>
      <c r="I289" s="126"/>
      <c r="J289" s="126"/>
      <c r="K289" s="127"/>
      <c r="L289" s="127"/>
      <c r="M289"/>
      <c r="N289"/>
      <c r="O289"/>
      <c r="P289"/>
      <c r="Q289"/>
      <c r="R289"/>
      <c r="S289"/>
      <c r="T289"/>
      <c r="U289"/>
      <c r="V289"/>
      <c r="W289" s="126"/>
      <c r="X289" s="127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</row>
    <row r="290" spans="2:46" ht="16.5" x14ac:dyDescent="0.25">
      <c r="B290"/>
      <c r="C290" s="41" t="s">
        <v>409</v>
      </c>
      <c r="D290" s="41" t="s">
        <v>408</v>
      </c>
      <c r="E290" s="41" t="s">
        <v>409</v>
      </c>
      <c r="F290"/>
      <c r="G290"/>
      <c r="H290"/>
      <c r="I290" s="126"/>
      <c r="J290" s="126"/>
      <c r="K290" s="127"/>
      <c r="L290" s="127"/>
      <c r="M290"/>
      <c r="N290"/>
      <c r="O290"/>
      <c r="P290"/>
      <c r="Q290"/>
      <c r="R290"/>
      <c r="S290"/>
      <c r="T290"/>
      <c r="U290"/>
      <c r="V290"/>
      <c r="W290" s="126"/>
      <c r="X290" s="127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</row>
    <row r="291" spans="2:46" ht="16.5" x14ac:dyDescent="0.25">
      <c r="B291"/>
      <c r="C291" s="41" t="s">
        <v>409</v>
      </c>
      <c r="D291" s="41" t="s">
        <v>408</v>
      </c>
      <c r="E291" s="41" t="s">
        <v>409</v>
      </c>
      <c r="F291"/>
      <c r="G291"/>
      <c r="H291"/>
      <c r="I291" s="126"/>
      <c r="J291" s="126"/>
      <c r="K291" s="127"/>
      <c r="L291" s="127"/>
      <c r="M291"/>
      <c r="N291"/>
      <c r="O291"/>
      <c r="P291"/>
      <c r="Q291"/>
      <c r="R291"/>
      <c r="S291"/>
      <c r="T291"/>
      <c r="U291"/>
      <c r="V291"/>
      <c r="W291" s="126"/>
      <c r="X291" s="127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</row>
    <row r="292" spans="2:46" ht="16.5" x14ac:dyDescent="0.25">
      <c r="B292"/>
      <c r="C292" s="41" t="s">
        <v>409</v>
      </c>
      <c r="D292" s="41" t="s">
        <v>408</v>
      </c>
      <c r="E292" s="41" t="s">
        <v>409</v>
      </c>
      <c r="F292"/>
      <c r="G292"/>
      <c r="H292"/>
      <c r="I292" s="126"/>
      <c r="J292" s="126"/>
      <c r="K292" s="127"/>
      <c r="L292" s="127"/>
      <c r="M292"/>
      <c r="N292"/>
      <c r="O292"/>
      <c r="P292"/>
      <c r="Q292"/>
      <c r="R292"/>
      <c r="S292"/>
      <c r="T292"/>
      <c r="U292"/>
      <c r="V292"/>
      <c r="W292" s="126"/>
      <c r="X292" s="127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</row>
    <row r="293" spans="2:46" ht="16.5" x14ac:dyDescent="0.25">
      <c r="B293"/>
      <c r="C293" s="41" t="s">
        <v>409</v>
      </c>
      <c r="D293" s="41" t="s">
        <v>408</v>
      </c>
      <c r="E293" s="41" t="s">
        <v>409</v>
      </c>
      <c r="F293"/>
      <c r="G293"/>
      <c r="H293"/>
      <c r="I293" s="126"/>
      <c r="J293" s="126"/>
      <c r="K293" s="127"/>
      <c r="L293" s="127"/>
      <c r="M293"/>
      <c r="N293"/>
      <c r="O293"/>
      <c r="P293"/>
      <c r="Q293"/>
      <c r="R293"/>
      <c r="S293"/>
      <c r="T293"/>
      <c r="U293"/>
      <c r="V293"/>
      <c r="W293" s="126"/>
      <c r="X293" s="127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</row>
    <row r="294" spans="2:46" ht="16.5" x14ac:dyDescent="0.25">
      <c r="B294"/>
      <c r="C294" s="41" t="s">
        <v>409</v>
      </c>
      <c r="D294" s="41" t="s">
        <v>408</v>
      </c>
      <c r="E294" s="41" t="s">
        <v>409</v>
      </c>
      <c r="F294"/>
      <c r="G294"/>
      <c r="H294"/>
      <c r="I294" s="126"/>
      <c r="J294" s="126"/>
      <c r="K294" s="127"/>
      <c r="L294" s="127"/>
      <c r="M294"/>
      <c r="N294"/>
      <c r="O294"/>
      <c r="P294"/>
      <c r="Q294"/>
      <c r="R294"/>
      <c r="S294"/>
      <c r="T294"/>
      <c r="U294"/>
      <c r="V294"/>
      <c r="W294" s="126"/>
      <c r="X294" s="127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</row>
    <row r="295" spans="2:46" ht="16.5" x14ac:dyDescent="0.25">
      <c r="B295"/>
      <c r="C295" s="41" t="s">
        <v>409</v>
      </c>
      <c r="D295" s="41" t="s">
        <v>408</v>
      </c>
      <c r="E295" s="41" t="s">
        <v>409</v>
      </c>
      <c r="F295"/>
      <c r="G295"/>
      <c r="H295"/>
      <c r="I295" s="126"/>
      <c r="J295" s="126"/>
      <c r="K295" s="127"/>
      <c r="L295" s="127"/>
      <c r="M295"/>
      <c r="N295"/>
      <c r="O295"/>
      <c r="P295"/>
      <c r="Q295"/>
      <c r="R295"/>
      <c r="S295"/>
      <c r="T295"/>
      <c r="U295"/>
      <c r="V295"/>
      <c r="W295" s="126"/>
      <c r="X295" s="127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</row>
    <row r="296" spans="2:46" ht="16.5" x14ac:dyDescent="0.25">
      <c r="B296"/>
      <c r="C296" s="41" t="s">
        <v>409</v>
      </c>
      <c r="D296" s="41" t="s">
        <v>408</v>
      </c>
      <c r="E296" s="41" t="s">
        <v>409</v>
      </c>
      <c r="F296"/>
      <c r="G296"/>
      <c r="H296"/>
      <c r="I296" s="126"/>
      <c r="J296" s="126"/>
      <c r="K296" s="127"/>
      <c r="L296" s="127"/>
      <c r="M296"/>
      <c r="N296"/>
      <c r="O296"/>
      <c r="P296"/>
      <c r="Q296"/>
      <c r="R296"/>
      <c r="S296"/>
      <c r="T296"/>
      <c r="U296"/>
      <c r="V296"/>
      <c r="W296" s="126"/>
      <c r="X296" s="127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</row>
    <row r="297" spans="2:46" ht="16.5" x14ac:dyDescent="0.25">
      <c r="B297"/>
      <c r="C297" s="41" t="s">
        <v>409</v>
      </c>
      <c r="D297" s="41" t="s">
        <v>408</v>
      </c>
      <c r="E297" s="41" t="s">
        <v>409</v>
      </c>
      <c r="F297"/>
      <c r="G297"/>
      <c r="H297"/>
      <c r="I297" s="126"/>
      <c r="J297" s="126"/>
      <c r="K297" s="127"/>
      <c r="L297" s="127"/>
      <c r="M297"/>
      <c r="N297"/>
      <c r="O297"/>
      <c r="P297"/>
      <c r="Q297"/>
      <c r="R297"/>
      <c r="S297"/>
      <c r="T297"/>
      <c r="U297"/>
      <c r="V297"/>
      <c r="W297" s="126"/>
      <c r="X297" s="12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</row>
    <row r="298" spans="2:46" ht="16.5" x14ac:dyDescent="0.25">
      <c r="B298"/>
      <c r="C298" s="41" t="s">
        <v>409</v>
      </c>
      <c r="D298" s="41" t="s">
        <v>408</v>
      </c>
      <c r="E298" s="41" t="s">
        <v>409</v>
      </c>
      <c r="F298"/>
      <c r="G298"/>
      <c r="H298"/>
      <c r="I298" s="126"/>
      <c r="J298" s="126"/>
      <c r="K298" s="127"/>
      <c r="L298" s="127"/>
      <c r="M298"/>
      <c r="N298"/>
      <c r="O298"/>
      <c r="P298"/>
      <c r="Q298"/>
      <c r="R298"/>
      <c r="S298"/>
      <c r="T298"/>
      <c r="U298"/>
      <c r="V298"/>
      <c r="W298" s="126"/>
      <c r="X298" s="127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</row>
    <row r="299" spans="2:46" ht="16.5" x14ac:dyDescent="0.25">
      <c r="B299"/>
      <c r="C299" s="41" t="s">
        <v>409</v>
      </c>
      <c r="D299" s="41" t="s">
        <v>408</v>
      </c>
      <c r="E299" s="41" t="s">
        <v>409</v>
      </c>
      <c r="F299"/>
      <c r="G299"/>
      <c r="H299"/>
      <c r="I299" s="126"/>
      <c r="J299" s="126"/>
      <c r="K299" s="127"/>
      <c r="L299" s="127"/>
      <c r="M299"/>
      <c r="N299"/>
      <c r="O299"/>
      <c r="P299"/>
      <c r="Q299"/>
      <c r="R299"/>
      <c r="S299"/>
      <c r="T299"/>
      <c r="U299"/>
      <c r="V299"/>
      <c r="W299" s="126"/>
      <c r="X299" s="127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</row>
    <row r="300" spans="2:46" ht="16.5" x14ac:dyDescent="0.25">
      <c r="B300"/>
      <c r="C300" s="41" t="s">
        <v>409</v>
      </c>
      <c r="D300" s="41" t="s">
        <v>408</v>
      </c>
      <c r="E300" s="41" t="s">
        <v>409</v>
      </c>
      <c r="F300"/>
      <c r="G300"/>
      <c r="H300"/>
      <c r="I300" s="126"/>
      <c r="J300" s="126"/>
      <c r="K300" s="127"/>
      <c r="L300" s="127"/>
      <c r="M300"/>
      <c r="N300"/>
      <c r="O300"/>
      <c r="P300"/>
      <c r="Q300"/>
      <c r="R300"/>
      <c r="S300"/>
      <c r="T300"/>
      <c r="U300"/>
      <c r="V300"/>
      <c r="W300" s="126"/>
      <c r="X300" s="127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</row>
    <row r="301" spans="2:46" ht="16.5" x14ac:dyDescent="0.25">
      <c r="B301"/>
      <c r="C301" s="41" t="s">
        <v>409</v>
      </c>
      <c r="D301" s="41" t="s">
        <v>408</v>
      </c>
      <c r="E301" s="41" t="s">
        <v>409</v>
      </c>
      <c r="F301"/>
      <c r="G301"/>
      <c r="H301"/>
      <c r="I301" s="126"/>
      <c r="J301" s="126"/>
      <c r="K301" s="127"/>
      <c r="L301" s="127"/>
      <c r="M301"/>
      <c r="N301"/>
      <c r="O301"/>
      <c r="P301"/>
      <c r="Q301"/>
      <c r="R301"/>
      <c r="S301"/>
      <c r="T301"/>
      <c r="U301"/>
      <c r="V301"/>
      <c r="W301" s="126"/>
      <c r="X301" s="127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</row>
    <row r="302" spans="2:46" ht="16.5" x14ac:dyDescent="0.25">
      <c r="B302"/>
      <c r="C302" s="41" t="s">
        <v>409</v>
      </c>
      <c r="D302" s="41" t="s">
        <v>408</v>
      </c>
      <c r="E302" s="41" t="s">
        <v>409</v>
      </c>
      <c r="F302"/>
      <c r="G302"/>
      <c r="H302"/>
      <c r="I302" s="126"/>
      <c r="J302" s="126"/>
      <c r="K302" s="127"/>
      <c r="L302" s="127"/>
      <c r="M302"/>
      <c r="N302"/>
      <c r="O302"/>
      <c r="P302"/>
      <c r="Q302"/>
      <c r="R302"/>
      <c r="S302"/>
      <c r="T302"/>
      <c r="U302"/>
      <c r="V302"/>
      <c r="W302" s="126"/>
      <c r="X302" s="127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</row>
    <row r="303" spans="2:46" ht="16.5" x14ac:dyDescent="0.25">
      <c r="B303"/>
      <c r="C303" s="41" t="s">
        <v>409</v>
      </c>
      <c r="D303" s="41" t="s">
        <v>408</v>
      </c>
      <c r="E303" s="41" t="s">
        <v>409</v>
      </c>
      <c r="F303"/>
      <c r="G303"/>
      <c r="H303"/>
      <c r="I303" s="126"/>
      <c r="J303" s="126"/>
      <c r="K303" s="127"/>
      <c r="L303" s="127"/>
      <c r="M303"/>
      <c r="N303"/>
      <c r="O303"/>
      <c r="P303"/>
      <c r="Q303"/>
      <c r="R303"/>
      <c r="S303"/>
      <c r="T303"/>
      <c r="U303"/>
      <c r="V303"/>
      <c r="W303" s="126"/>
      <c r="X303" s="127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</row>
    <row r="304" spans="2:46" ht="16.5" x14ac:dyDescent="0.25">
      <c r="B304"/>
      <c r="C304" s="41" t="s">
        <v>409</v>
      </c>
      <c r="D304" s="41" t="s">
        <v>408</v>
      </c>
      <c r="E304" s="41" t="s">
        <v>409</v>
      </c>
      <c r="F304"/>
      <c r="G304"/>
      <c r="H304"/>
      <c r="I304" s="126"/>
      <c r="J304" s="126"/>
      <c r="K304" s="127"/>
      <c r="L304" s="127"/>
      <c r="M304"/>
      <c r="N304"/>
      <c r="O304"/>
      <c r="P304"/>
      <c r="Q304"/>
      <c r="R304"/>
      <c r="S304"/>
      <c r="T304"/>
      <c r="U304"/>
      <c r="V304"/>
      <c r="W304" s="126"/>
      <c r="X304" s="127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</row>
    <row r="305" spans="2:46" ht="16.5" x14ac:dyDescent="0.25">
      <c r="B305"/>
      <c r="C305" s="41" t="s">
        <v>409</v>
      </c>
      <c r="D305" s="41" t="s">
        <v>408</v>
      </c>
      <c r="E305" s="41" t="s">
        <v>409</v>
      </c>
      <c r="F305"/>
      <c r="G305"/>
      <c r="H305"/>
      <c r="I305" s="126"/>
      <c r="J305" s="126"/>
      <c r="K305" s="127"/>
      <c r="L305" s="127"/>
      <c r="M305"/>
      <c r="N305"/>
      <c r="O305"/>
      <c r="P305"/>
      <c r="Q305"/>
      <c r="R305"/>
      <c r="S305"/>
      <c r="T305"/>
      <c r="U305"/>
      <c r="V305"/>
      <c r="W305" s="126"/>
      <c r="X305" s="127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</row>
    <row r="306" spans="2:46" ht="16.5" x14ac:dyDescent="0.25">
      <c r="B306"/>
      <c r="C306" s="41" t="s">
        <v>409</v>
      </c>
      <c r="D306" s="41" t="s">
        <v>408</v>
      </c>
      <c r="E306" s="41" t="s">
        <v>409</v>
      </c>
      <c r="F306"/>
      <c r="G306"/>
      <c r="H306"/>
      <c r="I306" s="126"/>
      <c r="J306" s="126"/>
      <c r="K306" s="127"/>
      <c r="L306" s="127"/>
      <c r="M306"/>
      <c r="N306"/>
      <c r="O306"/>
      <c r="P306"/>
      <c r="Q306"/>
      <c r="R306"/>
      <c r="S306"/>
      <c r="T306"/>
      <c r="U306"/>
      <c r="V306"/>
      <c r="W306" s="126"/>
      <c r="X306" s="127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</row>
    <row r="307" spans="2:46" ht="16.5" x14ac:dyDescent="0.25">
      <c r="B307"/>
      <c r="C307" s="41" t="s">
        <v>409</v>
      </c>
      <c r="D307" s="41" t="s">
        <v>408</v>
      </c>
      <c r="E307" s="41" t="s">
        <v>409</v>
      </c>
      <c r="F307"/>
      <c r="G307"/>
      <c r="H307"/>
      <c r="I307" s="126"/>
      <c r="J307" s="126"/>
      <c r="K307" s="127"/>
      <c r="L307" s="127"/>
      <c r="M307"/>
      <c r="N307"/>
      <c r="O307"/>
      <c r="P307"/>
      <c r="Q307"/>
      <c r="R307"/>
      <c r="S307"/>
      <c r="T307"/>
      <c r="U307"/>
      <c r="V307"/>
      <c r="W307" s="126"/>
      <c r="X307" s="12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</row>
    <row r="308" spans="2:46" ht="16.5" x14ac:dyDescent="0.25">
      <c r="B308"/>
      <c r="C308" s="41" t="s">
        <v>409</v>
      </c>
      <c r="D308" s="41" t="s">
        <v>408</v>
      </c>
      <c r="E308" s="41" t="s">
        <v>409</v>
      </c>
      <c r="F308"/>
      <c r="G308"/>
      <c r="H308"/>
      <c r="I308" s="126"/>
      <c r="J308" s="126"/>
      <c r="K308" s="127"/>
      <c r="L308" s="127"/>
      <c r="M308"/>
      <c r="N308"/>
      <c r="O308"/>
      <c r="P308"/>
      <c r="Q308"/>
      <c r="R308"/>
      <c r="S308"/>
      <c r="T308"/>
      <c r="U308"/>
      <c r="V308"/>
      <c r="W308" s="126"/>
      <c r="X308" s="127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</row>
    <row r="309" spans="2:46" ht="16.5" x14ac:dyDescent="0.25">
      <c r="B309"/>
      <c r="C309" s="41" t="s">
        <v>409</v>
      </c>
      <c r="D309" s="41" t="s">
        <v>408</v>
      </c>
      <c r="E309" s="41" t="s">
        <v>409</v>
      </c>
      <c r="F309"/>
      <c r="G309"/>
      <c r="H309"/>
      <c r="I309" s="126"/>
      <c r="J309" s="126"/>
      <c r="K309" s="127"/>
      <c r="L309" s="127"/>
      <c r="M309"/>
      <c r="N309"/>
      <c r="O309"/>
      <c r="P309"/>
      <c r="Q309"/>
      <c r="R309"/>
      <c r="S309"/>
      <c r="T309"/>
      <c r="U309"/>
      <c r="V309"/>
      <c r="W309" s="126"/>
      <c r="X309" s="127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</row>
    <row r="310" spans="2:46" ht="16.5" x14ac:dyDescent="0.25">
      <c r="B310"/>
      <c r="C310" s="41" t="s">
        <v>409</v>
      </c>
      <c r="D310" s="41" t="s">
        <v>408</v>
      </c>
      <c r="E310" s="41" t="s">
        <v>409</v>
      </c>
      <c r="F310"/>
      <c r="G310"/>
      <c r="H310"/>
      <c r="I310" s="126"/>
      <c r="J310" s="126"/>
      <c r="K310" s="127"/>
      <c r="L310" s="127"/>
      <c r="M310"/>
      <c r="N310"/>
      <c r="O310"/>
      <c r="P310"/>
      <c r="Q310"/>
      <c r="R310"/>
      <c r="S310"/>
      <c r="T310"/>
      <c r="U310"/>
      <c r="V310"/>
      <c r="W310" s="126"/>
      <c r="X310" s="127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</row>
    <row r="311" spans="2:46" ht="16.5" x14ac:dyDescent="0.25">
      <c r="B311"/>
      <c r="C311" s="41" t="s">
        <v>409</v>
      </c>
      <c r="D311" s="41" t="s">
        <v>408</v>
      </c>
      <c r="E311" s="41" t="s">
        <v>409</v>
      </c>
      <c r="F311"/>
      <c r="G311"/>
      <c r="H311"/>
      <c r="I311" s="126"/>
      <c r="J311" s="126"/>
      <c r="K311" s="127"/>
      <c r="L311" s="127"/>
      <c r="M311"/>
      <c r="N311"/>
      <c r="O311"/>
      <c r="P311"/>
      <c r="Q311"/>
      <c r="R311"/>
      <c r="S311"/>
      <c r="T311"/>
      <c r="U311"/>
      <c r="V311"/>
      <c r="W311" s="126"/>
      <c r="X311" s="127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</row>
    <row r="312" spans="2:46" ht="16.5" x14ac:dyDescent="0.25">
      <c r="B312"/>
      <c r="C312" s="41" t="s">
        <v>409</v>
      </c>
      <c r="D312" s="41" t="s">
        <v>408</v>
      </c>
      <c r="E312" s="41" t="s">
        <v>409</v>
      </c>
      <c r="F312"/>
      <c r="G312"/>
      <c r="H312"/>
      <c r="I312" s="126"/>
      <c r="J312" s="126"/>
      <c r="K312" s="127"/>
      <c r="L312" s="127"/>
      <c r="M312"/>
      <c r="N312"/>
      <c r="O312"/>
      <c r="P312"/>
      <c r="Q312"/>
      <c r="R312"/>
      <c r="S312"/>
      <c r="T312"/>
      <c r="U312"/>
      <c r="V312"/>
      <c r="W312" s="126"/>
      <c r="X312" s="127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</row>
    <row r="313" spans="2:46" ht="16.5" x14ac:dyDescent="0.25">
      <c r="B313"/>
      <c r="C313" s="41" t="s">
        <v>409</v>
      </c>
      <c r="D313" s="41" t="s">
        <v>408</v>
      </c>
      <c r="E313" s="41" t="s">
        <v>409</v>
      </c>
      <c r="F313"/>
      <c r="G313"/>
      <c r="H313"/>
      <c r="I313" s="126"/>
      <c r="J313" s="126"/>
      <c r="K313" s="127"/>
      <c r="L313" s="127"/>
      <c r="M313"/>
      <c r="N313"/>
      <c r="O313"/>
      <c r="P313"/>
      <c r="Q313"/>
      <c r="R313"/>
      <c r="S313"/>
      <c r="T313"/>
      <c r="U313"/>
      <c r="V313"/>
      <c r="W313" s="126"/>
      <c r="X313" s="127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</row>
    <row r="314" spans="2:46" ht="16.5" x14ac:dyDescent="0.25">
      <c r="B314"/>
      <c r="C314" s="41" t="s">
        <v>409</v>
      </c>
      <c r="D314" s="41" t="s">
        <v>408</v>
      </c>
      <c r="E314" s="41" t="s">
        <v>409</v>
      </c>
      <c r="F314"/>
      <c r="G314"/>
      <c r="H314"/>
      <c r="I314" s="126"/>
      <c r="J314" s="126"/>
      <c r="K314" s="127"/>
      <c r="L314" s="127"/>
      <c r="M314"/>
      <c r="N314"/>
      <c r="O314"/>
      <c r="P314"/>
      <c r="Q314"/>
      <c r="R314"/>
      <c r="S314"/>
      <c r="T314"/>
      <c r="U314"/>
      <c r="V314"/>
      <c r="W314" s="126"/>
      <c r="X314" s="127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</row>
    <row r="315" spans="2:46" ht="16.5" x14ac:dyDescent="0.25">
      <c r="B315"/>
      <c r="C315" s="41" t="s">
        <v>409</v>
      </c>
      <c r="D315" s="41" t="s">
        <v>408</v>
      </c>
      <c r="E315" s="41" t="s">
        <v>409</v>
      </c>
      <c r="F315"/>
      <c r="G315"/>
      <c r="H315"/>
      <c r="I315" s="126"/>
      <c r="J315" s="126"/>
      <c r="K315" s="127"/>
      <c r="L315" s="127"/>
      <c r="M315"/>
      <c r="N315"/>
      <c r="O315"/>
      <c r="P315"/>
      <c r="Q315"/>
      <c r="R315"/>
      <c r="S315"/>
      <c r="T315"/>
      <c r="U315"/>
      <c r="V315"/>
      <c r="W315" s="126"/>
      <c r="X315" s="127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</row>
    <row r="316" spans="2:46" ht="16.5" x14ac:dyDescent="0.25">
      <c r="B316"/>
      <c r="C316" s="41" t="s">
        <v>409</v>
      </c>
      <c r="D316" s="41" t="s">
        <v>408</v>
      </c>
      <c r="E316" s="41" t="s">
        <v>409</v>
      </c>
      <c r="F316"/>
      <c r="G316"/>
      <c r="H316"/>
      <c r="I316" s="126"/>
      <c r="J316" s="126"/>
      <c r="K316" s="127"/>
      <c r="L316" s="127"/>
      <c r="M316"/>
      <c r="N316"/>
      <c r="O316"/>
      <c r="P316"/>
      <c r="Q316"/>
      <c r="R316"/>
      <c r="S316"/>
      <c r="T316"/>
      <c r="U316"/>
      <c r="V316"/>
      <c r="W316" s="126"/>
      <c r="X316" s="127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</row>
    <row r="317" spans="2:46" ht="16.5" x14ac:dyDescent="0.25">
      <c r="B317"/>
      <c r="C317" s="41" t="s">
        <v>409</v>
      </c>
      <c r="D317" s="41" t="s">
        <v>408</v>
      </c>
      <c r="E317" s="41" t="s">
        <v>409</v>
      </c>
      <c r="F317"/>
      <c r="G317"/>
      <c r="H317"/>
      <c r="I317" s="126"/>
      <c r="J317" s="126"/>
      <c r="K317" s="127"/>
      <c r="L317" s="127"/>
      <c r="M317"/>
      <c r="N317"/>
      <c r="O317"/>
      <c r="P317"/>
      <c r="Q317"/>
      <c r="R317"/>
      <c r="S317"/>
      <c r="T317"/>
      <c r="U317"/>
      <c r="V317"/>
      <c r="W317" s="126"/>
      <c r="X317" s="12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</row>
    <row r="318" spans="2:46" ht="16.5" x14ac:dyDescent="0.25">
      <c r="B318"/>
      <c r="C318" s="41" t="s">
        <v>409</v>
      </c>
      <c r="D318" s="41" t="s">
        <v>408</v>
      </c>
      <c r="E318" s="41" t="s">
        <v>409</v>
      </c>
      <c r="F318"/>
      <c r="G318"/>
      <c r="H318"/>
      <c r="I318" s="126"/>
      <c r="J318" s="126"/>
      <c r="K318" s="127"/>
      <c r="L318" s="127"/>
      <c r="M318"/>
      <c r="N318"/>
      <c r="O318"/>
      <c r="P318"/>
      <c r="Q318"/>
      <c r="R318"/>
      <c r="S318"/>
      <c r="T318"/>
      <c r="U318"/>
      <c r="V318"/>
      <c r="W318" s="126"/>
      <c r="X318" s="127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</row>
    <row r="319" spans="2:46" ht="16.5" x14ac:dyDescent="0.25">
      <c r="B319"/>
      <c r="C319" s="41" t="s">
        <v>409</v>
      </c>
      <c r="D319" s="41" t="s">
        <v>408</v>
      </c>
      <c r="E319" s="41" t="s">
        <v>409</v>
      </c>
      <c r="F319"/>
      <c r="G319"/>
      <c r="H319"/>
      <c r="I319" s="126"/>
      <c r="J319" s="126"/>
      <c r="K319" s="127"/>
      <c r="L319" s="127"/>
      <c r="M319"/>
      <c r="N319"/>
      <c r="O319"/>
      <c r="P319"/>
      <c r="Q319"/>
      <c r="R319"/>
      <c r="S319"/>
      <c r="T319"/>
      <c r="U319"/>
      <c r="V319"/>
      <c r="W319" s="126"/>
      <c r="X319" s="127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</row>
    <row r="320" spans="2:46" ht="16.5" x14ac:dyDescent="0.25">
      <c r="B320"/>
      <c r="C320" s="41" t="s">
        <v>409</v>
      </c>
      <c r="D320" s="41" t="s">
        <v>408</v>
      </c>
      <c r="E320" s="41" t="s">
        <v>409</v>
      </c>
      <c r="F320"/>
      <c r="G320"/>
      <c r="H320"/>
      <c r="I320" s="126"/>
      <c r="J320" s="126"/>
      <c r="K320" s="127"/>
      <c r="L320" s="127"/>
      <c r="M320"/>
      <c r="N320"/>
      <c r="O320"/>
      <c r="P320"/>
      <c r="Q320"/>
      <c r="R320"/>
      <c r="S320"/>
      <c r="T320"/>
      <c r="U320"/>
      <c r="V320"/>
      <c r="W320" s="126"/>
      <c r="X320" s="127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</row>
    <row r="321" spans="2:46" ht="16.5" x14ac:dyDescent="0.25">
      <c r="B321"/>
      <c r="C321" s="41" t="s">
        <v>409</v>
      </c>
      <c r="D321" s="41" t="s">
        <v>408</v>
      </c>
      <c r="E321" s="41" t="s">
        <v>409</v>
      </c>
      <c r="F321"/>
      <c r="G321"/>
      <c r="H321"/>
      <c r="I321" s="126"/>
      <c r="J321" s="126"/>
      <c r="K321" s="127"/>
      <c r="L321" s="127"/>
      <c r="M321"/>
      <c r="N321"/>
      <c r="O321"/>
      <c r="P321"/>
      <c r="Q321"/>
      <c r="R321"/>
      <c r="S321"/>
      <c r="T321"/>
      <c r="U321"/>
      <c r="V321"/>
      <c r="W321" s="126"/>
      <c r="X321" s="127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</row>
    <row r="322" spans="2:46" ht="16.5" x14ac:dyDescent="0.25">
      <c r="B322"/>
      <c r="C322" s="41" t="s">
        <v>409</v>
      </c>
      <c r="D322" s="41" t="s">
        <v>409</v>
      </c>
      <c r="E322" s="41" t="s">
        <v>409</v>
      </c>
      <c r="F322"/>
      <c r="G322"/>
      <c r="H322"/>
      <c r="I322" s="126"/>
      <c r="J322" s="126"/>
      <c r="K322" s="127"/>
      <c r="L322" s="127"/>
      <c r="M322"/>
      <c r="N322"/>
      <c r="O322"/>
      <c r="P322"/>
      <c r="Q322"/>
      <c r="R322"/>
      <c r="S322"/>
      <c r="T322"/>
      <c r="U322"/>
      <c r="V322"/>
      <c r="W322" s="126"/>
      <c r="X322" s="127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</row>
    <row r="323" spans="2:46" ht="16.5" x14ac:dyDescent="0.25">
      <c r="B323"/>
      <c r="C323" s="41" t="s">
        <v>409</v>
      </c>
      <c r="D323" s="41" t="s">
        <v>409</v>
      </c>
      <c r="E323" s="41" t="s">
        <v>409</v>
      </c>
      <c r="F323"/>
      <c r="G323"/>
      <c r="H323"/>
      <c r="I323" s="126"/>
      <c r="J323" s="126"/>
      <c r="K323" s="127"/>
      <c r="L323" s="127"/>
      <c r="M323"/>
      <c r="N323"/>
      <c r="O323"/>
      <c r="P323"/>
      <c r="Q323"/>
      <c r="R323"/>
      <c r="S323"/>
      <c r="T323"/>
      <c r="U323"/>
      <c r="V323"/>
      <c r="W323" s="126"/>
      <c r="X323" s="127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</row>
    <row r="324" spans="2:46" ht="16.5" x14ac:dyDescent="0.25">
      <c r="B324"/>
      <c r="C324" s="41" t="s">
        <v>409</v>
      </c>
      <c r="D324" s="41" t="s">
        <v>409</v>
      </c>
      <c r="E324" s="41" t="s">
        <v>409</v>
      </c>
      <c r="F324"/>
      <c r="G324"/>
      <c r="H324"/>
      <c r="I324" s="126"/>
      <c r="J324" s="126"/>
      <c r="K324" s="127"/>
      <c r="L324" s="127"/>
      <c r="M324"/>
      <c r="N324"/>
      <c r="O324"/>
      <c r="P324"/>
      <c r="Q324"/>
      <c r="R324"/>
      <c r="S324"/>
      <c r="T324"/>
      <c r="U324"/>
      <c r="V324"/>
      <c r="W324" s="126"/>
      <c r="X324" s="127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</row>
    <row r="325" spans="2:46" ht="16.5" x14ac:dyDescent="0.25">
      <c r="B325"/>
      <c r="C325" s="41" t="s">
        <v>409</v>
      </c>
      <c r="D325" s="41" t="s">
        <v>409</v>
      </c>
      <c r="E325" s="41" t="s">
        <v>409</v>
      </c>
      <c r="F325"/>
      <c r="G325"/>
      <c r="H325"/>
      <c r="I325" s="126"/>
      <c r="J325" s="126"/>
      <c r="K325" s="127"/>
      <c r="L325" s="127"/>
      <c r="M325"/>
      <c r="N325"/>
      <c r="O325"/>
      <c r="P325"/>
      <c r="Q325"/>
      <c r="R325"/>
      <c r="S325"/>
      <c r="T325"/>
      <c r="U325"/>
      <c r="V325"/>
      <c r="W325" s="126"/>
      <c r="X325" s="127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</row>
    <row r="326" spans="2:46" ht="16.5" x14ac:dyDescent="0.25">
      <c r="B326"/>
      <c r="C326" s="41" t="s">
        <v>409</v>
      </c>
      <c r="D326" s="41" t="s">
        <v>409</v>
      </c>
      <c r="E326" s="41" t="s">
        <v>409</v>
      </c>
      <c r="F326"/>
      <c r="G326"/>
      <c r="H326"/>
      <c r="I326" s="126"/>
      <c r="J326" s="126"/>
      <c r="K326" s="127"/>
      <c r="L326" s="127"/>
      <c r="M326"/>
      <c r="N326"/>
      <c r="O326"/>
      <c r="P326"/>
      <c r="Q326"/>
      <c r="R326"/>
      <c r="S326"/>
      <c r="T326"/>
      <c r="U326"/>
      <c r="V326"/>
      <c r="W326" s="126"/>
      <c r="X326" s="127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</row>
    <row r="327" spans="2:46" ht="16.5" x14ac:dyDescent="0.25">
      <c r="B327"/>
      <c r="C327" s="41" t="s">
        <v>409</v>
      </c>
      <c r="D327" s="41" t="s">
        <v>409</v>
      </c>
      <c r="E327" s="41" t="s">
        <v>409</v>
      </c>
      <c r="F327"/>
      <c r="G327"/>
      <c r="H327"/>
      <c r="I327" s="126"/>
      <c r="J327" s="126"/>
      <c r="K327" s="127"/>
      <c r="L327" s="127"/>
      <c r="M327"/>
      <c r="N327"/>
      <c r="O327"/>
      <c r="P327"/>
      <c r="Q327"/>
      <c r="R327"/>
      <c r="S327"/>
      <c r="T327"/>
      <c r="U327"/>
      <c r="V327"/>
      <c r="W327" s="126"/>
      <c r="X327" s="1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</row>
    <row r="328" spans="2:46" ht="16.5" x14ac:dyDescent="0.25">
      <c r="B328"/>
      <c r="C328" s="41" t="s">
        <v>409</v>
      </c>
      <c r="D328" s="41" t="s">
        <v>409</v>
      </c>
      <c r="E328" s="41" t="s">
        <v>409</v>
      </c>
      <c r="F328"/>
      <c r="G328"/>
      <c r="H328"/>
      <c r="I328" s="126"/>
      <c r="J328" s="126"/>
      <c r="K328" s="127"/>
      <c r="L328" s="127"/>
      <c r="M328"/>
      <c r="N328"/>
      <c r="O328"/>
      <c r="P328"/>
      <c r="Q328"/>
      <c r="R328"/>
      <c r="S328"/>
      <c r="T328"/>
      <c r="U328"/>
      <c r="V328"/>
      <c r="W328" s="126"/>
      <c r="X328" s="127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</row>
    <row r="329" spans="2:46" ht="16.5" x14ac:dyDescent="0.25">
      <c r="B329"/>
      <c r="C329" s="41" t="s">
        <v>409</v>
      </c>
      <c r="D329" s="41" t="s">
        <v>409</v>
      </c>
      <c r="E329" s="41" t="s">
        <v>409</v>
      </c>
      <c r="F329"/>
      <c r="G329"/>
      <c r="H329"/>
      <c r="I329" s="126"/>
      <c r="J329" s="126"/>
      <c r="K329" s="127"/>
      <c r="L329" s="127"/>
      <c r="M329"/>
      <c r="N329"/>
      <c r="O329"/>
      <c r="P329"/>
      <c r="Q329"/>
      <c r="R329"/>
      <c r="S329"/>
      <c r="T329"/>
      <c r="U329"/>
      <c r="V329"/>
      <c r="W329" s="126"/>
      <c r="X329" s="127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0" spans="2:46" ht="16.5" x14ac:dyDescent="0.25">
      <c r="B330"/>
      <c r="C330" s="41" t="s">
        <v>409</v>
      </c>
      <c r="D330" s="41" t="s">
        <v>409</v>
      </c>
      <c r="E330" s="41" t="s">
        <v>409</v>
      </c>
      <c r="F330"/>
      <c r="G330"/>
      <c r="H330"/>
      <c r="I330" s="126"/>
      <c r="J330" s="126"/>
      <c r="K330" s="127"/>
      <c r="L330" s="127"/>
      <c r="M330"/>
      <c r="N330"/>
      <c r="O330"/>
      <c r="P330"/>
      <c r="Q330"/>
      <c r="R330"/>
      <c r="S330"/>
      <c r="T330"/>
      <c r="U330"/>
      <c r="V330"/>
      <c r="W330" s="126"/>
      <c r="X330" s="127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</row>
    <row r="331" spans="2:46" ht="16.5" x14ac:dyDescent="0.25">
      <c r="B331"/>
      <c r="C331" s="41" t="s">
        <v>409</v>
      </c>
      <c r="D331" s="41" t="s">
        <v>409</v>
      </c>
      <c r="E331" s="41" t="s">
        <v>409</v>
      </c>
      <c r="F331"/>
      <c r="G331"/>
      <c r="H331"/>
      <c r="I331" s="126"/>
      <c r="J331" s="126"/>
      <c r="K331" s="127"/>
      <c r="L331" s="127"/>
      <c r="M331"/>
      <c r="N331"/>
      <c r="O331"/>
      <c r="P331"/>
      <c r="Q331"/>
      <c r="R331"/>
      <c r="S331"/>
      <c r="T331"/>
      <c r="U331"/>
      <c r="V331"/>
      <c r="W331" s="126"/>
      <c r="X331" s="127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</row>
    <row r="332" spans="2:46" ht="16.5" x14ac:dyDescent="0.25">
      <c r="B332"/>
      <c r="C332" s="41" t="s">
        <v>409</v>
      </c>
      <c r="D332" s="41" t="s">
        <v>409</v>
      </c>
      <c r="E332" s="41" t="s">
        <v>409</v>
      </c>
      <c r="F332"/>
      <c r="G332"/>
      <c r="H332"/>
      <c r="I332" s="126"/>
      <c r="J332" s="126"/>
      <c r="K332" s="127"/>
      <c r="L332" s="127"/>
      <c r="M332"/>
      <c r="N332"/>
      <c r="O332"/>
      <c r="P332"/>
      <c r="Q332"/>
      <c r="R332"/>
      <c r="S332"/>
      <c r="T332"/>
      <c r="U332"/>
      <c r="V332"/>
      <c r="W332" s="126"/>
      <c r="X332" s="127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</row>
    <row r="333" spans="2:46" ht="16.5" x14ac:dyDescent="0.25">
      <c r="B333"/>
      <c r="C333" s="41" t="s">
        <v>409</v>
      </c>
      <c r="D333" s="41" t="s">
        <v>409</v>
      </c>
      <c r="E333" s="41" t="s">
        <v>409</v>
      </c>
      <c r="F333"/>
      <c r="G333"/>
      <c r="H333"/>
      <c r="I333" s="126"/>
      <c r="J333" s="126"/>
      <c r="K333" s="127"/>
      <c r="L333" s="127"/>
      <c r="M333"/>
      <c r="N333"/>
      <c r="O333"/>
      <c r="P333"/>
      <c r="Q333"/>
      <c r="R333"/>
      <c r="S333"/>
      <c r="T333"/>
      <c r="U333"/>
      <c r="V333"/>
      <c r="W333" s="126"/>
      <c r="X333" s="127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</row>
    <row r="334" spans="2:46" ht="16.5" x14ac:dyDescent="0.25">
      <c r="B334"/>
      <c r="C334" s="41" t="s">
        <v>409</v>
      </c>
      <c r="D334" s="41" t="s">
        <v>409</v>
      </c>
      <c r="E334" s="41" t="s">
        <v>409</v>
      </c>
      <c r="F334"/>
      <c r="G334"/>
      <c r="H334"/>
      <c r="I334" s="126"/>
      <c r="J334" s="126"/>
      <c r="K334" s="127"/>
      <c r="L334" s="127"/>
      <c r="M334"/>
      <c r="N334"/>
      <c r="O334"/>
      <c r="P334"/>
      <c r="Q334"/>
      <c r="R334"/>
      <c r="S334"/>
      <c r="T334"/>
      <c r="U334"/>
      <c r="V334"/>
      <c r="W334" s="126"/>
      <c r="X334" s="127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</row>
    <row r="335" spans="2:46" ht="16.5" x14ac:dyDescent="0.25">
      <c r="B335"/>
      <c r="C335" s="41" t="s">
        <v>409</v>
      </c>
      <c r="D335" s="41" t="s">
        <v>409</v>
      </c>
      <c r="E335" s="41" t="s">
        <v>409</v>
      </c>
      <c r="F335"/>
      <c r="G335"/>
      <c r="H335"/>
      <c r="I335" s="126"/>
      <c r="J335" s="126"/>
      <c r="K335" s="127"/>
      <c r="L335" s="127"/>
      <c r="M335"/>
      <c r="N335"/>
      <c r="O335"/>
      <c r="P335"/>
      <c r="Q335"/>
      <c r="R335"/>
      <c r="S335"/>
      <c r="T335"/>
      <c r="U335"/>
      <c r="V335"/>
      <c r="W335" s="126"/>
      <c r="X335" s="127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</row>
    <row r="336" spans="2:46" ht="16.5" x14ac:dyDescent="0.25">
      <c r="B336"/>
      <c r="C336" s="41" t="s">
        <v>409</v>
      </c>
      <c r="D336" s="41" t="s">
        <v>409</v>
      </c>
      <c r="E336" s="41" t="s">
        <v>409</v>
      </c>
      <c r="F336"/>
      <c r="G336"/>
      <c r="H336"/>
      <c r="I336" s="126"/>
      <c r="J336" s="126"/>
      <c r="K336" s="127"/>
      <c r="L336" s="127"/>
      <c r="M336"/>
      <c r="N336"/>
      <c r="O336"/>
      <c r="P336"/>
      <c r="Q336"/>
      <c r="R336"/>
      <c r="S336"/>
      <c r="T336"/>
      <c r="U336"/>
      <c r="V336"/>
      <c r="W336" s="126"/>
      <c r="X336" s="127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</row>
    <row r="337" spans="2:46" ht="16.5" x14ac:dyDescent="0.25">
      <c r="B337"/>
      <c r="C337" s="41" t="s">
        <v>409</v>
      </c>
      <c r="D337" s="41" t="s">
        <v>409</v>
      </c>
      <c r="E337" s="41" t="s">
        <v>409</v>
      </c>
      <c r="F337"/>
      <c r="G337"/>
      <c r="H337"/>
      <c r="I337" s="126"/>
      <c r="J337" s="126"/>
      <c r="K337" s="127"/>
      <c r="L337" s="127"/>
      <c r="M337"/>
      <c r="N337"/>
      <c r="O337"/>
      <c r="P337"/>
      <c r="Q337"/>
      <c r="R337"/>
      <c r="S337"/>
      <c r="T337"/>
      <c r="U337"/>
      <c r="V337"/>
      <c r="W337" s="126"/>
      <c r="X337" s="12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</row>
    <row r="338" spans="2:46" ht="16.5" x14ac:dyDescent="0.25">
      <c r="B338"/>
      <c r="C338" s="41" t="s">
        <v>409</v>
      </c>
      <c r="D338" s="41" t="s">
        <v>409</v>
      </c>
      <c r="E338" s="41" t="s">
        <v>409</v>
      </c>
      <c r="F338"/>
      <c r="G338"/>
      <c r="H338"/>
      <c r="I338" s="126"/>
      <c r="J338" s="126"/>
      <c r="K338" s="127"/>
      <c r="L338" s="127"/>
      <c r="M338"/>
      <c r="N338"/>
      <c r="O338"/>
      <c r="P338"/>
      <c r="Q338"/>
      <c r="R338"/>
      <c r="S338"/>
      <c r="T338"/>
      <c r="U338"/>
      <c r="V338"/>
      <c r="W338" s="126"/>
      <c r="X338" s="127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</row>
    <row r="339" spans="2:46" ht="16.5" x14ac:dyDescent="0.25">
      <c r="B339"/>
      <c r="C339" s="41" t="s">
        <v>409</v>
      </c>
      <c r="D339" s="41" t="s">
        <v>409</v>
      </c>
      <c r="E339" s="41" t="s">
        <v>409</v>
      </c>
      <c r="F339"/>
      <c r="G339"/>
      <c r="H339"/>
      <c r="I339" s="126"/>
      <c r="J339" s="126"/>
      <c r="K339" s="127"/>
      <c r="L339" s="127"/>
      <c r="M339"/>
      <c r="N339"/>
      <c r="O339"/>
      <c r="P339"/>
      <c r="Q339"/>
      <c r="R339"/>
      <c r="S339"/>
      <c r="T339"/>
      <c r="U339"/>
      <c r="V339"/>
      <c r="W339" s="126"/>
      <c r="X339" s="127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</row>
    <row r="340" spans="2:46" ht="16.5" x14ac:dyDescent="0.25">
      <c r="B340"/>
      <c r="C340" s="41" t="s">
        <v>409</v>
      </c>
      <c r="D340" s="41" t="s">
        <v>409</v>
      </c>
      <c r="E340" s="41" t="s">
        <v>409</v>
      </c>
      <c r="F340"/>
      <c r="G340"/>
      <c r="H340"/>
      <c r="I340" s="126"/>
      <c r="J340" s="126"/>
      <c r="K340" s="127"/>
      <c r="L340" s="127"/>
      <c r="M340"/>
      <c r="N340"/>
      <c r="O340"/>
      <c r="P340"/>
      <c r="Q340"/>
      <c r="R340"/>
      <c r="S340"/>
      <c r="T340"/>
      <c r="U340"/>
      <c r="V340"/>
      <c r="W340" s="126"/>
      <c r="X340" s="127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</row>
    <row r="341" spans="2:46" ht="16.5" x14ac:dyDescent="0.25">
      <c r="B341"/>
      <c r="C341" s="41" t="s">
        <v>409</v>
      </c>
      <c r="D341" s="41" t="s">
        <v>409</v>
      </c>
      <c r="E341" s="41" t="s">
        <v>409</v>
      </c>
      <c r="F341"/>
      <c r="G341"/>
      <c r="H341"/>
      <c r="I341" s="126"/>
      <c r="J341" s="126"/>
      <c r="K341" s="127"/>
      <c r="L341" s="127"/>
      <c r="M341"/>
      <c r="N341"/>
      <c r="O341"/>
      <c r="P341"/>
      <c r="Q341"/>
      <c r="R341"/>
      <c r="S341"/>
      <c r="T341"/>
      <c r="U341"/>
      <c r="V341"/>
      <c r="W341" s="126"/>
      <c r="X341" s="127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</row>
    <row r="342" spans="2:46" ht="16.5" x14ac:dyDescent="0.25">
      <c r="B342"/>
      <c r="C342" s="41" t="s">
        <v>409</v>
      </c>
      <c r="D342" s="41" t="s">
        <v>409</v>
      </c>
      <c r="E342" s="41" t="s">
        <v>409</v>
      </c>
      <c r="F342"/>
      <c r="G342"/>
      <c r="H342"/>
      <c r="I342" s="126"/>
      <c r="J342" s="126"/>
      <c r="K342" s="127"/>
      <c r="L342" s="127"/>
      <c r="M342"/>
      <c r="N342"/>
      <c r="O342"/>
      <c r="P342"/>
      <c r="Q342"/>
      <c r="R342"/>
      <c r="S342"/>
      <c r="T342"/>
      <c r="U342"/>
      <c r="V342"/>
      <c r="W342" s="126"/>
      <c r="X342" s="127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</row>
    <row r="343" spans="2:46" ht="16.5" x14ac:dyDescent="0.25">
      <c r="B343"/>
      <c r="C343" s="41" t="s">
        <v>409</v>
      </c>
      <c r="D343" s="41" t="s">
        <v>409</v>
      </c>
      <c r="E343" s="41" t="s">
        <v>409</v>
      </c>
      <c r="F343"/>
      <c r="G343"/>
      <c r="H343"/>
      <c r="I343" s="126"/>
      <c r="J343" s="126"/>
      <c r="K343" s="127"/>
      <c r="L343" s="127"/>
      <c r="M343"/>
      <c r="N343"/>
      <c r="O343"/>
      <c r="P343"/>
      <c r="Q343"/>
      <c r="R343"/>
      <c r="S343"/>
      <c r="T343"/>
      <c r="U343"/>
      <c r="V343"/>
      <c r="W343" s="126"/>
      <c r="X343" s="127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</row>
    <row r="344" spans="2:46" ht="16.5" x14ac:dyDescent="0.25">
      <c r="B344"/>
      <c r="C344" s="41" t="s">
        <v>409</v>
      </c>
      <c r="D344" s="41" t="s">
        <v>409</v>
      </c>
      <c r="E344" s="41" t="s">
        <v>409</v>
      </c>
      <c r="F344"/>
      <c r="G344"/>
      <c r="H344"/>
      <c r="I344" s="126"/>
      <c r="J344" s="126"/>
      <c r="K344" s="127"/>
      <c r="L344" s="127"/>
      <c r="M344"/>
      <c r="N344"/>
      <c r="O344"/>
      <c r="P344"/>
      <c r="Q344"/>
      <c r="R344"/>
      <c r="S344"/>
      <c r="T344"/>
      <c r="U344"/>
      <c r="V344"/>
      <c r="W344" s="126"/>
      <c r="X344" s="127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</row>
    <row r="345" spans="2:46" ht="16.5" x14ac:dyDescent="0.25">
      <c r="B345"/>
      <c r="C345" s="41" t="s">
        <v>409</v>
      </c>
      <c r="D345" s="41" t="s">
        <v>409</v>
      </c>
      <c r="E345" s="41" t="s">
        <v>409</v>
      </c>
      <c r="F345"/>
      <c r="G345"/>
      <c r="H345"/>
      <c r="I345" s="126"/>
      <c r="J345" s="126"/>
      <c r="K345" s="127"/>
      <c r="L345" s="127"/>
      <c r="M345"/>
      <c r="N345"/>
      <c r="O345"/>
      <c r="P345"/>
      <c r="Q345"/>
      <c r="R345"/>
      <c r="S345"/>
      <c r="T345"/>
      <c r="U345"/>
      <c r="V345"/>
      <c r="W345" s="126"/>
      <c r="X345" s="127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</row>
    <row r="346" spans="2:46" ht="16.5" x14ac:dyDescent="0.25">
      <c r="B346"/>
      <c r="C346" s="41" t="s">
        <v>409</v>
      </c>
      <c r="D346" s="41" t="s">
        <v>409</v>
      </c>
      <c r="E346" s="41" t="s">
        <v>409</v>
      </c>
      <c r="F346"/>
      <c r="G346"/>
      <c r="H346"/>
      <c r="I346" s="126"/>
      <c r="J346" s="126"/>
      <c r="K346" s="127"/>
      <c r="L346" s="127"/>
      <c r="M346"/>
      <c r="N346"/>
      <c r="O346"/>
      <c r="P346"/>
      <c r="Q346"/>
      <c r="R346"/>
      <c r="S346"/>
      <c r="T346"/>
      <c r="U346"/>
      <c r="V346"/>
      <c r="W346" s="126"/>
      <c r="X346" s="127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</row>
    <row r="347" spans="2:46" ht="16.5" x14ac:dyDescent="0.25">
      <c r="B347"/>
      <c r="C347" s="41" t="s">
        <v>409</v>
      </c>
      <c r="D347" s="41" t="s">
        <v>409</v>
      </c>
      <c r="E347" s="41" t="s">
        <v>409</v>
      </c>
      <c r="F347"/>
      <c r="G347"/>
      <c r="H347"/>
      <c r="I347" s="126"/>
      <c r="J347" s="126"/>
      <c r="K347" s="127"/>
      <c r="L347" s="127"/>
      <c r="M347"/>
      <c r="N347"/>
      <c r="O347"/>
      <c r="P347"/>
      <c r="Q347"/>
      <c r="R347"/>
      <c r="S347"/>
      <c r="T347"/>
      <c r="U347"/>
      <c r="V347"/>
      <c r="W347" s="126"/>
      <c r="X347" s="12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</row>
    <row r="348" spans="2:46" ht="16.5" x14ac:dyDescent="0.25">
      <c r="B348"/>
      <c r="C348" s="41" t="s">
        <v>409</v>
      </c>
      <c r="D348" s="41" t="s">
        <v>409</v>
      </c>
      <c r="E348" s="41" t="s">
        <v>409</v>
      </c>
      <c r="F348"/>
      <c r="G348"/>
      <c r="H348"/>
      <c r="I348" s="126"/>
      <c r="J348" s="126"/>
      <c r="K348" s="127"/>
      <c r="L348" s="127"/>
      <c r="M348"/>
      <c r="N348"/>
      <c r="O348"/>
      <c r="P348"/>
      <c r="Q348"/>
      <c r="R348"/>
      <c r="S348"/>
      <c r="T348"/>
      <c r="U348"/>
      <c r="V348"/>
      <c r="W348" s="126"/>
      <c r="X348" s="127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</row>
    <row r="349" spans="2:46" ht="16.5" x14ac:dyDescent="0.25">
      <c r="B349"/>
      <c r="C349" s="41" t="s">
        <v>409</v>
      </c>
      <c r="D349" s="41" t="s">
        <v>409</v>
      </c>
      <c r="E349" s="41" t="s">
        <v>409</v>
      </c>
      <c r="F349"/>
      <c r="G349"/>
      <c r="H349"/>
      <c r="I349" s="126"/>
      <c r="J349" s="126"/>
      <c r="K349" s="127"/>
      <c r="L349" s="127"/>
      <c r="M349"/>
      <c r="N349"/>
      <c r="O349"/>
      <c r="P349"/>
      <c r="Q349"/>
      <c r="R349"/>
      <c r="S349"/>
      <c r="T349"/>
      <c r="U349"/>
      <c r="V349"/>
      <c r="W349" s="126"/>
      <c r="X349" s="127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</row>
    <row r="350" spans="2:46" ht="16.5" x14ac:dyDescent="0.25">
      <c r="B350"/>
      <c r="C350" s="41" t="s">
        <v>409</v>
      </c>
      <c r="D350" s="41" t="s">
        <v>409</v>
      </c>
      <c r="E350" s="41" t="s">
        <v>409</v>
      </c>
      <c r="F350"/>
      <c r="G350"/>
      <c r="H350"/>
      <c r="I350" s="126"/>
      <c r="J350" s="126"/>
      <c r="K350" s="127"/>
      <c r="L350" s="127"/>
      <c r="M350"/>
      <c r="N350"/>
      <c r="O350"/>
      <c r="P350"/>
      <c r="Q350"/>
      <c r="R350"/>
      <c r="S350"/>
      <c r="T350"/>
      <c r="U350"/>
      <c r="V350"/>
      <c r="W350" s="126"/>
      <c r="X350" s="127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</row>
    <row r="351" spans="2:46" ht="16.5" x14ac:dyDescent="0.25">
      <c r="B351"/>
      <c r="C351" s="41" t="s">
        <v>409</v>
      </c>
      <c r="D351" s="41" t="s">
        <v>409</v>
      </c>
      <c r="E351" s="41" t="s">
        <v>409</v>
      </c>
      <c r="F351"/>
      <c r="G351"/>
      <c r="H351"/>
      <c r="I351" s="126"/>
      <c r="J351" s="126"/>
      <c r="K351" s="127"/>
      <c r="L351" s="127"/>
      <c r="M351"/>
      <c r="N351"/>
      <c r="O351"/>
      <c r="P351"/>
      <c r="Q351"/>
      <c r="R351"/>
      <c r="S351"/>
      <c r="T351"/>
      <c r="U351"/>
      <c r="V351"/>
      <c r="W351" s="126"/>
      <c r="X351" s="127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</row>
    <row r="352" spans="2:46" ht="16.5" x14ac:dyDescent="0.25">
      <c r="B352"/>
      <c r="C352" s="60"/>
      <c r="D352" s="60"/>
      <c r="E352" s="60"/>
      <c r="F352"/>
      <c r="G352"/>
      <c r="H352"/>
      <c r="I352" s="126"/>
      <c r="J352" s="126"/>
      <c r="K352" s="127"/>
      <c r="L352" s="127"/>
      <c r="M352"/>
      <c r="N352"/>
      <c r="O352"/>
      <c r="P352"/>
      <c r="Q352"/>
      <c r="R352"/>
      <c r="S352"/>
      <c r="T352"/>
      <c r="U352"/>
      <c r="V352"/>
      <c r="W352" s="126"/>
      <c r="X352" s="127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</row>
    <row r="353" spans="2:46" ht="16.5" x14ac:dyDescent="0.25">
      <c r="B353"/>
      <c r="C353" s="41"/>
      <c r="D353" s="41"/>
      <c r="E353" s="41"/>
      <c r="F353"/>
      <c r="G353"/>
      <c r="H353"/>
      <c r="I353" s="126"/>
      <c r="J353" s="126"/>
      <c r="K353" s="127"/>
      <c r="L353" s="127"/>
      <c r="M353"/>
      <c r="N353"/>
      <c r="O353"/>
      <c r="P353"/>
      <c r="Q353"/>
      <c r="R353"/>
      <c r="S353"/>
      <c r="T353"/>
      <c r="U353"/>
      <c r="V353"/>
      <c r="W353" s="126"/>
      <c r="X353" s="127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</row>
    <row r="354" spans="2:46" ht="16.5" x14ac:dyDescent="0.25">
      <c r="B354"/>
      <c r="C354" s="41"/>
      <c r="D354" s="41"/>
      <c r="E354" s="41"/>
      <c r="F354"/>
      <c r="G354"/>
      <c r="H354"/>
      <c r="I354" s="126"/>
      <c r="J354" s="126"/>
      <c r="K354" s="127"/>
      <c r="L354" s="127"/>
      <c r="M354"/>
      <c r="N354"/>
      <c r="O354"/>
      <c r="P354"/>
      <c r="Q354"/>
      <c r="R354"/>
      <c r="S354"/>
      <c r="T354"/>
      <c r="U354"/>
      <c r="V354"/>
      <c r="W354" s="126"/>
      <c r="X354" s="127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</row>
    <row r="355" spans="2:46" ht="16.5" x14ac:dyDescent="0.25">
      <c r="B355"/>
      <c r="C355" s="41"/>
      <c r="D355" s="41"/>
      <c r="E355" s="41"/>
      <c r="F355"/>
      <c r="G355"/>
      <c r="H355"/>
      <c r="I355" s="126"/>
      <c r="J355" s="126"/>
      <c r="K355" s="127"/>
      <c r="L355" s="127"/>
      <c r="M355"/>
      <c r="N355"/>
      <c r="O355"/>
      <c r="P355"/>
      <c r="Q355"/>
      <c r="R355"/>
      <c r="S355"/>
      <c r="T355"/>
      <c r="U355"/>
      <c r="V355"/>
      <c r="W355" s="126"/>
      <c r="X355" s="127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</row>
    <row r="356" spans="2:46" ht="16.5" x14ac:dyDescent="0.25">
      <c r="B356"/>
      <c r="C356" s="41"/>
      <c r="D356" s="41"/>
      <c r="E356" s="41"/>
      <c r="F356"/>
      <c r="G356"/>
      <c r="H356"/>
      <c r="I356" s="126"/>
      <c r="J356" s="126"/>
      <c r="K356" s="127"/>
      <c r="L356" s="127"/>
      <c r="M356"/>
      <c r="N356"/>
      <c r="O356"/>
      <c r="P356"/>
      <c r="Q356"/>
      <c r="R356"/>
      <c r="S356"/>
      <c r="T356"/>
      <c r="U356"/>
      <c r="V356"/>
      <c r="W356" s="126"/>
      <c r="X356" s="127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</row>
    <row r="357" spans="2:46" ht="16.5" x14ac:dyDescent="0.25">
      <c r="B357"/>
      <c r="C357" s="41"/>
      <c r="D357" s="41"/>
      <c r="E357" s="41"/>
      <c r="F357"/>
      <c r="G357"/>
      <c r="H357"/>
      <c r="I357" s="126"/>
      <c r="J357" s="126"/>
      <c r="K357" s="127"/>
      <c r="L357" s="127"/>
      <c r="M357"/>
      <c r="N357"/>
      <c r="O357"/>
      <c r="P357"/>
      <c r="Q357"/>
      <c r="R357"/>
      <c r="S357"/>
      <c r="T357"/>
      <c r="U357"/>
      <c r="V357"/>
      <c r="W357" s="126"/>
      <c r="X357" s="12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</row>
    <row r="358" spans="2:46" ht="16.5" x14ac:dyDescent="0.25">
      <c r="B358"/>
      <c r="C358" s="41"/>
      <c r="D358" s="41"/>
      <c r="E358" s="41"/>
      <c r="F358"/>
      <c r="G358"/>
      <c r="H358"/>
      <c r="I358" s="126"/>
      <c r="J358" s="126"/>
      <c r="K358" s="127"/>
      <c r="L358" s="127"/>
      <c r="M358"/>
      <c r="N358"/>
      <c r="O358"/>
      <c r="P358"/>
      <c r="Q358"/>
      <c r="R358"/>
      <c r="S358"/>
      <c r="T358"/>
      <c r="U358"/>
      <c r="V358"/>
      <c r="W358" s="126"/>
      <c r="X358" s="127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</row>
    <row r="359" spans="2:46" ht="16.5" x14ac:dyDescent="0.25">
      <c r="B359"/>
      <c r="C359" s="41"/>
      <c r="D359" s="41"/>
      <c r="E359" s="41"/>
      <c r="F359"/>
      <c r="G359"/>
      <c r="H359"/>
      <c r="I359" s="126"/>
      <c r="J359" s="126"/>
      <c r="K359" s="127"/>
      <c r="L359" s="127"/>
      <c r="M359"/>
      <c r="N359"/>
      <c r="O359"/>
      <c r="P359"/>
      <c r="Q359"/>
      <c r="R359"/>
      <c r="S359"/>
      <c r="T359"/>
      <c r="U359"/>
      <c r="V359"/>
      <c r="W359" s="126"/>
      <c r="X359" s="127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</row>
    <row r="360" spans="2:46" ht="16.5" x14ac:dyDescent="0.25">
      <c r="B360"/>
      <c r="C360" s="41"/>
      <c r="D360" s="41"/>
      <c r="E360" s="41"/>
      <c r="F360"/>
      <c r="G360"/>
      <c r="H360"/>
      <c r="I360" s="126"/>
      <c r="J360" s="126"/>
      <c r="K360" s="127"/>
      <c r="L360" s="127"/>
      <c r="M360"/>
      <c r="N360"/>
      <c r="O360"/>
      <c r="P360"/>
      <c r="Q360"/>
      <c r="R360"/>
      <c r="S360"/>
      <c r="T360"/>
      <c r="U360"/>
      <c r="V360"/>
      <c r="W360" s="126"/>
      <c r="X360" s="127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</row>
    <row r="361" spans="2:46" ht="16.5" x14ac:dyDescent="0.25">
      <c r="B361"/>
      <c r="C361" s="41"/>
      <c r="D361" s="41"/>
      <c r="E361" s="41"/>
      <c r="F361"/>
      <c r="G361"/>
      <c r="H361"/>
      <c r="I361" s="126"/>
      <c r="J361" s="126"/>
      <c r="K361" s="127"/>
      <c r="L361" s="127"/>
      <c r="M361"/>
      <c r="N361"/>
      <c r="O361"/>
      <c r="P361"/>
      <c r="Q361"/>
      <c r="R361"/>
      <c r="S361"/>
      <c r="T361"/>
      <c r="U361"/>
      <c r="V361"/>
      <c r="W361" s="126"/>
      <c r="X361" s="127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</row>
    <row r="362" spans="2:46" ht="16.5" x14ac:dyDescent="0.25">
      <c r="B362"/>
      <c r="C362" s="41"/>
      <c r="D362" s="41"/>
      <c r="E362" s="41"/>
      <c r="F362"/>
      <c r="G362"/>
      <c r="H362"/>
      <c r="I362" s="126"/>
      <c r="J362" s="126"/>
      <c r="K362" s="127"/>
      <c r="L362" s="127"/>
      <c r="M362"/>
      <c r="N362"/>
      <c r="O362"/>
      <c r="P362"/>
      <c r="Q362"/>
      <c r="R362"/>
      <c r="S362"/>
      <c r="T362"/>
      <c r="U362"/>
      <c r="V362"/>
      <c r="W362" s="126"/>
      <c r="X362" s="127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</row>
    <row r="363" spans="2:46" ht="16.5" x14ac:dyDescent="0.25">
      <c r="B363"/>
      <c r="C363" s="41"/>
      <c r="D363" s="41"/>
      <c r="E363" s="41"/>
      <c r="F363"/>
      <c r="G363"/>
      <c r="H363"/>
      <c r="I363" s="126"/>
      <c r="J363" s="126"/>
      <c r="K363" s="127"/>
      <c r="L363" s="127"/>
      <c r="M363"/>
      <c r="N363"/>
      <c r="O363"/>
      <c r="P363"/>
      <c r="Q363"/>
      <c r="R363"/>
      <c r="S363"/>
      <c r="T363"/>
      <c r="U363"/>
      <c r="V363"/>
      <c r="W363" s="126"/>
      <c r="X363" s="127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</row>
    <row r="364" spans="2:46" ht="16.5" x14ac:dyDescent="0.25">
      <c r="B364"/>
      <c r="C364" s="41"/>
      <c r="D364" s="41"/>
      <c r="E364" s="41"/>
      <c r="F364"/>
      <c r="G364"/>
      <c r="H364"/>
      <c r="I364" s="126"/>
      <c r="J364" s="126"/>
      <c r="K364" s="127"/>
      <c r="L364" s="127"/>
      <c r="M364"/>
      <c r="N364"/>
      <c r="O364"/>
      <c r="P364"/>
      <c r="Q364"/>
      <c r="R364"/>
      <c r="S364"/>
      <c r="T364"/>
      <c r="U364"/>
      <c r="V364"/>
      <c r="W364" s="126"/>
      <c r="X364" s="127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</row>
    <row r="365" spans="2:46" ht="16.5" x14ac:dyDescent="0.25">
      <c r="B365"/>
      <c r="C365" s="41"/>
      <c r="D365" s="41"/>
      <c r="E365" s="41"/>
      <c r="F365"/>
      <c r="G365"/>
      <c r="H365"/>
      <c r="I365" s="126"/>
      <c r="J365" s="126"/>
      <c r="K365" s="127"/>
      <c r="L365" s="127"/>
      <c r="M365"/>
      <c r="N365"/>
      <c r="O365"/>
      <c r="P365"/>
      <c r="Q365"/>
      <c r="R365"/>
      <c r="S365"/>
      <c r="T365"/>
      <c r="U365"/>
      <c r="V365"/>
      <c r="W365" s="126"/>
      <c r="X365" s="127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</row>
    <row r="366" spans="2:46" ht="16.5" x14ac:dyDescent="0.25">
      <c r="B366"/>
      <c r="C366" s="41"/>
      <c r="D366" s="41"/>
      <c r="E366" s="41"/>
      <c r="F366"/>
      <c r="G366"/>
      <c r="H366"/>
      <c r="I366" s="126"/>
      <c r="J366" s="126"/>
      <c r="K366" s="127"/>
      <c r="L366" s="127"/>
      <c r="M366"/>
      <c r="N366"/>
      <c r="O366"/>
      <c r="P366"/>
      <c r="Q366"/>
      <c r="R366"/>
      <c r="S366"/>
      <c r="T366"/>
      <c r="U366"/>
      <c r="V366"/>
      <c r="W366" s="126"/>
      <c r="X366" s="127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</row>
    <row r="367" spans="2:46" ht="16.5" x14ac:dyDescent="0.25">
      <c r="B367"/>
      <c r="C367" s="41"/>
      <c r="D367" s="41"/>
      <c r="E367" s="41"/>
      <c r="F367"/>
      <c r="G367"/>
      <c r="H367"/>
      <c r="I367" s="126"/>
      <c r="J367" s="126"/>
      <c r="K367" s="127"/>
      <c r="L367" s="127"/>
      <c r="M367"/>
      <c r="N367"/>
      <c r="O367"/>
      <c r="P367"/>
      <c r="Q367"/>
      <c r="R367"/>
      <c r="S367"/>
      <c r="T367"/>
      <c r="U367"/>
      <c r="V367"/>
      <c r="W367" s="126"/>
      <c r="X367" s="12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</row>
    <row r="368" spans="2:46" ht="16.5" x14ac:dyDescent="0.25">
      <c r="B368"/>
      <c r="C368" s="41"/>
      <c r="D368" s="41"/>
      <c r="E368" s="41"/>
      <c r="F368"/>
      <c r="G368"/>
      <c r="H368"/>
      <c r="I368" s="126"/>
      <c r="J368" s="126"/>
      <c r="K368" s="127"/>
      <c r="L368" s="127"/>
      <c r="M368"/>
      <c r="N368"/>
      <c r="O368"/>
      <c r="P368"/>
      <c r="Q368"/>
      <c r="R368"/>
      <c r="S368"/>
      <c r="T368"/>
      <c r="U368"/>
      <c r="V368"/>
      <c r="W368" s="126"/>
      <c r="X368" s="127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</row>
    <row r="369" spans="2:46" ht="16.5" x14ac:dyDescent="0.25">
      <c r="B369"/>
      <c r="C369" s="41"/>
      <c r="D369" s="41"/>
      <c r="E369" s="41"/>
      <c r="F369"/>
      <c r="G369"/>
      <c r="H369"/>
      <c r="I369" s="126"/>
      <c r="J369" s="126"/>
      <c r="K369" s="127"/>
      <c r="L369" s="127"/>
      <c r="M369"/>
      <c r="N369"/>
      <c r="O369"/>
      <c r="P369"/>
      <c r="Q369"/>
      <c r="R369"/>
      <c r="S369"/>
      <c r="T369"/>
      <c r="U369"/>
      <c r="V369"/>
      <c r="W369" s="126"/>
      <c r="X369" s="127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</row>
    <row r="370" spans="2:46" ht="16.5" x14ac:dyDescent="0.25">
      <c r="B370"/>
      <c r="C370" s="41"/>
      <c r="D370" s="41"/>
      <c r="E370" s="41"/>
      <c r="F370"/>
      <c r="G370"/>
      <c r="H370"/>
      <c r="I370" s="126"/>
      <c r="J370" s="126"/>
      <c r="K370" s="127"/>
      <c r="L370" s="127"/>
      <c r="M370"/>
      <c r="N370"/>
      <c r="O370"/>
      <c r="P370"/>
      <c r="Q370"/>
      <c r="R370"/>
      <c r="S370"/>
      <c r="T370"/>
      <c r="U370"/>
      <c r="V370"/>
      <c r="W370" s="126"/>
      <c r="X370" s="127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</row>
    <row r="371" spans="2:46" ht="16.5" x14ac:dyDescent="0.25">
      <c r="B371"/>
      <c r="C371" s="41"/>
      <c r="D371" s="41"/>
      <c r="E371" s="41"/>
      <c r="F371"/>
      <c r="G371"/>
      <c r="H371"/>
      <c r="I371" s="126"/>
      <c r="J371" s="126"/>
      <c r="K371" s="127"/>
      <c r="L371" s="127"/>
      <c r="M371"/>
      <c r="N371"/>
      <c r="O371"/>
      <c r="P371"/>
      <c r="Q371"/>
      <c r="R371"/>
      <c r="S371"/>
      <c r="T371"/>
      <c r="U371"/>
      <c r="V371"/>
      <c r="W371" s="126"/>
      <c r="X371" s="127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</row>
    <row r="372" spans="2:46" ht="16.5" x14ac:dyDescent="0.25">
      <c r="B372"/>
      <c r="C372" s="41"/>
      <c r="D372" s="41"/>
      <c r="E372" s="41"/>
      <c r="F372"/>
      <c r="G372"/>
      <c r="H372"/>
      <c r="I372" s="126"/>
      <c r="J372" s="126"/>
      <c r="K372" s="127"/>
      <c r="L372" s="127"/>
      <c r="M372"/>
      <c r="N372"/>
      <c r="O372"/>
      <c r="P372"/>
      <c r="Q372"/>
      <c r="R372"/>
      <c r="S372"/>
      <c r="T372"/>
      <c r="U372"/>
      <c r="V372"/>
      <c r="W372" s="126"/>
      <c r="X372" s="127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</row>
    <row r="373" spans="2:46" ht="16.5" x14ac:dyDescent="0.25">
      <c r="B373"/>
      <c r="C373" s="41"/>
      <c r="D373" s="41"/>
      <c r="E373" s="41"/>
      <c r="F373"/>
      <c r="G373"/>
      <c r="H373"/>
      <c r="I373" s="126"/>
      <c r="J373" s="126"/>
      <c r="K373" s="127"/>
      <c r="L373" s="127"/>
      <c r="M373"/>
      <c r="N373"/>
      <c r="O373"/>
      <c r="P373"/>
      <c r="Q373"/>
      <c r="R373"/>
      <c r="S373"/>
      <c r="T373"/>
      <c r="U373"/>
      <c r="V373"/>
      <c r="W373" s="126"/>
      <c r="X373" s="127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</row>
    <row r="374" spans="2:46" ht="16.5" x14ac:dyDescent="0.25">
      <c r="B374"/>
      <c r="C374" s="41"/>
      <c r="D374" s="41"/>
      <c r="E374" s="41"/>
      <c r="F374"/>
      <c r="G374"/>
      <c r="H374"/>
      <c r="I374" s="126"/>
      <c r="J374" s="126"/>
      <c r="K374" s="127"/>
      <c r="L374" s="127"/>
      <c r="M374"/>
      <c r="N374"/>
      <c r="O374"/>
      <c r="P374"/>
      <c r="Q374"/>
      <c r="R374"/>
      <c r="S374"/>
      <c r="T374"/>
      <c r="U374"/>
      <c r="V374"/>
      <c r="W374" s="126"/>
      <c r="X374" s="127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</row>
    <row r="375" spans="2:46" ht="16.5" x14ac:dyDescent="0.25">
      <c r="B375"/>
      <c r="C375" s="41"/>
      <c r="D375" s="41"/>
      <c r="E375" s="41"/>
      <c r="F375"/>
      <c r="G375"/>
      <c r="H375"/>
      <c r="I375" s="126"/>
      <c r="J375" s="126"/>
      <c r="K375" s="127"/>
      <c r="L375" s="127"/>
      <c r="M375"/>
      <c r="N375"/>
      <c r="O375"/>
      <c r="P375"/>
      <c r="Q375"/>
      <c r="R375"/>
      <c r="S375"/>
      <c r="T375"/>
      <c r="U375"/>
      <c r="V375"/>
      <c r="W375" s="126"/>
      <c r="X375" s="127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</row>
    <row r="376" spans="2:46" ht="16.5" x14ac:dyDescent="0.25">
      <c r="B376"/>
      <c r="C376" s="41"/>
      <c r="D376" s="41"/>
      <c r="E376" s="41"/>
      <c r="F376"/>
      <c r="G376"/>
      <c r="H376"/>
      <c r="I376" s="126"/>
      <c r="J376" s="126"/>
      <c r="K376" s="127"/>
      <c r="L376" s="127"/>
      <c r="M376"/>
      <c r="N376"/>
      <c r="O376"/>
      <c r="P376"/>
      <c r="Q376"/>
      <c r="R376"/>
      <c r="S376"/>
      <c r="T376"/>
      <c r="U376"/>
      <c r="V376"/>
      <c r="W376" s="126"/>
      <c r="X376" s="127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</row>
    <row r="377" spans="2:46" ht="16.5" x14ac:dyDescent="0.25">
      <c r="B377"/>
      <c r="C377" s="41"/>
      <c r="D377" s="41"/>
      <c r="E377" s="41"/>
      <c r="F377"/>
      <c r="G377"/>
      <c r="H377"/>
      <c r="I377" s="126"/>
      <c r="J377" s="126"/>
      <c r="K377" s="127"/>
      <c r="L377" s="127"/>
      <c r="M377"/>
      <c r="N377"/>
      <c r="O377"/>
      <c r="P377"/>
      <c r="Q377"/>
      <c r="R377"/>
      <c r="S377"/>
      <c r="T377"/>
      <c r="U377"/>
      <c r="V377"/>
      <c r="W377" s="126"/>
      <c r="X377" s="12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</row>
    <row r="378" spans="2:46" ht="16.5" x14ac:dyDescent="0.25">
      <c r="B378"/>
      <c r="C378" s="41"/>
      <c r="D378" s="41"/>
      <c r="E378" s="41"/>
      <c r="F378"/>
      <c r="G378"/>
      <c r="H378"/>
      <c r="I378" s="126"/>
      <c r="J378" s="126"/>
      <c r="K378" s="127"/>
      <c r="L378" s="127"/>
      <c r="M378"/>
      <c r="N378"/>
      <c r="O378"/>
      <c r="P378"/>
      <c r="Q378"/>
      <c r="R378"/>
      <c r="S378"/>
      <c r="T378"/>
      <c r="U378"/>
      <c r="V378"/>
      <c r="W378" s="126"/>
      <c r="X378" s="127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</row>
    <row r="379" spans="2:46" ht="16.5" x14ac:dyDescent="0.25">
      <c r="B379"/>
      <c r="C379" s="41"/>
      <c r="D379" s="41"/>
      <c r="E379" s="41"/>
      <c r="F379"/>
      <c r="G379"/>
      <c r="H379"/>
      <c r="I379" s="126"/>
      <c r="J379" s="126"/>
      <c r="K379" s="127"/>
      <c r="L379" s="127"/>
      <c r="M379"/>
      <c r="N379"/>
      <c r="O379"/>
      <c r="P379"/>
      <c r="Q379"/>
      <c r="R379"/>
      <c r="S379"/>
      <c r="T379"/>
      <c r="U379"/>
      <c r="V379"/>
      <c r="W379" s="126"/>
      <c r="X379" s="127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</row>
    <row r="380" spans="2:46" ht="16.5" x14ac:dyDescent="0.25">
      <c r="B380"/>
      <c r="C380" s="41"/>
      <c r="D380" s="41"/>
      <c r="E380" s="41"/>
      <c r="F380"/>
      <c r="G380"/>
      <c r="H380"/>
      <c r="I380" s="126"/>
      <c r="J380" s="126"/>
      <c r="K380" s="127"/>
      <c r="L380" s="127"/>
      <c r="M380"/>
      <c r="N380"/>
      <c r="O380"/>
      <c r="P380"/>
      <c r="Q380"/>
      <c r="R380"/>
      <c r="S380"/>
      <c r="T380"/>
      <c r="U380"/>
      <c r="V380"/>
      <c r="W380" s="126"/>
      <c r="X380" s="127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</row>
    <row r="381" spans="2:46" ht="16.5" x14ac:dyDescent="0.25">
      <c r="B381"/>
      <c r="C381" s="41"/>
      <c r="D381" s="41"/>
      <c r="E381" s="41"/>
      <c r="F381"/>
      <c r="G381"/>
      <c r="H381"/>
      <c r="I381" s="126"/>
      <c r="J381" s="126"/>
      <c r="K381" s="127"/>
      <c r="L381" s="127"/>
      <c r="M381"/>
      <c r="N381"/>
      <c r="O381"/>
      <c r="P381"/>
      <c r="Q381"/>
      <c r="R381"/>
      <c r="S381"/>
      <c r="T381"/>
      <c r="U381"/>
      <c r="V381"/>
      <c r="W381" s="126"/>
      <c r="X381" s="127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</row>
    <row r="382" spans="2:46" ht="16.5" x14ac:dyDescent="0.25">
      <c r="B382"/>
      <c r="C382" s="41"/>
      <c r="D382" s="41"/>
      <c r="E382" s="41"/>
      <c r="F382"/>
      <c r="G382"/>
      <c r="H382"/>
      <c r="I382" s="126"/>
      <c r="J382" s="126"/>
      <c r="K382" s="127"/>
      <c r="L382" s="127"/>
      <c r="M382"/>
      <c r="N382"/>
      <c r="O382"/>
      <c r="P382"/>
      <c r="Q382"/>
      <c r="R382"/>
      <c r="S382"/>
      <c r="T382"/>
      <c r="U382"/>
      <c r="V382"/>
      <c r="W382" s="126"/>
      <c r="X382" s="127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</row>
    <row r="383" spans="2:46" ht="16.5" x14ac:dyDescent="0.25">
      <c r="B383"/>
      <c r="C383" s="41"/>
      <c r="D383" s="41"/>
      <c r="E383" s="41"/>
      <c r="F383"/>
      <c r="G383"/>
      <c r="H383"/>
      <c r="I383" s="126"/>
      <c r="J383" s="126"/>
      <c r="K383" s="127"/>
      <c r="L383" s="127"/>
      <c r="M383"/>
      <c r="N383"/>
      <c r="O383"/>
      <c r="P383"/>
      <c r="Q383"/>
      <c r="R383"/>
      <c r="S383"/>
      <c r="T383"/>
      <c r="U383"/>
      <c r="V383"/>
      <c r="W383" s="126"/>
      <c r="X383" s="127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</row>
    <row r="384" spans="2:46" ht="16.5" x14ac:dyDescent="0.25">
      <c r="B384"/>
      <c r="C384" s="41"/>
      <c r="D384" s="41"/>
      <c r="E384" s="41"/>
      <c r="F384"/>
      <c r="G384"/>
      <c r="H384"/>
      <c r="I384" s="126"/>
      <c r="J384" s="126"/>
      <c r="K384" s="127"/>
      <c r="L384" s="127"/>
      <c r="M384"/>
      <c r="N384"/>
      <c r="O384"/>
      <c r="P384"/>
      <c r="Q384"/>
      <c r="R384"/>
      <c r="S384"/>
      <c r="T384"/>
      <c r="U384"/>
      <c r="V384"/>
      <c r="W384" s="126"/>
      <c r="X384" s="127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</row>
    <row r="385" spans="2:46" ht="16.5" x14ac:dyDescent="0.25">
      <c r="B385"/>
      <c r="C385" s="41"/>
      <c r="D385" s="41"/>
      <c r="E385" s="41"/>
      <c r="F385"/>
      <c r="G385"/>
      <c r="H385"/>
      <c r="I385" s="126"/>
      <c r="J385" s="126"/>
      <c r="K385" s="127"/>
      <c r="L385" s="127"/>
      <c r="M385"/>
      <c r="N385"/>
      <c r="O385"/>
      <c r="P385"/>
      <c r="Q385"/>
      <c r="R385"/>
      <c r="S385"/>
      <c r="T385"/>
      <c r="U385"/>
      <c r="V385"/>
      <c r="W385" s="126"/>
      <c r="X385" s="127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</row>
    <row r="386" spans="2:46" ht="16.5" x14ac:dyDescent="0.25">
      <c r="B386"/>
      <c r="C386" s="41"/>
      <c r="D386" s="41"/>
      <c r="E386" s="41"/>
      <c r="F386"/>
      <c r="G386"/>
      <c r="H386"/>
      <c r="I386" s="126"/>
      <c r="J386" s="126"/>
      <c r="K386" s="127"/>
      <c r="L386" s="127"/>
      <c r="M386"/>
      <c r="N386"/>
      <c r="O386"/>
      <c r="P386"/>
      <c r="Q386"/>
      <c r="R386"/>
      <c r="S386"/>
      <c r="T386"/>
      <c r="U386"/>
      <c r="V386"/>
      <c r="W386" s="126"/>
      <c r="X386" s="127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</row>
    <row r="387" spans="2:46" ht="16.5" x14ac:dyDescent="0.25">
      <c r="B387"/>
      <c r="C387" s="41"/>
      <c r="D387" s="41"/>
      <c r="E387" s="41"/>
      <c r="F387"/>
      <c r="G387"/>
      <c r="H387"/>
      <c r="I387" s="126"/>
      <c r="J387" s="126"/>
      <c r="K387" s="127"/>
      <c r="L387" s="127"/>
      <c r="M387"/>
      <c r="N387"/>
      <c r="O387"/>
      <c r="P387"/>
      <c r="Q387"/>
      <c r="R387"/>
      <c r="S387"/>
      <c r="T387"/>
      <c r="U387"/>
      <c r="V387"/>
      <c r="W387" s="126"/>
      <c r="X387" s="12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</row>
    <row r="388" spans="2:46" ht="16.5" x14ac:dyDescent="0.25">
      <c r="B388"/>
      <c r="C388" s="41"/>
      <c r="D388" s="41"/>
      <c r="E388" s="41"/>
      <c r="F388"/>
      <c r="G388"/>
      <c r="H388"/>
      <c r="I388" s="126"/>
      <c r="J388" s="126"/>
      <c r="K388" s="127"/>
      <c r="L388" s="127"/>
      <c r="M388"/>
      <c r="N388"/>
      <c r="O388"/>
      <c r="P388"/>
      <c r="Q388"/>
      <c r="R388"/>
      <c r="S388"/>
      <c r="T388"/>
      <c r="U388"/>
      <c r="V388"/>
      <c r="W388" s="126"/>
      <c r="X388" s="127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</row>
    <row r="389" spans="2:46" ht="16.5" x14ac:dyDescent="0.25">
      <c r="B389"/>
      <c r="C389" s="41"/>
      <c r="D389" s="41"/>
      <c r="E389" s="41"/>
      <c r="F389"/>
      <c r="G389"/>
      <c r="H389"/>
      <c r="I389" s="126"/>
      <c r="J389" s="126"/>
      <c r="K389" s="127"/>
      <c r="L389" s="127"/>
      <c r="M389"/>
      <c r="N389"/>
      <c r="O389"/>
      <c r="P389"/>
      <c r="Q389"/>
      <c r="R389"/>
      <c r="S389"/>
      <c r="T389"/>
      <c r="U389"/>
      <c r="V389"/>
      <c r="W389" s="126"/>
      <c r="X389" s="127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</row>
    <row r="390" spans="2:46" ht="16.5" x14ac:dyDescent="0.25">
      <c r="B390"/>
      <c r="C390" s="41"/>
      <c r="D390" s="41"/>
      <c r="E390" s="41"/>
      <c r="F390"/>
      <c r="G390"/>
      <c r="H390"/>
      <c r="I390" s="126"/>
      <c r="J390" s="126"/>
      <c r="K390" s="127"/>
      <c r="L390" s="127"/>
      <c r="M390"/>
      <c r="N390"/>
      <c r="O390"/>
      <c r="P390"/>
      <c r="Q390"/>
      <c r="R390"/>
      <c r="S390"/>
      <c r="T390"/>
      <c r="U390"/>
      <c r="V390"/>
      <c r="W390" s="126"/>
      <c r="X390" s="127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</row>
    <row r="391" spans="2:46" ht="16.5" x14ac:dyDescent="0.25">
      <c r="B391"/>
      <c r="C391" s="41"/>
      <c r="D391" s="41"/>
      <c r="E391" s="41"/>
      <c r="F391"/>
      <c r="G391"/>
      <c r="H391"/>
      <c r="I391" s="126"/>
      <c r="J391" s="126"/>
      <c r="K391" s="127"/>
      <c r="L391" s="127"/>
      <c r="M391"/>
      <c r="N391"/>
      <c r="O391"/>
      <c r="P391"/>
      <c r="Q391"/>
      <c r="R391"/>
      <c r="S391"/>
      <c r="T391"/>
      <c r="U391"/>
      <c r="V391"/>
      <c r="W391" s="126"/>
      <c r="X391" s="127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</row>
    <row r="392" spans="2:46" ht="16.5" x14ac:dyDescent="0.25">
      <c r="B392"/>
      <c r="C392" s="41"/>
      <c r="D392" s="41"/>
      <c r="E392" s="41"/>
      <c r="F392"/>
      <c r="G392"/>
      <c r="H392"/>
      <c r="I392" s="126"/>
      <c r="J392" s="126"/>
      <c r="K392" s="127"/>
      <c r="L392" s="127"/>
      <c r="M392"/>
      <c r="N392"/>
      <c r="O392"/>
      <c r="P392"/>
      <c r="Q392"/>
      <c r="R392"/>
      <c r="S392"/>
      <c r="T392"/>
      <c r="U392"/>
      <c r="V392"/>
      <c r="W392" s="126"/>
      <c r="X392" s="127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</row>
    <row r="393" spans="2:46" ht="16.5" x14ac:dyDescent="0.25">
      <c r="B393"/>
      <c r="C393" s="41"/>
      <c r="D393" s="41"/>
      <c r="E393" s="41"/>
      <c r="F393"/>
      <c r="G393"/>
      <c r="H393"/>
      <c r="I393" s="126"/>
      <c r="J393" s="126"/>
      <c r="K393" s="127"/>
      <c r="L393" s="127"/>
      <c r="M393"/>
      <c r="N393"/>
      <c r="O393"/>
      <c r="P393"/>
      <c r="Q393"/>
      <c r="R393"/>
      <c r="S393"/>
      <c r="T393"/>
      <c r="U393"/>
      <c r="V393"/>
      <c r="W393" s="126"/>
      <c r="X393" s="127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</row>
    <row r="394" spans="2:46" ht="16.5" x14ac:dyDescent="0.25">
      <c r="B394"/>
      <c r="C394" s="41"/>
      <c r="D394" s="41"/>
      <c r="E394" s="41"/>
      <c r="F394"/>
      <c r="G394"/>
      <c r="H394"/>
      <c r="I394" s="126"/>
      <c r="J394" s="126"/>
      <c r="K394" s="127"/>
      <c r="L394" s="127"/>
      <c r="M394"/>
      <c r="N394"/>
      <c r="O394"/>
      <c r="P394"/>
      <c r="Q394"/>
      <c r="R394"/>
      <c r="S394"/>
      <c r="T394"/>
      <c r="U394"/>
      <c r="V394"/>
      <c r="W394" s="126"/>
      <c r="X394" s="127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</row>
    <row r="395" spans="2:46" ht="16.5" x14ac:dyDescent="0.25">
      <c r="B395"/>
      <c r="C395" s="41"/>
      <c r="D395" s="41"/>
      <c r="E395" s="41"/>
      <c r="F395"/>
      <c r="G395"/>
      <c r="H395"/>
      <c r="I395" s="126"/>
      <c r="J395" s="126"/>
      <c r="K395" s="127"/>
      <c r="L395" s="127"/>
      <c r="M395"/>
      <c r="N395"/>
      <c r="O395"/>
      <c r="P395"/>
      <c r="Q395"/>
      <c r="R395"/>
      <c r="S395"/>
      <c r="T395"/>
      <c r="U395"/>
      <c r="V395"/>
      <c r="W395" s="126"/>
      <c r="X395" s="127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</row>
    <row r="396" spans="2:46" ht="16.5" x14ac:dyDescent="0.25">
      <c r="B396"/>
      <c r="C396" s="41"/>
      <c r="D396" s="41"/>
      <c r="E396" s="41"/>
      <c r="F396"/>
      <c r="G396"/>
      <c r="H396"/>
      <c r="I396" s="126"/>
      <c r="J396" s="126"/>
      <c r="K396" s="127"/>
      <c r="L396" s="127"/>
      <c r="M396"/>
      <c r="N396"/>
      <c r="O396"/>
      <c r="P396"/>
      <c r="Q396"/>
      <c r="R396"/>
      <c r="S396"/>
      <c r="T396"/>
      <c r="U396"/>
      <c r="V396"/>
      <c r="W396" s="126"/>
      <c r="X396" s="127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</row>
    <row r="397" spans="2:46" ht="16.5" x14ac:dyDescent="0.25">
      <c r="B397"/>
      <c r="C397" s="41"/>
      <c r="D397" s="41"/>
      <c r="E397" s="41"/>
      <c r="F397"/>
      <c r="G397"/>
      <c r="H397"/>
      <c r="I397" s="126"/>
      <c r="J397" s="126"/>
      <c r="K397" s="127"/>
      <c r="L397" s="127"/>
      <c r="M397"/>
      <c r="N397"/>
      <c r="O397"/>
      <c r="P397"/>
      <c r="Q397"/>
      <c r="R397"/>
      <c r="S397"/>
      <c r="T397"/>
      <c r="U397"/>
      <c r="V397"/>
      <c r="W397" s="126"/>
      <c r="X397" s="12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</row>
    <row r="398" spans="2:46" ht="16.5" x14ac:dyDescent="0.25">
      <c r="B398"/>
      <c r="C398" s="41"/>
      <c r="D398" s="41"/>
      <c r="E398" s="41"/>
      <c r="F398"/>
      <c r="G398"/>
      <c r="H398"/>
      <c r="I398" s="126"/>
      <c r="J398" s="126"/>
      <c r="K398" s="127"/>
      <c r="L398" s="127"/>
      <c r="M398"/>
      <c r="N398"/>
      <c r="O398"/>
      <c r="P398"/>
      <c r="Q398"/>
      <c r="R398"/>
      <c r="S398"/>
      <c r="T398"/>
      <c r="U398"/>
      <c r="V398"/>
      <c r="W398" s="126"/>
      <c r="X398" s="127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</row>
    <row r="399" spans="2:46" ht="16.5" x14ac:dyDescent="0.25">
      <c r="B399"/>
      <c r="C399" s="41"/>
      <c r="D399" s="41"/>
      <c r="E399" s="41"/>
      <c r="F399"/>
      <c r="G399"/>
      <c r="H399"/>
      <c r="I399" s="126"/>
      <c r="J399" s="126"/>
      <c r="K399" s="127"/>
      <c r="L399" s="127"/>
      <c r="M399"/>
      <c r="N399"/>
      <c r="O399"/>
      <c r="P399"/>
      <c r="Q399"/>
      <c r="R399"/>
      <c r="S399"/>
      <c r="T399"/>
      <c r="U399"/>
      <c r="V399"/>
      <c r="W399" s="126"/>
      <c r="X399" s="127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</row>
    <row r="400" spans="2:46" ht="16.5" x14ac:dyDescent="0.25">
      <c r="B400"/>
      <c r="C400" s="41"/>
      <c r="D400" s="41"/>
      <c r="E400" s="41"/>
      <c r="F400"/>
      <c r="G400"/>
      <c r="H400"/>
      <c r="I400" s="126"/>
      <c r="J400" s="126"/>
      <c r="K400" s="127"/>
      <c r="L400" s="127"/>
      <c r="M400"/>
      <c r="N400"/>
      <c r="O400"/>
      <c r="P400"/>
      <c r="Q400"/>
      <c r="R400"/>
      <c r="S400"/>
      <c r="T400"/>
      <c r="U400"/>
      <c r="V400"/>
      <c r="W400" s="126"/>
      <c r="X400" s="127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</row>
    <row r="401" spans="2:23" s="1" customFormat="1" ht="16.5" x14ac:dyDescent="0.25">
      <c r="B401"/>
      <c r="C401" s="41"/>
      <c r="D401" s="41"/>
      <c r="E401" s="41"/>
      <c r="F401"/>
      <c r="G401"/>
      <c r="H401"/>
      <c r="I401" s="126"/>
      <c r="J401" s="126"/>
      <c r="K401" s="127"/>
      <c r="L401" s="127"/>
      <c r="M401"/>
      <c r="N401"/>
      <c r="O401"/>
      <c r="P401"/>
      <c r="Q401"/>
      <c r="R401"/>
      <c r="S401"/>
      <c r="T401"/>
      <c r="U401"/>
      <c r="V401"/>
      <c r="W401" s="126"/>
    </row>
    <row r="402" spans="2:23" s="1" customFormat="1" ht="16.5" x14ac:dyDescent="0.25">
      <c r="B402"/>
      <c r="C402" s="41"/>
      <c r="D402" s="41"/>
      <c r="E402" s="41"/>
      <c r="F402"/>
      <c r="G402"/>
      <c r="H402"/>
      <c r="I402" s="126"/>
      <c r="J402" s="126"/>
      <c r="K402" s="127"/>
      <c r="L402" s="127"/>
      <c r="M402"/>
      <c r="N402"/>
      <c r="O402"/>
      <c r="P402"/>
      <c r="Q402"/>
      <c r="R402"/>
      <c r="S402"/>
      <c r="T402"/>
      <c r="U402"/>
      <c r="V402"/>
      <c r="W402" s="126"/>
    </row>
    <row r="403" spans="2:23" s="1" customFormat="1" ht="16.5" x14ac:dyDescent="0.25">
      <c r="B403"/>
      <c r="C403" s="41"/>
      <c r="D403" s="41"/>
      <c r="E403" s="41"/>
      <c r="F403"/>
      <c r="G403"/>
      <c r="H403"/>
      <c r="I403" s="126"/>
      <c r="J403" s="126"/>
      <c r="K403" s="127"/>
      <c r="L403" s="127"/>
      <c r="M403"/>
      <c r="N403"/>
      <c r="O403"/>
      <c r="P403"/>
      <c r="Q403"/>
      <c r="R403"/>
      <c r="S403"/>
      <c r="T403"/>
      <c r="U403"/>
      <c r="V403"/>
      <c r="W403" s="126"/>
    </row>
    <row r="404" spans="2:23" s="1" customFormat="1" ht="16.5" x14ac:dyDescent="0.25">
      <c r="B404"/>
      <c r="C404" s="41"/>
      <c r="D404" s="41"/>
      <c r="E404" s="41"/>
      <c r="F404"/>
      <c r="G404"/>
      <c r="H404"/>
      <c r="I404" s="126"/>
      <c r="J404" s="126"/>
      <c r="K404" s="127"/>
      <c r="L404" s="127"/>
      <c r="M404"/>
      <c r="N404"/>
      <c r="O404"/>
      <c r="P404"/>
      <c r="Q404"/>
      <c r="R404"/>
      <c r="S404"/>
      <c r="T404"/>
      <c r="U404"/>
      <c r="V404"/>
      <c r="W404" s="126"/>
    </row>
    <row r="405" spans="2:23" s="1" customFormat="1" ht="16.5" x14ac:dyDescent="0.25">
      <c r="B405"/>
      <c r="C405" s="41"/>
      <c r="D405" s="41"/>
      <c r="E405" s="41"/>
      <c r="F405"/>
      <c r="I405" s="121"/>
      <c r="J405" s="121"/>
      <c r="K405" s="122"/>
      <c r="L405" s="122"/>
      <c r="W405" s="121"/>
    </row>
    <row r="406" spans="2:23" s="1" customFormat="1" ht="16.5" x14ac:dyDescent="0.25">
      <c r="B406"/>
      <c r="C406" s="41"/>
      <c r="D406" s="41"/>
      <c r="E406" s="41"/>
      <c r="F406"/>
      <c r="I406" s="121"/>
      <c r="J406" s="121"/>
      <c r="K406" s="122"/>
      <c r="L406" s="122"/>
      <c r="W406" s="121"/>
    </row>
    <row r="407" spans="2:23" s="1" customFormat="1" ht="16.5" x14ac:dyDescent="0.25">
      <c r="B407"/>
      <c r="C407" s="41"/>
      <c r="D407" s="41"/>
      <c r="E407" s="41"/>
      <c r="F407"/>
      <c r="I407" s="121"/>
      <c r="J407" s="121"/>
      <c r="K407" s="122"/>
      <c r="L407" s="122"/>
      <c r="W407" s="121"/>
    </row>
    <row r="408" spans="2:23" s="1" customFormat="1" ht="16.5" x14ac:dyDescent="0.25">
      <c r="B408"/>
      <c r="C408" s="41"/>
      <c r="D408" s="41"/>
      <c r="E408" s="41"/>
      <c r="F408"/>
      <c r="I408" s="121"/>
      <c r="J408" s="121"/>
      <c r="K408" s="122"/>
      <c r="L408" s="122"/>
      <c r="W408" s="121"/>
    </row>
    <row r="409" spans="2:23" s="1" customFormat="1" ht="16.5" x14ac:dyDescent="0.25">
      <c r="B409"/>
      <c r="C409" s="41"/>
      <c r="D409" s="41"/>
      <c r="E409" s="41"/>
      <c r="F409"/>
      <c r="I409" s="121"/>
      <c r="J409" s="121"/>
      <c r="K409" s="122"/>
      <c r="L409" s="122"/>
      <c r="W409" s="121"/>
    </row>
    <row r="410" spans="2:23" s="1" customFormat="1" ht="16.5" x14ac:dyDescent="0.25">
      <c r="B410"/>
      <c r="C410" s="41"/>
      <c r="D410" s="41"/>
      <c r="E410" s="41"/>
      <c r="F410"/>
      <c r="I410" s="121"/>
      <c r="J410" s="121"/>
      <c r="K410" s="122"/>
      <c r="L410" s="122"/>
      <c r="W410" s="121"/>
    </row>
    <row r="411" spans="2:23" s="1" customFormat="1" ht="16.5" x14ac:dyDescent="0.25">
      <c r="B411"/>
      <c r="C411" s="41"/>
      <c r="D411" s="41"/>
      <c r="E411" s="41"/>
      <c r="F411"/>
      <c r="I411" s="121"/>
      <c r="J411" s="121"/>
      <c r="K411" s="122"/>
      <c r="L411" s="122"/>
      <c r="W411" s="121"/>
    </row>
    <row r="412" spans="2:23" s="1" customFormat="1" ht="16.5" x14ac:dyDescent="0.25">
      <c r="B412"/>
      <c r="C412" s="41"/>
      <c r="D412" s="41"/>
      <c r="E412" s="41"/>
      <c r="F412"/>
      <c r="I412" s="121"/>
      <c r="J412" s="121"/>
      <c r="K412" s="122"/>
      <c r="L412" s="122"/>
      <c r="W412" s="121"/>
    </row>
    <row r="413" spans="2:23" s="1" customFormat="1" ht="16.5" x14ac:dyDescent="0.25">
      <c r="B413"/>
      <c r="C413" s="41"/>
      <c r="D413" s="41"/>
      <c r="E413" s="41"/>
      <c r="F413"/>
      <c r="I413" s="121"/>
      <c r="J413" s="121"/>
      <c r="K413" s="122"/>
      <c r="L413" s="122"/>
      <c r="W413" s="121"/>
    </row>
    <row r="414" spans="2:23" s="1" customFormat="1" ht="16.5" x14ac:dyDescent="0.25">
      <c r="B414"/>
      <c r="C414" s="41"/>
      <c r="D414" s="41"/>
      <c r="E414" s="41"/>
      <c r="F414"/>
      <c r="I414" s="121"/>
      <c r="J414" s="121"/>
      <c r="K414" s="122"/>
      <c r="L414" s="122"/>
      <c r="W414" s="121"/>
    </row>
    <row r="415" spans="2:23" s="1" customFormat="1" ht="16.5" x14ac:dyDescent="0.25">
      <c r="B415"/>
      <c r="C415" s="41"/>
      <c r="D415" s="41"/>
      <c r="E415" s="41"/>
      <c r="F415"/>
      <c r="I415" s="121"/>
      <c r="J415" s="121"/>
      <c r="K415" s="122"/>
      <c r="L415" s="122"/>
      <c r="W415" s="121"/>
    </row>
    <row r="416" spans="2:23" s="1" customFormat="1" ht="16.5" x14ac:dyDescent="0.25">
      <c r="B416"/>
      <c r="C416" s="41"/>
      <c r="D416" s="41"/>
      <c r="E416" s="41"/>
      <c r="F416"/>
      <c r="I416" s="121"/>
      <c r="J416" s="121"/>
      <c r="K416" s="122"/>
      <c r="L416" s="122"/>
      <c r="W416" s="121"/>
    </row>
    <row r="417" spans="2:6" s="1" customFormat="1" ht="16.5" x14ac:dyDescent="0.25">
      <c r="B417"/>
      <c r="C417" s="41"/>
      <c r="D417" s="41"/>
      <c r="E417" s="41"/>
      <c r="F417"/>
    </row>
    <row r="418" spans="2:6" s="1" customFormat="1" ht="16.5" x14ac:dyDescent="0.25">
      <c r="B418"/>
      <c r="C418" s="41"/>
      <c r="D418" s="41"/>
      <c r="E418" s="41"/>
      <c r="F418"/>
    </row>
    <row r="419" spans="2:6" s="1" customFormat="1" ht="16.5" x14ac:dyDescent="0.25">
      <c r="B419"/>
      <c r="C419" s="41"/>
      <c r="D419" s="41"/>
      <c r="E419" s="41"/>
      <c r="F419"/>
    </row>
    <row r="420" spans="2:6" s="1" customFormat="1" ht="16.5" x14ac:dyDescent="0.25">
      <c r="B420"/>
      <c r="C420" s="41"/>
      <c r="D420" s="41"/>
      <c r="E420" s="41"/>
      <c r="F420"/>
    </row>
    <row r="421" spans="2:6" s="1" customFormat="1" ht="16.5" x14ac:dyDescent="0.25">
      <c r="B421"/>
      <c r="C421" s="41"/>
      <c r="D421" s="41"/>
      <c r="E421" s="41"/>
      <c r="F421"/>
    </row>
    <row r="422" spans="2:6" s="1" customFormat="1" ht="16.5" x14ac:dyDescent="0.25">
      <c r="B422"/>
      <c r="C422" s="41"/>
      <c r="D422" s="41"/>
      <c r="E422" s="41"/>
      <c r="F422"/>
    </row>
    <row r="423" spans="2:6" s="1" customFormat="1" ht="16.5" x14ac:dyDescent="0.25">
      <c r="B423"/>
      <c r="C423" s="41"/>
      <c r="D423" s="41"/>
      <c r="E423" s="41"/>
      <c r="F423"/>
    </row>
    <row r="424" spans="2:6" s="1" customFormat="1" ht="16.5" x14ac:dyDescent="0.25">
      <c r="B424"/>
      <c r="C424" s="41"/>
      <c r="D424" s="41"/>
      <c r="E424" s="41"/>
      <c r="F424"/>
    </row>
    <row r="425" spans="2:6" s="1" customFormat="1" ht="16.5" x14ac:dyDescent="0.25">
      <c r="B425"/>
      <c r="C425" s="41"/>
      <c r="D425" s="41"/>
      <c r="E425" s="41"/>
      <c r="F425"/>
    </row>
    <row r="426" spans="2:6" s="1" customFormat="1" ht="16.5" x14ac:dyDescent="0.25">
      <c r="B426"/>
      <c r="C426" s="41"/>
      <c r="D426" s="41"/>
      <c r="E426" s="41"/>
      <c r="F426"/>
    </row>
    <row r="427" spans="2:6" s="1" customFormat="1" ht="16.5" x14ac:dyDescent="0.25">
      <c r="B427"/>
      <c r="C427" s="41"/>
      <c r="D427" s="41"/>
      <c r="E427" s="41"/>
      <c r="F427"/>
    </row>
    <row r="428" spans="2:6" s="1" customFormat="1" ht="16.5" x14ac:dyDescent="0.25">
      <c r="B428"/>
      <c r="C428" s="41"/>
      <c r="D428" s="41"/>
      <c r="E428" s="41"/>
      <c r="F428"/>
    </row>
    <row r="429" spans="2:6" s="1" customFormat="1" ht="16.5" x14ac:dyDescent="0.25">
      <c r="B429"/>
      <c r="C429" s="41"/>
      <c r="D429" s="41"/>
      <c r="E429" s="41"/>
      <c r="F429"/>
    </row>
    <row r="430" spans="2:6" s="1" customFormat="1" ht="16.5" x14ac:dyDescent="0.25">
      <c r="B430"/>
      <c r="C430" s="41"/>
      <c r="D430" s="41"/>
      <c r="E430" s="41"/>
      <c r="F430"/>
    </row>
    <row r="431" spans="2:6" s="1" customFormat="1" ht="16.5" x14ac:dyDescent="0.25">
      <c r="B431"/>
      <c r="C431" s="41"/>
      <c r="D431" s="41"/>
      <c r="E431" s="41"/>
      <c r="F431"/>
    </row>
    <row r="432" spans="2:6" s="1" customFormat="1" ht="16.5" x14ac:dyDescent="0.25">
      <c r="B432"/>
      <c r="C432" s="41"/>
      <c r="D432" s="41"/>
      <c r="E432" s="41"/>
      <c r="F432"/>
    </row>
    <row r="433" spans="2:6" s="1" customFormat="1" ht="16.5" x14ac:dyDescent="0.25">
      <c r="B433"/>
      <c r="C433" s="41"/>
      <c r="D433" s="41"/>
      <c r="E433" s="41"/>
      <c r="F433"/>
    </row>
    <row r="434" spans="2:6" s="1" customFormat="1" ht="16.5" x14ac:dyDescent="0.25">
      <c r="B434"/>
      <c r="C434" s="41"/>
      <c r="D434" s="41"/>
      <c r="E434" s="41"/>
      <c r="F434"/>
    </row>
    <row r="435" spans="2:6" s="1" customFormat="1" ht="16.5" x14ac:dyDescent="0.25">
      <c r="B435"/>
      <c r="C435" s="41"/>
      <c r="D435" s="41"/>
      <c r="E435" s="41"/>
      <c r="F435"/>
    </row>
    <row r="436" spans="2:6" s="1" customFormat="1" ht="16.5" x14ac:dyDescent="0.25">
      <c r="B436"/>
      <c r="C436" s="41"/>
      <c r="D436" s="41"/>
      <c r="E436" s="41"/>
      <c r="F436"/>
    </row>
    <row r="437" spans="2:6" s="1" customFormat="1" ht="16.5" x14ac:dyDescent="0.25">
      <c r="B437"/>
      <c r="C437" s="41"/>
      <c r="D437" s="41"/>
      <c r="E437" s="41"/>
      <c r="F437"/>
    </row>
    <row r="438" spans="2:6" s="1" customFormat="1" ht="16.5" x14ac:dyDescent="0.25">
      <c r="B438"/>
      <c r="C438" s="41"/>
      <c r="D438" s="41"/>
      <c r="E438" s="41"/>
      <c r="F438"/>
    </row>
    <row r="439" spans="2:6" s="1" customFormat="1" ht="16.5" x14ac:dyDescent="0.25">
      <c r="B439"/>
      <c r="C439" s="41"/>
      <c r="D439" s="41"/>
      <c r="E439" s="41"/>
      <c r="F439"/>
    </row>
    <row r="440" spans="2:6" s="1" customFormat="1" ht="16.5" x14ac:dyDescent="0.25">
      <c r="B440"/>
      <c r="C440" s="41"/>
      <c r="D440" s="41"/>
      <c r="E440" s="41"/>
      <c r="F440"/>
    </row>
    <row r="441" spans="2:6" s="1" customFormat="1" ht="16.5" x14ac:dyDescent="0.25">
      <c r="B441"/>
      <c r="C441" s="41"/>
      <c r="D441" s="41"/>
      <c r="E441" s="41"/>
      <c r="F441"/>
    </row>
    <row r="442" spans="2:6" s="1" customFormat="1" ht="16.5" x14ac:dyDescent="0.25">
      <c r="B442"/>
      <c r="C442" s="41"/>
      <c r="D442" s="41"/>
      <c r="E442" s="41"/>
      <c r="F442"/>
    </row>
    <row r="443" spans="2:6" s="1" customFormat="1" ht="16.5" x14ac:dyDescent="0.25">
      <c r="B443"/>
      <c r="C443" s="41"/>
      <c r="D443" s="41"/>
      <c r="E443" s="41"/>
      <c r="F443"/>
    </row>
    <row r="444" spans="2:6" s="1" customFormat="1" ht="16.5" x14ac:dyDescent="0.25">
      <c r="B444"/>
      <c r="C444" s="41"/>
      <c r="D444" s="41"/>
      <c r="E444" s="41"/>
      <c r="F444"/>
    </row>
    <row r="445" spans="2:6" s="1" customFormat="1" ht="16.5" x14ac:dyDescent="0.25">
      <c r="B445"/>
      <c r="C445" s="41"/>
      <c r="D445" s="41"/>
      <c r="E445" s="41"/>
      <c r="F445"/>
    </row>
    <row r="446" spans="2:6" s="1" customFormat="1" ht="16.5" x14ac:dyDescent="0.25">
      <c r="B446"/>
      <c r="C446" s="41"/>
      <c r="D446" s="41"/>
      <c r="E446" s="41"/>
      <c r="F446"/>
    </row>
    <row r="447" spans="2:6" s="1" customFormat="1" ht="16.5" x14ac:dyDescent="0.25">
      <c r="B447"/>
      <c r="C447" s="41"/>
      <c r="D447" s="41"/>
      <c r="E447" s="41"/>
      <c r="F447"/>
    </row>
    <row r="448" spans="2:6" s="1" customFormat="1" ht="16.5" x14ac:dyDescent="0.25">
      <c r="B448"/>
      <c r="C448" s="41"/>
      <c r="D448" s="41"/>
      <c r="E448" s="41"/>
      <c r="F448"/>
    </row>
    <row r="449" spans="2:6" s="1" customFormat="1" ht="16.5" x14ac:dyDescent="0.25">
      <c r="B449"/>
      <c r="C449" s="41"/>
      <c r="D449" s="41"/>
      <c r="E449" s="41"/>
      <c r="F449"/>
    </row>
    <row r="450" spans="2:6" s="1" customFormat="1" ht="16.5" x14ac:dyDescent="0.25">
      <c r="B450"/>
      <c r="C450" s="41"/>
      <c r="D450" s="41"/>
      <c r="E450" s="41"/>
      <c r="F450"/>
    </row>
    <row r="451" spans="2:6" s="1" customFormat="1" ht="16.5" x14ac:dyDescent="0.25">
      <c r="B451"/>
      <c r="C451" s="41"/>
      <c r="D451" s="41"/>
      <c r="E451" s="41"/>
      <c r="F451"/>
    </row>
    <row r="452" spans="2:6" s="1" customFormat="1" ht="16.5" x14ac:dyDescent="0.25">
      <c r="B452"/>
      <c r="C452" s="41"/>
      <c r="D452" s="41"/>
      <c r="E452" s="41"/>
      <c r="F452"/>
    </row>
    <row r="453" spans="2:6" s="1" customFormat="1" ht="16.5" x14ac:dyDescent="0.25">
      <c r="B453"/>
      <c r="C453" s="41"/>
      <c r="D453" s="41"/>
      <c r="E453" s="41"/>
      <c r="F453"/>
    </row>
    <row r="454" spans="2:6" s="1" customFormat="1" ht="16.5" x14ac:dyDescent="0.25">
      <c r="B454"/>
      <c r="C454" s="41"/>
      <c r="D454" s="41"/>
      <c r="E454" s="41"/>
      <c r="F454"/>
    </row>
    <row r="455" spans="2:6" s="1" customFormat="1" ht="16.5" x14ac:dyDescent="0.25">
      <c r="B455"/>
      <c r="C455" s="41"/>
      <c r="D455" s="41"/>
      <c r="E455" s="41"/>
      <c r="F455"/>
    </row>
    <row r="456" spans="2:6" s="1" customFormat="1" ht="16.5" x14ac:dyDescent="0.25">
      <c r="B456"/>
      <c r="C456" s="41"/>
      <c r="D456" s="41"/>
      <c r="E456" s="41"/>
      <c r="F456"/>
    </row>
    <row r="457" spans="2:6" s="1" customFormat="1" ht="16.5" x14ac:dyDescent="0.25">
      <c r="B457"/>
      <c r="C457" s="41"/>
      <c r="D457" s="41"/>
      <c r="E457" s="41"/>
      <c r="F457"/>
    </row>
    <row r="458" spans="2:6" s="1" customFormat="1" ht="16.5" x14ac:dyDescent="0.25">
      <c r="B458"/>
      <c r="C458" s="41"/>
      <c r="D458" s="41"/>
      <c r="E458" s="41"/>
      <c r="F458"/>
    </row>
    <row r="459" spans="2:6" s="1" customFormat="1" ht="16.5" x14ac:dyDescent="0.25">
      <c r="B459"/>
      <c r="C459" s="41"/>
      <c r="D459" s="41"/>
      <c r="E459" s="41"/>
      <c r="F459"/>
    </row>
    <row r="460" spans="2:6" s="1" customFormat="1" ht="16.5" x14ac:dyDescent="0.25">
      <c r="B460"/>
      <c r="C460" s="41"/>
      <c r="D460" s="41"/>
      <c r="E460" s="41"/>
      <c r="F460"/>
    </row>
    <row r="461" spans="2:6" s="1" customFormat="1" ht="16.5" x14ac:dyDescent="0.25">
      <c r="B461"/>
      <c r="C461" s="41"/>
      <c r="D461" s="41"/>
      <c r="E461" s="41"/>
      <c r="F461"/>
    </row>
    <row r="462" spans="2:6" s="1" customFormat="1" ht="16.5" x14ac:dyDescent="0.25">
      <c r="B462"/>
      <c r="C462" s="41"/>
      <c r="D462" s="41"/>
      <c r="E462" s="41"/>
      <c r="F462"/>
    </row>
    <row r="463" spans="2:6" s="1" customFormat="1" ht="16.5" x14ac:dyDescent="0.25">
      <c r="B463"/>
      <c r="C463" s="41"/>
      <c r="D463" s="41"/>
      <c r="E463" s="41"/>
      <c r="F463"/>
    </row>
    <row r="464" spans="2:6" s="1" customFormat="1" ht="16.5" x14ac:dyDescent="0.25">
      <c r="B464"/>
      <c r="C464" s="41"/>
      <c r="D464" s="41"/>
      <c r="E464" s="41"/>
      <c r="F464"/>
    </row>
    <row r="465" spans="2:6" s="1" customFormat="1" ht="16.5" x14ac:dyDescent="0.25">
      <c r="B465"/>
      <c r="C465" s="41"/>
      <c r="D465" s="41"/>
      <c r="E465" s="41"/>
      <c r="F465"/>
    </row>
    <row r="466" spans="2:6" s="1" customFormat="1" ht="16.5" x14ac:dyDescent="0.25">
      <c r="B466"/>
      <c r="C466" s="41"/>
      <c r="D466" s="41"/>
      <c r="E466" s="41"/>
      <c r="F466"/>
    </row>
    <row r="467" spans="2:6" s="1" customFormat="1" ht="16.5" x14ac:dyDescent="0.25">
      <c r="B467"/>
      <c r="C467" s="41"/>
      <c r="D467" s="41"/>
      <c r="E467" s="41"/>
      <c r="F467"/>
    </row>
    <row r="468" spans="2:6" s="1" customFormat="1" ht="16.5" x14ac:dyDescent="0.25">
      <c r="B468"/>
      <c r="C468" s="41"/>
      <c r="D468" s="41"/>
      <c r="E468" s="41"/>
      <c r="F468"/>
    </row>
    <row r="469" spans="2:6" s="1" customFormat="1" ht="16.5" x14ac:dyDescent="0.25">
      <c r="B469"/>
      <c r="C469" s="41"/>
      <c r="D469" s="41"/>
      <c r="E469" s="41"/>
      <c r="F469"/>
    </row>
    <row r="470" spans="2:6" s="1" customFormat="1" ht="16.5" x14ac:dyDescent="0.25">
      <c r="B470"/>
      <c r="C470" s="41"/>
      <c r="D470" s="41"/>
      <c r="E470" s="41"/>
      <c r="F470"/>
    </row>
    <row r="471" spans="2:6" s="1" customFormat="1" ht="16.5" x14ac:dyDescent="0.25">
      <c r="B471"/>
      <c r="C471" s="41"/>
      <c r="D471" s="41"/>
      <c r="E471" s="41"/>
      <c r="F471"/>
    </row>
    <row r="472" spans="2:6" s="1" customFormat="1" ht="16.5" x14ac:dyDescent="0.25">
      <c r="B472"/>
      <c r="C472" s="41"/>
      <c r="D472" s="41"/>
      <c r="E472" s="41"/>
      <c r="F472"/>
    </row>
    <row r="473" spans="2:6" s="1" customFormat="1" ht="16.5" x14ac:dyDescent="0.25">
      <c r="B473"/>
      <c r="C473" s="41"/>
      <c r="D473" s="41"/>
      <c r="E473" s="41"/>
      <c r="F473"/>
    </row>
    <row r="474" spans="2:6" s="1" customFormat="1" ht="16.5" x14ac:dyDescent="0.25">
      <c r="B474"/>
      <c r="C474" s="41"/>
      <c r="D474" s="41"/>
      <c r="E474" s="41"/>
      <c r="F474"/>
    </row>
    <row r="475" spans="2:6" s="1" customFormat="1" ht="16.5" x14ac:dyDescent="0.25">
      <c r="B475"/>
      <c r="C475" s="41"/>
      <c r="D475" s="41"/>
      <c r="E475" s="41"/>
      <c r="F475"/>
    </row>
    <row r="476" spans="2:6" s="1" customFormat="1" ht="16.5" x14ac:dyDescent="0.25">
      <c r="B476"/>
      <c r="C476" s="41"/>
      <c r="D476" s="41"/>
      <c r="E476" s="41"/>
      <c r="F476"/>
    </row>
    <row r="477" spans="2:6" s="1" customFormat="1" ht="16.5" x14ac:dyDescent="0.25">
      <c r="B477"/>
      <c r="C477" s="41"/>
      <c r="D477" s="41"/>
      <c r="E477" s="41"/>
      <c r="F477"/>
    </row>
    <row r="478" spans="2:6" s="1" customFormat="1" ht="16.5" x14ac:dyDescent="0.25">
      <c r="B478"/>
      <c r="C478" s="41"/>
      <c r="D478" s="41"/>
      <c r="E478" s="41"/>
      <c r="F478"/>
    </row>
    <row r="479" spans="2:6" s="1" customFormat="1" ht="16.5" x14ac:dyDescent="0.25">
      <c r="B479"/>
      <c r="C479" s="41"/>
      <c r="D479" s="41"/>
      <c r="E479" s="41"/>
      <c r="F479"/>
    </row>
    <row r="480" spans="2:6" s="1" customFormat="1" ht="16.5" x14ac:dyDescent="0.25">
      <c r="B480"/>
      <c r="C480" s="41"/>
      <c r="D480" s="41"/>
      <c r="E480" s="41"/>
      <c r="F480"/>
    </row>
    <row r="481" spans="2:6" s="1" customFormat="1" ht="16.5" x14ac:dyDescent="0.25">
      <c r="B481"/>
      <c r="C481" s="41"/>
      <c r="D481" s="41"/>
      <c r="E481" s="41"/>
      <c r="F481"/>
    </row>
    <row r="482" spans="2:6" s="1" customFormat="1" ht="16.5" x14ac:dyDescent="0.25">
      <c r="B482"/>
      <c r="C482" s="41"/>
      <c r="D482" s="41"/>
      <c r="E482" s="41"/>
      <c r="F482"/>
    </row>
    <row r="483" spans="2:6" s="1" customFormat="1" ht="16.5" x14ac:dyDescent="0.25">
      <c r="B483"/>
      <c r="C483" s="41"/>
      <c r="D483" s="41"/>
      <c r="E483" s="41"/>
      <c r="F483"/>
    </row>
    <row r="484" spans="2:6" s="1" customFormat="1" ht="16.5" x14ac:dyDescent="0.25">
      <c r="B484"/>
      <c r="C484" s="41"/>
      <c r="D484" s="41"/>
      <c r="E484" s="41"/>
      <c r="F484"/>
    </row>
    <row r="485" spans="2:6" s="1" customFormat="1" ht="16.5" x14ac:dyDescent="0.25">
      <c r="B485"/>
      <c r="C485" s="41"/>
      <c r="D485" s="41"/>
      <c r="E485" s="41"/>
      <c r="F485"/>
    </row>
    <row r="486" spans="2:6" s="1" customFormat="1" ht="16.5" x14ac:dyDescent="0.25">
      <c r="B486"/>
      <c r="C486" s="41"/>
      <c r="D486" s="41"/>
      <c r="E486" s="41"/>
      <c r="F486"/>
    </row>
    <row r="487" spans="2:6" s="1" customFormat="1" ht="16.5" x14ac:dyDescent="0.25">
      <c r="B487"/>
      <c r="C487" s="41"/>
      <c r="D487" s="41"/>
      <c r="E487" s="41"/>
      <c r="F487"/>
    </row>
    <row r="488" spans="2:6" s="1" customFormat="1" ht="16.5" x14ac:dyDescent="0.25">
      <c r="B488"/>
      <c r="C488" s="41"/>
      <c r="D488" s="41"/>
      <c r="E488" s="41"/>
      <c r="F488"/>
    </row>
    <row r="489" spans="2:6" s="1" customFormat="1" ht="16.5" x14ac:dyDescent="0.25">
      <c r="B489"/>
      <c r="C489" s="41"/>
      <c r="D489" s="41"/>
      <c r="E489" s="41"/>
      <c r="F489"/>
    </row>
    <row r="490" spans="2:6" s="1" customFormat="1" ht="16.5" x14ac:dyDescent="0.25">
      <c r="B490"/>
      <c r="C490" s="41"/>
      <c r="D490" s="41"/>
      <c r="E490" s="41"/>
      <c r="F490"/>
    </row>
    <row r="491" spans="2:6" s="1" customFormat="1" ht="16.5" x14ac:dyDescent="0.25">
      <c r="B491"/>
      <c r="C491" s="41"/>
      <c r="D491" s="41"/>
      <c r="E491" s="41"/>
      <c r="F491"/>
    </row>
    <row r="492" spans="2:6" s="1" customFormat="1" ht="16.5" x14ac:dyDescent="0.25">
      <c r="B492"/>
      <c r="C492" s="41"/>
      <c r="D492" s="41"/>
      <c r="E492" s="41"/>
      <c r="F492"/>
    </row>
    <row r="493" spans="2:6" s="1" customFormat="1" ht="16.5" x14ac:dyDescent="0.25">
      <c r="B493"/>
      <c r="C493" s="41"/>
      <c r="D493" s="41"/>
      <c r="E493" s="41"/>
      <c r="F493"/>
    </row>
    <row r="494" spans="2:6" s="1" customFormat="1" ht="16.5" x14ac:dyDescent="0.25">
      <c r="B494"/>
      <c r="C494" s="41"/>
      <c r="D494" s="41"/>
      <c r="E494" s="41"/>
      <c r="F494"/>
    </row>
    <row r="495" spans="2:6" s="1" customFormat="1" ht="16.5" x14ac:dyDescent="0.25">
      <c r="B495"/>
      <c r="C495" s="41"/>
      <c r="D495" s="41"/>
      <c r="E495" s="41"/>
      <c r="F495"/>
    </row>
    <row r="496" spans="2:6" s="1" customFormat="1" ht="16.5" x14ac:dyDescent="0.25">
      <c r="B496"/>
      <c r="C496" s="41"/>
      <c r="D496" s="41"/>
      <c r="E496" s="41"/>
      <c r="F496"/>
    </row>
    <row r="497" spans="2:6" s="1" customFormat="1" ht="16.5" x14ac:dyDescent="0.25">
      <c r="B497"/>
      <c r="C497" s="41"/>
      <c r="D497" s="41"/>
      <c r="E497" s="41"/>
      <c r="F497"/>
    </row>
    <row r="498" spans="2:6" s="1" customFormat="1" ht="16.5" x14ac:dyDescent="0.25">
      <c r="B498"/>
      <c r="C498" s="41"/>
      <c r="D498" s="41"/>
      <c r="E498" s="41"/>
      <c r="F498"/>
    </row>
    <row r="499" spans="2:6" s="1" customFormat="1" ht="16.5" x14ac:dyDescent="0.25">
      <c r="B499"/>
      <c r="C499" s="41"/>
      <c r="D499" s="41"/>
      <c r="E499" s="41"/>
      <c r="F499"/>
    </row>
    <row r="500" spans="2:6" s="1" customFormat="1" ht="16.5" x14ac:dyDescent="0.25">
      <c r="B500"/>
      <c r="C500" s="41"/>
      <c r="D500" s="41"/>
      <c r="E500" s="41"/>
      <c r="F500"/>
    </row>
    <row r="501" spans="2:6" s="1" customFormat="1" ht="16.5" x14ac:dyDescent="0.25">
      <c r="B501"/>
      <c r="C501" s="41"/>
      <c r="D501" s="41"/>
      <c r="E501" s="41"/>
      <c r="F501"/>
    </row>
    <row r="502" spans="2:6" s="1" customFormat="1" ht="16.5" x14ac:dyDescent="0.25">
      <c r="B502"/>
      <c r="C502" s="41"/>
      <c r="D502" s="41"/>
      <c r="E502" s="41"/>
      <c r="F502"/>
    </row>
    <row r="503" spans="2:6" s="1" customFormat="1" ht="16.5" x14ac:dyDescent="0.25">
      <c r="B503"/>
      <c r="C503" s="41"/>
      <c r="D503" s="41"/>
      <c r="E503" s="41"/>
      <c r="F503"/>
    </row>
    <row r="504" spans="2:6" s="1" customFormat="1" ht="16.5" x14ac:dyDescent="0.25">
      <c r="B504"/>
      <c r="C504" s="41"/>
      <c r="D504" s="41"/>
      <c r="E504" s="41"/>
      <c r="F504"/>
    </row>
    <row r="505" spans="2:6" s="1" customFormat="1" ht="16.5" x14ac:dyDescent="0.25">
      <c r="B505"/>
      <c r="C505" s="41"/>
      <c r="D505" s="41"/>
      <c r="E505" s="41"/>
      <c r="F505"/>
    </row>
    <row r="506" spans="2:6" s="1" customFormat="1" ht="16.5" x14ac:dyDescent="0.25">
      <c r="B506"/>
      <c r="C506" s="41"/>
      <c r="D506" s="41"/>
      <c r="E506" s="41"/>
      <c r="F506"/>
    </row>
    <row r="507" spans="2:6" s="1" customFormat="1" ht="16.5" x14ac:dyDescent="0.25">
      <c r="B507"/>
      <c r="C507" s="41"/>
      <c r="D507" s="41"/>
      <c r="E507" s="41"/>
      <c r="F507"/>
    </row>
    <row r="508" spans="2:6" s="1" customFormat="1" ht="16.5" x14ac:dyDescent="0.25">
      <c r="B508"/>
      <c r="C508" s="41"/>
      <c r="D508" s="41"/>
      <c r="E508" s="41"/>
      <c r="F508"/>
    </row>
    <row r="509" spans="2:6" s="1" customFormat="1" ht="16.5" x14ac:dyDescent="0.25">
      <c r="B509"/>
      <c r="C509" s="41"/>
      <c r="D509" s="41"/>
      <c r="E509" s="41"/>
      <c r="F509"/>
    </row>
    <row r="510" spans="2:6" s="1" customFormat="1" ht="16.5" x14ac:dyDescent="0.25">
      <c r="B510"/>
      <c r="C510" s="41"/>
      <c r="D510" s="41"/>
      <c r="E510" s="41"/>
      <c r="F510"/>
    </row>
    <row r="511" spans="2:6" s="1" customFormat="1" ht="16.5" x14ac:dyDescent="0.25">
      <c r="B511"/>
      <c r="C511" s="41"/>
      <c r="D511" s="41"/>
      <c r="E511" s="41"/>
      <c r="F511"/>
    </row>
    <row r="512" spans="2:6" s="1" customFormat="1" ht="16.5" x14ac:dyDescent="0.25">
      <c r="B512"/>
      <c r="F512"/>
    </row>
    <row r="513" spans="2:6" s="1" customFormat="1" ht="16.5" x14ac:dyDescent="0.25">
      <c r="B513"/>
      <c r="F513"/>
    </row>
    <row r="514" spans="2:6" s="1" customFormat="1" ht="16.5" x14ac:dyDescent="0.25">
      <c r="B514"/>
      <c r="F514"/>
    </row>
    <row r="515" spans="2:6" s="1" customFormat="1" ht="16.5" x14ac:dyDescent="0.25">
      <c r="B515"/>
      <c r="F515"/>
    </row>
    <row r="516" spans="2:6" s="1" customFormat="1" ht="16.5" x14ac:dyDescent="0.25">
      <c r="B516"/>
      <c r="F516"/>
    </row>
    <row r="517" spans="2:6" s="1" customFormat="1" ht="16.5" x14ac:dyDescent="0.25">
      <c r="B517"/>
      <c r="F517"/>
    </row>
    <row r="518" spans="2:6" s="1" customFormat="1" ht="16.5" x14ac:dyDescent="0.25">
      <c r="B518"/>
      <c r="F518"/>
    </row>
    <row r="519" spans="2:6" s="1" customFormat="1" ht="16.5" x14ac:dyDescent="0.25">
      <c r="B519"/>
      <c r="F519"/>
    </row>
    <row r="520" spans="2:6" s="1" customFormat="1" ht="16.5" x14ac:dyDescent="0.25">
      <c r="B520"/>
      <c r="F520"/>
    </row>
    <row r="521" spans="2:6" s="1" customFormat="1" ht="16.5" x14ac:dyDescent="0.25">
      <c r="B521"/>
      <c r="F521"/>
    </row>
    <row r="522" spans="2:6" s="1" customFormat="1" ht="16.5" x14ac:dyDescent="0.25">
      <c r="B522"/>
      <c r="F522"/>
    </row>
    <row r="523" spans="2:6" s="1" customFormat="1" ht="16.5" x14ac:dyDescent="0.25">
      <c r="B523"/>
      <c r="F523"/>
    </row>
    <row r="524" spans="2:6" s="1" customFormat="1" ht="16.5" x14ac:dyDescent="0.25">
      <c r="B524"/>
      <c r="F524"/>
    </row>
    <row r="525" spans="2:6" s="1" customFormat="1" ht="16.5" x14ac:dyDescent="0.25">
      <c r="B525"/>
      <c r="F525"/>
    </row>
    <row r="526" spans="2:6" s="1" customFormat="1" ht="16.5" x14ac:dyDescent="0.25">
      <c r="B526"/>
      <c r="F526"/>
    </row>
    <row r="527" spans="2:6" s="1" customFormat="1" ht="16.5" x14ac:dyDescent="0.25">
      <c r="B527"/>
      <c r="F527"/>
    </row>
    <row r="528" spans="2:6" s="1" customFormat="1" ht="16.5" x14ac:dyDescent="0.25">
      <c r="B528"/>
      <c r="F528"/>
    </row>
    <row r="529" spans="2:6" s="1" customFormat="1" ht="16.5" x14ac:dyDescent="0.25">
      <c r="B529"/>
      <c r="F529"/>
    </row>
    <row r="530" spans="2:6" s="1" customFormat="1" ht="16.5" x14ac:dyDescent="0.25">
      <c r="B530"/>
      <c r="F530"/>
    </row>
    <row r="531" spans="2:6" s="1" customFormat="1" ht="16.5" x14ac:dyDescent="0.25">
      <c r="B531"/>
      <c r="F531"/>
    </row>
    <row r="532" spans="2:6" s="1" customFormat="1" ht="16.5" x14ac:dyDescent="0.25">
      <c r="B532"/>
      <c r="F532"/>
    </row>
    <row r="533" spans="2:6" s="1" customFormat="1" ht="16.5" x14ac:dyDescent="0.25">
      <c r="B533"/>
      <c r="F533"/>
    </row>
    <row r="534" spans="2:6" s="1" customFormat="1" ht="16.5" x14ac:dyDescent="0.25">
      <c r="B534"/>
      <c r="F534"/>
    </row>
    <row r="535" spans="2:6" s="1" customFormat="1" ht="16.5" x14ac:dyDescent="0.25">
      <c r="B535"/>
      <c r="F535"/>
    </row>
    <row r="536" spans="2:6" s="1" customFormat="1" ht="16.5" x14ac:dyDescent="0.25">
      <c r="B536"/>
      <c r="F536"/>
    </row>
    <row r="537" spans="2:6" s="1" customFormat="1" ht="16.5" x14ac:dyDescent="0.25">
      <c r="B537"/>
      <c r="F537"/>
    </row>
    <row r="538" spans="2:6" s="1" customFormat="1" ht="16.5" x14ac:dyDescent="0.25">
      <c r="B538"/>
      <c r="F538"/>
    </row>
    <row r="539" spans="2:6" s="1" customFormat="1" ht="16.5" x14ac:dyDescent="0.25">
      <c r="B539"/>
      <c r="F539"/>
    </row>
    <row r="540" spans="2:6" s="1" customFormat="1" ht="16.5" x14ac:dyDescent="0.25">
      <c r="B540"/>
      <c r="F540"/>
    </row>
    <row r="541" spans="2:6" s="1" customFormat="1" ht="16.5" x14ac:dyDescent="0.25">
      <c r="B541"/>
      <c r="F541"/>
    </row>
    <row r="542" spans="2:6" s="1" customFormat="1" ht="16.5" x14ac:dyDescent="0.25">
      <c r="B542"/>
      <c r="F542"/>
    </row>
    <row r="543" spans="2:6" s="1" customFormat="1" ht="16.5" x14ac:dyDescent="0.25">
      <c r="B543"/>
      <c r="F543"/>
    </row>
    <row r="544" spans="2:6" s="1" customFormat="1" ht="16.5" x14ac:dyDescent="0.25">
      <c r="B544"/>
      <c r="F544"/>
    </row>
    <row r="545" spans="2:6" s="1" customFormat="1" ht="16.5" x14ac:dyDescent="0.25">
      <c r="B545"/>
      <c r="F545"/>
    </row>
    <row r="546" spans="2:6" s="1" customFormat="1" ht="16.5" x14ac:dyDescent="0.25">
      <c r="B546"/>
      <c r="F546"/>
    </row>
    <row r="547" spans="2:6" s="1" customFormat="1" ht="16.5" x14ac:dyDescent="0.25">
      <c r="B547"/>
      <c r="F547"/>
    </row>
    <row r="548" spans="2:6" s="1" customFormat="1" ht="16.5" x14ac:dyDescent="0.25">
      <c r="B548"/>
      <c r="F548"/>
    </row>
    <row r="549" spans="2:6" s="1" customFormat="1" ht="16.5" x14ac:dyDescent="0.25">
      <c r="B549"/>
      <c r="F549"/>
    </row>
    <row r="550" spans="2:6" s="1" customFormat="1" ht="16.5" x14ac:dyDescent="0.25">
      <c r="B550"/>
      <c r="F550"/>
    </row>
    <row r="551" spans="2:6" s="1" customFormat="1" ht="16.5" x14ac:dyDescent="0.25">
      <c r="B551"/>
      <c r="F551"/>
    </row>
    <row r="552" spans="2:6" s="1" customFormat="1" ht="16.5" x14ac:dyDescent="0.25">
      <c r="B552"/>
      <c r="F552"/>
    </row>
    <row r="553" spans="2:6" s="1" customFormat="1" ht="16.5" x14ac:dyDescent="0.25">
      <c r="B553"/>
      <c r="F553"/>
    </row>
    <row r="554" spans="2:6" s="1" customFormat="1" ht="16.5" x14ac:dyDescent="0.25">
      <c r="B554"/>
      <c r="F554"/>
    </row>
    <row r="555" spans="2:6" s="1" customFormat="1" ht="16.5" x14ac:dyDescent="0.25">
      <c r="B555"/>
      <c r="F555"/>
    </row>
    <row r="556" spans="2:6" s="1" customFormat="1" ht="16.5" x14ac:dyDescent="0.25">
      <c r="B556"/>
      <c r="F556"/>
    </row>
    <row r="557" spans="2:6" s="1" customFormat="1" ht="16.5" x14ac:dyDescent="0.25">
      <c r="B557"/>
      <c r="F557"/>
    </row>
    <row r="558" spans="2:6" s="1" customFormat="1" ht="16.5" x14ac:dyDescent="0.25">
      <c r="B558"/>
      <c r="F558"/>
    </row>
    <row r="559" spans="2:6" s="1" customFormat="1" ht="16.5" x14ac:dyDescent="0.25">
      <c r="B559"/>
      <c r="F559"/>
    </row>
    <row r="560" spans="2:6" s="1" customFormat="1" ht="16.5" x14ac:dyDescent="0.25">
      <c r="B560"/>
      <c r="F560"/>
    </row>
    <row r="561" spans="2:6" s="1" customFormat="1" ht="16.5" x14ac:dyDescent="0.25">
      <c r="B561"/>
      <c r="F561"/>
    </row>
    <row r="562" spans="2:6" s="1" customFormat="1" ht="16.5" x14ac:dyDescent="0.25">
      <c r="B562"/>
      <c r="F562"/>
    </row>
    <row r="563" spans="2:6" s="1" customFormat="1" ht="16.5" x14ac:dyDescent="0.25">
      <c r="B563"/>
      <c r="F563"/>
    </row>
    <row r="564" spans="2:6" s="1" customFormat="1" ht="16.5" x14ac:dyDescent="0.25">
      <c r="B564"/>
      <c r="F564"/>
    </row>
    <row r="565" spans="2:6" s="1" customFormat="1" ht="16.5" x14ac:dyDescent="0.25">
      <c r="B565"/>
      <c r="F565"/>
    </row>
    <row r="566" spans="2:6" s="1" customFormat="1" ht="16.5" x14ac:dyDescent="0.25">
      <c r="B566"/>
      <c r="F566"/>
    </row>
    <row r="567" spans="2:6" s="1" customFormat="1" ht="16.5" x14ac:dyDescent="0.25">
      <c r="B567"/>
      <c r="F567"/>
    </row>
    <row r="568" spans="2:6" s="1" customFormat="1" ht="16.5" x14ac:dyDescent="0.25">
      <c r="B568"/>
      <c r="F568"/>
    </row>
    <row r="569" spans="2:6" s="1" customFormat="1" ht="16.5" x14ac:dyDescent="0.25">
      <c r="B569"/>
      <c r="F569"/>
    </row>
    <row r="570" spans="2:6" s="1" customFormat="1" ht="16.5" x14ac:dyDescent="0.25">
      <c r="B570"/>
      <c r="F570"/>
    </row>
    <row r="571" spans="2:6" s="1" customFormat="1" ht="16.5" x14ac:dyDescent="0.25">
      <c r="B571"/>
      <c r="F571"/>
    </row>
    <row r="572" spans="2:6" s="1" customFormat="1" ht="16.5" x14ac:dyDescent="0.25">
      <c r="B572"/>
      <c r="F572"/>
    </row>
    <row r="573" spans="2:6" s="1" customFormat="1" ht="16.5" x14ac:dyDescent="0.25">
      <c r="B573"/>
      <c r="F573"/>
    </row>
    <row r="574" spans="2:6" s="1" customFormat="1" ht="16.5" x14ac:dyDescent="0.25">
      <c r="B574"/>
      <c r="F574"/>
    </row>
    <row r="575" spans="2:6" s="1" customFormat="1" ht="16.5" x14ac:dyDescent="0.25">
      <c r="B575"/>
      <c r="F575"/>
    </row>
    <row r="576" spans="2:6" s="1" customFormat="1" ht="16.5" x14ac:dyDescent="0.25">
      <c r="B576"/>
      <c r="F576"/>
    </row>
    <row r="577" spans="2:6" s="1" customFormat="1" ht="16.5" x14ac:dyDescent="0.25">
      <c r="B577"/>
      <c r="F577"/>
    </row>
    <row r="578" spans="2:6" s="1" customFormat="1" ht="16.5" x14ac:dyDescent="0.25">
      <c r="B578"/>
      <c r="F578"/>
    </row>
    <row r="579" spans="2:6" s="1" customFormat="1" ht="16.5" x14ac:dyDescent="0.25">
      <c r="B579"/>
      <c r="F579"/>
    </row>
    <row r="580" spans="2:6" s="1" customFormat="1" ht="16.5" x14ac:dyDescent="0.25">
      <c r="B580"/>
      <c r="F580"/>
    </row>
    <row r="581" spans="2:6" s="1" customFormat="1" ht="16.5" x14ac:dyDescent="0.25">
      <c r="B581"/>
      <c r="F581"/>
    </row>
    <row r="582" spans="2:6" s="1" customFormat="1" ht="16.5" x14ac:dyDescent="0.25">
      <c r="B582"/>
      <c r="F582"/>
    </row>
    <row r="583" spans="2:6" s="1" customFormat="1" ht="16.5" x14ac:dyDescent="0.25">
      <c r="B583"/>
      <c r="F583"/>
    </row>
    <row r="584" spans="2:6" s="1" customFormat="1" ht="16.5" x14ac:dyDescent="0.25">
      <c r="B584"/>
      <c r="F584"/>
    </row>
    <row r="585" spans="2:6" s="1" customFormat="1" ht="16.5" x14ac:dyDescent="0.25">
      <c r="B585"/>
      <c r="F585"/>
    </row>
    <row r="586" spans="2:6" s="1" customFormat="1" ht="16.5" x14ac:dyDescent="0.25">
      <c r="B586"/>
      <c r="F586"/>
    </row>
    <row r="587" spans="2:6" s="1" customFormat="1" ht="16.5" x14ac:dyDescent="0.25">
      <c r="B587"/>
      <c r="F587"/>
    </row>
    <row r="588" spans="2:6" s="1" customFormat="1" ht="16.5" x14ac:dyDescent="0.25">
      <c r="B588"/>
      <c r="F588"/>
    </row>
    <row r="589" spans="2:6" s="1" customFormat="1" ht="16.5" x14ac:dyDescent="0.25">
      <c r="B589"/>
      <c r="F589"/>
    </row>
    <row r="590" spans="2:6" s="1" customFormat="1" ht="16.5" x14ac:dyDescent="0.25">
      <c r="B590"/>
      <c r="F590"/>
    </row>
    <row r="591" spans="2:6" s="1" customFormat="1" ht="16.5" x14ac:dyDescent="0.25">
      <c r="B591"/>
      <c r="F591"/>
    </row>
    <row r="592" spans="2:6" s="1" customFormat="1" ht="16.5" x14ac:dyDescent="0.25">
      <c r="B592"/>
      <c r="F592"/>
    </row>
    <row r="593" spans="2:6" s="1" customFormat="1" ht="16.5" x14ac:dyDescent="0.25">
      <c r="B593"/>
      <c r="F593"/>
    </row>
    <row r="594" spans="2:6" s="1" customFormat="1" ht="16.5" x14ac:dyDescent="0.25">
      <c r="B594"/>
      <c r="F594"/>
    </row>
    <row r="595" spans="2:6" s="1" customFormat="1" ht="16.5" x14ac:dyDescent="0.25">
      <c r="B595"/>
      <c r="F595"/>
    </row>
    <row r="596" spans="2:6" s="1" customFormat="1" ht="16.5" x14ac:dyDescent="0.25">
      <c r="B596"/>
      <c r="F596"/>
    </row>
    <row r="597" spans="2:6" s="1" customFormat="1" ht="16.5" x14ac:dyDescent="0.25">
      <c r="B597"/>
      <c r="F597"/>
    </row>
  </sheetData>
  <phoneticPr fontId="2" type="noConversion"/>
  <dataValidations count="1">
    <dataValidation type="list" allowBlank="1" showInputMessage="1" showErrorMessage="1" sqref="C12:E511">
      <formula1>$C$2:$C$3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COVER</vt:lpstr>
      <vt:lpstr>Model Check</vt:lpstr>
      <vt:lpstr>Width-Thk Ratio Check</vt:lpstr>
      <vt:lpstr>Grid &amp; Story</vt:lpstr>
      <vt:lpstr>Material</vt:lpstr>
      <vt:lpstr>Frame Section</vt:lpstr>
      <vt:lpstr>Area Section</vt:lpstr>
      <vt:lpstr>Load Case</vt:lpstr>
      <vt:lpstr>Dynamic Seismic Case</vt:lpstr>
      <vt:lpstr>Load Comb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使用者</cp:lastModifiedBy>
  <dcterms:created xsi:type="dcterms:W3CDTF">2014-06-28T03:05:27Z</dcterms:created>
  <dcterms:modified xsi:type="dcterms:W3CDTF">2018-05-25T17:30:14Z</dcterms:modified>
</cp:coreProperties>
</file>