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ipei04\Downloads\"/>
    </mc:Choice>
  </mc:AlternateContent>
  <xr:revisionPtr revIDLastSave="0" documentId="13_ncr:1_{22D1DD12-DB86-417C-9832-7CBC5B9F26CE}" xr6:coauthVersionLast="32" xr6:coauthVersionMax="32" xr10:uidLastSave="{00000000-0000-0000-0000-000000000000}"/>
  <bookViews>
    <workbookView xWindow="480" yWindow="120" windowWidth="10755" windowHeight="4245" activeTab="4" xr2:uid="{00000000-000D-0000-FFFF-FFFF00000000}"/>
  </bookViews>
  <sheets>
    <sheet name="Assembled Point Masses" sheetId="10" r:id="rId1"/>
    <sheet name="EQXB.EQYB" sheetId="12" r:id="rId2"/>
    <sheet name="Material List By Story" sheetId="3" r:id="rId3"/>
    <sheet name="Story Shears" sheetId="1" r:id="rId4"/>
    <sheet name="Check" sheetId="2" r:id="rId5"/>
    <sheet name="DL" sheetId="6" r:id="rId6"/>
    <sheet name="LL" sheetId="7" r:id="rId7"/>
    <sheet name="靜態地震力" sheetId="8" r:id="rId8"/>
    <sheet name="動態地震力修正" sheetId="9" r:id="rId9"/>
    <sheet name="更新紀錄" sheetId="13" r:id="rId10"/>
  </sheets>
  <externalReferences>
    <externalReference r:id="rId11"/>
    <externalReference r:id="rId12"/>
    <externalReference r:id="rId13"/>
  </externalReferences>
  <definedNames>
    <definedName name="_xlnm._FilterDatabase" localSheetId="0" hidden="1">'Assembled Point Masses'!$A$1:$K$13</definedName>
    <definedName name="_xlnm._FilterDatabase" localSheetId="5" hidden="1">DL!$A$1:$I$2071</definedName>
    <definedName name="_xlnm._FilterDatabase" localSheetId="6" hidden="1">LL!$A$1:$I$2071</definedName>
    <definedName name="_xlnm._FilterDatabase" localSheetId="2" hidden="1">'Material List By Story'!$A$1:$H$30</definedName>
    <definedName name="_xlnm._FilterDatabase" localSheetId="3" hidden="1">'Story Shears'!$A$1:$I$1321</definedName>
    <definedName name="_xlnm._FilterDatabase" localSheetId="8" hidden="1">動態地震力修正!$A$1:$I$2071</definedName>
    <definedName name="_xlnm._FilterDatabase" localSheetId="7" hidden="1">靜態地震力!$A$1:$I$2071</definedName>
    <definedName name="SiteNow">[1]地震行政區資料!$A$4</definedName>
  </definedNames>
  <calcPr calcId="179017"/>
</workbook>
</file>

<file path=xl/calcChain.xml><?xml version="1.0" encoding="utf-8"?>
<calcChain xmlns="http://schemas.openxmlformats.org/spreadsheetml/2006/main">
  <c r="C20" i="12" l="1"/>
  <c r="D20" i="12" s="1"/>
  <c r="C21" i="12"/>
  <c r="D21" i="12" s="1"/>
  <c r="C22" i="12"/>
  <c r="D22" i="12" s="1"/>
  <c r="C23" i="12"/>
  <c r="D23" i="12" s="1"/>
  <c r="C24" i="12"/>
  <c r="D24" i="12" s="1"/>
  <c r="C25" i="12"/>
  <c r="D25" i="12" s="1"/>
  <c r="C26" i="12"/>
  <c r="D26" i="12" s="1"/>
  <c r="C27" i="12"/>
  <c r="D27" i="12" s="1"/>
  <c r="C28" i="12"/>
  <c r="D28" i="12" s="1"/>
  <c r="C29" i="12"/>
  <c r="D29" i="12" s="1"/>
  <c r="C30" i="12"/>
  <c r="D30" i="12" s="1"/>
  <c r="C31" i="12"/>
  <c r="D31" i="12" s="1"/>
  <c r="C32" i="12"/>
  <c r="D32" i="12" s="1"/>
  <c r="C33" i="12"/>
  <c r="D33" i="12" s="1"/>
  <c r="C34" i="12"/>
  <c r="D34" i="12" s="1"/>
  <c r="C35" i="12"/>
  <c r="D35" i="12" s="1"/>
  <c r="C36" i="12"/>
  <c r="D36" i="12" s="1"/>
  <c r="C37" i="12"/>
  <c r="C17" i="12"/>
  <c r="D17" i="12" s="1"/>
  <c r="C18" i="12"/>
  <c r="D18" i="12" s="1"/>
  <c r="C19" i="12"/>
  <c r="D19" i="12" s="1"/>
  <c r="C16" i="12"/>
  <c r="D16" i="12" s="1"/>
  <c r="G93" i="12" l="1"/>
  <c r="G94" i="12"/>
  <c r="G95" i="12"/>
  <c r="G96" i="12"/>
  <c r="G97" i="12"/>
  <c r="G98" i="12"/>
  <c r="G99" i="12"/>
  <c r="G100" i="12"/>
  <c r="G101" i="12"/>
  <c r="G102" i="12"/>
  <c r="G103" i="12"/>
  <c r="F16" i="12" l="1"/>
  <c r="H16" i="12" s="1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E16" i="12" l="1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26" i="12"/>
  <c r="G26" i="12" s="1"/>
  <c r="E27" i="12"/>
  <c r="G27" i="12" s="1"/>
  <c r="E28" i="12"/>
  <c r="G28" i="12" s="1"/>
  <c r="E29" i="12"/>
  <c r="G29" i="12" s="1"/>
  <c r="E30" i="12"/>
  <c r="G30" i="12" s="1"/>
  <c r="E31" i="12"/>
  <c r="G31" i="12" s="1"/>
  <c r="E32" i="12"/>
  <c r="G32" i="12" s="1"/>
  <c r="E33" i="12"/>
  <c r="G33" i="12" s="1"/>
  <c r="E34" i="12"/>
  <c r="G34" i="12" s="1"/>
  <c r="E35" i="12"/>
  <c r="G35" i="12" s="1"/>
  <c r="E36" i="12"/>
  <c r="G36" i="12" s="1"/>
  <c r="E37" i="12"/>
  <c r="G37" i="12" s="1"/>
  <c r="E38" i="12"/>
  <c r="G38" i="12" s="1"/>
  <c r="E39" i="12"/>
  <c r="G39" i="12" s="1"/>
  <c r="E40" i="12"/>
  <c r="G40" i="12" s="1"/>
  <c r="E41" i="12"/>
  <c r="G41" i="12" s="1"/>
  <c r="E42" i="12"/>
  <c r="G42" i="12" s="1"/>
  <c r="E43" i="12"/>
  <c r="G43" i="12" s="1"/>
  <c r="E44" i="12"/>
  <c r="G44" i="12" s="1"/>
  <c r="E45" i="12"/>
  <c r="G45" i="12" s="1"/>
  <c r="E46" i="12"/>
  <c r="G46" i="12" s="1"/>
  <c r="E47" i="12"/>
  <c r="G47" i="12" s="1"/>
  <c r="E48" i="12"/>
  <c r="G48" i="12" s="1"/>
  <c r="E49" i="12"/>
  <c r="G49" i="12" s="1"/>
  <c r="E50" i="12"/>
  <c r="G50" i="12" s="1"/>
  <c r="E51" i="12"/>
  <c r="G51" i="12" s="1"/>
  <c r="E52" i="12"/>
  <c r="G52" i="12" s="1"/>
  <c r="E53" i="12"/>
  <c r="G53" i="12" s="1"/>
  <c r="E54" i="12"/>
  <c r="G54" i="12" s="1"/>
  <c r="E55" i="12"/>
  <c r="G55" i="12" s="1"/>
  <c r="E56" i="12"/>
  <c r="G56" i="12" s="1"/>
  <c r="E57" i="12"/>
  <c r="G57" i="12" s="1"/>
  <c r="E58" i="12"/>
  <c r="G58" i="12" s="1"/>
  <c r="E59" i="12"/>
  <c r="G59" i="12" s="1"/>
  <c r="E60" i="12"/>
  <c r="G60" i="12" s="1"/>
  <c r="E61" i="12"/>
  <c r="G61" i="12" s="1"/>
  <c r="E62" i="12"/>
  <c r="G62" i="12" s="1"/>
  <c r="E63" i="12"/>
  <c r="G63" i="12" s="1"/>
  <c r="E64" i="12"/>
  <c r="G64" i="12" s="1"/>
  <c r="E65" i="12"/>
  <c r="G65" i="12" s="1"/>
  <c r="E66" i="12"/>
  <c r="G66" i="12" s="1"/>
  <c r="E67" i="12"/>
  <c r="G67" i="12" s="1"/>
  <c r="E68" i="12"/>
  <c r="G68" i="12" s="1"/>
  <c r="E69" i="12"/>
  <c r="G69" i="12" s="1"/>
  <c r="E70" i="12"/>
  <c r="G70" i="12" s="1"/>
  <c r="E71" i="12"/>
  <c r="G71" i="12" s="1"/>
  <c r="E72" i="12"/>
  <c r="G72" i="12" s="1"/>
  <c r="E73" i="12"/>
  <c r="G73" i="12" s="1"/>
  <c r="E74" i="12"/>
  <c r="G74" i="12" s="1"/>
  <c r="E75" i="12"/>
  <c r="G75" i="12" s="1"/>
  <c r="E76" i="12"/>
  <c r="G76" i="12" s="1"/>
  <c r="E77" i="12"/>
  <c r="G77" i="12" s="1"/>
  <c r="E78" i="12"/>
  <c r="G78" i="12" s="1"/>
  <c r="E79" i="12"/>
  <c r="G79" i="12" s="1"/>
  <c r="E80" i="12"/>
  <c r="G80" i="12" s="1"/>
  <c r="E81" i="12"/>
  <c r="G81" i="12" s="1"/>
  <c r="E82" i="12"/>
  <c r="G82" i="12" s="1"/>
  <c r="E83" i="12"/>
  <c r="G83" i="12" s="1"/>
  <c r="E84" i="12"/>
  <c r="G84" i="12" s="1"/>
  <c r="E85" i="12"/>
  <c r="G85" i="12" s="1"/>
  <c r="E86" i="12"/>
  <c r="G86" i="12" s="1"/>
  <c r="E87" i="12"/>
  <c r="G87" i="12" s="1"/>
  <c r="E88" i="12"/>
  <c r="G88" i="12" s="1"/>
  <c r="E89" i="12"/>
  <c r="G89" i="12" s="1"/>
  <c r="E90" i="12"/>
  <c r="G90" i="12" s="1"/>
  <c r="E91" i="12"/>
  <c r="G91" i="12" s="1"/>
  <c r="E92" i="12"/>
  <c r="G92" i="12" s="1"/>
  <c r="K17" i="12"/>
  <c r="F97" i="12"/>
  <c r="F98" i="12"/>
  <c r="F99" i="12"/>
  <c r="F100" i="12"/>
  <c r="H17" i="12" l="1"/>
  <c r="K16" i="12"/>
  <c r="E15" i="12"/>
  <c r="G15" i="12" s="1"/>
  <c r="I15" i="12"/>
  <c r="J7" i="12" l="1"/>
  <c r="J8" i="12"/>
  <c r="G8" i="12"/>
  <c r="G7" i="12"/>
  <c r="C15" i="12" s="1"/>
  <c r="D15" i="12" l="1"/>
  <c r="F15" i="12" s="1"/>
  <c r="BI16" i="2"/>
  <c r="BJ16" i="2"/>
  <c r="BK16" i="2"/>
  <c r="BL16" i="2"/>
  <c r="BM16" i="2"/>
  <c r="BN16" i="2"/>
  <c r="BO16" i="2"/>
  <c r="BP16" i="2"/>
  <c r="BQ16" i="2"/>
  <c r="BR16" i="2"/>
  <c r="BS16" i="2"/>
  <c r="BT16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I204" i="2"/>
  <c r="BJ204" i="2"/>
  <c r="BK204" i="2"/>
  <c r="BL204" i="2"/>
  <c r="BM204" i="2"/>
  <c r="BN204" i="2"/>
  <c r="BO204" i="2"/>
  <c r="BP204" i="2"/>
  <c r="BQ204" i="2"/>
  <c r="BR204" i="2"/>
  <c r="BS204" i="2"/>
  <c r="BT204" i="2"/>
  <c r="BI205" i="2"/>
  <c r="BJ205" i="2"/>
  <c r="BK205" i="2"/>
  <c r="BL205" i="2"/>
  <c r="BM205" i="2"/>
  <c r="BN205" i="2"/>
  <c r="BO205" i="2"/>
  <c r="BP205" i="2"/>
  <c r="BQ205" i="2"/>
  <c r="BR205" i="2"/>
  <c r="BS205" i="2"/>
  <c r="BT205" i="2"/>
  <c r="BI206" i="2"/>
  <c r="BJ206" i="2"/>
  <c r="BK206" i="2"/>
  <c r="BL206" i="2"/>
  <c r="BM206" i="2"/>
  <c r="BN206" i="2"/>
  <c r="BO206" i="2"/>
  <c r="BP206" i="2"/>
  <c r="BQ206" i="2"/>
  <c r="BR206" i="2"/>
  <c r="BS206" i="2"/>
  <c r="BT206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J15" i="2"/>
  <c r="BK15" i="2"/>
  <c r="BL15" i="2"/>
  <c r="BM15" i="2"/>
  <c r="BN15" i="2"/>
  <c r="BO15" i="2"/>
  <c r="BP15" i="2"/>
  <c r="BQ15" i="2"/>
  <c r="BR15" i="2"/>
  <c r="BS15" i="2"/>
  <c r="BT15" i="2"/>
  <c r="BI15" i="2"/>
  <c r="BI13" i="2"/>
  <c r="BI14" i="2"/>
  <c r="BK14" i="2"/>
  <c r="BM14" i="2"/>
  <c r="BO14" i="2"/>
  <c r="BQ14" i="2"/>
  <c r="BS14" i="2"/>
  <c r="H15" i="12" l="1"/>
  <c r="Y2" i="2"/>
  <c r="Z2" i="2"/>
  <c r="V3" i="2"/>
  <c r="Y3" i="2"/>
  <c r="Z3" i="2"/>
  <c r="V4" i="2"/>
  <c r="Y4" i="2"/>
  <c r="Z4" i="2"/>
  <c r="V5" i="2"/>
  <c r="Y5" i="2"/>
  <c r="Z5" i="2"/>
  <c r="AB3" i="2"/>
  <c r="V7" i="2"/>
  <c r="Y6" i="2"/>
  <c r="AE2" i="2"/>
  <c r="AF2" i="2"/>
  <c r="AE3" i="2"/>
  <c r="AF3" i="2"/>
  <c r="AB4" i="2"/>
  <c r="AB5" i="2"/>
  <c r="AB6" i="2"/>
  <c r="AB7" i="2"/>
  <c r="AE7" i="2"/>
  <c r="V6" i="2"/>
  <c r="Y7" i="2"/>
  <c r="K29" i="12" l="1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 l="1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K15" i="12" s="1"/>
  <c r="H24" i="12" l="1"/>
  <c r="H22" i="12"/>
  <c r="H19" i="12"/>
  <c r="H20" i="12"/>
  <c r="K20" i="12"/>
  <c r="H25" i="12"/>
  <c r="K25" i="12"/>
  <c r="H27" i="12"/>
  <c r="AE6" i="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AE5" i="2" l="1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E4" i="2" l="1"/>
  <c r="AI10" i="2"/>
  <c r="AF5" i="2" l="1"/>
  <c r="AF4" i="2"/>
  <c r="AI11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U24" i="2"/>
  <c r="G24" i="2"/>
  <c r="X11" i="2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</calcChain>
</file>

<file path=xl/sharedStrings.xml><?xml version="1.0" encoding="utf-8"?>
<sst xmlns="http://schemas.openxmlformats.org/spreadsheetml/2006/main" count="31330" uniqueCount="329">
  <si>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</si>
  <si>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</si>
  <si>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</si>
  <si>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</si>
  <si>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</si>
  <si>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</si>
  <si>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</si>
  <si>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</si>
  <si>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</si>
  <si>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</si>
  <si>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</si>
  <si>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</si>
  <si>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</si>
  <si>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</si>
  <si>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</si>
  <si>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</si>
  <si>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</si>
  <si>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</si>
  <si>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</si>
  <si>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地震力-靜態</t>
  </si>
  <si>
    <t>EQXP</t>
  </si>
  <si>
    <t>EQXN</t>
  </si>
  <si>
    <t>EQYP</t>
  </si>
  <si>
    <t>EQYN</t>
  </si>
  <si>
    <t>3F</t>
  </si>
  <si>
    <t>Top</t>
  </si>
  <si>
    <t>LL</t>
  </si>
  <si>
    <t>FH</t>
  </si>
  <si>
    <t>FL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</si>
  <si>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</si>
  <si>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</si>
  <si>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</si>
  <si>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</si>
  <si>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</si>
  <si>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</si>
  <si>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</si>
  <si>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</si>
  <si>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</si>
  <si>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</si>
  <si>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</si>
  <si>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</si>
  <si>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</si>
  <si>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</si>
  <si>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</si>
  <si>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</si>
  <si>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</si>
  <si>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</si>
  <si>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</si>
  <si>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</si>
  <si>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</si>
  <si>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</si>
  <si>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</si>
  <si>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</si>
  <si>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</si>
  <si>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</si>
  <si>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</si>
  <si>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</si>
  <si>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</si>
  <si>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</si>
  <si>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</si>
  <si>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</si>
  <si>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</si>
  <si>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</si>
  <si>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</si>
  <si>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</si>
  <si>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</si>
  <si>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</si>
  <si>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</si>
  <si>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</si>
  <si>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</si>
  <si>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</si>
  <si>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</si>
  <si>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</si>
  <si>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</si>
  <si>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</si>
  <si>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</si>
  <si>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</si>
  <si>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</si>
  <si>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</si>
  <si>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</si>
  <si>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</si>
  <si>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</si>
  <si>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</si>
  <si>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</si>
  <si>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</si>
  <si>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</si>
  <si>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</si>
  <si>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</si>
  <si>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</si>
  <si>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</si>
  <si>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</si>
  <si>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</si>
  <si>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</si>
  <si>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</si>
  <si>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</si>
  <si>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</si>
  <si>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</si>
  <si>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</si>
  <si>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</si>
  <si>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</si>
  <si>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</si>
  <si>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</si>
  <si>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</si>
  <si>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</si>
  <si>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</si>
  <si>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</si>
  <si>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</si>
  <si>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</si>
  <si>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</si>
  <si>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</si>
  <si>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</si>
  <si>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</si>
  <si>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</si>
  <si>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</si>
  <si>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</si>
  <si>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</si>
  <si>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</si>
  <si>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</si>
  <si>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</si>
  <si>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</si>
  <si>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</si>
  <si>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</si>
  <si>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</si>
  <si>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</si>
  <si>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</si>
  <si>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</si>
  <si>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</si>
  <si>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</si>
  <si>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</si>
  <si>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</si>
  <si>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</si>
  <si>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</si>
  <si>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</si>
  <si>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</si>
  <si>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</si>
  <si>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</si>
  <si>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</si>
  <si>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</si>
  <si>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</si>
  <si>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</si>
  <si>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</si>
  <si>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</si>
  <si>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</si>
  <si>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</si>
  <si>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</si>
  <si>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</si>
  <si>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</si>
  <si>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</si>
  <si>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</si>
  <si>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</si>
  <si>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</si>
  <si>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</si>
  <si>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</si>
  <si>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</si>
  <si>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</si>
  <si>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</si>
  <si>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</si>
  <si>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</si>
  <si>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4F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</si>
  <si>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</si>
  <si>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</si>
  <si>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</si>
  <si>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</si>
  <si>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</si>
  <si>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</si>
  <si>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</si>
  <si>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</si>
  <si>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</si>
  <si>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</si>
  <si>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</si>
  <si>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</si>
  <si>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</si>
  <si>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</si>
  <si>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</si>
  <si>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</si>
  <si>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</si>
  <si>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</si>
  <si>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</si>
  <si>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</si>
  <si>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</si>
  <si>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</si>
  <si>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</si>
  <si>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</si>
  <si>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</si>
  <si>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</si>
  <si>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</si>
  <si>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</si>
  <si>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</si>
  <si>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</si>
  <si>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</si>
  <si>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</si>
  <si>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</si>
  <si>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</si>
  <si>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</si>
  <si>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</si>
  <si>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</si>
  <si>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</si>
  <si>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</si>
  <si>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</si>
  <si>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</si>
  <si>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</si>
  <si>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</si>
  <si>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</si>
  <si>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</si>
  <si>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</si>
  <si>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</si>
  <si>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</si>
  <si>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</si>
  <si>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</si>
  <si>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</si>
  <si>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</si>
  <si>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</si>
  <si>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</si>
  <si>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</si>
  <si>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</si>
  <si>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</si>
  <si>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</si>
  <si>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</si>
  <si>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</si>
  <si>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</si>
  <si>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</si>
  <si>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</si>
  <si>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</si>
  <si>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</si>
  <si>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</si>
  <si>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</si>
  <si>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</si>
  <si>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</si>
  <si>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</si>
  <si>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</si>
  <si>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</si>
  <si>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</si>
  <si>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地震力-動態</t>
    <phoneticPr fontId="2" type="noConversion"/>
  </si>
  <si>
    <t>V1.0</t>
    <phoneticPr fontId="2" type="noConversion"/>
  </si>
  <si>
    <t>EQXP/0SPECX=</t>
    <phoneticPr fontId="2" type="noConversion"/>
  </si>
  <si>
    <t>EQYP/0SPECY=</t>
    <phoneticPr fontId="2" type="noConversion"/>
  </si>
  <si>
    <t>調整表格美觀</t>
    <phoneticPr fontId="2" type="noConversion"/>
  </si>
  <si>
    <t>由單純的貼上改為純文字貼上</t>
    <phoneticPr fontId="2" type="noConversion"/>
  </si>
  <si>
    <t>篩選 Assembled Point Masses</t>
    <phoneticPr fontId="2" type="noConversion"/>
  </si>
  <si>
    <t>注意：</t>
    <phoneticPr fontId="2" type="noConversion"/>
  </si>
  <si>
    <t>新增注意事項</t>
    <phoneticPr fontId="2" type="noConversion"/>
  </si>
  <si>
    <t>FloorArea</t>
    <phoneticPr fontId="2" type="noConversion"/>
  </si>
  <si>
    <t>若某層樓無樓板需要手動修正 FloorArea 部分</t>
    <phoneticPr fontId="2" type="noConversion"/>
  </si>
  <si>
    <t>Unit Weight</t>
    <phoneticPr fontId="2" type="noConversion"/>
  </si>
  <si>
    <t>修正 EQXB 錯誤</t>
    <phoneticPr fontId="2" type="noConversion"/>
  </si>
  <si>
    <t>修正 Unit Weight 錯誤</t>
    <phoneticPr fontId="2" type="noConversion"/>
  </si>
  <si>
    <t>EQYB</t>
    <phoneticPr fontId="2" type="noConversion"/>
  </si>
  <si>
    <t>一般地區地震力計算</t>
    <phoneticPr fontId="8" type="noConversion"/>
  </si>
  <si>
    <t>台北盆地地震力計算</t>
    <phoneticPr fontId="8" type="noConversion"/>
  </si>
  <si>
    <t>V1.1</t>
    <phoneticPr fontId="2" type="noConversion"/>
  </si>
  <si>
    <t>I</t>
    <phoneticPr fontId="2" type="noConversion"/>
  </si>
  <si>
    <t>載重</t>
  </si>
  <si>
    <t>基礎</t>
  </si>
  <si>
    <t>V1.2</t>
    <phoneticPr fontId="2" type="noConversion"/>
  </si>
  <si>
    <t>新增地震力對照更新連結</t>
    <phoneticPr fontId="2" type="noConversion"/>
  </si>
  <si>
    <t>1000</t>
    <phoneticPr fontId="2" type="noConversion"/>
  </si>
  <si>
    <t>確認柱鋼筋比小於 4%</t>
    <phoneticPr fontId="2" type="noConversion"/>
  </si>
  <si>
    <t>確認梁鋼筋比小於 2.5%</t>
    <phoneticPr fontId="2" type="noConversion"/>
  </si>
  <si>
    <t>EQXP</t>
    <phoneticPr fontId="2" type="noConversion"/>
  </si>
  <si>
    <t>EQYP</t>
    <phoneticPr fontId="2" type="noConversion"/>
  </si>
  <si>
    <t>EQXN</t>
    <phoneticPr fontId="2" type="noConversion"/>
  </si>
  <si>
    <t>EQYN</t>
    <phoneticPr fontId="2" type="noConversion"/>
  </si>
  <si>
    <t>材料強度</t>
    <phoneticPr fontId="2" type="noConversion"/>
  </si>
  <si>
    <t>整合 04 Check PPT，簡化流程</t>
    <phoneticPr fontId="2" type="noConversion"/>
  </si>
  <si>
    <t>C280</t>
    <phoneticPr fontId="2" type="noConversion"/>
  </si>
  <si>
    <t>0.15</t>
    <phoneticPr fontId="2" type="noConversion"/>
  </si>
  <si>
    <t>0.5</t>
    <phoneticPr fontId="2" type="noConversion"/>
  </si>
  <si>
    <t>Assume</t>
    <phoneticPr fontId="2" type="noConversion"/>
  </si>
  <si>
    <t>Check</t>
    <phoneticPr fontId="2" type="noConversion"/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</si>
  <si>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</si>
  <si>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一般地區地震力</t>
    <phoneticPr fontId="8" type="noConversion"/>
  </si>
  <si>
    <t>台北盆地地震力</t>
    <phoneticPr fontId="8" type="noConversion"/>
  </si>
  <si>
    <t>I</t>
    <phoneticPr fontId="2" type="noConversion"/>
  </si>
  <si>
    <t>V1.3</t>
    <phoneticPr fontId="2" type="noConversion"/>
  </si>
  <si>
    <t>更改程式名稱，增加相容性</t>
    <phoneticPr fontId="2" type="noConversion"/>
  </si>
  <si>
    <t>B1</t>
    <phoneticPr fontId="2" type="noConversion"/>
  </si>
  <si>
    <t>新增VLOOKUP，增加便利性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</si>
  <si>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</si>
  <si>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</si>
  <si>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</si>
  <si>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</si>
  <si>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</si>
  <si>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I</t>
    <phoneticPr fontId="2" type="noConversion"/>
  </si>
  <si>
    <r>
      <t>預設為一般地震力S</t>
    </r>
    <r>
      <rPr>
        <vertAlign val="subscript"/>
        <sz val="12"/>
        <color theme="1"/>
        <rFont val="微軟正黑體"/>
        <family val="2"/>
        <charset val="136"/>
      </rPr>
      <t>S</t>
    </r>
    <r>
      <rPr>
        <vertAlign val="superscript"/>
        <sz val="12"/>
        <color theme="1"/>
        <rFont val="微軟正黑體"/>
        <family val="2"/>
        <charset val="136"/>
      </rPr>
      <t>D</t>
    </r>
    <r>
      <rPr>
        <sz val="12"/>
        <color theme="1"/>
        <rFont val="微軟正黑體"/>
        <family val="2"/>
        <charset val="136"/>
      </rPr>
      <t xml:space="preserve"> 和 I ，若為台北盆地需自行修正</t>
    </r>
    <phoneticPr fontId="2" type="noConversion"/>
  </si>
  <si>
    <t>Load Case 名稱與順序必須相同</t>
    <phoneticPr fontId="8" type="noConversion"/>
  </si>
  <si>
    <t>V1.4</t>
    <phoneticPr fontId="2" type="noConversion"/>
  </si>
  <si>
    <t>更改Assembled，使程式自動抓取最後一行</t>
    <phoneticPr fontId="2" type="noConversion"/>
  </si>
  <si>
    <t>更改filter，使程式自動抓取最後一行</t>
    <phoneticPr fontId="2" type="noConversion"/>
  </si>
  <si>
    <t>更改公式，使程式自動自動抓取數值</t>
    <phoneticPr fontId="2" type="noConversion"/>
  </si>
  <si>
    <t>修正其他細微錯誤</t>
    <phoneticPr fontId="2" type="noConversion"/>
  </si>
  <si>
    <t>自動抓取同資料夾之Excel資料</t>
    <phoneticPr fontId="2" type="noConversion"/>
  </si>
  <si>
    <t>修改程式介紹</t>
    <phoneticPr fontId="2" type="noConversion"/>
  </si>
  <si>
    <t>功能：</t>
    <phoneticPr fontId="2" type="noConversion"/>
  </si>
  <si>
    <t>整理各檢核資料</t>
    <phoneticPr fontId="2" type="noConversion"/>
  </si>
  <si>
    <t>流程：</t>
    <phoneticPr fontId="2" type="noConversion"/>
  </si>
  <si>
    <t>貼上 Assembled Point Masses、Material List By Story、Story Shears</t>
    <phoneticPr fontId="2" type="noConversion"/>
  </si>
  <si>
    <t>按下 MAGIC</t>
    <phoneticPr fontId="2" type="noConversion"/>
  </si>
  <si>
    <t>檢核資料是否有誤</t>
    <phoneticPr fontId="2" type="noConversion"/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</si>
  <si>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</si>
  <si>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</si>
  <si>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</si>
  <si>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</si>
  <si>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</si>
  <si>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</si>
  <si>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</si>
  <si>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</si>
  <si>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</si>
  <si>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</si>
  <si>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</si>
  <si>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</si>
  <si>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</si>
  <si>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</si>
  <si>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</si>
  <si>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</si>
  <si>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</si>
  <si>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</si>
  <si>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</si>
  <si>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Brace</t>
  </si>
  <si>
    <t>BRB15</t>
  </si>
  <si>
    <t>SUM</t>
  </si>
  <si>
    <t>TOTAL</t>
  </si>
  <si>
    <t>WX</t>
  </si>
  <si>
    <t>WY</t>
  </si>
  <si>
    <t>WLX</t>
  </si>
  <si>
    <t>WLY</t>
  </si>
  <si>
    <t>WTX</t>
  </si>
  <si>
    <t>WTY</t>
  </si>
  <si>
    <t>DSTLD1</t>
  </si>
  <si>
    <t>DSTLD2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</si>
</sst>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"/>
    <numFmt numFmtId="177" formatCode="0.00000"/>
    <numFmt numFmtId="178" formatCode="0.0000\ &quot;W&quot;"/>
    <numFmt numFmtId="179" formatCode="0.00_ "/>
    <numFmt numFmtId="180" formatCode="&quot;Kv : &quot;@"/>
    <numFmt numFmtId="181" formatCode="&quot;DL : &quot;@"/>
    <numFmt numFmtId="182" formatCode="&quot;LL : &quot;@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vertAlign val="subscript"/>
      <sz val="12"/>
      <name val="微軟正黑體"/>
      <family val="2"/>
      <charset val="136"/>
    </font>
    <font>
      <vertAlign val="superscript"/>
      <sz val="12"/>
      <name val="微軟正黑體"/>
      <family val="2"/>
      <charset val="136"/>
    </font>
    <font>
      <vertAlign val="subscript"/>
      <sz val="12"/>
      <color theme="1"/>
      <name val="微軟正黑體"/>
      <family val="2"/>
      <charset val="136"/>
    </font>
    <font>
      <vertAlign val="superscript"/>
      <sz val="12"/>
      <color theme="1"/>
      <name val="微軟正黑體"/>
      <family val="2"/>
      <charset val="136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0" fillId="5" borderId="26" applyNumberFormat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6" fillId="2" borderId="0" xfId="1" applyNumberFormat="1" applyFont="1" applyAlignment="1">
      <alignment horizontal="center" vertical="center"/>
    </xf>
    <xf numFmtId="0" fontId="6" fillId="2" borderId="0" xfId="1" applyFont="1" applyAlignment="1">
      <alignment horizontal="right" vertical="center"/>
    </xf>
    <xf numFmtId="14" fontId="4" fillId="0" borderId="0" xfId="0" applyNumberFormat="1" applyFont="1" applyAlignment="1">
      <alignment horizontal="center" vertical="center"/>
    </xf>
    <xf numFmtId="176" fontId="6" fillId="2" borderId="0" xfId="1" applyNumberFormat="1" applyFont="1">
      <alignment vertical="center"/>
    </xf>
    <xf numFmtId="177" fontId="6" fillId="2" borderId="0" xfId="1" applyNumberFormat="1" applyFo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78" fontId="9" fillId="4" borderId="4" xfId="0" applyNumberFormat="1" applyFont="1" applyFill="1" applyBorder="1" applyAlignment="1">
      <alignment horizontal="center" vertical="center" shrinkToFit="1"/>
    </xf>
    <xf numFmtId="178" fontId="9" fillId="4" borderId="5" xfId="0" applyNumberFormat="1" applyFont="1" applyFill="1" applyBorder="1" applyAlignment="1">
      <alignment horizontal="center" vertical="center" shrinkToFit="1"/>
    </xf>
    <xf numFmtId="179" fontId="9" fillId="4" borderId="4" xfId="0" applyNumberFormat="1" applyFont="1" applyFill="1" applyBorder="1" applyAlignment="1">
      <alignment horizontal="center" vertical="center" shrinkToFit="1"/>
    </xf>
    <xf numFmtId="179" fontId="9" fillId="4" borderId="5" xfId="0" applyNumberFormat="1" applyFont="1" applyFill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1" fillId="6" borderId="0" xfId="0" applyFont="1" applyFill="1" applyAlignment="1">
      <alignment horizontal="centerContinuous" vertical="center"/>
    </xf>
    <xf numFmtId="0" fontId="12" fillId="6" borderId="0" xfId="0" applyFont="1" applyFill="1" applyAlignment="1">
      <alignment horizontal="centerContinuous" vertical="center"/>
    </xf>
    <xf numFmtId="0" fontId="13" fillId="7" borderId="28" xfId="0" applyFont="1" applyFill="1" applyBorder="1" applyAlignment="1">
      <alignment horizontal="centerContinuous" vertical="center"/>
    </xf>
    <xf numFmtId="0" fontId="13" fillId="8" borderId="28" xfId="0" applyFont="1" applyFill="1" applyBorder="1" applyAlignment="1">
      <alignment horizontal="centerContinuous" vertical="center"/>
    </xf>
    <xf numFmtId="0" fontId="13" fillId="9" borderId="28" xfId="0" applyFont="1" applyFill="1" applyBorder="1" applyAlignment="1">
      <alignment horizontal="centerContinuous" vertical="center"/>
    </xf>
    <xf numFmtId="0" fontId="4" fillId="0" borderId="29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33" xfId="0" applyFont="1" applyBorder="1">
      <alignment vertical="center"/>
    </xf>
    <xf numFmtId="0" fontId="4" fillId="0" borderId="34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35" xfId="0" applyFont="1" applyBorder="1">
      <alignment vertical="center"/>
    </xf>
    <xf numFmtId="0" fontId="3" fillId="3" borderId="0" xfId="2" applyAlignment="1">
      <alignment horizontal="center" vertical="center"/>
    </xf>
    <xf numFmtId="0" fontId="10" fillId="5" borderId="26" xfId="3">
      <alignment vertical="center"/>
    </xf>
    <xf numFmtId="0" fontId="1" fillId="2" borderId="35" xfId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2" borderId="33" xfId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81" fontId="0" fillId="0" borderId="30" xfId="0" applyNumberFormat="1" applyBorder="1" applyAlignment="1">
      <alignment horizontal="center" vertical="center"/>
    </xf>
    <xf numFmtId="182" fontId="0" fillId="0" borderId="27" xfId="0" applyNumberFormat="1" applyBorder="1" applyAlignment="1">
      <alignment horizontal="center" vertical="center"/>
    </xf>
    <xf numFmtId="180" fontId="0" fillId="0" borderId="30" xfId="0" applyNumberFormat="1" applyBorder="1" applyAlignment="1">
      <alignment horizontal="center" vertical="center"/>
    </xf>
    <xf numFmtId="0" fontId="1" fillId="2" borderId="36" xfId="1" applyBorder="1" applyAlignment="1">
      <alignment horizontal="center" vertical="top"/>
    </xf>
    <xf numFmtId="0" fontId="1" fillId="2" borderId="37" xfId="1" applyBorder="1" applyAlignment="1">
      <alignment horizontal="center" vertical="top"/>
    </xf>
    <xf numFmtId="0" fontId="1" fillId="2" borderId="38" xfId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3" borderId="12" xfId="2" applyBorder="1" applyAlignment="1">
      <alignment horizontal="center" vertical="center"/>
    </xf>
    <xf numFmtId="0" fontId="3" fillId="3" borderId="42" xfId="2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3" fillId="3" borderId="41" xfId="2" applyBorder="1" applyAlignment="1">
      <alignment horizontal="center" vertical="center"/>
    </xf>
    <xf numFmtId="0" fontId="3" fillId="3" borderId="40" xfId="2" applyBorder="1" applyAlignment="1">
      <alignment horizontal="center" vertical="center"/>
    </xf>
    <xf numFmtId="0" fontId="3" fillId="3" borderId="39" xfId="2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3" fillId="3" borderId="36" xfId="2" applyBorder="1" applyAlignment="1">
      <alignment horizontal="center" vertical="center"/>
    </xf>
    <xf numFmtId="0" fontId="3" fillId="3" borderId="37" xfId="2" applyBorder="1" applyAlignment="1">
      <alignment horizontal="center" vertical="center"/>
    </xf>
    <xf numFmtId="0" fontId="3" fillId="3" borderId="38" xfId="2" applyBorder="1" applyAlignment="1">
      <alignment horizontal="center" vertical="center"/>
    </xf>
    <xf numFmtId="0" fontId="3" fillId="3" borderId="0" xfId="2" applyAlignment="1">
      <alignment horizontal="center"/>
    </xf>
    <xf numFmtId="0" fontId="6" fillId="2" borderId="0" xfId="1" applyFont="1" applyAlignment="1">
      <alignment horizontal="center" vertical="center"/>
    </xf>
    <xf numFmtId="178" fontId="9" fillId="4" borderId="10" xfId="0" applyNumberFormat="1" applyFont="1" applyFill="1" applyBorder="1" applyAlignment="1">
      <alignment horizontal="center" vertical="center" shrinkToFit="1"/>
    </xf>
    <xf numFmtId="178" fontId="9" fillId="4" borderId="11" xfId="0" applyNumberFormat="1" applyFont="1" applyFill="1" applyBorder="1" applyAlignment="1">
      <alignment horizontal="center" vertical="center" shrinkToFit="1"/>
    </xf>
    <xf numFmtId="178" fontId="9" fillId="4" borderId="6" xfId="0" applyNumberFormat="1" applyFont="1" applyFill="1" applyBorder="1" applyAlignment="1">
      <alignment horizontal="center" vertical="center" shrinkToFit="1"/>
    </xf>
    <xf numFmtId="178" fontId="9" fillId="4" borderId="7" xfId="0" applyNumberFormat="1" applyFont="1" applyFill="1" applyBorder="1" applyAlignment="1">
      <alignment horizontal="center" vertical="center" shrinkToFi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3" fillId="3" borderId="13" xfId="2" applyBorder="1" applyAlignment="1">
      <alignment horizontal="center" vertical="center"/>
    </xf>
    <xf numFmtId="0" fontId="3" fillId="3" borderId="14" xfId="2" applyBorder="1" applyAlignment="1">
      <alignment horizontal="center" vertical="center"/>
    </xf>
    <xf numFmtId="178" fontId="9" fillId="4" borderId="8" xfId="0" applyNumberFormat="1" applyFont="1" applyFill="1" applyBorder="1" applyAlignment="1">
      <alignment horizontal="center" vertical="center" shrinkToFit="1"/>
    </xf>
    <xf numFmtId="178" fontId="9" fillId="4" borderId="9" xfId="0" applyNumberFormat="1" applyFont="1" applyFill="1" applyBorder="1" applyAlignment="1">
      <alignment horizontal="center" vertical="center" shrinkToFit="1"/>
    </xf>
    <xf numFmtId="0" fontId="4" fillId="0" borderId="43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</cellXfs>
  <cellStyles count="4">
    <cellStyle name="一般" xfId="0" builtinId="0"/>
    <cellStyle name="中等" xfId="2" builtinId="28"/>
    <cellStyle name="好" xfId="1" builtinId="26"/>
    <cellStyle name="計算方式" xfId="3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114300</xdr:rowOff>
    </xdr:from>
    <xdr:to>
      <xdr:col>3</xdr:col>
      <xdr:colOff>590550</xdr:colOff>
      <xdr:row>10</xdr:row>
      <xdr:rowOff>123825</xdr:rowOff>
    </xdr:to>
    <xdr:sp macro="[0]!Assembled.Assembled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3350" y="114300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EQB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篩選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filter.filter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42</xdr:col>
      <xdr:colOff>219075</xdr:colOff>
      <xdr:row>13</xdr:row>
      <xdr:rowOff>142875</xdr:rowOff>
    </xdr:from>
    <xdr:to>
      <xdr:col>49</xdr:col>
      <xdr:colOff>363852</xdr:colOff>
      <xdr:row>32</xdr:row>
      <xdr:rowOff>150813</xdr:rowOff>
    </xdr:to>
    <xdr:pic>
      <xdr:nvPicPr>
        <xdr:cNvPr id="9" name="內容版面配置區 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76500" y="3114675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42</xdr:col>
      <xdr:colOff>228600</xdr:colOff>
      <xdr:row>36</xdr:row>
      <xdr:rowOff>209550</xdr:rowOff>
    </xdr:from>
    <xdr:to>
      <xdr:col>49</xdr:col>
      <xdr:colOff>373377</xdr:colOff>
      <xdr:row>55</xdr:row>
      <xdr:rowOff>217488</xdr:rowOff>
    </xdr:to>
    <xdr:pic>
      <xdr:nvPicPr>
        <xdr:cNvPr id="10" name="內容版面配置區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86025" y="84391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247650</xdr:colOff>
      <xdr:row>13</xdr:row>
      <xdr:rowOff>171450</xdr:rowOff>
    </xdr:from>
    <xdr:to>
      <xdr:col>58</xdr:col>
      <xdr:colOff>392427</xdr:colOff>
      <xdr:row>32</xdr:row>
      <xdr:rowOff>179388</xdr:rowOff>
    </xdr:to>
    <xdr:pic>
      <xdr:nvPicPr>
        <xdr:cNvPr id="11" name="內容版面配置區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77275" y="31432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219075</xdr:colOff>
      <xdr:row>36</xdr:row>
      <xdr:rowOff>190500</xdr:rowOff>
    </xdr:from>
    <xdr:to>
      <xdr:col>58</xdr:col>
      <xdr:colOff>363852</xdr:colOff>
      <xdr:row>55</xdr:row>
      <xdr:rowOff>198438</xdr:rowOff>
    </xdr:to>
    <xdr:pic>
      <xdr:nvPicPr>
        <xdr:cNvPr id="12" name="內容版面配置區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48700" y="8420100"/>
          <a:ext cx="4945377" cy="43513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2%20&#21488;&#21271;&#30406;&#22320;&#22320;&#38663;&#21147;&#35336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3%20Etabs%20Interactive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  <row r="11">
          <cell r="J11" t="str">
            <v>X向</v>
          </cell>
          <cell r="K11" t="str">
            <v>Y向</v>
          </cell>
        </row>
        <row r="12">
          <cell r="I12" t="str">
            <v>控制週期取自</v>
          </cell>
          <cell r="J12" t="str">
            <v>規範</v>
          </cell>
          <cell r="K12" t="str">
            <v>規範</v>
          </cell>
        </row>
        <row r="13">
          <cell r="I13" t="str">
            <v>構件設計地震力</v>
          </cell>
          <cell r="J13">
            <v>0.12755102040816332</v>
          </cell>
          <cell r="K13">
            <v>0.12755102040816332</v>
          </cell>
        </row>
        <row r="14">
          <cell r="B14">
            <v>0.5</v>
          </cell>
          <cell r="I14" t="str">
            <v>樓層間地震力比值</v>
          </cell>
          <cell r="J14">
            <v>0.48263380160303349</v>
          </cell>
          <cell r="K14">
            <v>0.52765476302647674</v>
          </cell>
        </row>
        <row r="15">
          <cell r="I15" t="str">
            <v>垂直設計地震力</v>
          </cell>
          <cell r="J15">
            <v>0.19999999999999998</v>
          </cell>
        </row>
        <row r="16">
          <cell r="I16" t="str">
            <v>柱之垂直設計地震力</v>
          </cell>
          <cell r="J16">
            <v>0.1</v>
          </cell>
        </row>
      </sheetData>
      <sheetData sheetId="1"/>
      <sheetData sheetId="2"/>
      <sheetData sheetId="3">
        <row r="4">
          <cell r="A4" t="str">
            <v>桃園縣桃園市--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資料"/>
      <sheetName val="Spectrum"/>
      <sheetName val="ETABS Drift(Beta)"/>
      <sheetName val="Spectrum_OLD"/>
      <sheetName val="行政區資料"/>
      <sheetName val="新舊規範差異"/>
      <sheetName val="Sa(計算書用)"/>
      <sheetName val="基底剪力調整"/>
      <sheetName val="阻尼比修正係數"/>
      <sheetName val="更新紀錄"/>
      <sheetName val="story shear"/>
      <sheetName val="story drift"/>
      <sheetName val="樓層單位重"/>
      <sheetName val="扭轉不規則性檢核"/>
      <sheetName val="工作表2"/>
    </sheetNames>
    <sheetDataSet>
      <sheetData sheetId="0">
        <row r="4">
          <cell r="G4">
            <v>1.25</v>
          </cell>
        </row>
        <row r="6">
          <cell r="B6">
            <v>0.6</v>
          </cell>
        </row>
        <row r="10">
          <cell r="J10" t="str">
            <v>X向</v>
          </cell>
          <cell r="K10" t="str">
            <v>Y向</v>
          </cell>
        </row>
        <row r="11">
          <cell r="I11" t="str">
            <v>控制週期取自</v>
          </cell>
          <cell r="J11" t="str">
            <v>規範</v>
          </cell>
          <cell r="K11" t="str">
            <v>規範</v>
          </cell>
        </row>
        <row r="12">
          <cell r="I12" t="str">
            <v>構件設計地震力</v>
          </cell>
          <cell r="J12">
            <v>0.15963230365194564</v>
          </cell>
          <cell r="K12">
            <v>0.15963230365194564</v>
          </cell>
        </row>
        <row r="13">
          <cell r="I13" t="str">
            <v>樓層間地震力比值</v>
          </cell>
          <cell r="J13">
            <v>0.66620160906424275</v>
          </cell>
          <cell r="K13">
            <v>0.60064426140166616</v>
          </cell>
        </row>
        <row r="14">
          <cell r="I14" t="str">
            <v>垂直設計地震力</v>
          </cell>
          <cell r="J14">
            <v>0.14718557323148329</v>
          </cell>
        </row>
        <row r="15">
          <cell r="I15" t="str">
            <v>柱之垂直設計地震力</v>
          </cell>
          <cell r="J15">
            <v>0.15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odel Check"/>
      <sheetName val="Width-Thk Ratio Check"/>
      <sheetName val="Grid &amp; Story"/>
      <sheetName val="Material"/>
      <sheetName val="Frame Section"/>
      <sheetName val="Area Section"/>
      <sheetName val="Load Case"/>
      <sheetName val="Dynamic Seismic Case"/>
      <sheetName val="Load Comb"/>
    </sheetNames>
    <sheetDataSet>
      <sheetData sheetId="0"/>
      <sheetData sheetId="1">
        <row r="8">
          <cell r="C8" t="str">
            <v>Warning Message</v>
          </cell>
        </row>
        <row r="9">
          <cell r="C9" t="str">
            <v>Analysis Options &amp; Mass Source</v>
          </cell>
          <cell r="E9" t="str">
            <v>Grid &amp; Story</v>
          </cell>
          <cell r="G9" t="str">
            <v>Material Properties</v>
          </cell>
          <cell r="I9" t="str">
            <v>Frame Section</v>
          </cell>
          <cell r="K9" t="str">
            <v>Area Section</v>
          </cell>
          <cell r="M9" t="str">
            <v>Load Case</v>
          </cell>
        </row>
        <row r="10">
          <cell r="C10"/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</row>
        <row r="11"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/>
          <cell r="N11"/>
        </row>
        <row r="12"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/>
          <cell r="N12"/>
        </row>
        <row r="13"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</row>
        <row r="14">
          <cell r="C14"/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</row>
        <row r="15"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</row>
        <row r="16"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</row>
        <row r="17"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</row>
        <row r="18"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</row>
        <row r="19">
          <cell r="C19"/>
          <cell r="D19"/>
          <cell r="E19"/>
          <cell r="F19"/>
          <cell r="G19"/>
          <cell r="H19"/>
          <cell r="I19"/>
          <cell r="J19"/>
          <cell r="K19"/>
          <cell r="L19"/>
          <cell r="M19"/>
          <cell r="N19"/>
        </row>
        <row r="20">
          <cell r="C20"/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</row>
        <row r="21">
          <cell r="C21"/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</row>
        <row r="22"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</row>
        <row r="23"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</row>
        <row r="24"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</row>
        <row r="25"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</row>
        <row r="26">
          <cell r="C26"/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</row>
        <row r="27"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</row>
        <row r="28"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</row>
        <row r="29">
          <cell r="C29"/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</row>
        <row r="30"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</row>
        <row r="31">
          <cell r="C31"/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</row>
        <row r="32">
          <cell r="C32"/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</row>
        <row r="34">
          <cell r="C34"/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</row>
        <row r="35">
          <cell r="C35"/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</row>
        <row r="36">
          <cell r="C36"/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</row>
        <row r="37">
          <cell r="C37"/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</row>
        <row r="38"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</row>
        <row r="39">
          <cell r="C39"/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</row>
        <row r="40">
          <cell r="C40"/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</row>
        <row r="41">
          <cell r="C41"/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</row>
        <row r="42"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</row>
        <row r="43">
          <cell r="C43"/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</row>
        <row r="44">
          <cell r="C44"/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</row>
        <row r="45">
          <cell r="C45"/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</row>
        <row r="46">
          <cell r="C46"/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</row>
        <row r="47">
          <cell r="C47"/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</row>
        <row r="48"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</row>
        <row r="49">
          <cell r="C49"/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</row>
        <row r="50"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</row>
        <row r="51">
          <cell r="C51"/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</row>
        <row r="52">
          <cell r="C52"/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</row>
        <row r="53"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</row>
        <row r="54">
          <cell r="C54"/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</row>
        <row r="55"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</row>
        <row r="56">
          <cell r="C56"/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</row>
        <row r="57"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</row>
        <row r="58"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</row>
        <row r="59">
          <cell r="C59"/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</row>
        <row r="60">
          <cell r="C60"/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</row>
        <row r="61">
          <cell r="C61"/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</row>
        <row r="62"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</row>
        <row r="63">
          <cell r="C63"/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</row>
        <row r="64"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</row>
        <row r="65">
          <cell r="C65"/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</row>
        <row r="66">
          <cell r="C66"/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</row>
        <row r="67"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</row>
        <row r="68"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</row>
        <row r="69"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</row>
        <row r="70"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</row>
        <row r="71">
          <cell r="C71"/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</row>
        <row r="72">
          <cell r="C72"/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</row>
        <row r="73">
          <cell r="C73"/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</row>
        <row r="74">
          <cell r="C74"/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</row>
        <row r="75">
          <cell r="C75"/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</row>
        <row r="76">
          <cell r="C76"/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</row>
        <row r="77">
          <cell r="C77"/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</row>
        <row r="78"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</row>
        <row r="79">
          <cell r="C79"/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</row>
        <row r="80">
          <cell r="C80"/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</row>
        <row r="81">
          <cell r="C81"/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</row>
        <row r="82"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</row>
        <row r="83">
          <cell r="C83"/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</row>
        <row r="84"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</row>
        <row r="85">
          <cell r="C85"/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</row>
        <row r="86"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</row>
        <row r="87"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</row>
        <row r="88"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</row>
        <row r="89">
          <cell r="C89"/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</row>
        <row r="90"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</row>
        <row r="91">
          <cell r="C91"/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</row>
        <row r="92"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</row>
        <row r="93"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</row>
        <row r="94"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</row>
        <row r="95"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</row>
        <row r="96"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</row>
        <row r="97"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</row>
        <row r="98">
          <cell r="C98"/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</row>
        <row r="99"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</row>
        <row r="100">
          <cell r="C100"/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</row>
        <row r="101">
          <cell r="C101"/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</row>
        <row r="102">
          <cell r="C102"/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</row>
        <row r="103"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</row>
        <row r="104">
          <cell r="C104"/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</row>
        <row r="105"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</row>
        <row r="106">
          <cell r="C106"/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</row>
        <row r="107">
          <cell r="C107"/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</row>
        <row r="108">
          <cell r="C108"/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</row>
        <row r="109">
          <cell r="C109"/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</row>
        <row r="110">
          <cell r="C110"/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</row>
        <row r="111">
          <cell r="C111"/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</row>
        <row r="112">
          <cell r="C112"/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</row>
        <row r="113">
          <cell r="C113"/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</row>
        <row r="114"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</row>
        <row r="115">
          <cell r="C115"/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</row>
        <row r="116"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</row>
        <row r="117"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</row>
        <row r="118"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</row>
        <row r="119"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</row>
        <row r="120"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</row>
        <row r="121"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</row>
        <row r="122"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</row>
        <row r="123"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</row>
        <row r="124"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</row>
        <row r="125"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</row>
        <row r="126">
          <cell r="C126"/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</row>
        <row r="127">
          <cell r="C127"/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</row>
        <row r="128"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</row>
        <row r="129">
          <cell r="C129"/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</row>
        <row r="130"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</row>
        <row r="131">
          <cell r="C131"/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</row>
        <row r="132">
          <cell r="C132"/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</row>
        <row r="133">
          <cell r="C133"/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</row>
        <row r="134">
          <cell r="C134"/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</row>
        <row r="135">
          <cell r="C135"/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</row>
        <row r="136">
          <cell r="C136"/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</row>
        <row r="137">
          <cell r="C137"/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</row>
        <row r="138"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</row>
        <row r="139">
          <cell r="C139"/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</row>
        <row r="140">
          <cell r="C140"/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</row>
        <row r="141">
          <cell r="C141"/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</row>
        <row r="142">
          <cell r="C142"/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</row>
        <row r="143">
          <cell r="C143"/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</row>
        <row r="144">
          <cell r="C144"/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</row>
        <row r="145">
          <cell r="C145"/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</row>
        <row r="146">
          <cell r="C146"/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</row>
        <row r="147">
          <cell r="C147"/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</row>
        <row r="148"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</row>
        <row r="149">
          <cell r="C149"/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</row>
        <row r="150">
          <cell r="C150"/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</row>
        <row r="151">
          <cell r="C151"/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</row>
        <row r="152">
          <cell r="C152"/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</row>
        <row r="153"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</row>
        <row r="154">
          <cell r="C154"/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</row>
        <row r="155">
          <cell r="C155"/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</row>
        <row r="156"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</row>
        <row r="157"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</row>
        <row r="158"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</row>
        <row r="159">
          <cell r="C159"/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</row>
        <row r="160">
          <cell r="C160"/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</row>
        <row r="161">
          <cell r="C161"/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</row>
        <row r="162">
          <cell r="C162"/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</row>
        <row r="163">
          <cell r="C163"/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</row>
        <row r="164">
          <cell r="C164"/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</row>
        <row r="165">
          <cell r="C165"/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</row>
        <row r="166">
          <cell r="C166"/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</row>
        <row r="167">
          <cell r="C167"/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</row>
        <row r="168">
          <cell r="C168"/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</row>
        <row r="169">
          <cell r="C169"/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</row>
        <row r="170">
          <cell r="C170"/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</row>
        <row r="171">
          <cell r="C171"/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</row>
        <row r="172">
          <cell r="C172"/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</row>
        <row r="173"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</row>
        <row r="174">
          <cell r="C174"/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</row>
        <row r="175"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</row>
        <row r="176">
          <cell r="C176"/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</row>
        <row r="177">
          <cell r="C177"/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</row>
        <row r="178"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</row>
        <row r="179">
          <cell r="C179"/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</row>
        <row r="180"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</row>
        <row r="181">
          <cell r="C181"/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</row>
        <row r="182">
          <cell r="C182"/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</row>
        <row r="183"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</row>
        <row r="184"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</row>
        <row r="185"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</row>
        <row r="186">
          <cell r="C186"/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</row>
        <row r="187"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</row>
        <row r="188"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</row>
        <row r="189"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</row>
        <row r="190"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</row>
        <row r="191"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</row>
        <row r="192"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</row>
        <row r="193"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</row>
        <row r="194"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</row>
        <row r="195"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</row>
        <row r="196">
          <cell r="C196"/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</row>
        <row r="197"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</row>
        <row r="198"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</row>
        <row r="199"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</row>
        <row r="200"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</row>
        <row r="201">
          <cell r="C201"/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</row>
        <row r="202">
          <cell r="C202"/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</row>
        <row r="203">
          <cell r="C203"/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</row>
        <row r="204">
          <cell r="C204"/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</row>
        <row r="205">
          <cell r="C205"/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</row>
        <row r="206">
          <cell r="C206"/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</row>
        <row r="207">
          <cell r="C207"/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</row>
        <row r="208">
          <cell r="C208"/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</row>
        <row r="209"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</row>
        <row r="210">
          <cell r="C210"/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</row>
        <row r="211">
          <cell r="C211"/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</row>
        <row r="212">
          <cell r="C212"/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</row>
        <row r="213"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</row>
        <row r="214">
          <cell r="C214"/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</row>
        <row r="215"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</row>
        <row r="216">
          <cell r="C216"/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</row>
        <row r="217">
          <cell r="C217"/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</row>
        <row r="218">
          <cell r="C218"/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</row>
        <row r="219">
          <cell r="C219"/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</row>
        <row r="220">
          <cell r="C220"/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</row>
        <row r="221">
          <cell r="C221"/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</row>
        <row r="222">
          <cell r="C222"/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</row>
        <row r="223">
          <cell r="C223"/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</row>
        <row r="224">
          <cell r="C224"/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</row>
        <row r="225">
          <cell r="C225"/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</row>
        <row r="226">
          <cell r="C226"/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</row>
        <row r="227">
          <cell r="C227"/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</row>
        <row r="228">
          <cell r="C228"/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</row>
        <row r="229">
          <cell r="C229"/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</row>
        <row r="230">
          <cell r="C230"/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</row>
        <row r="231">
          <cell r="C231"/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rgb="FFFFC000"/>
  </sheetPr>
  <dimension ref="A1:K13"/>
  <sheetViews>
    <sheetView workbookViewId="0">
      <selection activeCell="C2" sqref="C2:C13"/>
    </sheetView>
  </sheetViews>
  <sheetFormatPr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299</v>
      </c>
      <c r="C1" s="1" t="s">
        <v>148</v>
      </c>
      <c r="D1" s="1" t="s">
        <v>300</v>
      </c>
      <c r="E1" s="1" t="s">
        <v>301</v>
      </c>
      <c r="F1" s="1" t="s">
        <v>302</v>
      </c>
      <c r="G1" s="1" t="s">
        <v>303</v>
      </c>
      <c r="H1" s="1" t="s">
        <v>304</v>
      </c>
      <c r="I1" s="1" t="s">
        <v>305</v>
      </c>
      <c r="J1" s="1" t="s">
        <v>306</v>
      </c>
      <c r="K1" s="1" t="s">
        <v>307</v>
      </c>
    </row>
    <row r="2" spans="1:11" x14ac:dyDescent="0.25">
      <c r="A2" s="1" t="s">
        <v>157</v>
      </c>
      <c r="B2" s="1" t="s">
        <v>308</v>
      </c>
      <c r="C2" s="1">
        <v>73.13</v>
      </c>
      <c r="D2" s="1">
        <v>73.13</v>
      </c>
      <c r="E2" s="1">
        <v>0</v>
      </c>
      <c r="F2" s="1">
        <v>0</v>
      </c>
      <c r="G2" s="1">
        <v>0</v>
      </c>
      <c r="H2" s="1">
        <v>13382</v>
      </c>
    </row>
    <row r="3" spans="1:11" x14ac:dyDescent="0.25">
      <c r="A3" s="1" t="s">
        <v>158</v>
      </c>
      <c r="B3" s="1" t="s">
        <v>308</v>
      </c>
      <c r="C3" s="1">
        <v>73.13</v>
      </c>
      <c r="D3" s="1">
        <v>73.13</v>
      </c>
      <c r="E3" s="1">
        <v>0</v>
      </c>
      <c r="F3" s="1">
        <v>0</v>
      </c>
      <c r="G3" s="1">
        <v>0</v>
      </c>
      <c r="H3" s="1">
        <v>13382</v>
      </c>
    </row>
    <row r="4" spans="1:11" x14ac:dyDescent="0.25">
      <c r="A4" s="1" t="s">
        <v>24</v>
      </c>
      <c r="B4" s="1" t="s">
        <v>308</v>
      </c>
      <c r="C4" s="1">
        <v>73.13</v>
      </c>
      <c r="D4" s="1">
        <v>73.13</v>
      </c>
      <c r="E4" s="1">
        <v>0</v>
      </c>
      <c r="F4" s="1">
        <v>0</v>
      </c>
      <c r="G4" s="1">
        <v>0</v>
      </c>
      <c r="H4" s="1">
        <v>13382</v>
      </c>
    </row>
    <row r="5" spans="1:11" x14ac:dyDescent="0.25">
      <c r="A5" s="1" t="s">
        <v>16</v>
      </c>
      <c r="B5" s="1" t="s">
        <v>308</v>
      </c>
      <c r="C5" s="1">
        <v>73.13</v>
      </c>
      <c r="D5" s="1">
        <v>73.13</v>
      </c>
      <c r="E5" s="1">
        <v>0</v>
      </c>
      <c r="F5" s="1">
        <v>0</v>
      </c>
      <c r="G5" s="1">
        <v>0</v>
      </c>
      <c r="H5" s="1">
        <v>13382</v>
      </c>
    </row>
    <row r="6" spans="1:11" x14ac:dyDescent="0.25">
      <c r="A6" s="1" t="s">
        <v>17</v>
      </c>
      <c r="B6" s="1" t="s">
        <v>308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</row>
    <row r="7" spans="1:11" x14ac:dyDescent="0.25">
      <c r="A7" s="1" t="s">
        <v>309</v>
      </c>
      <c r="B7" s="1" t="s">
        <v>308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</row>
    <row r="8" spans="1:11" x14ac:dyDescent="0.25">
      <c r="A8" s="1" t="s">
        <v>310</v>
      </c>
      <c r="B8" s="1" t="s">
        <v>308</v>
      </c>
      <c r="C8" s="1">
        <v>292.52</v>
      </c>
      <c r="D8" s="1">
        <v>292.52</v>
      </c>
      <c r="E8" s="1">
        <v>0</v>
      </c>
      <c r="F8" s="1">
        <v>0</v>
      </c>
      <c r="G8" s="1">
        <v>0</v>
      </c>
      <c r="H8" s="1">
        <v>53528</v>
      </c>
    </row>
    <row r="9" spans="1:11" hidden="1" x14ac:dyDescent="0.25">
      <c r="A9" s="1" t="s">
        <v>16</v>
      </c>
      <c r="B9" s="1">
        <v>205</v>
      </c>
      <c r="C9" s="1">
        <v>73.13</v>
      </c>
      <c r="D9" s="1">
        <v>73.13</v>
      </c>
      <c r="E9" s="1">
        <v>0</v>
      </c>
      <c r="F9" s="1">
        <v>0</v>
      </c>
      <c r="G9" s="1">
        <v>0</v>
      </c>
      <c r="H9" s="1">
        <v>13382</v>
      </c>
      <c r="I9" s="1">
        <v>18</v>
      </c>
      <c r="J9" s="1">
        <v>15</v>
      </c>
      <c r="K9" s="1">
        <v>5</v>
      </c>
    </row>
    <row r="10" spans="1:11" hidden="1" x14ac:dyDescent="0.25">
      <c r="A10" s="1" t="s">
        <v>24</v>
      </c>
      <c r="B10" s="1">
        <v>204</v>
      </c>
      <c r="C10" s="1">
        <v>73.13</v>
      </c>
      <c r="D10" s="1">
        <v>73.13</v>
      </c>
      <c r="E10" s="1">
        <v>0</v>
      </c>
      <c r="F10" s="1">
        <v>0</v>
      </c>
      <c r="G10" s="1">
        <v>0</v>
      </c>
      <c r="H10" s="1">
        <v>13382</v>
      </c>
      <c r="I10" s="1">
        <v>18</v>
      </c>
      <c r="J10" s="1">
        <v>15</v>
      </c>
      <c r="K10" s="1">
        <v>9</v>
      </c>
    </row>
    <row r="11" spans="1:11" hidden="1" x14ac:dyDescent="0.25">
      <c r="A11" s="1" t="s">
        <v>158</v>
      </c>
      <c r="B11" s="1">
        <v>203</v>
      </c>
      <c r="C11" s="1">
        <v>73.13</v>
      </c>
      <c r="D11" s="1">
        <v>73.13</v>
      </c>
      <c r="E11" s="1">
        <v>0</v>
      </c>
      <c r="F11" s="1">
        <v>0</v>
      </c>
      <c r="G11" s="1">
        <v>0</v>
      </c>
      <c r="H11" s="1">
        <v>13382</v>
      </c>
      <c r="I11" s="1">
        <v>18</v>
      </c>
      <c r="J11" s="1">
        <v>15</v>
      </c>
      <c r="K11" s="1">
        <v>13</v>
      </c>
    </row>
    <row r="12" spans="1:11" hidden="1" x14ac:dyDescent="0.25">
      <c r="A12" s="1" t="s">
        <v>157</v>
      </c>
      <c r="B12" s="1">
        <v>202</v>
      </c>
      <c r="C12" s="1">
        <v>73.13</v>
      </c>
      <c r="D12" s="1">
        <v>73.13</v>
      </c>
      <c r="E12" s="1">
        <v>0</v>
      </c>
      <c r="F12" s="1">
        <v>0</v>
      </c>
      <c r="G12" s="1">
        <v>0</v>
      </c>
      <c r="H12" s="1">
        <v>13382</v>
      </c>
      <c r="I12" s="1">
        <v>18</v>
      </c>
      <c r="J12" s="1">
        <v>15</v>
      </c>
      <c r="K12" s="1">
        <v>17</v>
      </c>
    </row>
    <row r="13" spans="1:11" hidden="1" x14ac:dyDescent="0.25"/>
  </sheetData>
  <autoFilter ref="A1:K13" xr:uid="{9B668E94-614D-408B-B19B-E168181CA33E}">
    <filterColumn colId="1">
      <filters>
        <filter val="All"/>
      </filters>
    </filterColumn>
  </autoFilter>
  <sortState ref="A2:K12">
    <sortCondition descending="1" ref="B2:B12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rgb="FF0070C0"/>
  </sheetPr>
  <dimension ref="A1:O103"/>
  <sheetViews>
    <sheetView workbookViewId="0">
      <selection activeCell="F2" sqref="F2"/>
    </sheetView>
  </sheetViews>
  <sheetFormatPr defaultRowHeight="18" customHeight="1" x14ac:dyDescent="0.25"/>
  <cols>
    <col min="1" max="2" width="9" style="4"/>
    <col min="3" max="3" width="10" style="4" bestFit="1" customWidth="1"/>
    <col min="4" max="4" width="9" style="3"/>
    <col min="5" max="5" width="9" style="52"/>
    <col min="6" max="7" width="9" style="4"/>
    <col min="8" max="8" width="9" style="5"/>
    <col min="9" max="10" width="9" style="4"/>
    <col min="11" max="11" width="9" style="6"/>
    <col min="12" max="16384" width="9" style="4"/>
  </cols>
  <sheetData>
    <row r="1" spans="1:15" ht="18" customHeight="1" x14ac:dyDescent="0.25">
      <c r="H1" s="4"/>
      <c r="K1" s="4"/>
    </row>
    <row r="2" spans="1:15" ht="18" customHeight="1" x14ac:dyDescent="0.25">
      <c r="F2" s="4" t="s">
        <v>154</v>
      </c>
      <c r="G2" s="4">
        <v>1</v>
      </c>
      <c r="H2" s="7" t="s">
        <v>238</v>
      </c>
      <c r="K2" s="4"/>
      <c r="M2" s="4" t="s">
        <v>239</v>
      </c>
      <c r="N2" s="4">
        <v>1</v>
      </c>
      <c r="O2" s="7" t="s">
        <v>283</v>
      </c>
    </row>
    <row r="3" spans="1:15" ht="18" customHeight="1" x14ac:dyDescent="0.25">
      <c r="G3" s="4">
        <v>2</v>
      </c>
      <c r="H3" s="7" t="s">
        <v>155</v>
      </c>
      <c r="K3" s="4"/>
    </row>
    <row r="4" spans="1:15" ht="18" customHeight="1" x14ac:dyDescent="0.25">
      <c r="H4" s="4"/>
      <c r="K4" s="4"/>
    </row>
    <row r="5" spans="1:15" ht="18" customHeight="1" thickBot="1" x14ac:dyDescent="0.3">
      <c r="H5" s="1"/>
      <c r="K5" s="4"/>
    </row>
    <row r="6" spans="1:15" ht="18" customHeight="1" thickBot="1" x14ac:dyDescent="0.3">
      <c r="F6" s="54" t="s">
        <v>270</v>
      </c>
      <c r="G6" s="55"/>
      <c r="H6" s="1"/>
      <c r="I6" s="54" t="s">
        <v>271</v>
      </c>
      <c r="J6" s="55"/>
      <c r="K6" s="4"/>
    </row>
    <row r="7" spans="1:15" ht="18" customHeight="1" thickTop="1" x14ac:dyDescent="0.25">
      <c r="F7" s="38" t="s">
        <v>281</v>
      </c>
      <c r="G7" s="40">
        <f>[1]耐震_基本資料!B14</f>
        <v>0.5</v>
      </c>
      <c r="H7" s="4"/>
      <c r="I7" s="38" t="s">
        <v>269</v>
      </c>
      <c r="J7" s="40">
        <f>[2]基本資料!$B$6</f>
        <v>0.6</v>
      </c>
      <c r="K7" s="4"/>
    </row>
    <row r="8" spans="1:15" ht="18" customHeight="1" thickBot="1" x14ac:dyDescent="0.3">
      <c r="F8" s="39" t="s">
        <v>282</v>
      </c>
      <c r="G8" s="37">
        <f>[1]耐震_基本資料!$G$4</f>
        <v>1</v>
      </c>
      <c r="H8" s="4"/>
      <c r="I8" s="39" t="s">
        <v>272</v>
      </c>
      <c r="J8" s="37">
        <f>[2]基本資料!$G$4</f>
        <v>1.25</v>
      </c>
      <c r="K8" s="4"/>
    </row>
    <row r="9" spans="1:15" ht="18" customHeight="1" x14ac:dyDescent="0.25">
      <c r="H9" s="4"/>
      <c r="K9" s="4"/>
    </row>
    <row r="10" spans="1:15" ht="18" customHeight="1" x14ac:dyDescent="0.25">
      <c r="H10" s="4"/>
      <c r="K10" s="4"/>
    </row>
    <row r="11" spans="1:15" ht="18" customHeight="1" x14ac:dyDescent="0.25">
      <c r="H11" s="4"/>
      <c r="K11" s="4"/>
    </row>
    <row r="12" spans="1:15" ht="18" customHeight="1" x14ac:dyDescent="0.25">
      <c r="H12" s="4"/>
      <c r="K12" s="4"/>
    </row>
    <row r="13" spans="1:15" ht="18" customHeight="1" x14ac:dyDescent="0.25">
      <c r="H13" s="4"/>
      <c r="K13" s="4"/>
    </row>
    <row r="14" spans="1:15" ht="18" customHeight="1" x14ac:dyDescent="0.25">
      <c r="A14" s="3" t="s">
        <v>0</v>
      </c>
      <c r="B14" s="3" t="s">
        <v>149</v>
      </c>
      <c r="C14" s="53" t="s">
        <v>298</v>
      </c>
      <c r="D14" s="3" t="s">
        <v>150</v>
      </c>
      <c r="E14" s="52" t="s">
        <v>148</v>
      </c>
      <c r="F14" s="4" t="s">
        <v>151</v>
      </c>
      <c r="G14" s="4" t="s">
        <v>152</v>
      </c>
      <c r="H14" s="5" t="s">
        <v>29</v>
      </c>
      <c r="I14" s="52" t="s">
        <v>153</v>
      </c>
      <c r="J14" s="4" t="s">
        <v>152</v>
      </c>
      <c r="K14" s="5" t="s">
        <v>246</v>
      </c>
      <c r="L14" s="3"/>
      <c r="M14" s="3"/>
    </row>
    <row r="15" spans="1:15" ht="18" customHeight="1" x14ac:dyDescent="0.25">
      <c r="A15" s="3" t="s">
        <v>17</v>
      </c>
      <c r="B15" s="3">
        <v>0</v>
      </c>
      <c r="C15" s="3">
        <f>IF(B15="","",$G$7)</f>
        <v>0.5</v>
      </c>
      <c r="D15" s="3">
        <f>IF(C15="","",$G$8)</f>
        <v>1</v>
      </c>
      <c r="E15" s="52">
        <f>IF(ISNA(VLOOKUP($A15,'Assembled Point Masses'!$1:$1048576,3,FALSE)),"",VLOOKUP($A15,'Assembled Point Masses'!$1:$1048576,3,FALSE))</f>
        <v>0</v>
      </c>
      <c r="F15" s="4">
        <f>IF(OR(B15="",C15="",D15=""),"",0.1*(1-B15/40)*C15*D15)</f>
        <v>0.05</v>
      </c>
      <c r="G15" s="4">
        <f>IF(E15="","",E15*9.81)</f>
        <v>0</v>
      </c>
      <c r="H15" s="5">
        <f>IF(OR(F15="",G15=""),"",F15*G15)</f>
        <v>0</v>
      </c>
      <c r="I15" s="52">
        <f>IF(ISNA(VLOOKUP($A15,'Assembled Point Masses'!$1:$1048576,4,FALSE)),"",VLOOKUP($A15,'Assembled Point Masses'!$1:$1048576,4,FALSE))</f>
        <v>0</v>
      </c>
      <c r="J15" s="4">
        <f>IF(I15="","",I15*9.81)</f>
        <v>0</v>
      </c>
      <c r="K15" s="5">
        <f>IF(OR(F15="",I15=""),"",F15*J15)</f>
        <v>0</v>
      </c>
      <c r="L15" s="3"/>
      <c r="M15" s="3"/>
    </row>
    <row r="16" spans="1:15" ht="18" customHeight="1" x14ac:dyDescent="0.25">
      <c r="A16" s="3" t="s">
        <v>275</v>
      </c>
      <c r="B16" s="3"/>
      <c r="C16" s="52" t="str">
        <f>IF(B16="","",$G$7)</f>
        <v/>
      </c>
      <c r="D16" s="52" t="str">
        <f>IF(C16="","",$G$8)</f>
        <v/>
      </c>
      <c r="E16" s="52" t="str">
        <f>IF(ISNA(VLOOKUP($A16,'Assembled Point Masses'!$1:$1048576,3,FALSE)),"",VLOOKUP($A16,'Assembled Point Masses'!$1:$1048576,3,FALSE))</f>
        <v/>
      </c>
      <c r="F16" s="4" t="str">
        <f t="shared" ref="F16:F79" si="0">IF(OR(B16="",C16="",D16=""),"",0.1*(1-B16/40)*C16*D16)</f>
        <v/>
      </c>
      <c r="G16" s="4" t="str">
        <f>IF(E16="","",E16*9.81)</f>
        <v/>
      </c>
      <c r="H16" s="5" t="str">
        <f>IF(F16="","",G16*F16)</f>
        <v/>
      </c>
      <c r="I16" s="52" t="str">
        <f>IF(ISNA(VLOOKUP($A16,'Assembled Point Masses'!$1:$1048576,4,FALSE)),"",VLOOKUP($A16,'Assembled Point Masses'!$1:$1048576,4,FALSE))</f>
        <v/>
      </c>
      <c r="J16" s="4" t="str">
        <f t="shared" ref="J16:J28" si="1">IF(I16="","",I16*9.81)</f>
        <v/>
      </c>
      <c r="K16" s="5" t="str">
        <f>IF(OR(F16="",I16=""),"",F16*J16)</f>
        <v/>
      </c>
    </row>
    <row r="17" spans="1:11" ht="18" customHeight="1" x14ac:dyDescent="0.25">
      <c r="A17" s="3" t="s">
        <v>277</v>
      </c>
      <c r="B17" s="3"/>
      <c r="C17" s="52" t="str">
        <f t="shared" ref="C17:C37" si="2">IF(B17="","",$G$7)</f>
        <v/>
      </c>
      <c r="D17" s="52" t="str">
        <f t="shared" ref="D17:D36" si="3">IF(C17="","",$G$8)</f>
        <v/>
      </c>
      <c r="E17" s="52" t="str">
        <f>IF(ISNA(VLOOKUP($A17,'Assembled Point Masses'!$1:$1048576,3,FALSE)),"",VLOOKUP($A17,'Assembled Point Masses'!$1:$1048576,3,FALSE))</f>
        <v/>
      </c>
      <c r="F17" s="4" t="str">
        <f t="shared" si="0"/>
        <v/>
      </c>
      <c r="G17" s="4" t="str">
        <f t="shared" ref="G17:G79" si="4">IF(E17="","",E17*9.81)</f>
        <v/>
      </c>
      <c r="H17" s="5" t="str">
        <f>IF(F17="","",G17*F17)</f>
        <v/>
      </c>
      <c r="I17" s="52" t="str">
        <f>IF(ISNA(VLOOKUP($A17,'Assembled Point Masses'!$1:$1048576,4,FALSE)),"",VLOOKUP($A17,'Assembled Point Masses'!$1:$1048576,4,FALSE))</f>
        <v/>
      </c>
      <c r="J17" s="4" t="str">
        <f t="shared" si="1"/>
        <v/>
      </c>
      <c r="K17" s="5" t="str">
        <f>IF(OR(F17="",I17=""),"",F17*J17)</f>
        <v/>
      </c>
    </row>
    <row r="18" spans="1:11" ht="18" customHeight="1" x14ac:dyDescent="0.25">
      <c r="A18" s="3" t="s">
        <v>278</v>
      </c>
      <c r="B18" s="3"/>
      <c r="C18" s="52" t="str">
        <f t="shared" si="2"/>
        <v/>
      </c>
      <c r="D18" s="52" t="str">
        <f t="shared" si="3"/>
        <v/>
      </c>
      <c r="E18" s="52" t="str">
        <f>IF(ISNA(VLOOKUP($A18,'Assembled Point Masses'!$1:$1048576,3,FALSE)),"",VLOOKUP($A18,'Assembled Point Masses'!$1:$1048576,3,FALSE))</f>
        <v/>
      </c>
      <c r="F18" s="4" t="str">
        <f t="shared" si="0"/>
        <v/>
      </c>
      <c r="G18" s="4" t="str">
        <f t="shared" si="4"/>
        <v/>
      </c>
      <c r="H18" s="5" t="str">
        <f t="shared" ref="H18:H28" si="5">IF(F18="","",G18*F18)</f>
        <v/>
      </c>
      <c r="I18" s="52" t="str">
        <f>IF(ISNA(VLOOKUP($A18,'Assembled Point Masses'!$1:$1048576,4,FALSE)),"",VLOOKUP($A18,'Assembled Point Masses'!$1:$1048576,4,FALSE))</f>
        <v/>
      </c>
      <c r="J18" s="4" t="str">
        <f t="shared" si="1"/>
        <v/>
      </c>
      <c r="K18" s="5" t="str">
        <f t="shared" ref="K18:K59" si="6">IF(OR(F18="",I18=""),"",F18*J18)</f>
        <v/>
      </c>
    </row>
    <row r="19" spans="1:11" ht="18" customHeight="1" x14ac:dyDescent="0.25">
      <c r="A19" s="3" t="s">
        <v>279</v>
      </c>
      <c r="B19" s="3"/>
      <c r="C19" s="52" t="str">
        <f t="shared" si="2"/>
        <v/>
      </c>
      <c r="D19" s="52" t="str">
        <f t="shared" si="3"/>
        <v/>
      </c>
      <c r="E19" s="52" t="str">
        <f>IF(ISNA(VLOOKUP($A19,'Assembled Point Masses'!$1:$1048576,3,FALSE)),"",VLOOKUP($A19,'Assembled Point Masses'!$1:$1048576,3,FALSE))</f>
        <v/>
      </c>
      <c r="F19" s="4" t="str">
        <f t="shared" si="0"/>
        <v/>
      </c>
      <c r="G19" s="4" t="str">
        <f t="shared" si="4"/>
        <v/>
      </c>
      <c r="H19" s="5" t="str">
        <f t="shared" si="5"/>
        <v/>
      </c>
      <c r="I19" s="52" t="str">
        <f>IF(ISNA(VLOOKUP($A19,'Assembled Point Masses'!$1:$1048576,4,FALSE)),"",VLOOKUP($A19,'Assembled Point Masses'!$1:$1048576,4,FALSE))</f>
        <v/>
      </c>
      <c r="J19" s="4" t="str">
        <f t="shared" si="1"/>
        <v/>
      </c>
      <c r="K19" s="5" t="str">
        <f t="shared" si="6"/>
        <v/>
      </c>
    </row>
    <row r="20" spans="1:11" ht="18" customHeight="1" x14ac:dyDescent="0.25">
      <c r="A20" s="3" t="s">
        <v>280</v>
      </c>
      <c r="B20" s="3"/>
      <c r="C20" s="52" t="str">
        <f t="shared" si="2"/>
        <v/>
      </c>
      <c r="D20" s="52" t="str">
        <f t="shared" si="3"/>
        <v/>
      </c>
      <c r="E20" s="52" t="str">
        <f>IF(ISNA(VLOOKUP($A20,'Assembled Point Masses'!$1:$1048576,3,FALSE)),"",VLOOKUP($A20,'Assembled Point Masses'!$1:$1048576,3,FALSE))</f>
        <v/>
      </c>
      <c r="F20" s="4" t="str">
        <f t="shared" si="0"/>
        <v/>
      </c>
      <c r="G20" s="4" t="str">
        <f t="shared" si="4"/>
        <v/>
      </c>
      <c r="H20" s="5" t="str">
        <f t="shared" si="5"/>
        <v/>
      </c>
      <c r="I20" s="52" t="str">
        <f>IF(ISNA(VLOOKUP($A20,'Assembled Point Masses'!$1:$1048576,4,FALSE)),"",VLOOKUP($A20,'Assembled Point Masses'!$1:$1048576,4,FALSE))</f>
        <v/>
      </c>
      <c r="J20" s="4" t="str">
        <f t="shared" si="1"/>
        <v/>
      </c>
      <c r="K20" s="5" t="str">
        <f t="shared" si="6"/>
        <v/>
      </c>
    </row>
    <row r="21" spans="1:11" ht="18" customHeight="1" x14ac:dyDescent="0.25">
      <c r="A21" s="3"/>
      <c r="B21" s="3"/>
      <c r="C21" s="52" t="str">
        <f t="shared" si="2"/>
        <v/>
      </c>
      <c r="D21" s="52" t="str">
        <f t="shared" si="3"/>
        <v/>
      </c>
      <c r="E21" s="52" t="str">
        <f>IF(ISNA(VLOOKUP($A21,'Assembled Point Masses'!$1:$1048576,3,FALSE)),"",VLOOKUP($A21,'Assembled Point Masses'!$1:$1048576,3,FALSE))</f>
        <v/>
      </c>
      <c r="F21" s="4" t="str">
        <f t="shared" si="0"/>
        <v/>
      </c>
      <c r="G21" s="4" t="str">
        <f t="shared" si="4"/>
        <v/>
      </c>
      <c r="H21" s="5" t="str">
        <f t="shared" si="5"/>
        <v/>
      </c>
      <c r="I21" s="52" t="str">
        <f>IF(ISNA(VLOOKUP($A21,'Assembled Point Masses'!$1:$1048576,4,FALSE)),"",VLOOKUP($A21,'Assembled Point Masses'!$1:$1048576,4,FALSE))</f>
        <v/>
      </c>
      <c r="J21" s="4" t="str">
        <f t="shared" si="1"/>
        <v/>
      </c>
      <c r="K21" s="5" t="str">
        <f t="shared" si="6"/>
        <v/>
      </c>
    </row>
    <row r="22" spans="1:11" ht="18" customHeight="1" x14ac:dyDescent="0.25">
      <c r="A22" s="3"/>
      <c r="B22" s="3"/>
      <c r="C22" s="52" t="str">
        <f t="shared" si="2"/>
        <v/>
      </c>
      <c r="D22" s="52" t="str">
        <f t="shared" si="3"/>
        <v/>
      </c>
      <c r="E22" s="52" t="str">
        <f>IF(ISNA(VLOOKUP($A22,'Assembled Point Masses'!$1:$1048576,3,FALSE)),"",VLOOKUP($A22,'Assembled Point Masses'!$1:$1048576,3,FALSE))</f>
        <v/>
      </c>
      <c r="F22" s="4" t="str">
        <f t="shared" si="0"/>
        <v/>
      </c>
      <c r="G22" s="4" t="str">
        <f t="shared" si="4"/>
        <v/>
      </c>
      <c r="H22" s="5" t="str">
        <f t="shared" si="5"/>
        <v/>
      </c>
      <c r="I22" s="52" t="str">
        <f>IF(ISNA(VLOOKUP($A22,'Assembled Point Masses'!$1:$1048576,4,FALSE)),"",VLOOKUP($A22,'Assembled Point Masses'!$1:$1048576,4,FALSE))</f>
        <v/>
      </c>
      <c r="J22" s="4" t="str">
        <f t="shared" si="1"/>
        <v/>
      </c>
      <c r="K22" s="5" t="str">
        <f t="shared" si="6"/>
        <v/>
      </c>
    </row>
    <row r="23" spans="1:11" ht="18" customHeight="1" x14ac:dyDescent="0.25">
      <c r="A23" s="3"/>
      <c r="B23" s="3"/>
      <c r="C23" s="52" t="str">
        <f t="shared" si="2"/>
        <v/>
      </c>
      <c r="D23" s="52" t="str">
        <f t="shared" si="3"/>
        <v/>
      </c>
      <c r="E23" s="52" t="str">
        <f>IF(ISNA(VLOOKUP($A23,'Assembled Point Masses'!$1:$1048576,3,FALSE)),"",VLOOKUP($A23,'Assembled Point Masses'!$1:$1048576,3,FALSE))</f>
        <v/>
      </c>
      <c r="F23" s="4" t="str">
        <f t="shared" si="0"/>
        <v/>
      </c>
      <c r="G23" s="4" t="str">
        <f t="shared" si="4"/>
        <v/>
      </c>
      <c r="H23" s="5" t="str">
        <f t="shared" si="5"/>
        <v/>
      </c>
      <c r="I23" s="52" t="str">
        <f>IF(ISNA(VLOOKUP($A23,'Assembled Point Masses'!$1:$1048576,4,FALSE)),"",VLOOKUP($A23,'Assembled Point Masses'!$1:$1048576,4,FALSE))</f>
        <v/>
      </c>
      <c r="J23" s="4" t="str">
        <f t="shared" si="1"/>
        <v/>
      </c>
      <c r="K23" s="5" t="str">
        <f t="shared" si="6"/>
        <v/>
      </c>
    </row>
    <row r="24" spans="1:11" ht="18" customHeight="1" x14ac:dyDescent="0.25">
      <c r="A24" s="3"/>
      <c r="B24" s="3"/>
      <c r="C24" s="52" t="str">
        <f t="shared" si="2"/>
        <v/>
      </c>
      <c r="D24" s="52" t="str">
        <f t="shared" si="3"/>
        <v/>
      </c>
      <c r="E24" s="52" t="str">
        <f>IF(ISNA(VLOOKUP($A24,'Assembled Point Masses'!$1:$1048576,3,FALSE)),"",VLOOKUP($A24,'Assembled Point Masses'!$1:$1048576,3,FALSE))</f>
        <v/>
      </c>
      <c r="F24" s="4" t="str">
        <f t="shared" si="0"/>
        <v/>
      </c>
      <c r="G24" s="4" t="str">
        <f t="shared" si="4"/>
        <v/>
      </c>
      <c r="H24" s="5" t="str">
        <f t="shared" si="5"/>
        <v/>
      </c>
      <c r="I24" s="52" t="str">
        <f>IF(ISNA(VLOOKUP($A24,'Assembled Point Masses'!$1:$1048576,4,FALSE)),"",VLOOKUP($A24,'Assembled Point Masses'!$1:$1048576,4,FALSE))</f>
        <v/>
      </c>
      <c r="J24" s="4" t="str">
        <f t="shared" si="1"/>
        <v/>
      </c>
      <c r="K24" s="5" t="str">
        <f t="shared" si="6"/>
        <v/>
      </c>
    </row>
    <row r="25" spans="1:11" ht="18" customHeight="1" x14ac:dyDescent="0.25">
      <c r="A25" s="3"/>
      <c r="B25" s="3"/>
      <c r="C25" s="52" t="str">
        <f t="shared" si="2"/>
        <v/>
      </c>
      <c r="D25" s="52" t="str">
        <f t="shared" si="3"/>
        <v/>
      </c>
      <c r="E25" s="52" t="str">
        <f>IF(ISNA(VLOOKUP($A25,'Assembled Point Masses'!$1:$1048576,3,FALSE)),"",VLOOKUP($A25,'Assembled Point Masses'!$1:$1048576,3,FALSE))</f>
        <v/>
      </c>
      <c r="F25" s="4" t="str">
        <f t="shared" si="0"/>
        <v/>
      </c>
      <c r="G25" s="4" t="str">
        <f t="shared" si="4"/>
        <v/>
      </c>
      <c r="H25" s="5" t="str">
        <f t="shared" si="5"/>
        <v/>
      </c>
      <c r="I25" s="52" t="str">
        <f>IF(ISNA(VLOOKUP($A25,'Assembled Point Masses'!$1:$1048576,4,FALSE)),"",VLOOKUP($A25,'Assembled Point Masses'!$1:$1048576,4,FALSE))</f>
        <v/>
      </c>
      <c r="J25" s="4" t="str">
        <f t="shared" si="1"/>
        <v/>
      </c>
      <c r="K25" s="5" t="str">
        <f t="shared" si="6"/>
        <v/>
      </c>
    </row>
    <row r="26" spans="1:11" ht="18" customHeight="1" x14ac:dyDescent="0.25">
      <c r="A26" s="3"/>
      <c r="B26" s="3"/>
      <c r="C26" s="52" t="str">
        <f t="shared" si="2"/>
        <v/>
      </c>
      <c r="D26" s="52" t="str">
        <f t="shared" si="3"/>
        <v/>
      </c>
      <c r="E26" s="52" t="str">
        <f>IF(ISNA(VLOOKUP($A26,'Assembled Point Masses'!$1:$1048576,3,FALSE)),"",VLOOKUP($A26,'Assembled Point Masses'!$1:$1048576,3,FALSE))</f>
        <v/>
      </c>
      <c r="F26" s="4" t="str">
        <f t="shared" si="0"/>
        <v/>
      </c>
      <c r="G26" s="4" t="str">
        <f t="shared" si="4"/>
        <v/>
      </c>
      <c r="H26" s="5" t="str">
        <f t="shared" si="5"/>
        <v/>
      </c>
      <c r="I26" s="52" t="str">
        <f>IF(ISNA(VLOOKUP($A26,'Assembled Point Masses'!$1:$1048576,4,FALSE)),"",VLOOKUP($A26,'Assembled Point Masses'!$1:$1048576,4,FALSE))</f>
        <v/>
      </c>
      <c r="J26" s="4" t="str">
        <f t="shared" si="1"/>
        <v/>
      </c>
      <c r="K26" s="5" t="str">
        <f t="shared" si="6"/>
        <v/>
      </c>
    </row>
    <row r="27" spans="1:11" ht="18" customHeight="1" x14ac:dyDescent="0.25">
      <c r="A27" s="3"/>
      <c r="B27" s="3"/>
      <c r="C27" s="52" t="str">
        <f t="shared" si="2"/>
        <v/>
      </c>
      <c r="D27" s="52" t="str">
        <f t="shared" si="3"/>
        <v/>
      </c>
      <c r="E27" s="52" t="str">
        <f>IF(ISNA(VLOOKUP($A27,'Assembled Point Masses'!$1:$1048576,3,FALSE)),"",VLOOKUP($A27,'Assembled Point Masses'!$1:$1048576,3,FALSE))</f>
        <v/>
      </c>
      <c r="F27" s="4" t="str">
        <f t="shared" si="0"/>
        <v/>
      </c>
      <c r="G27" s="4" t="str">
        <f t="shared" si="4"/>
        <v/>
      </c>
      <c r="H27" s="5" t="str">
        <f t="shared" si="5"/>
        <v/>
      </c>
      <c r="I27" s="52" t="str">
        <f>IF(ISNA(VLOOKUP($A27,'Assembled Point Masses'!$1:$1048576,4,FALSE)),"",VLOOKUP($A27,'Assembled Point Masses'!$1:$1048576,4,FALSE))</f>
        <v/>
      </c>
      <c r="J27" s="4" t="str">
        <f t="shared" si="1"/>
        <v/>
      </c>
      <c r="K27" s="5" t="str">
        <f t="shared" si="6"/>
        <v/>
      </c>
    </row>
    <row r="28" spans="1:11" ht="18" customHeight="1" x14ac:dyDescent="0.25">
      <c r="A28" s="3"/>
      <c r="B28" s="3"/>
      <c r="C28" s="52" t="str">
        <f t="shared" si="2"/>
        <v/>
      </c>
      <c r="D28" s="52" t="str">
        <f t="shared" si="3"/>
        <v/>
      </c>
      <c r="E28" s="52" t="str">
        <f>IF(ISNA(VLOOKUP($A28,'Assembled Point Masses'!$1:$1048576,3,FALSE)),"",VLOOKUP($A28,'Assembled Point Masses'!$1:$1048576,3,FALSE))</f>
        <v/>
      </c>
      <c r="F28" s="4" t="str">
        <f t="shared" si="0"/>
        <v/>
      </c>
      <c r="G28" s="4" t="str">
        <f t="shared" si="4"/>
        <v/>
      </c>
      <c r="H28" s="5" t="str">
        <f t="shared" si="5"/>
        <v/>
      </c>
      <c r="I28" s="52" t="str">
        <f>IF(ISNA(VLOOKUP($A28,'Assembled Point Masses'!$1:$1048576,4,FALSE)),"",VLOOKUP($A28,'Assembled Point Masses'!$1:$1048576,4,FALSE))</f>
        <v/>
      </c>
      <c r="J28" s="4" t="str">
        <f t="shared" si="1"/>
        <v/>
      </c>
      <c r="K28" s="5" t="str">
        <f t="shared" si="6"/>
        <v/>
      </c>
    </row>
    <row r="29" spans="1:11" ht="18" customHeight="1" x14ac:dyDescent="0.25">
      <c r="A29" s="3"/>
      <c r="B29" s="3"/>
      <c r="C29" s="52" t="str">
        <f t="shared" si="2"/>
        <v/>
      </c>
      <c r="D29" s="52" t="str">
        <f t="shared" si="3"/>
        <v/>
      </c>
      <c r="E29" s="52" t="str">
        <f>IF(ISNA(VLOOKUP($A29,'Assembled Point Masses'!$1:$1048576,3,FALSE)),"",VLOOKUP($A29,'Assembled Point Masses'!$1:$1048576,3,FALSE))</f>
        <v/>
      </c>
      <c r="F29" s="4" t="str">
        <f t="shared" si="0"/>
        <v/>
      </c>
      <c r="G29" s="4" t="str">
        <f t="shared" si="4"/>
        <v/>
      </c>
      <c r="I29" s="52" t="str">
        <f>IF(ISNA(VLOOKUP($A29,'Assembled Point Masses'!$1:$1048576,4,FALSE)),"",VLOOKUP($A29,'Assembled Point Masses'!$1:$1048576,4,FALSE))</f>
        <v/>
      </c>
      <c r="K29" s="5" t="str">
        <f t="shared" si="6"/>
        <v/>
      </c>
    </row>
    <row r="30" spans="1:11" ht="18" customHeight="1" x14ac:dyDescent="0.25">
      <c r="A30" s="3"/>
      <c r="B30" s="3"/>
      <c r="C30" s="52" t="str">
        <f t="shared" si="2"/>
        <v/>
      </c>
      <c r="D30" s="52" t="str">
        <f t="shared" si="3"/>
        <v/>
      </c>
      <c r="E30" s="52" t="str">
        <f>IF(ISNA(VLOOKUP($A30,'Assembled Point Masses'!$1:$1048576,3,FALSE)),"",VLOOKUP($A30,'Assembled Point Masses'!$1:$1048576,3,FALSE))</f>
        <v/>
      </c>
      <c r="F30" s="4" t="str">
        <f t="shared" si="0"/>
        <v/>
      </c>
      <c r="G30" s="4" t="str">
        <f t="shared" si="4"/>
        <v/>
      </c>
      <c r="I30" s="52" t="str">
        <f>IF(ISNA(VLOOKUP($A30,'Assembled Point Masses'!$1:$1048576,4,FALSE)),"",VLOOKUP($A30,'Assembled Point Masses'!$1:$1048576,4,FALSE))</f>
        <v/>
      </c>
      <c r="K30" s="5" t="str">
        <f t="shared" si="6"/>
        <v/>
      </c>
    </row>
    <row r="31" spans="1:11" ht="18" customHeight="1" x14ac:dyDescent="0.25">
      <c r="A31" s="3"/>
      <c r="B31" s="3"/>
      <c r="C31" s="52" t="str">
        <f t="shared" si="2"/>
        <v/>
      </c>
      <c r="D31" s="52" t="str">
        <f t="shared" si="3"/>
        <v/>
      </c>
      <c r="E31" s="52" t="str">
        <f>IF(ISNA(VLOOKUP($A31,'Assembled Point Masses'!$1:$1048576,3,FALSE)),"",VLOOKUP($A31,'Assembled Point Masses'!$1:$1048576,3,FALSE))</f>
        <v/>
      </c>
      <c r="F31" s="4" t="str">
        <f t="shared" si="0"/>
        <v/>
      </c>
      <c r="G31" s="4" t="str">
        <f t="shared" si="4"/>
        <v/>
      </c>
      <c r="I31" s="52" t="str">
        <f>IF(ISNA(VLOOKUP($A31,'Assembled Point Masses'!$1:$1048576,4,FALSE)),"",VLOOKUP($A31,'Assembled Point Masses'!$1:$1048576,4,FALSE))</f>
        <v/>
      </c>
      <c r="K31" s="5" t="str">
        <f t="shared" si="6"/>
        <v/>
      </c>
    </row>
    <row r="32" spans="1:11" ht="18" customHeight="1" x14ac:dyDescent="0.25">
      <c r="C32" s="52" t="str">
        <f t="shared" si="2"/>
        <v/>
      </c>
      <c r="D32" s="52" t="str">
        <f t="shared" si="3"/>
        <v/>
      </c>
      <c r="E32" s="52" t="str">
        <f>IF(ISNA(VLOOKUP($A32,'Assembled Point Masses'!$1:$1048576,3,FALSE)),"",VLOOKUP($A32,'Assembled Point Masses'!$1:$1048576,3,FALSE))</f>
        <v/>
      </c>
      <c r="F32" s="4" t="str">
        <f t="shared" si="0"/>
        <v/>
      </c>
      <c r="G32" s="4" t="str">
        <f t="shared" si="4"/>
        <v/>
      </c>
      <c r="I32" s="52" t="str">
        <f>IF(ISNA(VLOOKUP($A32,'Assembled Point Masses'!$1:$1048576,4,FALSE)),"",VLOOKUP($A32,'Assembled Point Masses'!$1:$1048576,4,FALSE))</f>
        <v/>
      </c>
      <c r="K32" s="5" t="str">
        <f t="shared" si="6"/>
        <v/>
      </c>
    </row>
    <row r="33" spans="3:11" ht="18" customHeight="1" x14ac:dyDescent="0.25">
      <c r="C33" s="52" t="str">
        <f t="shared" si="2"/>
        <v/>
      </c>
      <c r="D33" s="52" t="str">
        <f t="shared" si="3"/>
        <v/>
      </c>
      <c r="E33" s="52" t="str">
        <f>IF(ISNA(VLOOKUP($A33,'Assembled Point Masses'!$1:$1048576,3,FALSE)),"",VLOOKUP($A33,'Assembled Point Masses'!$1:$1048576,3,FALSE))</f>
        <v/>
      </c>
      <c r="F33" s="4" t="str">
        <f t="shared" si="0"/>
        <v/>
      </c>
      <c r="G33" s="4" t="str">
        <f t="shared" si="4"/>
        <v/>
      </c>
      <c r="I33" s="52" t="str">
        <f>IF(ISNA(VLOOKUP($A33,'Assembled Point Masses'!$1:$1048576,4,FALSE)),"",VLOOKUP($A33,'Assembled Point Masses'!$1:$1048576,4,FALSE))</f>
        <v/>
      </c>
      <c r="K33" s="5" t="str">
        <f t="shared" si="6"/>
        <v/>
      </c>
    </row>
    <row r="34" spans="3:11" ht="18" customHeight="1" x14ac:dyDescent="0.25">
      <c r="C34" s="52" t="str">
        <f t="shared" si="2"/>
        <v/>
      </c>
      <c r="D34" s="52" t="str">
        <f t="shared" si="3"/>
        <v/>
      </c>
      <c r="E34" s="52" t="str">
        <f>IF(ISNA(VLOOKUP($A34,'Assembled Point Masses'!$1:$1048576,3,FALSE)),"",VLOOKUP($A34,'Assembled Point Masses'!$1:$1048576,3,FALSE))</f>
        <v/>
      </c>
      <c r="F34" s="4" t="str">
        <f t="shared" si="0"/>
        <v/>
      </c>
      <c r="G34" s="4" t="str">
        <f t="shared" si="4"/>
        <v/>
      </c>
      <c r="I34" s="52" t="str">
        <f>IF(ISNA(VLOOKUP($A34,'Assembled Point Masses'!$1:$1048576,4,FALSE)),"",VLOOKUP($A34,'Assembled Point Masses'!$1:$1048576,4,FALSE))</f>
        <v/>
      </c>
      <c r="K34" s="5" t="str">
        <f t="shared" si="6"/>
        <v/>
      </c>
    </row>
    <row r="35" spans="3:11" ht="18" customHeight="1" x14ac:dyDescent="0.25">
      <c r="C35" s="52" t="str">
        <f t="shared" si="2"/>
        <v/>
      </c>
      <c r="D35" s="52" t="str">
        <f t="shared" si="3"/>
        <v/>
      </c>
      <c r="E35" s="52" t="str">
        <f>IF(ISNA(VLOOKUP($A35,'Assembled Point Masses'!$1:$1048576,3,FALSE)),"",VLOOKUP($A35,'Assembled Point Masses'!$1:$1048576,3,FALSE))</f>
        <v/>
      </c>
      <c r="F35" s="4" t="str">
        <f t="shared" si="0"/>
        <v/>
      </c>
      <c r="G35" s="4" t="str">
        <f t="shared" si="4"/>
        <v/>
      </c>
      <c r="I35" s="52" t="str">
        <f>IF(ISNA(VLOOKUP($A35,'Assembled Point Masses'!$1:$1048576,4,FALSE)),"",VLOOKUP($A35,'Assembled Point Masses'!$1:$1048576,4,FALSE))</f>
        <v/>
      </c>
      <c r="K35" s="5" t="str">
        <f t="shared" si="6"/>
        <v/>
      </c>
    </row>
    <row r="36" spans="3:11" ht="18" customHeight="1" x14ac:dyDescent="0.25">
      <c r="C36" s="52" t="str">
        <f t="shared" si="2"/>
        <v/>
      </c>
      <c r="D36" s="52" t="str">
        <f t="shared" si="3"/>
        <v/>
      </c>
      <c r="E36" s="52" t="str">
        <f>IF(ISNA(VLOOKUP($A36,'Assembled Point Masses'!$1:$1048576,3,FALSE)),"",VLOOKUP($A36,'Assembled Point Masses'!$1:$1048576,3,FALSE))</f>
        <v/>
      </c>
      <c r="F36" s="4" t="str">
        <f t="shared" si="0"/>
        <v/>
      </c>
      <c r="G36" s="4" t="str">
        <f t="shared" si="4"/>
        <v/>
      </c>
      <c r="I36" s="52" t="str">
        <f>IF(ISNA(VLOOKUP($A36,'Assembled Point Masses'!$1:$1048576,4,FALSE)),"",VLOOKUP($A36,'Assembled Point Masses'!$1:$1048576,4,FALSE))</f>
        <v/>
      </c>
      <c r="K36" s="5" t="str">
        <f t="shared" si="6"/>
        <v/>
      </c>
    </row>
    <row r="37" spans="3:11" ht="18" customHeight="1" x14ac:dyDescent="0.25">
      <c r="C37" s="52" t="str">
        <f t="shared" si="2"/>
        <v/>
      </c>
      <c r="E37" s="52" t="str">
        <f>IF(ISNA(VLOOKUP($A37,'Assembled Point Masses'!$1:$1048576,3,FALSE)),"",VLOOKUP($A37,'Assembled Point Masses'!$1:$1048576,3,FALSE))</f>
        <v/>
      </c>
      <c r="F37" s="4" t="str">
        <f t="shared" si="0"/>
        <v/>
      </c>
      <c r="G37" s="4" t="str">
        <f t="shared" si="4"/>
        <v/>
      </c>
      <c r="I37" s="52" t="str">
        <f>IF(ISNA(VLOOKUP($A37,'Assembled Point Masses'!$1:$1048576,4,FALSE)),"",VLOOKUP($A37,'Assembled Point Masses'!$1:$1048576,4,FALSE))</f>
        <v/>
      </c>
      <c r="K37" s="5" t="str">
        <f t="shared" si="6"/>
        <v/>
      </c>
    </row>
    <row r="38" spans="3:11" ht="18" customHeight="1" x14ac:dyDescent="0.25">
      <c r="C38" s="3"/>
      <c r="E38" s="52" t="str">
        <f>IF(ISNA(VLOOKUP($A38,'Assembled Point Masses'!$1:$1048576,3,FALSE)),"",VLOOKUP($A38,'Assembled Point Masses'!$1:$1048576,3,FALSE))</f>
        <v/>
      </c>
      <c r="F38" s="4" t="str">
        <f t="shared" si="0"/>
        <v/>
      </c>
      <c r="G38" s="4" t="str">
        <f t="shared" si="4"/>
        <v/>
      </c>
      <c r="I38" s="52" t="str">
        <f>IF(ISNA(VLOOKUP($A38,'Assembled Point Masses'!$1:$1048576,4,FALSE)),"",VLOOKUP($A38,'Assembled Point Masses'!$1:$1048576,4,FALSE))</f>
        <v/>
      </c>
      <c r="K38" s="5" t="str">
        <f t="shared" si="6"/>
        <v/>
      </c>
    </row>
    <row r="39" spans="3:11" ht="18" customHeight="1" x14ac:dyDescent="0.25">
      <c r="C39" s="3"/>
      <c r="E39" s="52" t="str">
        <f>IF(ISNA(VLOOKUP($A39,'Assembled Point Masses'!$1:$1048576,3,FALSE)),"",VLOOKUP($A39,'Assembled Point Masses'!$1:$1048576,3,FALSE))</f>
        <v/>
      </c>
      <c r="F39" s="4" t="str">
        <f t="shared" si="0"/>
        <v/>
      </c>
      <c r="G39" s="4" t="str">
        <f t="shared" si="4"/>
        <v/>
      </c>
      <c r="I39" s="52" t="str">
        <f>IF(ISNA(VLOOKUP($A39,'Assembled Point Masses'!$1:$1048576,4,FALSE)),"",VLOOKUP($A39,'Assembled Point Masses'!$1:$1048576,4,FALSE))</f>
        <v/>
      </c>
      <c r="K39" s="5" t="str">
        <f t="shared" si="6"/>
        <v/>
      </c>
    </row>
    <row r="40" spans="3:11" ht="18" customHeight="1" x14ac:dyDescent="0.25">
      <c r="C40" s="3"/>
      <c r="E40" s="52" t="str">
        <f>IF(ISNA(VLOOKUP($A40,'Assembled Point Masses'!$1:$1048576,3,FALSE)),"",VLOOKUP($A40,'Assembled Point Masses'!$1:$1048576,3,FALSE))</f>
        <v/>
      </c>
      <c r="F40" s="4" t="str">
        <f t="shared" si="0"/>
        <v/>
      </c>
      <c r="G40" s="4" t="str">
        <f t="shared" si="4"/>
        <v/>
      </c>
      <c r="I40" s="52" t="str">
        <f>IF(ISNA(VLOOKUP($A40,'Assembled Point Masses'!$1:$1048576,4,FALSE)),"",VLOOKUP($A40,'Assembled Point Masses'!$1:$1048576,4,FALSE))</f>
        <v/>
      </c>
      <c r="K40" s="5" t="str">
        <f t="shared" si="6"/>
        <v/>
      </c>
    </row>
    <row r="41" spans="3:11" ht="18" customHeight="1" x14ac:dyDescent="0.25">
      <c r="C41" s="3"/>
      <c r="E41" s="52" t="str">
        <f>IF(ISNA(VLOOKUP($A41,'Assembled Point Masses'!$1:$1048576,3,FALSE)),"",VLOOKUP($A41,'Assembled Point Masses'!$1:$1048576,3,FALSE))</f>
        <v/>
      </c>
      <c r="F41" s="4" t="str">
        <f t="shared" si="0"/>
        <v/>
      </c>
      <c r="G41" s="4" t="str">
        <f t="shared" si="4"/>
        <v/>
      </c>
      <c r="I41" s="52" t="str">
        <f>IF(ISNA(VLOOKUP($A41,'Assembled Point Masses'!$1:$1048576,4,FALSE)),"",VLOOKUP($A41,'Assembled Point Masses'!$1:$1048576,4,FALSE))</f>
        <v/>
      </c>
      <c r="K41" s="5" t="str">
        <f t="shared" si="6"/>
        <v/>
      </c>
    </row>
    <row r="42" spans="3:11" ht="18" customHeight="1" x14ac:dyDescent="0.25">
      <c r="C42" s="3"/>
      <c r="E42" s="52" t="str">
        <f>IF(ISNA(VLOOKUP($A42,'Assembled Point Masses'!$1:$1048576,3,FALSE)),"",VLOOKUP($A42,'Assembled Point Masses'!$1:$1048576,3,FALSE))</f>
        <v/>
      </c>
      <c r="F42" s="4" t="str">
        <f t="shared" si="0"/>
        <v/>
      </c>
      <c r="G42" s="4" t="str">
        <f t="shared" si="4"/>
        <v/>
      </c>
      <c r="I42" s="52" t="str">
        <f>IF(ISNA(VLOOKUP($A42,'Assembled Point Masses'!$1:$1048576,4,FALSE)),"",VLOOKUP($A42,'Assembled Point Masses'!$1:$1048576,4,FALSE))</f>
        <v/>
      </c>
      <c r="K42" s="5" t="str">
        <f t="shared" si="6"/>
        <v/>
      </c>
    </row>
    <row r="43" spans="3:11" ht="18" customHeight="1" x14ac:dyDescent="0.25">
      <c r="C43" s="3"/>
      <c r="E43" s="52" t="str">
        <f>IF(ISNA(VLOOKUP($A43,'Assembled Point Masses'!$1:$1048576,3,FALSE)),"",VLOOKUP($A43,'Assembled Point Masses'!$1:$1048576,3,FALSE))</f>
        <v/>
      </c>
      <c r="F43" s="4" t="str">
        <f t="shared" si="0"/>
        <v/>
      </c>
      <c r="G43" s="4" t="str">
        <f t="shared" si="4"/>
        <v/>
      </c>
      <c r="I43" s="52" t="str">
        <f>IF(ISNA(VLOOKUP($A43,'Assembled Point Masses'!$1:$1048576,4,FALSE)),"",VLOOKUP($A43,'Assembled Point Masses'!$1:$1048576,4,FALSE))</f>
        <v/>
      </c>
      <c r="K43" s="5" t="str">
        <f t="shared" si="6"/>
        <v/>
      </c>
    </row>
    <row r="44" spans="3:11" ht="18" customHeight="1" x14ac:dyDescent="0.25">
      <c r="C44" s="3"/>
      <c r="E44" s="52" t="str">
        <f>IF(ISNA(VLOOKUP($A44,'Assembled Point Masses'!$1:$1048576,3,FALSE)),"",VLOOKUP($A44,'Assembled Point Masses'!$1:$1048576,3,FALSE))</f>
        <v/>
      </c>
      <c r="F44" s="4" t="str">
        <f t="shared" si="0"/>
        <v/>
      </c>
      <c r="G44" s="4" t="str">
        <f t="shared" si="4"/>
        <v/>
      </c>
      <c r="I44" s="52" t="str">
        <f>IF(ISNA(VLOOKUP($A44,'Assembled Point Masses'!$1:$1048576,4,FALSE)),"",VLOOKUP($A44,'Assembled Point Masses'!$1:$1048576,4,FALSE))</f>
        <v/>
      </c>
      <c r="K44" s="5" t="str">
        <f t="shared" si="6"/>
        <v/>
      </c>
    </row>
    <row r="45" spans="3:11" ht="18" customHeight="1" x14ac:dyDescent="0.25">
      <c r="C45" s="3"/>
      <c r="E45" s="52" t="str">
        <f>IF(ISNA(VLOOKUP($A45,'Assembled Point Masses'!$1:$1048576,3,FALSE)),"",VLOOKUP($A45,'Assembled Point Masses'!$1:$1048576,3,FALSE))</f>
        <v/>
      </c>
      <c r="F45" s="4" t="str">
        <f t="shared" si="0"/>
        <v/>
      </c>
      <c r="G45" s="4" t="str">
        <f t="shared" si="4"/>
        <v/>
      </c>
      <c r="I45" s="52" t="str">
        <f>IF(ISNA(VLOOKUP($A45,'Assembled Point Masses'!$1:$1048576,4,FALSE)),"",VLOOKUP($A45,'Assembled Point Masses'!$1:$1048576,4,FALSE))</f>
        <v/>
      </c>
      <c r="K45" s="5" t="str">
        <f t="shared" si="6"/>
        <v/>
      </c>
    </row>
    <row r="46" spans="3:11" ht="18" customHeight="1" x14ac:dyDescent="0.25">
      <c r="C46" s="3"/>
      <c r="E46" s="52" t="str">
        <f>IF(ISNA(VLOOKUP($A46,'Assembled Point Masses'!$1:$1048576,3,FALSE)),"",VLOOKUP($A46,'Assembled Point Masses'!$1:$1048576,3,FALSE))</f>
        <v/>
      </c>
      <c r="F46" s="4" t="str">
        <f t="shared" si="0"/>
        <v/>
      </c>
      <c r="G46" s="4" t="str">
        <f t="shared" si="4"/>
        <v/>
      </c>
      <c r="I46" s="52" t="str">
        <f>IF(ISNA(VLOOKUP($A46,'Assembled Point Masses'!$1:$1048576,4,FALSE)),"",VLOOKUP($A46,'Assembled Point Masses'!$1:$1048576,4,FALSE))</f>
        <v/>
      </c>
      <c r="K46" s="5" t="str">
        <f t="shared" si="6"/>
        <v/>
      </c>
    </row>
    <row r="47" spans="3:11" ht="18" customHeight="1" x14ac:dyDescent="0.25">
      <c r="C47" s="3"/>
      <c r="E47" s="52" t="str">
        <f>IF(ISNA(VLOOKUP($A47,'Assembled Point Masses'!$1:$1048576,3,FALSE)),"",VLOOKUP($A47,'Assembled Point Masses'!$1:$1048576,3,FALSE))</f>
        <v/>
      </c>
      <c r="F47" s="4" t="str">
        <f t="shared" si="0"/>
        <v/>
      </c>
      <c r="G47" s="4" t="str">
        <f t="shared" si="4"/>
        <v/>
      </c>
      <c r="I47" s="52" t="str">
        <f>IF(ISNA(VLOOKUP($A47,'Assembled Point Masses'!$1:$1048576,4,FALSE)),"",VLOOKUP($A47,'Assembled Point Masses'!$1:$1048576,4,FALSE))</f>
        <v/>
      </c>
      <c r="K47" s="5" t="str">
        <f t="shared" si="6"/>
        <v/>
      </c>
    </row>
    <row r="48" spans="3:11" ht="18" customHeight="1" x14ac:dyDescent="0.25">
      <c r="C48" s="3"/>
      <c r="E48" s="52" t="str">
        <f>IF(ISNA(VLOOKUP($A48,'Assembled Point Masses'!$1:$1048576,3,FALSE)),"",VLOOKUP($A48,'Assembled Point Masses'!$1:$1048576,3,FALSE))</f>
        <v/>
      </c>
      <c r="F48" s="4" t="str">
        <f t="shared" si="0"/>
        <v/>
      </c>
      <c r="G48" s="4" t="str">
        <f t="shared" si="4"/>
        <v/>
      </c>
      <c r="I48" s="52" t="str">
        <f>IF(ISNA(VLOOKUP($A48,'Assembled Point Masses'!$1:$1048576,4,FALSE)),"",VLOOKUP($A48,'Assembled Point Masses'!$1:$1048576,4,FALSE))</f>
        <v/>
      </c>
      <c r="K48" s="5" t="str">
        <f t="shared" si="6"/>
        <v/>
      </c>
    </row>
    <row r="49" spans="3:11" ht="18" customHeight="1" x14ac:dyDescent="0.25">
      <c r="C49" s="3"/>
      <c r="E49" s="52" t="str">
        <f>IF(ISNA(VLOOKUP($A49,'Assembled Point Masses'!$1:$1048576,3,FALSE)),"",VLOOKUP($A49,'Assembled Point Masses'!$1:$1048576,3,FALSE))</f>
        <v/>
      </c>
      <c r="F49" s="4" t="str">
        <f t="shared" si="0"/>
        <v/>
      </c>
      <c r="G49" s="4" t="str">
        <f t="shared" si="4"/>
        <v/>
      </c>
      <c r="I49" s="52" t="str">
        <f>IF(ISNA(VLOOKUP($A49,'Assembled Point Masses'!$1:$1048576,4,FALSE)),"",VLOOKUP($A49,'Assembled Point Masses'!$1:$1048576,4,FALSE))</f>
        <v/>
      </c>
      <c r="K49" s="5" t="str">
        <f t="shared" si="6"/>
        <v/>
      </c>
    </row>
    <row r="50" spans="3:11" ht="18" customHeight="1" x14ac:dyDescent="0.25">
      <c r="C50" s="3"/>
      <c r="E50" s="52" t="str">
        <f>IF(ISNA(VLOOKUP($A50,'Assembled Point Masses'!$1:$1048576,3,FALSE)),"",VLOOKUP($A50,'Assembled Point Masses'!$1:$1048576,3,FALSE))</f>
        <v/>
      </c>
      <c r="F50" s="4" t="str">
        <f t="shared" si="0"/>
        <v/>
      </c>
      <c r="G50" s="4" t="str">
        <f t="shared" si="4"/>
        <v/>
      </c>
      <c r="I50" s="52" t="str">
        <f>IF(ISNA(VLOOKUP($A50,'Assembled Point Masses'!$1:$1048576,4,FALSE)),"",VLOOKUP($A50,'Assembled Point Masses'!$1:$1048576,4,FALSE))</f>
        <v/>
      </c>
      <c r="K50" s="5" t="str">
        <f t="shared" si="6"/>
        <v/>
      </c>
    </row>
    <row r="51" spans="3:11" ht="18" customHeight="1" x14ac:dyDescent="0.25">
      <c r="C51" s="3"/>
      <c r="E51" s="52" t="str">
        <f>IF(ISNA(VLOOKUP($A51,'Assembled Point Masses'!$1:$1048576,3,FALSE)),"",VLOOKUP($A51,'Assembled Point Masses'!$1:$1048576,3,FALSE))</f>
        <v/>
      </c>
      <c r="F51" s="4" t="str">
        <f t="shared" si="0"/>
        <v/>
      </c>
      <c r="G51" s="4" t="str">
        <f t="shared" si="4"/>
        <v/>
      </c>
      <c r="I51" s="52" t="str">
        <f>IF(ISNA(VLOOKUP($A51,'Assembled Point Masses'!$1:$1048576,4,FALSE)),"",VLOOKUP($A51,'Assembled Point Masses'!$1:$1048576,4,FALSE))</f>
        <v/>
      </c>
      <c r="K51" s="5" t="str">
        <f t="shared" si="6"/>
        <v/>
      </c>
    </row>
    <row r="52" spans="3:11" ht="18" customHeight="1" x14ac:dyDescent="0.25">
      <c r="C52" s="3"/>
      <c r="E52" s="52" t="str">
        <f>IF(ISNA(VLOOKUP($A52,'Assembled Point Masses'!$1:$1048576,3,FALSE)),"",VLOOKUP($A52,'Assembled Point Masses'!$1:$1048576,3,FALSE))</f>
        <v/>
      </c>
      <c r="F52" s="4" t="str">
        <f t="shared" si="0"/>
        <v/>
      </c>
      <c r="G52" s="4" t="str">
        <f t="shared" si="4"/>
        <v/>
      </c>
      <c r="I52" s="52" t="str">
        <f>IF(ISNA(VLOOKUP($A52,'Assembled Point Masses'!$1:$1048576,4,FALSE)),"",VLOOKUP($A52,'Assembled Point Masses'!$1:$1048576,4,FALSE))</f>
        <v/>
      </c>
      <c r="K52" s="5" t="str">
        <f t="shared" si="6"/>
        <v/>
      </c>
    </row>
    <row r="53" spans="3:11" ht="18" customHeight="1" x14ac:dyDescent="0.25">
      <c r="C53" s="3"/>
      <c r="E53" s="52" t="str">
        <f>IF(ISNA(VLOOKUP($A53,'Assembled Point Masses'!$1:$1048576,3,FALSE)),"",VLOOKUP($A53,'Assembled Point Masses'!$1:$1048576,3,FALSE))</f>
        <v/>
      </c>
      <c r="F53" s="4" t="str">
        <f t="shared" si="0"/>
        <v/>
      </c>
      <c r="G53" s="4" t="str">
        <f t="shared" si="4"/>
        <v/>
      </c>
      <c r="I53" s="52" t="str">
        <f>IF(ISNA(VLOOKUP($A53,'Assembled Point Masses'!$1:$1048576,4,FALSE)),"",VLOOKUP($A53,'Assembled Point Masses'!$1:$1048576,4,FALSE))</f>
        <v/>
      </c>
      <c r="K53" s="5" t="str">
        <f t="shared" si="6"/>
        <v/>
      </c>
    </row>
    <row r="54" spans="3:11" ht="18" customHeight="1" x14ac:dyDescent="0.25">
      <c r="C54" s="3"/>
      <c r="E54" s="52" t="str">
        <f>IF(ISNA(VLOOKUP($A54,'Assembled Point Masses'!$1:$1048576,3,FALSE)),"",VLOOKUP($A54,'Assembled Point Masses'!$1:$1048576,3,FALSE))</f>
        <v/>
      </c>
      <c r="F54" s="4" t="str">
        <f t="shared" si="0"/>
        <v/>
      </c>
      <c r="G54" s="4" t="str">
        <f t="shared" si="4"/>
        <v/>
      </c>
      <c r="I54" s="52" t="str">
        <f>IF(ISNA(VLOOKUP($A54,'Assembled Point Masses'!$1:$1048576,4,FALSE)),"",VLOOKUP($A54,'Assembled Point Masses'!$1:$1048576,4,FALSE))</f>
        <v/>
      </c>
      <c r="K54" s="5" t="str">
        <f t="shared" si="6"/>
        <v/>
      </c>
    </row>
    <row r="55" spans="3:11" ht="18" customHeight="1" x14ac:dyDescent="0.25">
      <c r="C55" s="3"/>
      <c r="E55" s="52" t="str">
        <f>IF(ISNA(VLOOKUP($A55,'Assembled Point Masses'!$1:$1048576,3,FALSE)),"",VLOOKUP($A55,'Assembled Point Masses'!$1:$1048576,3,FALSE))</f>
        <v/>
      </c>
      <c r="F55" s="4" t="str">
        <f t="shared" si="0"/>
        <v/>
      </c>
      <c r="G55" s="4" t="str">
        <f t="shared" si="4"/>
        <v/>
      </c>
      <c r="I55" s="52" t="str">
        <f>IF(ISNA(VLOOKUP($A55,'Assembled Point Masses'!$1:$1048576,4,FALSE)),"",VLOOKUP($A55,'Assembled Point Masses'!$1:$1048576,4,FALSE))</f>
        <v/>
      </c>
      <c r="K55" s="5" t="str">
        <f t="shared" si="6"/>
        <v/>
      </c>
    </row>
    <row r="56" spans="3:11" ht="18" customHeight="1" x14ac:dyDescent="0.25">
      <c r="C56" s="3"/>
      <c r="E56" s="52" t="str">
        <f>IF(ISNA(VLOOKUP($A56,'Assembled Point Masses'!$1:$1048576,3,FALSE)),"",VLOOKUP($A56,'Assembled Point Masses'!$1:$1048576,3,FALSE))</f>
        <v/>
      </c>
      <c r="F56" s="4" t="str">
        <f t="shared" si="0"/>
        <v/>
      </c>
      <c r="G56" s="4" t="str">
        <f t="shared" si="4"/>
        <v/>
      </c>
      <c r="I56" s="52" t="str">
        <f>IF(ISNA(VLOOKUP($A56,'Assembled Point Masses'!$1:$1048576,4,FALSE)),"",VLOOKUP($A56,'Assembled Point Masses'!$1:$1048576,4,FALSE))</f>
        <v/>
      </c>
      <c r="K56" s="5" t="str">
        <f t="shared" si="6"/>
        <v/>
      </c>
    </row>
    <row r="57" spans="3:11" ht="18" customHeight="1" x14ac:dyDescent="0.25">
      <c r="C57" s="3"/>
      <c r="E57" s="52" t="str">
        <f>IF(ISNA(VLOOKUP($A57,'Assembled Point Masses'!$1:$1048576,3,FALSE)),"",VLOOKUP($A57,'Assembled Point Masses'!$1:$1048576,3,FALSE))</f>
        <v/>
      </c>
      <c r="F57" s="4" t="str">
        <f t="shared" si="0"/>
        <v/>
      </c>
      <c r="G57" s="4" t="str">
        <f t="shared" si="4"/>
        <v/>
      </c>
      <c r="I57" s="52" t="str">
        <f>IF(ISNA(VLOOKUP($A57,'Assembled Point Masses'!$1:$1048576,4,FALSE)),"",VLOOKUP($A57,'Assembled Point Masses'!$1:$1048576,4,FALSE))</f>
        <v/>
      </c>
      <c r="K57" s="5" t="str">
        <f t="shared" si="6"/>
        <v/>
      </c>
    </row>
    <row r="58" spans="3:11" ht="18" customHeight="1" x14ac:dyDescent="0.25">
      <c r="C58" s="3"/>
      <c r="E58" s="52" t="str">
        <f>IF(ISNA(VLOOKUP($A58,'Assembled Point Masses'!$1:$1048576,3,FALSE)),"",VLOOKUP($A58,'Assembled Point Masses'!$1:$1048576,3,FALSE))</f>
        <v/>
      </c>
      <c r="F58" s="4" t="str">
        <f t="shared" si="0"/>
        <v/>
      </c>
      <c r="G58" s="4" t="str">
        <f t="shared" si="4"/>
        <v/>
      </c>
      <c r="I58" s="52" t="str">
        <f>IF(ISNA(VLOOKUP($A58,'Assembled Point Masses'!$1:$1048576,4,FALSE)),"",VLOOKUP($A58,'Assembled Point Masses'!$1:$1048576,4,FALSE))</f>
        <v/>
      </c>
      <c r="K58" s="5" t="str">
        <f t="shared" si="6"/>
        <v/>
      </c>
    </row>
    <row r="59" spans="3:11" ht="18" customHeight="1" x14ac:dyDescent="0.25">
      <c r="C59" s="3"/>
      <c r="E59" s="52" t="str">
        <f>IF(ISNA(VLOOKUP($A59,'Assembled Point Masses'!$1:$1048576,3,FALSE)),"",VLOOKUP($A59,'Assembled Point Masses'!$1:$1048576,3,FALSE))</f>
        <v/>
      </c>
      <c r="F59" s="4" t="str">
        <f t="shared" si="0"/>
        <v/>
      </c>
      <c r="G59" s="4" t="str">
        <f t="shared" si="4"/>
        <v/>
      </c>
      <c r="I59" s="52" t="str">
        <f>IF(ISNA(VLOOKUP($A59,'Assembled Point Masses'!$1:$1048576,4,FALSE)),"",VLOOKUP($A59,'Assembled Point Masses'!$1:$1048576,4,FALSE))</f>
        <v/>
      </c>
      <c r="K59" s="5" t="str">
        <f t="shared" si="6"/>
        <v/>
      </c>
    </row>
    <row r="60" spans="3:11" ht="18" customHeight="1" x14ac:dyDescent="0.25">
      <c r="C60" s="3"/>
      <c r="E60" s="52" t="str">
        <f>IF(ISNA(VLOOKUP($A60,'Assembled Point Masses'!$1:$1048576,3,FALSE)),"",VLOOKUP($A60,'Assembled Point Masses'!$1:$1048576,3,FALSE))</f>
        <v/>
      </c>
      <c r="F60" s="4" t="str">
        <f t="shared" si="0"/>
        <v/>
      </c>
      <c r="G60" s="4" t="str">
        <f t="shared" si="4"/>
        <v/>
      </c>
      <c r="I60" s="52" t="str">
        <f>IF(ISNA(VLOOKUP($A60,'Assembled Point Masses'!$1:$1048576,4,FALSE)),"",VLOOKUP($A60,'Assembled Point Masses'!$1:$1048576,4,FALSE))</f>
        <v/>
      </c>
      <c r="K60" s="5" t="str">
        <f t="shared" ref="K60:K62" si="7">IF(F60="","",F60*J60)</f>
        <v/>
      </c>
    </row>
    <row r="61" spans="3:11" ht="18" customHeight="1" x14ac:dyDescent="0.25">
      <c r="C61" s="3"/>
      <c r="E61" s="52" t="str">
        <f>IF(ISNA(VLOOKUP($A61,'Assembled Point Masses'!$1:$1048576,3,FALSE)),"",VLOOKUP($A61,'Assembled Point Masses'!$1:$1048576,3,FALSE))</f>
        <v/>
      </c>
      <c r="F61" s="4" t="str">
        <f t="shared" si="0"/>
        <v/>
      </c>
      <c r="G61" s="4" t="str">
        <f t="shared" si="4"/>
        <v/>
      </c>
      <c r="I61" s="52" t="str">
        <f>IF(ISNA(VLOOKUP($A61,'Assembled Point Masses'!$1:$1048576,4,FALSE)),"",VLOOKUP($A61,'Assembled Point Masses'!$1:$1048576,4,FALSE))</f>
        <v/>
      </c>
      <c r="K61" s="5" t="str">
        <f t="shared" si="7"/>
        <v/>
      </c>
    </row>
    <row r="62" spans="3:11" ht="18" customHeight="1" x14ac:dyDescent="0.25">
      <c r="C62" s="3"/>
      <c r="E62" s="52" t="str">
        <f>IF(ISNA(VLOOKUP($A62,'Assembled Point Masses'!$1:$1048576,3,FALSE)),"",VLOOKUP($A62,'Assembled Point Masses'!$1:$1048576,3,FALSE))</f>
        <v/>
      </c>
      <c r="F62" s="4" t="str">
        <f t="shared" si="0"/>
        <v/>
      </c>
      <c r="G62" s="4" t="str">
        <f t="shared" si="4"/>
        <v/>
      </c>
      <c r="I62" s="52" t="str">
        <f>IF(ISNA(VLOOKUP($A62,'Assembled Point Masses'!$1:$1048576,4,FALSE)),"",VLOOKUP($A62,'Assembled Point Masses'!$1:$1048576,4,FALSE))</f>
        <v/>
      </c>
      <c r="K62" s="5" t="str">
        <f t="shared" si="7"/>
        <v/>
      </c>
    </row>
    <row r="63" spans="3:11" ht="18" customHeight="1" x14ac:dyDescent="0.25">
      <c r="C63" s="3"/>
      <c r="E63" s="52" t="str">
        <f>IF(ISNA(VLOOKUP($A63,'Assembled Point Masses'!$1:$1048576,3,FALSE)),"",VLOOKUP($A63,'Assembled Point Masses'!$1:$1048576,3,FALSE))</f>
        <v/>
      </c>
      <c r="F63" s="4" t="str">
        <f t="shared" si="0"/>
        <v/>
      </c>
      <c r="G63" s="4" t="str">
        <f t="shared" si="4"/>
        <v/>
      </c>
      <c r="I63" s="52" t="str">
        <f>IF(ISNA(VLOOKUP($A63,'Assembled Point Masses'!$1:$1048576,4,FALSE)),"",VLOOKUP($A63,'Assembled Point Masses'!$1:$1048576,4,FALSE))</f>
        <v/>
      </c>
      <c r="K63" s="5"/>
    </row>
    <row r="64" spans="3:11" ht="18" customHeight="1" x14ac:dyDescent="0.25">
      <c r="C64" s="3"/>
      <c r="E64" s="52" t="str">
        <f>IF(ISNA(VLOOKUP($A64,'Assembled Point Masses'!$1:$1048576,3,FALSE)),"",VLOOKUP($A64,'Assembled Point Masses'!$1:$1048576,3,FALSE))</f>
        <v/>
      </c>
      <c r="F64" s="4" t="str">
        <f t="shared" si="0"/>
        <v/>
      </c>
      <c r="G64" s="4" t="str">
        <f t="shared" si="4"/>
        <v/>
      </c>
      <c r="I64" s="52" t="str">
        <f>IF(ISNA(VLOOKUP($A64,'Assembled Point Masses'!$1:$1048576,4,FALSE)),"",VLOOKUP($A64,'Assembled Point Masses'!$1:$1048576,4,FALSE))</f>
        <v/>
      </c>
      <c r="K64" s="5"/>
    </row>
    <row r="65" spans="3:11" ht="18" customHeight="1" x14ac:dyDescent="0.25">
      <c r="C65" s="3"/>
      <c r="E65" s="52" t="str">
        <f>IF(ISNA(VLOOKUP($A65,'Assembled Point Masses'!$1:$1048576,3,FALSE)),"",VLOOKUP($A65,'Assembled Point Masses'!$1:$1048576,3,FALSE))</f>
        <v/>
      </c>
      <c r="F65" s="4" t="str">
        <f t="shared" si="0"/>
        <v/>
      </c>
      <c r="G65" s="4" t="str">
        <f t="shared" si="4"/>
        <v/>
      </c>
      <c r="I65" s="52" t="str">
        <f>IF(ISNA(VLOOKUP($A65,'Assembled Point Masses'!$1:$1048576,4,FALSE)),"",VLOOKUP($A65,'Assembled Point Masses'!$1:$1048576,4,FALSE))</f>
        <v/>
      </c>
      <c r="K65" s="5"/>
    </row>
    <row r="66" spans="3:11" ht="18" customHeight="1" x14ac:dyDescent="0.25">
      <c r="C66" s="3"/>
      <c r="E66" s="52" t="str">
        <f>IF(ISNA(VLOOKUP($A66,'Assembled Point Masses'!$1:$1048576,3,FALSE)),"",VLOOKUP($A66,'Assembled Point Masses'!$1:$1048576,3,FALSE))</f>
        <v/>
      </c>
      <c r="F66" s="4" t="str">
        <f t="shared" si="0"/>
        <v/>
      </c>
      <c r="G66" s="4" t="str">
        <f t="shared" si="4"/>
        <v/>
      </c>
      <c r="I66" s="52" t="str">
        <f>IF(ISNA(VLOOKUP($A66,'Assembled Point Masses'!$1:$1048576,4,FALSE)),"",VLOOKUP($A66,'Assembled Point Masses'!$1:$1048576,4,FALSE))</f>
        <v/>
      </c>
      <c r="K66" s="5"/>
    </row>
    <row r="67" spans="3:11" ht="18" customHeight="1" x14ac:dyDescent="0.25">
      <c r="C67" s="3"/>
      <c r="E67" s="52" t="str">
        <f>IF(ISNA(VLOOKUP($A67,'Assembled Point Masses'!$1:$1048576,3,FALSE)),"",VLOOKUP($A67,'Assembled Point Masses'!$1:$1048576,3,FALSE))</f>
        <v/>
      </c>
      <c r="F67" s="4" t="str">
        <f t="shared" si="0"/>
        <v/>
      </c>
      <c r="G67" s="4" t="str">
        <f t="shared" si="4"/>
        <v/>
      </c>
      <c r="I67" s="52" t="str">
        <f>IF(ISNA(VLOOKUP($A67,'Assembled Point Masses'!$1:$1048576,4,FALSE)),"",VLOOKUP($A67,'Assembled Point Masses'!$1:$1048576,4,FALSE))</f>
        <v/>
      </c>
      <c r="K67" s="5"/>
    </row>
    <row r="68" spans="3:11" ht="18" customHeight="1" x14ac:dyDescent="0.25">
      <c r="C68" s="3"/>
      <c r="E68" s="52" t="str">
        <f>IF(ISNA(VLOOKUP($A68,'Assembled Point Masses'!$1:$1048576,3,FALSE)),"",VLOOKUP($A68,'Assembled Point Masses'!$1:$1048576,3,FALSE))</f>
        <v/>
      </c>
      <c r="F68" s="4" t="str">
        <f t="shared" si="0"/>
        <v/>
      </c>
      <c r="G68" s="4" t="str">
        <f t="shared" si="4"/>
        <v/>
      </c>
      <c r="I68" s="52" t="str">
        <f>IF(ISNA(VLOOKUP($A68,'Assembled Point Masses'!$1:$1048576,4,FALSE)),"",VLOOKUP($A68,'Assembled Point Masses'!$1:$1048576,4,FALSE))</f>
        <v/>
      </c>
      <c r="K68" s="5"/>
    </row>
    <row r="69" spans="3:11" ht="18" customHeight="1" x14ac:dyDescent="0.25">
      <c r="C69" s="3"/>
      <c r="E69" s="52" t="str">
        <f>IF(ISNA(VLOOKUP($A69,'Assembled Point Masses'!$1:$1048576,3,FALSE)),"",VLOOKUP($A69,'Assembled Point Masses'!$1:$1048576,3,FALSE))</f>
        <v/>
      </c>
      <c r="F69" s="4" t="str">
        <f t="shared" si="0"/>
        <v/>
      </c>
      <c r="G69" s="4" t="str">
        <f t="shared" si="4"/>
        <v/>
      </c>
      <c r="I69" s="52" t="str">
        <f>IF(ISNA(VLOOKUP($A69,'Assembled Point Masses'!$1:$1048576,4,FALSE)),"",VLOOKUP($A69,'Assembled Point Masses'!$1:$1048576,4,FALSE))</f>
        <v/>
      </c>
      <c r="K69" s="5"/>
    </row>
    <row r="70" spans="3:11" ht="18" customHeight="1" x14ac:dyDescent="0.25">
      <c r="C70" s="3"/>
      <c r="E70" s="52" t="str">
        <f>IF(ISNA(VLOOKUP($A70,'Assembled Point Masses'!$1:$1048576,3,FALSE)),"",VLOOKUP($A70,'Assembled Point Masses'!$1:$1048576,3,FALSE))</f>
        <v/>
      </c>
      <c r="F70" s="4" t="str">
        <f t="shared" si="0"/>
        <v/>
      </c>
      <c r="G70" s="4" t="str">
        <f t="shared" si="4"/>
        <v/>
      </c>
      <c r="I70" s="52" t="str">
        <f>IF(ISNA(VLOOKUP($A70,'Assembled Point Masses'!$1:$1048576,4,FALSE)),"",VLOOKUP($A70,'Assembled Point Masses'!$1:$1048576,4,FALSE))</f>
        <v/>
      </c>
      <c r="K70" s="5"/>
    </row>
    <row r="71" spans="3:11" ht="18" customHeight="1" x14ac:dyDescent="0.25">
      <c r="C71" s="3"/>
      <c r="E71" s="52" t="str">
        <f>IF(ISNA(VLOOKUP($A71,'Assembled Point Masses'!$1:$1048576,3,FALSE)),"",VLOOKUP($A71,'Assembled Point Masses'!$1:$1048576,3,FALSE))</f>
        <v/>
      </c>
      <c r="F71" s="4" t="str">
        <f t="shared" si="0"/>
        <v/>
      </c>
      <c r="G71" s="4" t="str">
        <f t="shared" si="4"/>
        <v/>
      </c>
      <c r="I71" s="52" t="str">
        <f>IF(ISNA(VLOOKUP($A71,'Assembled Point Masses'!$1:$1048576,4,FALSE)),"",VLOOKUP($A71,'Assembled Point Masses'!$1:$1048576,4,FALSE))</f>
        <v/>
      </c>
      <c r="K71" s="5"/>
    </row>
    <row r="72" spans="3:11" ht="18" customHeight="1" x14ac:dyDescent="0.25">
      <c r="C72" s="3"/>
      <c r="E72" s="52" t="str">
        <f>IF(ISNA(VLOOKUP($A72,'Assembled Point Masses'!$1:$1048576,3,FALSE)),"",VLOOKUP($A72,'Assembled Point Masses'!$1:$1048576,3,FALSE))</f>
        <v/>
      </c>
      <c r="F72" s="4" t="str">
        <f t="shared" si="0"/>
        <v/>
      </c>
      <c r="G72" s="4" t="str">
        <f t="shared" si="4"/>
        <v/>
      </c>
      <c r="I72" s="52" t="str">
        <f>IF(ISNA(VLOOKUP($A72,'Assembled Point Masses'!$1:$1048576,4,FALSE)),"",VLOOKUP($A72,'Assembled Point Masses'!$1:$1048576,4,FALSE))</f>
        <v/>
      </c>
      <c r="K72" s="5"/>
    </row>
    <row r="73" spans="3:11" ht="18" customHeight="1" x14ac:dyDescent="0.25">
      <c r="C73" s="3"/>
      <c r="E73" s="52" t="str">
        <f>IF(ISNA(VLOOKUP($A73,'Assembled Point Masses'!$1:$1048576,3,FALSE)),"",VLOOKUP($A73,'Assembled Point Masses'!$1:$1048576,3,FALSE))</f>
        <v/>
      </c>
      <c r="F73" s="4" t="str">
        <f t="shared" si="0"/>
        <v/>
      </c>
      <c r="G73" s="4" t="str">
        <f t="shared" si="4"/>
        <v/>
      </c>
      <c r="I73" s="52" t="str">
        <f>IF(ISNA(VLOOKUP($A73,'Assembled Point Masses'!$1:$1048576,4,FALSE)),"",VLOOKUP($A73,'Assembled Point Masses'!$1:$1048576,4,FALSE))</f>
        <v/>
      </c>
      <c r="K73" s="5"/>
    </row>
    <row r="74" spans="3:11" ht="18" customHeight="1" x14ac:dyDescent="0.25">
      <c r="C74" s="3"/>
      <c r="E74" s="52" t="str">
        <f>IF(ISNA(VLOOKUP($A74,'Assembled Point Masses'!$1:$1048576,3,FALSE)),"",VLOOKUP($A74,'Assembled Point Masses'!$1:$1048576,3,FALSE))</f>
        <v/>
      </c>
      <c r="F74" s="4" t="str">
        <f t="shared" si="0"/>
        <v/>
      </c>
      <c r="G74" s="4" t="str">
        <f t="shared" si="4"/>
        <v/>
      </c>
      <c r="I74" s="52" t="str">
        <f>IF(ISNA(VLOOKUP($A74,'Assembled Point Masses'!$1:$1048576,4,FALSE)),"",VLOOKUP($A74,'Assembled Point Masses'!$1:$1048576,4,FALSE))</f>
        <v/>
      </c>
      <c r="K74" s="5"/>
    </row>
    <row r="75" spans="3:11" ht="18" customHeight="1" x14ac:dyDescent="0.25">
      <c r="C75" s="3"/>
      <c r="E75" s="52" t="str">
        <f>IF(ISNA(VLOOKUP($A75,'Assembled Point Masses'!$1:$1048576,3,FALSE)),"",VLOOKUP($A75,'Assembled Point Masses'!$1:$1048576,3,FALSE))</f>
        <v/>
      </c>
      <c r="F75" s="4" t="str">
        <f t="shared" si="0"/>
        <v/>
      </c>
      <c r="G75" s="4" t="str">
        <f t="shared" si="4"/>
        <v/>
      </c>
      <c r="I75" s="52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3"/>
      <c r="E76" s="52" t="str">
        <f>IF(ISNA(VLOOKUP($A76,'Assembled Point Masses'!$1:$1048576,3,FALSE)),"",VLOOKUP($A76,'Assembled Point Masses'!$1:$1048576,3,FALSE))</f>
        <v/>
      </c>
      <c r="F76" s="4" t="str">
        <f t="shared" si="0"/>
        <v/>
      </c>
      <c r="G76" s="4" t="str">
        <f t="shared" si="4"/>
        <v/>
      </c>
      <c r="I76" s="52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52" t="str">
        <f>IF(ISNA(VLOOKUP($A77,'Assembled Point Masses'!$1:$1048576,3,FALSE)),"",VLOOKUP($A77,'Assembled Point Masses'!$1:$1048576,3,FALSE))</f>
        <v/>
      </c>
      <c r="F77" s="4" t="str">
        <f t="shared" si="0"/>
        <v/>
      </c>
      <c r="G77" s="4" t="str">
        <f t="shared" si="4"/>
        <v/>
      </c>
      <c r="I77" s="52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52" t="str">
        <f>IF(ISNA(VLOOKUP($A78,'Assembled Point Masses'!$1:$1048576,3,FALSE)),"",VLOOKUP($A78,'Assembled Point Masses'!$1:$1048576,3,FALSE))</f>
        <v/>
      </c>
      <c r="F78" s="4" t="str">
        <f t="shared" si="0"/>
        <v/>
      </c>
      <c r="G78" s="4" t="str">
        <f t="shared" si="4"/>
        <v/>
      </c>
      <c r="I78" s="52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52" t="str">
        <f>IF(ISNA(VLOOKUP($A79,'Assembled Point Masses'!$1:$1048576,3,FALSE)),"",VLOOKUP($A79,'Assembled Point Masses'!$1:$1048576,3,FALSE))</f>
        <v/>
      </c>
      <c r="F79" s="4" t="str">
        <f t="shared" si="0"/>
        <v/>
      </c>
      <c r="G79" s="4" t="str">
        <f t="shared" si="4"/>
        <v/>
      </c>
      <c r="I79" s="52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52" t="str">
        <f>IF(ISNA(VLOOKUP($A80,'Assembled Point Masses'!$1:$1048576,3,FALSE)),"",VLOOKUP($A80,'Assembled Point Masses'!$1:$1048576,3,FALSE))</f>
        <v/>
      </c>
      <c r="F80" s="4" t="str">
        <f t="shared" ref="F80:F96" si="8">IF(OR(B80="",C80="",D80=""),"",0.1*(1-B80/40)*C80*D80)</f>
        <v/>
      </c>
      <c r="G80" s="4" t="str">
        <f t="shared" ref="G80:G103" si="9">IF(E80="","",E80*9.81)</f>
        <v/>
      </c>
      <c r="I80" s="52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52" t="str">
        <f>IF(ISNA(VLOOKUP($A81,'Assembled Point Masses'!$1:$1048576,3,FALSE)),"",VLOOKUP($A81,'Assembled Point Masses'!$1:$1048576,3,FALSE))</f>
        <v/>
      </c>
      <c r="F81" s="4" t="str">
        <f t="shared" si="8"/>
        <v/>
      </c>
      <c r="G81" s="4" t="str">
        <f t="shared" si="9"/>
        <v/>
      </c>
      <c r="I81" s="52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52" t="str">
        <f>IF(ISNA(VLOOKUP($A82,'Assembled Point Masses'!$1:$1048576,3,FALSE)),"",VLOOKUP($A82,'Assembled Point Masses'!$1:$1048576,3,FALSE))</f>
        <v/>
      </c>
      <c r="F82" s="4" t="str">
        <f t="shared" si="8"/>
        <v/>
      </c>
      <c r="G82" s="4" t="str">
        <f t="shared" si="9"/>
        <v/>
      </c>
      <c r="I82" s="52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52" t="str">
        <f>IF(ISNA(VLOOKUP($A83,'Assembled Point Masses'!$1:$1048576,3,FALSE)),"",VLOOKUP($A83,'Assembled Point Masses'!$1:$1048576,3,FALSE))</f>
        <v/>
      </c>
      <c r="F83" s="4" t="str">
        <f t="shared" si="8"/>
        <v/>
      </c>
      <c r="G83" s="4" t="str">
        <f t="shared" si="9"/>
        <v/>
      </c>
      <c r="I83" s="52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52" t="str">
        <f>IF(ISNA(VLOOKUP($A84,'Assembled Point Masses'!$1:$1048576,3,FALSE)),"",VLOOKUP($A84,'Assembled Point Masses'!$1:$1048576,3,FALSE))</f>
        <v/>
      </c>
      <c r="F84" s="4" t="str">
        <f t="shared" si="8"/>
        <v/>
      </c>
      <c r="G84" s="4" t="str">
        <f t="shared" si="9"/>
        <v/>
      </c>
      <c r="I84" s="52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52" t="str">
        <f>IF(ISNA(VLOOKUP($A85,'Assembled Point Masses'!$1:$1048576,3,FALSE)),"",VLOOKUP($A85,'Assembled Point Masses'!$1:$1048576,3,FALSE))</f>
        <v/>
      </c>
      <c r="F85" s="4" t="str">
        <f t="shared" si="8"/>
        <v/>
      </c>
      <c r="G85" s="4" t="str">
        <f t="shared" si="9"/>
        <v/>
      </c>
      <c r="I85" s="52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52" t="str">
        <f>IF(ISNA(VLOOKUP($A86,'Assembled Point Masses'!$1:$1048576,3,FALSE)),"",VLOOKUP($A86,'Assembled Point Masses'!$1:$1048576,3,FALSE))</f>
        <v/>
      </c>
      <c r="F86" s="4" t="str">
        <f t="shared" si="8"/>
        <v/>
      </c>
      <c r="G86" s="4" t="str">
        <f t="shared" si="9"/>
        <v/>
      </c>
      <c r="I86" s="52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52" t="str">
        <f>IF(ISNA(VLOOKUP($A87,'Assembled Point Masses'!$1:$1048576,3,FALSE)),"",VLOOKUP($A87,'Assembled Point Masses'!$1:$1048576,3,FALSE))</f>
        <v/>
      </c>
      <c r="F87" s="4" t="str">
        <f t="shared" si="8"/>
        <v/>
      </c>
      <c r="G87" s="4" t="str">
        <f t="shared" si="9"/>
        <v/>
      </c>
      <c r="I87" s="52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52" t="str">
        <f>IF(ISNA(VLOOKUP($A88,'Assembled Point Masses'!$1:$1048576,3,FALSE)),"",VLOOKUP($A88,'Assembled Point Masses'!$1:$1048576,3,FALSE))</f>
        <v/>
      </c>
      <c r="F88" s="4" t="str">
        <f t="shared" si="8"/>
        <v/>
      </c>
      <c r="G88" s="4" t="str">
        <f t="shared" si="9"/>
        <v/>
      </c>
      <c r="I88" s="52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52" t="str">
        <f>IF(ISNA(VLOOKUP($A89,'Assembled Point Masses'!$1:$1048576,3,FALSE)),"",VLOOKUP($A89,'Assembled Point Masses'!$1:$1048576,3,FALSE))</f>
        <v/>
      </c>
      <c r="F89" s="4" t="str">
        <f t="shared" si="8"/>
        <v/>
      </c>
      <c r="G89" s="4" t="str">
        <f t="shared" si="9"/>
        <v/>
      </c>
      <c r="I89" s="52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52" t="str">
        <f>IF(ISNA(VLOOKUP($A90,'Assembled Point Masses'!$1:$1048576,3,FALSE)),"",VLOOKUP($A90,'Assembled Point Masses'!$1:$1048576,3,FALSE))</f>
        <v/>
      </c>
      <c r="F90" s="4" t="str">
        <f t="shared" si="8"/>
        <v/>
      </c>
      <c r="G90" s="4" t="str">
        <f t="shared" si="9"/>
        <v/>
      </c>
      <c r="I90" s="52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52" t="str">
        <f>IF(ISNA(VLOOKUP($A91,'Assembled Point Masses'!$1:$1048576,3,FALSE)),"",VLOOKUP($A91,'Assembled Point Masses'!$1:$1048576,3,FALSE))</f>
        <v/>
      </c>
      <c r="F91" s="4" t="str">
        <f t="shared" si="8"/>
        <v/>
      </c>
      <c r="G91" s="4" t="str">
        <f t="shared" si="9"/>
        <v/>
      </c>
      <c r="I91" s="52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52" t="str">
        <f>IF(ISNA(VLOOKUP($A92,'Assembled Point Masses'!$1:$1048576,3,FALSE)),"",VLOOKUP($A92,'Assembled Point Masses'!$1:$1048576,3,FALSE))</f>
        <v/>
      </c>
      <c r="F92" s="4" t="str">
        <f t="shared" si="8"/>
        <v/>
      </c>
      <c r="G92" s="4" t="str">
        <f t="shared" si="9"/>
        <v/>
      </c>
      <c r="I92" s="52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4" t="str">
        <f t="shared" si="8"/>
        <v/>
      </c>
      <c r="G93" s="4" t="str">
        <f t="shared" si="9"/>
        <v/>
      </c>
      <c r="I93" s="52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4" t="str">
        <f t="shared" si="8"/>
        <v/>
      </c>
      <c r="G94" s="4" t="str">
        <f t="shared" si="9"/>
        <v/>
      </c>
      <c r="I94" s="52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4" t="str">
        <f t="shared" si="8"/>
        <v/>
      </c>
      <c r="G95" s="4" t="str">
        <f t="shared" si="9"/>
        <v/>
      </c>
      <c r="I95" s="52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4" t="str">
        <f t="shared" si="8"/>
        <v/>
      </c>
      <c r="G96" s="4" t="str">
        <f t="shared" si="9"/>
        <v/>
      </c>
      <c r="I96" s="52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4" t="str">
        <f t="shared" ref="F97:F100" si="10">IF(E97="","",0.1*(1-B97/40)*C97*D97)</f>
        <v/>
      </c>
      <c r="G97" s="4" t="str">
        <f t="shared" si="9"/>
        <v/>
      </c>
    </row>
    <row r="98" spans="6:7" ht="18" customHeight="1" x14ac:dyDescent="0.25">
      <c r="F98" s="4" t="str">
        <f t="shared" si="10"/>
        <v/>
      </c>
      <c r="G98" s="4" t="str">
        <f t="shared" si="9"/>
        <v/>
      </c>
    </row>
    <row r="99" spans="6:7" ht="18" customHeight="1" x14ac:dyDescent="0.25">
      <c r="F99" s="4" t="str">
        <f t="shared" si="10"/>
        <v/>
      </c>
      <c r="G99" s="4" t="str">
        <f t="shared" si="9"/>
        <v/>
      </c>
    </row>
    <row r="100" spans="6:7" ht="18" customHeight="1" x14ac:dyDescent="0.25">
      <c r="F100" s="4" t="str">
        <f t="shared" si="10"/>
        <v/>
      </c>
      <c r="G100" s="4" t="str">
        <f t="shared" si="9"/>
        <v/>
      </c>
    </row>
    <row r="101" spans="6:7" ht="18" customHeight="1" x14ac:dyDescent="0.25">
      <c r="G101" s="4" t="str">
        <f t="shared" si="9"/>
        <v/>
      </c>
    </row>
    <row r="102" spans="6:7" ht="18" customHeight="1" x14ac:dyDescent="0.25">
      <c r="G102" s="4" t="str">
        <f t="shared" si="9"/>
        <v/>
      </c>
    </row>
    <row r="103" spans="6:7" ht="18" customHeight="1" x14ac:dyDescent="0.25">
      <c r="G103" s="4" t="str">
        <f t="shared" si="9"/>
        <v/>
      </c>
    </row>
  </sheetData>
  <mergeCells count="2">
    <mergeCell ref="F6:G6"/>
    <mergeCell ref="I6:J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>
    <tabColor rgb="FFFFC000"/>
  </sheetPr>
  <dimension ref="A1:H30"/>
  <sheetViews>
    <sheetView workbookViewId="0">
      <selection activeCell="E4" sqref="E4:E30"/>
    </sheetView>
  </sheetViews>
  <sheetFormatPr defaultRowHeight="16.5" x14ac:dyDescent="0.25"/>
  <sheetData>
    <row r="1" spans="1:8" x14ac:dyDescent="0.25">
      <c r="A1" t="s">
        <v>0</v>
      </c>
      <c r="B1" t="s">
        <v>311</v>
      </c>
      <c r="C1" t="s">
        <v>312</v>
      </c>
      <c r="D1" t="s">
        <v>313</v>
      </c>
      <c r="E1" t="s">
        <v>18</v>
      </c>
      <c r="F1" t="s">
        <v>314</v>
      </c>
      <c r="G1" t="s">
        <v>315</v>
      </c>
      <c r="H1" t="s">
        <v>316</v>
      </c>
    </row>
    <row r="2" spans="1:8" hidden="1" x14ac:dyDescent="0.25">
      <c r="A2" t="s">
        <v>157</v>
      </c>
      <c r="B2" t="s">
        <v>317</v>
      </c>
      <c r="C2" t="s">
        <v>318</v>
      </c>
      <c r="D2">
        <v>5.2750000000000004</v>
      </c>
      <c r="E2">
        <v>0</v>
      </c>
      <c r="G2">
        <v>4</v>
      </c>
    </row>
    <row r="3" spans="1:8" hidden="1" x14ac:dyDescent="0.25">
      <c r="A3" t="s">
        <v>158</v>
      </c>
      <c r="B3" t="s">
        <v>317</v>
      </c>
      <c r="C3" t="s">
        <v>318</v>
      </c>
      <c r="D3">
        <v>5.2750000000000004</v>
      </c>
      <c r="E3">
        <v>0</v>
      </c>
      <c r="G3">
        <v>4</v>
      </c>
    </row>
    <row r="4" spans="1:8" hidden="1" x14ac:dyDescent="0.25">
      <c r="A4" t="s">
        <v>24</v>
      </c>
      <c r="B4" t="s">
        <v>317</v>
      </c>
      <c r="C4" t="s">
        <v>318</v>
      </c>
      <c r="D4">
        <v>5.2750000000000004</v>
      </c>
      <c r="E4">
        <v>0</v>
      </c>
      <c r="G4">
        <v>4</v>
      </c>
    </row>
    <row r="5" spans="1:8" hidden="1" x14ac:dyDescent="0.25">
      <c r="A5" t="s">
        <v>16</v>
      </c>
      <c r="B5" t="s">
        <v>317</v>
      </c>
      <c r="C5" t="s">
        <v>318</v>
      </c>
      <c r="D5">
        <v>5.2750000000000004</v>
      </c>
      <c r="E5">
        <v>0</v>
      </c>
      <c r="G5">
        <v>4</v>
      </c>
    </row>
    <row r="6" spans="1:8" hidden="1" x14ac:dyDescent="0.25">
      <c r="A6" t="s">
        <v>319</v>
      </c>
      <c r="B6" t="s">
        <v>317</v>
      </c>
      <c r="C6" t="s">
        <v>318</v>
      </c>
      <c r="D6">
        <v>21.099</v>
      </c>
      <c r="E6">
        <v>0</v>
      </c>
      <c r="G6">
        <v>16</v>
      </c>
    </row>
    <row r="7" spans="1:8" hidden="1" x14ac:dyDescent="0.25">
      <c r="A7" t="s">
        <v>320</v>
      </c>
      <c r="B7" t="s">
        <v>308</v>
      </c>
      <c r="C7" t="s">
        <v>308</v>
      </c>
      <c r="D7">
        <v>21.099</v>
      </c>
      <c r="E7">
        <v>0</v>
      </c>
      <c r="G7">
        <v>332</v>
      </c>
      <c r="H7">
        <v>0</v>
      </c>
    </row>
    <row r="8" spans="1:8" hidden="1" x14ac:dyDescent="0.25"/>
    <row r="9" spans="1:8" hidden="1" x14ac:dyDescent="0.25"/>
    <row r="10" spans="1:8" hidden="1" x14ac:dyDescent="0.25"/>
    <row r="11" spans="1:8" hidden="1" x14ac:dyDescent="0.25"/>
    <row r="12" spans="1:8" hidden="1" x14ac:dyDescent="0.25"/>
    <row r="13" spans="1:8" hidden="1" x14ac:dyDescent="0.25"/>
    <row r="14" spans="1:8" hidden="1" x14ac:dyDescent="0.25"/>
    <row r="15" spans="1:8" hidden="1" x14ac:dyDescent="0.25"/>
    <row r="16" spans="1:8" hidden="1" x14ac:dyDescent="0.25"/>
    <row r="17" spans="1:8" hidden="1" x14ac:dyDescent="0.25"/>
    <row r="18" spans="1:8" hidden="1" x14ac:dyDescent="0.25"/>
    <row r="19" spans="1:8" hidden="1" x14ac:dyDescent="0.25"/>
    <row r="20" spans="1:8" hidden="1" x14ac:dyDescent="0.25"/>
    <row r="21" spans="1:8" hidden="1" x14ac:dyDescent="0.25"/>
    <row r="22" spans="1:8" hidden="1" x14ac:dyDescent="0.25"/>
    <row r="23" spans="1:8" hidden="1" x14ac:dyDescent="0.25"/>
    <row r="24" spans="1:8" hidden="1" x14ac:dyDescent="0.25"/>
    <row r="25" spans="1:8" hidden="1" x14ac:dyDescent="0.25">
      <c r="A25" s="1"/>
      <c r="B25" s="1"/>
      <c r="C25" s="1"/>
      <c r="D25" s="1"/>
      <c r="E25" s="1"/>
      <c r="F25" s="1"/>
      <c r="G25" s="1"/>
      <c r="H25" s="1"/>
    </row>
    <row r="26" spans="1:8" hidden="1" x14ac:dyDescent="0.25">
      <c r="A26" s="1"/>
      <c r="B26" s="1"/>
      <c r="C26" s="1"/>
      <c r="D26" s="1"/>
      <c r="E26" s="1"/>
      <c r="F26" s="1"/>
      <c r="G26" s="1"/>
      <c r="H26" s="1"/>
    </row>
    <row r="27" spans="1:8" hidden="1" x14ac:dyDescent="0.25">
      <c r="A27" s="1"/>
      <c r="B27" s="1"/>
      <c r="C27" s="1"/>
      <c r="D27" s="1"/>
      <c r="E27" s="1"/>
      <c r="F27" s="1"/>
      <c r="G27" s="1"/>
      <c r="H27" s="1"/>
    </row>
    <row r="28" spans="1:8" hidden="1" x14ac:dyDescent="0.25">
      <c r="A28" s="1"/>
      <c r="B28" s="1"/>
      <c r="C28" s="1"/>
      <c r="D28" s="1"/>
      <c r="E28" s="1"/>
      <c r="F28" s="1"/>
      <c r="G28" s="1"/>
      <c r="H28" s="1"/>
    </row>
    <row r="29" spans="1:8" hidden="1" x14ac:dyDescent="0.25">
      <c r="A29" s="1"/>
      <c r="B29" s="1"/>
      <c r="C29" s="1"/>
      <c r="D29" s="1"/>
      <c r="E29" s="1"/>
      <c r="F29" s="1"/>
      <c r="G29" s="1"/>
      <c r="H29" s="1"/>
    </row>
    <row r="30" spans="1:8" hidden="1" x14ac:dyDescent="0.25">
      <c r="A30" s="1"/>
      <c r="B30" s="1"/>
      <c r="C30" s="1"/>
      <c r="D30" s="1"/>
      <c r="E30" s="1"/>
      <c r="F30" s="1"/>
      <c r="G30" s="1"/>
      <c r="H30" s="1"/>
    </row>
  </sheetData>
  <autoFilter ref="A1:H30" xr:uid="{CECF2C54-EBB7-423E-86C6-7A5BD28C9254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>
    <tabColor rgb="FFFFC000"/>
  </sheetPr>
  <dimension ref="A1:I2071"/>
  <sheetViews>
    <sheetView workbookViewId="0">
      <selection sqref="A1:XFD1048576"/>
    </sheetView>
  </sheetViews>
  <sheetFormatPr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157</v>
      </c>
      <c r="B2" t="s">
        <v>9</v>
      </c>
      <c r="C2" t="s">
        <v>25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 t="s">
        <v>157</v>
      </c>
      <c r="B3" t="s">
        <v>9</v>
      </c>
      <c r="C3" t="s">
        <v>10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 t="s">
        <v>157</v>
      </c>
      <c r="B4" t="s">
        <v>26</v>
      </c>
      <c r="C4" t="s">
        <v>25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 t="s">
        <v>157</v>
      </c>
      <c r="B5" t="s">
        <v>26</v>
      </c>
      <c r="C5" t="s">
        <v>10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 t="s">
        <v>157</v>
      </c>
      <c r="B6" t="s">
        <v>20</v>
      </c>
      <c r="C6" t="s">
        <v>25</v>
      </c>
      <c r="D6">
        <v>0</v>
      </c>
      <c r="E6">
        <v>-180.84</v>
      </c>
      <c r="F6">
        <v>0</v>
      </c>
      <c r="G6">
        <v>2983.846</v>
      </c>
      <c r="H6">
        <v>0</v>
      </c>
      <c r="I6">
        <v>0</v>
      </c>
    </row>
    <row r="7" spans="1:9" x14ac:dyDescent="0.25">
      <c r="A7" t="s">
        <v>157</v>
      </c>
      <c r="B7" t="s">
        <v>20</v>
      </c>
      <c r="C7" t="s">
        <v>10</v>
      </c>
      <c r="D7">
        <v>0</v>
      </c>
      <c r="E7">
        <v>-180.84</v>
      </c>
      <c r="F7">
        <v>0</v>
      </c>
      <c r="G7">
        <v>2983.846</v>
      </c>
      <c r="H7">
        <v>0</v>
      </c>
      <c r="I7">
        <v>-723.35699999999997</v>
      </c>
    </row>
    <row r="8" spans="1:9" x14ac:dyDescent="0.25">
      <c r="A8" t="s">
        <v>157</v>
      </c>
      <c r="B8" t="s">
        <v>21</v>
      </c>
      <c r="C8" t="s">
        <v>25</v>
      </c>
      <c r="D8">
        <v>0</v>
      </c>
      <c r="E8">
        <v>-180.84</v>
      </c>
      <c r="F8">
        <v>0</v>
      </c>
      <c r="G8">
        <v>2441.3290000000002</v>
      </c>
      <c r="H8">
        <v>0</v>
      </c>
      <c r="I8">
        <v>0</v>
      </c>
    </row>
    <row r="9" spans="1:9" x14ac:dyDescent="0.25">
      <c r="A9" t="s">
        <v>157</v>
      </c>
      <c r="B9" t="s">
        <v>21</v>
      </c>
      <c r="C9" t="s">
        <v>10</v>
      </c>
      <c r="D9">
        <v>0</v>
      </c>
      <c r="E9">
        <v>-180.84</v>
      </c>
      <c r="F9">
        <v>0</v>
      </c>
      <c r="G9">
        <v>2441.3290000000002</v>
      </c>
      <c r="H9">
        <v>0</v>
      </c>
      <c r="I9">
        <v>-723.35699999999997</v>
      </c>
    </row>
    <row r="10" spans="1:9" x14ac:dyDescent="0.25">
      <c r="A10" t="s">
        <v>157</v>
      </c>
      <c r="B10" t="s">
        <v>22</v>
      </c>
      <c r="C10" t="s">
        <v>25</v>
      </c>
      <c r="D10">
        <v>0</v>
      </c>
      <c r="E10">
        <v>0</v>
      </c>
      <c r="F10">
        <v>-218.59</v>
      </c>
      <c r="G10">
        <v>-4328.0910000000003</v>
      </c>
      <c r="H10">
        <v>0</v>
      </c>
      <c r="I10">
        <v>0</v>
      </c>
    </row>
    <row r="11" spans="1:9" x14ac:dyDescent="0.25">
      <c r="A11" t="s">
        <v>157</v>
      </c>
      <c r="B11" t="s">
        <v>22</v>
      </c>
      <c r="C11" t="s">
        <v>10</v>
      </c>
      <c r="D11">
        <v>0</v>
      </c>
      <c r="E11">
        <v>0</v>
      </c>
      <c r="F11">
        <v>-218.59</v>
      </c>
      <c r="G11">
        <v>-4328.0910000000003</v>
      </c>
      <c r="H11">
        <v>874.36199999999997</v>
      </c>
      <c r="I11">
        <v>0</v>
      </c>
    </row>
    <row r="12" spans="1:9" x14ac:dyDescent="0.25">
      <c r="A12" t="s">
        <v>157</v>
      </c>
      <c r="B12" t="s">
        <v>23</v>
      </c>
      <c r="C12" t="s">
        <v>25</v>
      </c>
      <c r="D12">
        <v>0</v>
      </c>
      <c r="E12">
        <v>0</v>
      </c>
      <c r="F12">
        <v>-218.59</v>
      </c>
      <c r="G12">
        <v>-3541.1660000000002</v>
      </c>
      <c r="H12">
        <v>0</v>
      </c>
      <c r="I12">
        <v>0</v>
      </c>
    </row>
    <row r="13" spans="1:9" x14ac:dyDescent="0.25">
      <c r="A13" t="s">
        <v>157</v>
      </c>
      <c r="B13" t="s">
        <v>23</v>
      </c>
      <c r="C13" t="s">
        <v>10</v>
      </c>
      <c r="D13">
        <v>0</v>
      </c>
      <c r="E13">
        <v>0</v>
      </c>
      <c r="F13">
        <v>-218.59</v>
      </c>
      <c r="G13">
        <v>-3541.1660000000002</v>
      </c>
      <c r="H13">
        <v>874.36199999999997</v>
      </c>
      <c r="I13">
        <v>0</v>
      </c>
    </row>
    <row r="14" spans="1:9" x14ac:dyDescent="0.25">
      <c r="A14" t="s">
        <v>157</v>
      </c>
      <c r="B14" t="s">
        <v>321</v>
      </c>
      <c r="C14" t="s">
        <v>25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157</v>
      </c>
      <c r="B15" t="s">
        <v>321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157</v>
      </c>
      <c r="B16" t="s">
        <v>322</v>
      </c>
      <c r="C16" t="s">
        <v>25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157</v>
      </c>
      <c r="B17" t="s">
        <v>322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157</v>
      </c>
      <c r="B18" t="s">
        <v>323</v>
      </c>
      <c r="C18" t="s">
        <v>25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157</v>
      </c>
      <c r="B19" t="s">
        <v>323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157</v>
      </c>
      <c r="B20" t="s">
        <v>324</v>
      </c>
      <c r="C20" t="s">
        <v>25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157</v>
      </c>
      <c r="B21" t="s">
        <v>324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157</v>
      </c>
      <c r="B22" t="s">
        <v>325</v>
      </c>
      <c r="C22" t="s">
        <v>25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157</v>
      </c>
      <c r="B23" t="s">
        <v>325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157</v>
      </c>
      <c r="B24" t="s">
        <v>326</v>
      </c>
      <c r="C24" t="s">
        <v>25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157</v>
      </c>
      <c r="B25" t="s">
        <v>326</v>
      </c>
      <c r="C25" t="s">
        <v>10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 t="s">
        <v>157</v>
      </c>
      <c r="B26" t="s">
        <v>27</v>
      </c>
      <c r="C26" t="s">
        <v>25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157</v>
      </c>
      <c r="B27" t="s">
        <v>27</v>
      </c>
      <c r="C27" t="s">
        <v>10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t="s">
        <v>157</v>
      </c>
      <c r="B28" t="s">
        <v>28</v>
      </c>
      <c r="C28" t="s">
        <v>25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 t="s">
        <v>157</v>
      </c>
      <c r="B29" t="s">
        <v>28</v>
      </c>
      <c r="C29" t="s">
        <v>10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 t="s">
        <v>157</v>
      </c>
      <c r="B30" t="s">
        <v>29</v>
      </c>
      <c r="C30" t="s">
        <v>25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157</v>
      </c>
      <c r="B31" t="s">
        <v>29</v>
      </c>
      <c r="C31" t="s">
        <v>10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157</v>
      </c>
      <c r="B32" t="s">
        <v>30</v>
      </c>
      <c r="C32" t="s">
        <v>25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157</v>
      </c>
      <c r="B33" t="s">
        <v>30</v>
      </c>
      <c r="C33" t="s">
        <v>10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157</v>
      </c>
      <c r="B34" t="s">
        <v>11</v>
      </c>
      <c r="C34" t="s">
        <v>25</v>
      </c>
      <c r="D34">
        <v>0</v>
      </c>
      <c r="E34">
        <v>109.33</v>
      </c>
      <c r="F34">
        <v>0</v>
      </c>
      <c r="G34">
        <v>1804.0119999999999</v>
      </c>
      <c r="H34">
        <v>0</v>
      </c>
      <c r="I34">
        <v>0</v>
      </c>
    </row>
    <row r="35" spans="1:9" x14ac:dyDescent="0.25">
      <c r="A35" t="s">
        <v>157</v>
      </c>
      <c r="B35" t="s">
        <v>11</v>
      </c>
      <c r="C35" t="s">
        <v>10</v>
      </c>
      <c r="D35">
        <v>0</v>
      </c>
      <c r="E35">
        <v>109.33</v>
      </c>
      <c r="F35">
        <v>0</v>
      </c>
      <c r="G35">
        <v>1804.0119999999999</v>
      </c>
      <c r="H35">
        <v>0</v>
      </c>
      <c r="I35">
        <v>437.33600000000001</v>
      </c>
    </row>
    <row r="36" spans="1:9" x14ac:dyDescent="0.25">
      <c r="A36" t="s">
        <v>157</v>
      </c>
      <c r="B36" t="s">
        <v>12</v>
      </c>
      <c r="C36" t="s">
        <v>25</v>
      </c>
      <c r="D36">
        <v>0</v>
      </c>
      <c r="E36">
        <v>0</v>
      </c>
      <c r="F36">
        <v>242.18</v>
      </c>
      <c r="G36">
        <v>4795.2110000000002</v>
      </c>
      <c r="H36">
        <v>0</v>
      </c>
      <c r="I36">
        <v>0</v>
      </c>
    </row>
    <row r="37" spans="1:9" x14ac:dyDescent="0.25">
      <c r="A37" t="s">
        <v>157</v>
      </c>
      <c r="B37" t="s">
        <v>12</v>
      </c>
      <c r="C37" t="s">
        <v>10</v>
      </c>
      <c r="D37">
        <v>0</v>
      </c>
      <c r="E37">
        <v>0</v>
      </c>
      <c r="F37">
        <v>242.18</v>
      </c>
      <c r="G37">
        <v>4795.2110000000002</v>
      </c>
      <c r="H37">
        <v>968.72900000000004</v>
      </c>
      <c r="I37">
        <v>0</v>
      </c>
    </row>
    <row r="38" spans="1:9" x14ac:dyDescent="0.25">
      <c r="A38" t="s">
        <v>157</v>
      </c>
      <c r="B38" t="s">
        <v>13</v>
      </c>
      <c r="C38" t="s">
        <v>25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25">
      <c r="A39" t="s">
        <v>157</v>
      </c>
      <c r="B39" t="s">
        <v>13</v>
      </c>
      <c r="C39" t="s">
        <v>10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25">
      <c r="A40" t="s">
        <v>157</v>
      </c>
      <c r="B40" t="s">
        <v>31</v>
      </c>
      <c r="C40" t="s">
        <v>25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25">
      <c r="A41" t="s">
        <v>157</v>
      </c>
      <c r="B41" t="s">
        <v>31</v>
      </c>
      <c r="C41" t="s">
        <v>10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25">
      <c r="A42" t="s">
        <v>157</v>
      </c>
      <c r="B42" t="s">
        <v>32</v>
      </c>
      <c r="C42" t="s">
        <v>25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25">
      <c r="A43" t="s">
        <v>157</v>
      </c>
      <c r="B43" t="s">
        <v>32</v>
      </c>
      <c r="C43" t="s">
        <v>10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25">
      <c r="A44" t="s">
        <v>157</v>
      </c>
      <c r="B44" t="s">
        <v>33</v>
      </c>
      <c r="C44" t="s">
        <v>25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25">
      <c r="A45" t="s">
        <v>157</v>
      </c>
      <c r="B45" t="s">
        <v>33</v>
      </c>
      <c r="C45" t="s">
        <v>10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25">
      <c r="A46" t="s">
        <v>157</v>
      </c>
      <c r="B46" t="s">
        <v>34</v>
      </c>
      <c r="C46" t="s">
        <v>25</v>
      </c>
      <c r="D46">
        <v>0</v>
      </c>
      <c r="E46">
        <v>-180.84</v>
      </c>
      <c r="F46">
        <v>0</v>
      </c>
      <c r="G46">
        <v>2983.846</v>
      </c>
      <c r="H46">
        <v>0</v>
      </c>
      <c r="I46">
        <v>0</v>
      </c>
    </row>
    <row r="47" spans="1:9" x14ac:dyDescent="0.25">
      <c r="A47" t="s">
        <v>157</v>
      </c>
      <c r="B47" t="s">
        <v>34</v>
      </c>
      <c r="C47" t="s">
        <v>10</v>
      </c>
      <c r="D47">
        <v>0</v>
      </c>
      <c r="E47">
        <v>-180.84</v>
      </c>
      <c r="F47">
        <v>0</v>
      </c>
      <c r="G47">
        <v>2983.846</v>
      </c>
      <c r="H47">
        <v>0</v>
      </c>
      <c r="I47">
        <v>-723.35699999999997</v>
      </c>
    </row>
    <row r="48" spans="1:9" x14ac:dyDescent="0.25">
      <c r="A48" t="s">
        <v>157</v>
      </c>
      <c r="B48" t="s">
        <v>35</v>
      </c>
      <c r="C48" t="s">
        <v>25</v>
      </c>
      <c r="D48">
        <v>0</v>
      </c>
      <c r="E48">
        <v>-180.84</v>
      </c>
      <c r="F48">
        <v>0</v>
      </c>
      <c r="G48">
        <v>2441.3290000000002</v>
      </c>
      <c r="H48">
        <v>0</v>
      </c>
      <c r="I48">
        <v>0</v>
      </c>
    </row>
    <row r="49" spans="1:9" x14ac:dyDescent="0.25">
      <c r="A49" t="s">
        <v>157</v>
      </c>
      <c r="B49" t="s">
        <v>35</v>
      </c>
      <c r="C49" t="s">
        <v>10</v>
      </c>
      <c r="D49">
        <v>0</v>
      </c>
      <c r="E49">
        <v>-180.84</v>
      </c>
      <c r="F49">
        <v>0</v>
      </c>
      <c r="G49">
        <v>2441.3290000000002</v>
      </c>
      <c r="H49">
        <v>0</v>
      </c>
      <c r="I49">
        <v>-723.35699999999997</v>
      </c>
    </row>
    <row r="50" spans="1:9" x14ac:dyDescent="0.25">
      <c r="A50" t="s">
        <v>157</v>
      </c>
      <c r="B50" t="s">
        <v>36</v>
      </c>
      <c r="C50" t="s">
        <v>25</v>
      </c>
      <c r="D50">
        <v>0</v>
      </c>
      <c r="E50">
        <v>180.84</v>
      </c>
      <c r="F50">
        <v>0</v>
      </c>
      <c r="G50">
        <v>-2983.846</v>
      </c>
      <c r="H50">
        <v>0</v>
      </c>
      <c r="I50">
        <v>0</v>
      </c>
    </row>
    <row r="51" spans="1:9" x14ac:dyDescent="0.25">
      <c r="A51" t="s">
        <v>157</v>
      </c>
      <c r="B51" t="s">
        <v>36</v>
      </c>
      <c r="C51" t="s">
        <v>10</v>
      </c>
      <c r="D51">
        <v>0</v>
      </c>
      <c r="E51">
        <v>180.84</v>
      </c>
      <c r="F51">
        <v>0</v>
      </c>
      <c r="G51">
        <v>-2983.846</v>
      </c>
      <c r="H51">
        <v>0</v>
      </c>
      <c r="I51">
        <v>723.35699999999997</v>
      </c>
    </row>
    <row r="52" spans="1:9" x14ac:dyDescent="0.25">
      <c r="A52" t="s">
        <v>157</v>
      </c>
      <c r="B52" t="s">
        <v>37</v>
      </c>
      <c r="C52" t="s">
        <v>25</v>
      </c>
      <c r="D52">
        <v>0</v>
      </c>
      <c r="E52">
        <v>180.84</v>
      </c>
      <c r="F52">
        <v>0</v>
      </c>
      <c r="G52">
        <v>-2441.3290000000002</v>
      </c>
      <c r="H52">
        <v>0</v>
      </c>
      <c r="I52">
        <v>0</v>
      </c>
    </row>
    <row r="53" spans="1:9" x14ac:dyDescent="0.25">
      <c r="A53" t="s">
        <v>157</v>
      </c>
      <c r="B53" t="s">
        <v>37</v>
      </c>
      <c r="C53" t="s">
        <v>10</v>
      </c>
      <c r="D53">
        <v>0</v>
      </c>
      <c r="E53">
        <v>180.84</v>
      </c>
      <c r="F53">
        <v>0</v>
      </c>
      <c r="G53">
        <v>-2441.3290000000002</v>
      </c>
      <c r="H53">
        <v>0</v>
      </c>
      <c r="I53">
        <v>723.35699999999997</v>
      </c>
    </row>
    <row r="54" spans="1:9" x14ac:dyDescent="0.25">
      <c r="A54" t="s">
        <v>157</v>
      </c>
      <c r="B54" t="s">
        <v>38</v>
      </c>
      <c r="C54" t="s">
        <v>25</v>
      </c>
      <c r="D54">
        <v>0</v>
      </c>
      <c r="E54">
        <v>0</v>
      </c>
      <c r="F54">
        <v>-218.59</v>
      </c>
      <c r="G54">
        <v>-4328.0910000000003</v>
      </c>
      <c r="H54">
        <v>0</v>
      </c>
      <c r="I54">
        <v>0</v>
      </c>
    </row>
    <row r="55" spans="1:9" x14ac:dyDescent="0.25">
      <c r="A55" t="s">
        <v>157</v>
      </c>
      <c r="B55" t="s">
        <v>38</v>
      </c>
      <c r="C55" t="s">
        <v>10</v>
      </c>
      <c r="D55">
        <v>0</v>
      </c>
      <c r="E55">
        <v>0</v>
      </c>
      <c r="F55">
        <v>-218.59</v>
      </c>
      <c r="G55">
        <v>-4328.0910000000003</v>
      </c>
      <c r="H55">
        <v>874.36199999999997</v>
      </c>
      <c r="I55">
        <v>0</v>
      </c>
    </row>
    <row r="56" spans="1:9" x14ac:dyDescent="0.25">
      <c r="A56" t="s">
        <v>157</v>
      </c>
      <c r="B56" t="s">
        <v>39</v>
      </c>
      <c r="C56" t="s">
        <v>25</v>
      </c>
      <c r="D56">
        <v>0</v>
      </c>
      <c r="E56">
        <v>0</v>
      </c>
      <c r="F56">
        <v>-218.59</v>
      </c>
      <c r="G56">
        <v>-3541.1660000000002</v>
      </c>
      <c r="H56">
        <v>0</v>
      </c>
      <c r="I56">
        <v>0</v>
      </c>
    </row>
    <row r="57" spans="1:9" x14ac:dyDescent="0.25">
      <c r="A57" t="s">
        <v>157</v>
      </c>
      <c r="B57" t="s">
        <v>39</v>
      </c>
      <c r="C57" t="s">
        <v>10</v>
      </c>
      <c r="D57">
        <v>0</v>
      </c>
      <c r="E57">
        <v>0</v>
      </c>
      <c r="F57">
        <v>-218.59</v>
      </c>
      <c r="G57">
        <v>-3541.1660000000002</v>
      </c>
      <c r="H57">
        <v>874.36199999999997</v>
      </c>
      <c r="I57">
        <v>0</v>
      </c>
    </row>
    <row r="58" spans="1:9" x14ac:dyDescent="0.25">
      <c r="A58" t="s">
        <v>157</v>
      </c>
      <c r="B58" t="s">
        <v>40</v>
      </c>
      <c r="C58" t="s">
        <v>25</v>
      </c>
      <c r="D58">
        <v>0</v>
      </c>
      <c r="E58">
        <v>0</v>
      </c>
      <c r="F58">
        <v>218.59</v>
      </c>
      <c r="G58">
        <v>4328.0910000000003</v>
      </c>
      <c r="H58">
        <v>0</v>
      </c>
      <c r="I58">
        <v>0</v>
      </c>
    </row>
    <row r="59" spans="1:9" x14ac:dyDescent="0.25">
      <c r="A59" t="s">
        <v>157</v>
      </c>
      <c r="B59" t="s">
        <v>40</v>
      </c>
      <c r="C59" t="s">
        <v>10</v>
      </c>
      <c r="D59">
        <v>0</v>
      </c>
      <c r="E59">
        <v>0</v>
      </c>
      <c r="F59">
        <v>218.59</v>
      </c>
      <c r="G59">
        <v>4328.0910000000003</v>
      </c>
      <c r="H59">
        <v>-874.36199999999997</v>
      </c>
      <c r="I59">
        <v>0</v>
      </c>
    </row>
    <row r="60" spans="1:9" x14ac:dyDescent="0.25">
      <c r="A60" t="s">
        <v>157</v>
      </c>
      <c r="B60" t="s">
        <v>41</v>
      </c>
      <c r="C60" t="s">
        <v>25</v>
      </c>
      <c r="D60">
        <v>0</v>
      </c>
      <c r="E60">
        <v>0</v>
      </c>
      <c r="F60">
        <v>218.59</v>
      </c>
      <c r="G60">
        <v>3541.1660000000002</v>
      </c>
      <c r="H60">
        <v>0</v>
      </c>
      <c r="I60">
        <v>0</v>
      </c>
    </row>
    <row r="61" spans="1:9" x14ac:dyDescent="0.25">
      <c r="A61" t="s">
        <v>157</v>
      </c>
      <c r="B61" t="s">
        <v>41</v>
      </c>
      <c r="C61" t="s">
        <v>10</v>
      </c>
      <c r="D61">
        <v>0</v>
      </c>
      <c r="E61">
        <v>0</v>
      </c>
      <c r="F61">
        <v>218.59</v>
      </c>
      <c r="G61">
        <v>3541.1660000000002</v>
      </c>
      <c r="H61">
        <v>-874.36199999999997</v>
      </c>
      <c r="I61">
        <v>0</v>
      </c>
    </row>
    <row r="62" spans="1:9" x14ac:dyDescent="0.25">
      <c r="A62" t="s">
        <v>157</v>
      </c>
      <c r="B62" t="s">
        <v>42</v>
      </c>
      <c r="C62" t="s">
        <v>25</v>
      </c>
      <c r="D62">
        <v>0</v>
      </c>
      <c r="E62">
        <v>-180.84</v>
      </c>
      <c r="F62">
        <v>0</v>
      </c>
      <c r="G62">
        <v>2983.846</v>
      </c>
      <c r="H62">
        <v>0</v>
      </c>
      <c r="I62">
        <v>0</v>
      </c>
    </row>
    <row r="63" spans="1:9" x14ac:dyDescent="0.25">
      <c r="A63" t="s">
        <v>157</v>
      </c>
      <c r="B63" t="s">
        <v>42</v>
      </c>
      <c r="C63" t="s">
        <v>10</v>
      </c>
      <c r="D63">
        <v>0</v>
      </c>
      <c r="E63">
        <v>-180.84</v>
      </c>
      <c r="F63">
        <v>0</v>
      </c>
      <c r="G63">
        <v>2983.846</v>
      </c>
      <c r="H63">
        <v>0</v>
      </c>
      <c r="I63">
        <v>-723.35699999999997</v>
      </c>
    </row>
    <row r="64" spans="1:9" x14ac:dyDescent="0.25">
      <c r="A64" t="s">
        <v>157</v>
      </c>
      <c r="B64" t="s">
        <v>43</v>
      </c>
      <c r="C64" t="s">
        <v>25</v>
      </c>
      <c r="D64">
        <v>0</v>
      </c>
      <c r="E64">
        <v>-180.84</v>
      </c>
      <c r="F64">
        <v>0</v>
      </c>
      <c r="G64">
        <v>2441.3290000000002</v>
      </c>
      <c r="H64">
        <v>0</v>
      </c>
      <c r="I64">
        <v>0</v>
      </c>
    </row>
    <row r="65" spans="1:9" x14ac:dyDescent="0.25">
      <c r="A65" t="s">
        <v>157</v>
      </c>
      <c r="B65" t="s">
        <v>43</v>
      </c>
      <c r="C65" t="s">
        <v>10</v>
      </c>
      <c r="D65">
        <v>0</v>
      </c>
      <c r="E65">
        <v>-180.84</v>
      </c>
      <c r="F65">
        <v>0</v>
      </c>
      <c r="G65">
        <v>2441.3290000000002</v>
      </c>
      <c r="H65">
        <v>0</v>
      </c>
      <c r="I65">
        <v>-723.35699999999997</v>
      </c>
    </row>
    <row r="66" spans="1:9" x14ac:dyDescent="0.25">
      <c r="A66" t="s">
        <v>157</v>
      </c>
      <c r="B66" t="s">
        <v>44</v>
      </c>
      <c r="C66" t="s">
        <v>25</v>
      </c>
      <c r="D66">
        <v>0</v>
      </c>
      <c r="E66">
        <v>180.84</v>
      </c>
      <c r="F66">
        <v>0</v>
      </c>
      <c r="G66">
        <v>-2983.846</v>
      </c>
      <c r="H66">
        <v>0</v>
      </c>
      <c r="I66">
        <v>0</v>
      </c>
    </row>
    <row r="67" spans="1:9" x14ac:dyDescent="0.25">
      <c r="A67" t="s">
        <v>157</v>
      </c>
      <c r="B67" t="s">
        <v>44</v>
      </c>
      <c r="C67" t="s">
        <v>10</v>
      </c>
      <c r="D67">
        <v>0</v>
      </c>
      <c r="E67">
        <v>180.84</v>
      </c>
      <c r="F67">
        <v>0</v>
      </c>
      <c r="G67">
        <v>-2983.846</v>
      </c>
      <c r="H67">
        <v>0</v>
      </c>
      <c r="I67">
        <v>723.35699999999997</v>
      </c>
    </row>
    <row r="68" spans="1:9" x14ac:dyDescent="0.25">
      <c r="A68" t="s">
        <v>157</v>
      </c>
      <c r="B68" t="s">
        <v>45</v>
      </c>
      <c r="C68" t="s">
        <v>25</v>
      </c>
      <c r="D68">
        <v>0</v>
      </c>
      <c r="E68">
        <v>180.84</v>
      </c>
      <c r="F68">
        <v>0</v>
      </c>
      <c r="G68">
        <v>-2441.3290000000002</v>
      </c>
      <c r="H68">
        <v>0</v>
      </c>
      <c r="I68">
        <v>0</v>
      </c>
    </row>
    <row r="69" spans="1:9" x14ac:dyDescent="0.25">
      <c r="A69" t="s">
        <v>157</v>
      </c>
      <c r="B69" t="s">
        <v>45</v>
      </c>
      <c r="C69" t="s">
        <v>10</v>
      </c>
      <c r="D69">
        <v>0</v>
      </c>
      <c r="E69">
        <v>180.84</v>
      </c>
      <c r="F69">
        <v>0</v>
      </c>
      <c r="G69">
        <v>-2441.3290000000002</v>
      </c>
      <c r="H69">
        <v>0</v>
      </c>
      <c r="I69">
        <v>723.35699999999997</v>
      </c>
    </row>
    <row r="70" spans="1:9" x14ac:dyDescent="0.25">
      <c r="A70" t="s">
        <v>157</v>
      </c>
      <c r="B70" t="s">
        <v>46</v>
      </c>
      <c r="C70" t="s">
        <v>25</v>
      </c>
      <c r="D70">
        <v>0</v>
      </c>
      <c r="E70">
        <v>0</v>
      </c>
      <c r="F70">
        <v>-218.59</v>
      </c>
      <c r="G70">
        <v>-4328.0910000000003</v>
      </c>
      <c r="H70">
        <v>0</v>
      </c>
      <c r="I70">
        <v>0</v>
      </c>
    </row>
    <row r="71" spans="1:9" x14ac:dyDescent="0.25">
      <c r="A71" t="s">
        <v>157</v>
      </c>
      <c r="B71" t="s">
        <v>46</v>
      </c>
      <c r="C71" t="s">
        <v>10</v>
      </c>
      <c r="D71">
        <v>0</v>
      </c>
      <c r="E71">
        <v>0</v>
      </c>
      <c r="F71">
        <v>-218.59</v>
      </c>
      <c r="G71">
        <v>-4328.0910000000003</v>
      </c>
      <c r="H71">
        <v>874.36199999999997</v>
      </c>
      <c r="I71">
        <v>0</v>
      </c>
    </row>
    <row r="72" spans="1:9" x14ac:dyDescent="0.25">
      <c r="A72" t="s">
        <v>157</v>
      </c>
      <c r="B72" t="s">
        <v>47</v>
      </c>
      <c r="C72" t="s">
        <v>25</v>
      </c>
      <c r="D72">
        <v>0</v>
      </c>
      <c r="E72">
        <v>0</v>
      </c>
      <c r="F72">
        <v>-218.59</v>
      </c>
      <c r="G72">
        <v>-3541.1660000000002</v>
      </c>
      <c r="H72">
        <v>0</v>
      </c>
      <c r="I72">
        <v>0</v>
      </c>
    </row>
    <row r="73" spans="1:9" x14ac:dyDescent="0.25">
      <c r="A73" t="s">
        <v>157</v>
      </c>
      <c r="B73" t="s">
        <v>47</v>
      </c>
      <c r="C73" t="s">
        <v>10</v>
      </c>
      <c r="D73">
        <v>0</v>
      </c>
      <c r="E73">
        <v>0</v>
      </c>
      <c r="F73">
        <v>-218.59</v>
      </c>
      <c r="G73">
        <v>-3541.1660000000002</v>
      </c>
      <c r="H73">
        <v>874.36199999999997</v>
      </c>
      <c r="I73">
        <v>0</v>
      </c>
    </row>
    <row r="74" spans="1:9" x14ac:dyDescent="0.25">
      <c r="A74" t="s">
        <v>157</v>
      </c>
      <c r="B74" t="s">
        <v>48</v>
      </c>
      <c r="C74" t="s">
        <v>25</v>
      </c>
      <c r="D74">
        <v>0</v>
      </c>
      <c r="E74">
        <v>0</v>
      </c>
      <c r="F74">
        <v>218.59</v>
      </c>
      <c r="G74">
        <v>4328.0910000000003</v>
      </c>
      <c r="H74">
        <v>0</v>
      </c>
      <c r="I74">
        <v>0</v>
      </c>
    </row>
    <row r="75" spans="1:9" x14ac:dyDescent="0.25">
      <c r="A75" t="s">
        <v>157</v>
      </c>
      <c r="B75" t="s">
        <v>48</v>
      </c>
      <c r="C75" t="s">
        <v>10</v>
      </c>
      <c r="D75">
        <v>0</v>
      </c>
      <c r="E75">
        <v>0</v>
      </c>
      <c r="F75">
        <v>218.59</v>
      </c>
      <c r="G75">
        <v>4328.0910000000003</v>
      </c>
      <c r="H75">
        <v>-874.36199999999997</v>
      </c>
      <c r="I75">
        <v>0</v>
      </c>
    </row>
    <row r="76" spans="1:9" x14ac:dyDescent="0.25">
      <c r="A76" t="s">
        <v>157</v>
      </c>
      <c r="B76" t="s">
        <v>49</v>
      </c>
      <c r="C76" t="s">
        <v>25</v>
      </c>
      <c r="D76">
        <v>0</v>
      </c>
      <c r="E76">
        <v>0</v>
      </c>
      <c r="F76">
        <v>218.59</v>
      </c>
      <c r="G76">
        <v>3541.1660000000002</v>
      </c>
      <c r="H76">
        <v>0</v>
      </c>
      <c r="I76">
        <v>0</v>
      </c>
    </row>
    <row r="77" spans="1:9" x14ac:dyDescent="0.25">
      <c r="A77" t="s">
        <v>157</v>
      </c>
      <c r="B77" t="s">
        <v>49</v>
      </c>
      <c r="C77" t="s">
        <v>10</v>
      </c>
      <c r="D77">
        <v>0</v>
      </c>
      <c r="E77">
        <v>0</v>
      </c>
      <c r="F77">
        <v>218.59</v>
      </c>
      <c r="G77">
        <v>3541.1660000000002</v>
      </c>
      <c r="H77">
        <v>-874.36199999999997</v>
      </c>
      <c r="I77">
        <v>0</v>
      </c>
    </row>
    <row r="78" spans="1:9" x14ac:dyDescent="0.25">
      <c r="A78" t="s">
        <v>157</v>
      </c>
      <c r="B78" t="s">
        <v>50</v>
      </c>
      <c r="C78" t="s">
        <v>25</v>
      </c>
      <c r="D78">
        <v>0</v>
      </c>
      <c r="E78">
        <v>-54.25</v>
      </c>
      <c r="F78">
        <v>0</v>
      </c>
      <c r="G78">
        <v>895.154</v>
      </c>
      <c r="H78">
        <v>0</v>
      </c>
      <c r="I78">
        <v>0</v>
      </c>
    </row>
    <row r="79" spans="1:9" x14ac:dyDescent="0.25">
      <c r="A79" t="s">
        <v>157</v>
      </c>
      <c r="B79" t="s">
        <v>50</v>
      </c>
      <c r="C79" t="s">
        <v>10</v>
      </c>
      <c r="D79">
        <v>0</v>
      </c>
      <c r="E79">
        <v>-54.25</v>
      </c>
      <c r="F79">
        <v>0</v>
      </c>
      <c r="G79">
        <v>895.154</v>
      </c>
      <c r="H79">
        <v>0</v>
      </c>
      <c r="I79">
        <v>-217.00700000000001</v>
      </c>
    </row>
    <row r="80" spans="1:9" x14ac:dyDescent="0.25">
      <c r="A80" t="s">
        <v>157</v>
      </c>
      <c r="B80" t="s">
        <v>51</v>
      </c>
      <c r="C80" t="s">
        <v>25</v>
      </c>
      <c r="D80">
        <v>0</v>
      </c>
      <c r="E80">
        <v>-54.25</v>
      </c>
      <c r="F80">
        <v>0</v>
      </c>
      <c r="G80">
        <v>732.399</v>
      </c>
      <c r="H80">
        <v>0</v>
      </c>
      <c r="I80">
        <v>0</v>
      </c>
    </row>
    <row r="81" spans="1:9" x14ac:dyDescent="0.25">
      <c r="A81" t="s">
        <v>157</v>
      </c>
      <c r="B81" t="s">
        <v>51</v>
      </c>
      <c r="C81" t="s">
        <v>10</v>
      </c>
      <c r="D81">
        <v>0</v>
      </c>
      <c r="E81">
        <v>-54.25</v>
      </c>
      <c r="F81">
        <v>0</v>
      </c>
      <c r="G81">
        <v>732.399</v>
      </c>
      <c r="H81">
        <v>0</v>
      </c>
      <c r="I81">
        <v>-217.00700000000001</v>
      </c>
    </row>
    <row r="82" spans="1:9" x14ac:dyDescent="0.25">
      <c r="A82" t="s">
        <v>157</v>
      </c>
      <c r="B82" t="s">
        <v>52</v>
      </c>
      <c r="C82" t="s">
        <v>25</v>
      </c>
      <c r="D82">
        <v>0</v>
      </c>
      <c r="E82">
        <v>54.25</v>
      </c>
      <c r="F82">
        <v>0</v>
      </c>
      <c r="G82">
        <v>-895.154</v>
      </c>
      <c r="H82">
        <v>0</v>
      </c>
      <c r="I82">
        <v>0</v>
      </c>
    </row>
    <row r="83" spans="1:9" x14ac:dyDescent="0.25">
      <c r="A83" t="s">
        <v>157</v>
      </c>
      <c r="B83" t="s">
        <v>52</v>
      </c>
      <c r="C83" t="s">
        <v>10</v>
      </c>
      <c r="D83">
        <v>0</v>
      </c>
      <c r="E83">
        <v>54.25</v>
      </c>
      <c r="F83">
        <v>0</v>
      </c>
      <c r="G83">
        <v>-895.154</v>
      </c>
      <c r="H83">
        <v>0</v>
      </c>
      <c r="I83">
        <v>217.00700000000001</v>
      </c>
    </row>
    <row r="84" spans="1:9" x14ac:dyDescent="0.25">
      <c r="A84" t="s">
        <v>157</v>
      </c>
      <c r="B84" t="s">
        <v>53</v>
      </c>
      <c r="C84" t="s">
        <v>25</v>
      </c>
      <c r="D84">
        <v>0</v>
      </c>
      <c r="E84">
        <v>54.25</v>
      </c>
      <c r="F84">
        <v>0</v>
      </c>
      <c r="G84">
        <v>-732.399</v>
      </c>
      <c r="H84">
        <v>0</v>
      </c>
      <c r="I84">
        <v>0</v>
      </c>
    </row>
    <row r="85" spans="1:9" x14ac:dyDescent="0.25">
      <c r="A85" t="s">
        <v>157</v>
      </c>
      <c r="B85" t="s">
        <v>53</v>
      </c>
      <c r="C85" t="s">
        <v>10</v>
      </c>
      <c r="D85">
        <v>0</v>
      </c>
      <c r="E85">
        <v>54.25</v>
      </c>
      <c r="F85">
        <v>0</v>
      </c>
      <c r="G85">
        <v>-732.399</v>
      </c>
      <c r="H85">
        <v>0</v>
      </c>
      <c r="I85">
        <v>217.00700000000001</v>
      </c>
    </row>
    <row r="86" spans="1:9" x14ac:dyDescent="0.25">
      <c r="A86" t="s">
        <v>157</v>
      </c>
      <c r="B86" t="s">
        <v>54</v>
      </c>
      <c r="C86" t="s">
        <v>25</v>
      </c>
      <c r="D86">
        <v>0</v>
      </c>
      <c r="E86">
        <v>0</v>
      </c>
      <c r="F86">
        <v>-65.58</v>
      </c>
      <c r="G86">
        <v>-1298.4269999999999</v>
      </c>
      <c r="H86">
        <v>0</v>
      </c>
      <c r="I86">
        <v>0</v>
      </c>
    </row>
    <row r="87" spans="1:9" x14ac:dyDescent="0.25">
      <c r="A87" t="s">
        <v>157</v>
      </c>
      <c r="B87" t="s">
        <v>54</v>
      </c>
      <c r="C87" t="s">
        <v>10</v>
      </c>
      <c r="D87">
        <v>0</v>
      </c>
      <c r="E87">
        <v>0</v>
      </c>
      <c r="F87">
        <v>-65.58</v>
      </c>
      <c r="G87">
        <v>-1298.4269999999999</v>
      </c>
      <c r="H87">
        <v>262.30900000000003</v>
      </c>
      <c r="I87">
        <v>0</v>
      </c>
    </row>
    <row r="88" spans="1:9" x14ac:dyDescent="0.25">
      <c r="A88" t="s">
        <v>157</v>
      </c>
      <c r="B88" t="s">
        <v>55</v>
      </c>
      <c r="C88" t="s">
        <v>25</v>
      </c>
      <c r="D88">
        <v>0</v>
      </c>
      <c r="E88">
        <v>0</v>
      </c>
      <c r="F88">
        <v>-65.58</v>
      </c>
      <c r="G88">
        <v>-1062.3499999999999</v>
      </c>
      <c r="H88">
        <v>0</v>
      </c>
      <c r="I88">
        <v>0</v>
      </c>
    </row>
    <row r="89" spans="1:9" x14ac:dyDescent="0.25">
      <c r="A89" t="s">
        <v>157</v>
      </c>
      <c r="B89" t="s">
        <v>55</v>
      </c>
      <c r="C89" t="s">
        <v>10</v>
      </c>
      <c r="D89">
        <v>0</v>
      </c>
      <c r="E89">
        <v>0</v>
      </c>
      <c r="F89">
        <v>-65.58</v>
      </c>
      <c r="G89">
        <v>-1062.3499999999999</v>
      </c>
      <c r="H89">
        <v>262.30900000000003</v>
      </c>
      <c r="I89">
        <v>0</v>
      </c>
    </row>
    <row r="90" spans="1:9" x14ac:dyDescent="0.25">
      <c r="A90" t="s">
        <v>157</v>
      </c>
      <c r="B90" t="s">
        <v>56</v>
      </c>
      <c r="C90" t="s">
        <v>25</v>
      </c>
      <c r="D90">
        <v>0</v>
      </c>
      <c r="E90">
        <v>0</v>
      </c>
      <c r="F90">
        <v>65.58</v>
      </c>
      <c r="G90">
        <v>1298.4269999999999</v>
      </c>
      <c r="H90">
        <v>0</v>
      </c>
      <c r="I90">
        <v>0</v>
      </c>
    </row>
    <row r="91" spans="1:9" x14ac:dyDescent="0.25">
      <c r="A91" t="s">
        <v>157</v>
      </c>
      <c r="B91" t="s">
        <v>56</v>
      </c>
      <c r="C91" t="s">
        <v>10</v>
      </c>
      <c r="D91">
        <v>0</v>
      </c>
      <c r="E91">
        <v>0</v>
      </c>
      <c r="F91">
        <v>65.58</v>
      </c>
      <c r="G91">
        <v>1298.4269999999999</v>
      </c>
      <c r="H91">
        <v>-262.30900000000003</v>
      </c>
      <c r="I91">
        <v>0</v>
      </c>
    </row>
    <row r="92" spans="1:9" x14ac:dyDescent="0.25">
      <c r="A92" t="s">
        <v>157</v>
      </c>
      <c r="B92" t="s">
        <v>57</v>
      </c>
      <c r="C92" t="s">
        <v>25</v>
      </c>
      <c r="D92">
        <v>0</v>
      </c>
      <c r="E92">
        <v>0</v>
      </c>
      <c r="F92">
        <v>65.58</v>
      </c>
      <c r="G92">
        <v>1062.3499999999999</v>
      </c>
      <c r="H92">
        <v>0</v>
      </c>
      <c r="I92">
        <v>0</v>
      </c>
    </row>
    <row r="93" spans="1:9" x14ac:dyDescent="0.25">
      <c r="A93" t="s">
        <v>157</v>
      </c>
      <c r="B93" t="s">
        <v>57</v>
      </c>
      <c r="C93" t="s">
        <v>10</v>
      </c>
      <c r="D93">
        <v>0</v>
      </c>
      <c r="E93">
        <v>0</v>
      </c>
      <c r="F93">
        <v>65.58</v>
      </c>
      <c r="G93">
        <v>1062.3499999999999</v>
      </c>
      <c r="H93">
        <v>-262.30900000000003</v>
      </c>
      <c r="I93">
        <v>0</v>
      </c>
    </row>
    <row r="94" spans="1:9" x14ac:dyDescent="0.25">
      <c r="A94" t="s">
        <v>157</v>
      </c>
      <c r="B94" t="s">
        <v>58</v>
      </c>
      <c r="C94" t="s">
        <v>25</v>
      </c>
      <c r="D94">
        <v>0</v>
      </c>
      <c r="E94">
        <v>-54.25</v>
      </c>
      <c r="F94">
        <v>0</v>
      </c>
      <c r="G94">
        <v>895.154</v>
      </c>
      <c r="H94">
        <v>0</v>
      </c>
      <c r="I94">
        <v>0</v>
      </c>
    </row>
    <row r="95" spans="1:9" x14ac:dyDescent="0.25">
      <c r="A95" t="s">
        <v>157</v>
      </c>
      <c r="B95" t="s">
        <v>58</v>
      </c>
      <c r="C95" t="s">
        <v>10</v>
      </c>
      <c r="D95">
        <v>0</v>
      </c>
      <c r="E95">
        <v>-54.25</v>
      </c>
      <c r="F95">
        <v>0</v>
      </c>
      <c r="G95">
        <v>895.154</v>
      </c>
      <c r="H95">
        <v>0</v>
      </c>
      <c r="I95">
        <v>-217.00700000000001</v>
      </c>
    </row>
    <row r="96" spans="1:9" x14ac:dyDescent="0.25">
      <c r="A96" t="s">
        <v>157</v>
      </c>
      <c r="B96" t="s">
        <v>59</v>
      </c>
      <c r="C96" t="s">
        <v>25</v>
      </c>
      <c r="D96">
        <v>0</v>
      </c>
      <c r="E96">
        <v>-54.25</v>
      </c>
      <c r="F96">
        <v>0</v>
      </c>
      <c r="G96">
        <v>732.399</v>
      </c>
      <c r="H96">
        <v>0</v>
      </c>
      <c r="I96">
        <v>0</v>
      </c>
    </row>
    <row r="97" spans="1:9" x14ac:dyDescent="0.25">
      <c r="A97" t="s">
        <v>157</v>
      </c>
      <c r="B97" t="s">
        <v>59</v>
      </c>
      <c r="C97" t="s">
        <v>10</v>
      </c>
      <c r="D97">
        <v>0</v>
      </c>
      <c r="E97">
        <v>-54.25</v>
      </c>
      <c r="F97">
        <v>0</v>
      </c>
      <c r="G97">
        <v>732.399</v>
      </c>
      <c r="H97">
        <v>0</v>
      </c>
      <c r="I97">
        <v>-217.00700000000001</v>
      </c>
    </row>
    <row r="98" spans="1:9" x14ac:dyDescent="0.25">
      <c r="A98" t="s">
        <v>157</v>
      </c>
      <c r="B98" t="s">
        <v>60</v>
      </c>
      <c r="C98" t="s">
        <v>25</v>
      </c>
      <c r="D98">
        <v>0</v>
      </c>
      <c r="E98">
        <v>54.25</v>
      </c>
      <c r="F98">
        <v>0</v>
      </c>
      <c r="G98">
        <v>-895.154</v>
      </c>
      <c r="H98">
        <v>0</v>
      </c>
      <c r="I98">
        <v>0</v>
      </c>
    </row>
    <row r="99" spans="1:9" x14ac:dyDescent="0.25">
      <c r="A99" t="s">
        <v>157</v>
      </c>
      <c r="B99" t="s">
        <v>60</v>
      </c>
      <c r="C99" t="s">
        <v>10</v>
      </c>
      <c r="D99">
        <v>0</v>
      </c>
      <c r="E99">
        <v>54.25</v>
      </c>
      <c r="F99">
        <v>0</v>
      </c>
      <c r="G99">
        <v>-895.154</v>
      </c>
      <c r="H99">
        <v>0</v>
      </c>
      <c r="I99">
        <v>217.00700000000001</v>
      </c>
    </row>
    <row r="100" spans="1:9" x14ac:dyDescent="0.25">
      <c r="A100" t="s">
        <v>157</v>
      </c>
      <c r="B100" t="s">
        <v>61</v>
      </c>
      <c r="C100" t="s">
        <v>25</v>
      </c>
      <c r="D100">
        <v>0</v>
      </c>
      <c r="E100">
        <v>54.25</v>
      </c>
      <c r="F100">
        <v>0</v>
      </c>
      <c r="G100">
        <v>-732.399</v>
      </c>
      <c r="H100">
        <v>0</v>
      </c>
      <c r="I100">
        <v>0</v>
      </c>
    </row>
    <row r="101" spans="1:9" x14ac:dyDescent="0.25">
      <c r="A101" t="s">
        <v>157</v>
      </c>
      <c r="B101" t="s">
        <v>61</v>
      </c>
      <c r="C101" t="s">
        <v>10</v>
      </c>
      <c r="D101">
        <v>0</v>
      </c>
      <c r="E101">
        <v>54.25</v>
      </c>
      <c r="F101">
        <v>0</v>
      </c>
      <c r="G101">
        <v>-732.399</v>
      </c>
      <c r="H101">
        <v>0</v>
      </c>
      <c r="I101">
        <v>217.00700000000001</v>
      </c>
    </row>
    <row r="102" spans="1:9" x14ac:dyDescent="0.25">
      <c r="A102" t="s">
        <v>157</v>
      </c>
      <c r="B102" t="s">
        <v>62</v>
      </c>
      <c r="C102" t="s">
        <v>25</v>
      </c>
      <c r="D102">
        <v>0</v>
      </c>
      <c r="E102">
        <v>0</v>
      </c>
      <c r="F102">
        <v>-65.58</v>
      </c>
      <c r="G102">
        <v>-1298.4269999999999</v>
      </c>
      <c r="H102">
        <v>0</v>
      </c>
      <c r="I102">
        <v>0</v>
      </c>
    </row>
    <row r="103" spans="1:9" x14ac:dyDescent="0.25">
      <c r="A103" t="s">
        <v>157</v>
      </c>
      <c r="B103" t="s">
        <v>62</v>
      </c>
      <c r="C103" t="s">
        <v>10</v>
      </c>
      <c r="D103">
        <v>0</v>
      </c>
      <c r="E103">
        <v>0</v>
      </c>
      <c r="F103">
        <v>-65.58</v>
      </c>
      <c r="G103">
        <v>-1298.4269999999999</v>
      </c>
      <c r="H103">
        <v>262.30900000000003</v>
      </c>
      <c r="I103">
        <v>0</v>
      </c>
    </row>
    <row r="104" spans="1:9" x14ac:dyDescent="0.25">
      <c r="A104" t="s">
        <v>157</v>
      </c>
      <c r="B104" t="s">
        <v>63</v>
      </c>
      <c r="C104" t="s">
        <v>25</v>
      </c>
      <c r="D104">
        <v>0</v>
      </c>
      <c r="E104">
        <v>0</v>
      </c>
      <c r="F104">
        <v>-65.58</v>
      </c>
      <c r="G104">
        <v>-1062.3499999999999</v>
      </c>
      <c r="H104">
        <v>0</v>
      </c>
      <c r="I104">
        <v>0</v>
      </c>
    </row>
    <row r="105" spans="1:9" x14ac:dyDescent="0.25">
      <c r="A105" t="s">
        <v>157</v>
      </c>
      <c r="B105" t="s">
        <v>63</v>
      </c>
      <c r="C105" t="s">
        <v>10</v>
      </c>
      <c r="D105">
        <v>0</v>
      </c>
      <c r="E105">
        <v>0</v>
      </c>
      <c r="F105">
        <v>-65.58</v>
      </c>
      <c r="G105">
        <v>-1062.3499999999999</v>
      </c>
      <c r="H105">
        <v>262.30900000000003</v>
      </c>
      <c r="I105">
        <v>0</v>
      </c>
    </row>
    <row r="106" spans="1:9" x14ac:dyDescent="0.25">
      <c r="A106" t="s">
        <v>157</v>
      </c>
      <c r="B106" t="s">
        <v>64</v>
      </c>
      <c r="C106" t="s">
        <v>25</v>
      </c>
      <c r="D106">
        <v>0</v>
      </c>
      <c r="E106">
        <v>0</v>
      </c>
      <c r="F106">
        <v>65.58</v>
      </c>
      <c r="G106">
        <v>1298.4269999999999</v>
      </c>
      <c r="H106">
        <v>0</v>
      </c>
      <c r="I106">
        <v>0</v>
      </c>
    </row>
    <row r="107" spans="1:9" x14ac:dyDescent="0.25">
      <c r="A107" t="s">
        <v>157</v>
      </c>
      <c r="B107" t="s">
        <v>64</v>
      </c>
      <c r="C107" t="s">
        <v>10</v>
      </c>
      <c r="D107">
        <v>0</v>
      </c>
      <c r="E107">
        <v>0</v>
      </c>
      <c r="F107">
        <v>65.58</v>
      </c>
      <c r="G107">
        <v>1298.4269999999999</v>
      </c>
      <c r="H107">
        <v>-262.30900000000003</v>
      </c>
      <c r="I107">
        <v>0</v>
      </c>
    </row>
    <row r="108" spans="1:9" x14ac:dyDescent="0.25">
      <c r="A108" t="s">
        <v>157</v>
      </c>
      <c r="B108" t="s">
        <v>65</v>
      </c>
      <c r="C108" t="s">
        <v>25</v>
      </c>
      <c r="D108">
        <v>0</v>
      </c>
      <c r="E108">
        <v>0</v>
      </c>
      <c r="F108">
        <v>65.58</v>
      </c>
      <c r="G108">
        <v>1062.3499999999999</v>
      </c>
      <c r="H108">
        <v>0</v>
      </c>
      <c r="I108">
        <v>0</v>
      </c>
    </row>
    <row r="109" spans="1:9" x14ac:dyDescent="0.25">
      <c r="A109" t="s">
        <v>157</v>
      </c>
      <c r="B109" t="s">
        <v>65</v>
      </c>
      <c r="C109" t="s">
        <v>10</v>
      </c>
      <c r="D109">
        <v>0</v>
      </c>
      <c r="E109">
        <v>0</v>
      </c>
      <c r="F109">
        <v>65.58</v>
      </c>
      <c r="G109">
        <v>1062.3499999999999</v>
      </c>
      <c r="H109">
        <v>-262.30900000000003</v>
      </c>
      <c r="I109">
        <v>0</v>
      </c>
    </row>
    <row r="110" spans="1:9" x14ac:dyDescent="0.25">
      <c r="A110" t="s">
        <v>157</v>
      </c>
      <c r="B110" t="s">
        <v>66</v>
      </c>
      <c r="C110" t="s">
        <v>25</v>
      </c>
      <c r="D110">
        <v>0</v>
      </c>
      <c r="E110">
        <v>-180.84</v>
      </c>
      <c r="F110">
        <v>0</v>
      </c>
      <c r="G110">
        <v>2983.846</v>
      </c>
      <c r="H110">
        <v>0</v>
      </c>
      <c r="I110">
        <v>0</v>
      </c>
    </row>
    <row r="111" spans="1:9" x14ac:dyDescent="0.25">
      <c r="A111" t="s">
        <v>157</v>
      </c>
      <c r="B111" t="s">
        <v>66</v>
      </c>
      <c r="C111" t="s">
        <v>10</v>
      </c>
      <c r="D111">
        <v>0</v>
      </c>
      <c r="E111">
        <v>-180.84</v>
      </c>
      <c r="F111">
        <v>0</v>
      </c>
      <c r="G111">
        <v>2983.846</v>
      </c>
      <c r="H111">
        <v>0</v>
      </c>
      <c r="I111">
        <v>-723.35699999999997</v>
      </c>
    </row>
    <row r="112" spans="1:9" x14ac:dyDescent="0.25">
      <c r="A112" t="s">
        <v>157</v>
      </c>
      <c r="B112" t="s">
        <v>67</v>
      </c>
      <c r="C112" t="s">
        <v>25</v>
      </c>
      <c r="D112">
        <v>0</v>
      </c>
      <c r="E112">
        <v>-180.84</v>
      </c>
      <c r="F112">
        <v>0</v>
      </c>
      <c r="G112">
        <v>2441.3290000000002</v>
      </c>
      <c r="H112">
        <v>0</v>
      </c>
      <c r="I112">
        <v>0</v>
      </c>
    </row>
    <row r="113" spans="1:9" x14ac:dyDescent="0.25">
      <c r="A113" t="s">
        <v>157</v>
      </c>
      <c r="B113" t="s">
        <v>67</v>
      </c>
      <c r="C113" t="s">
        <v>10</v>
      </c>
      <c r="D113">
        <v>0</v>
      </c>
      <c r="E113">
        <v>-180.84</v>
      </c>
      <c r="F113">
        <v>0</v>
      </c>
      <c r="G113">
        <v>2441.3290000000002</v>
      </c>
      <c r="H113">
        <v>0</v>
      </c>
      <c r="I113">
        <v>-723.35699999999997</v>
      </c>
    </row>
    <row r="114" spans="1:9" x14ac:dyDescent="0.25">
      <c r="A114" t="s">
        <v>157</v>
      </c>
      <c r="B114" t="s">
        <v>68</v>
      </c>
      <c r="C114" t="s">
        <v>25</v>
      </c>
      <c r="D114">
        <v>0</v>
      </c>
      <c r="E114">
        <v>180.84</v>
      </c>
      <c r="F114">
        <v>0</v>
      </c>
      <c r="G114">
        <v>-2983.846</v>
      </c>
      <c r="H114">
        <v>0</v>
      </c>
      <c r="I114">
        <v>0</v>
      </c>
    </row>
    <row r="115" spans="1:9" x14ac:dyDescent="0.25">
      <c r="A115" t="s">
        <v>157</v>
      </c>
      <c r="B115" t="s">
        <v>68</v>
      </c>
      <c r="C115" t="s">
        <v>10</v>
      </c>
      <c r="D115">
        <v>0</v>
      </c>
      <c r="E115">
        <v>180.84</v>
      </c>
      <c r="F115">
        <v>0</v>
      </c>
      <c r="G115">
        <v>-2983.846</v>
      </c>
      <c r="H115">
        <v>0</v>
      </c>
      <c r="I115">
        <v>723.35699999999997</v>
      </c>
    </row>
    <row r="116" spans="1:9" x14ac:dyDescent="0.25">
      <c r="A116" t="s">
        <v>157</v>
      </c>
      <c r="B116" t="s">
        <v>69</v>
      </c>
      <c r="C116" t="s">
        <v>25</v>
      </c>
      <c r="D116">
        <v>0</v>
      </c>
      <c r="E116">
        <v>180.84</v>
      </c>
      <c r="F116">
        <v>0</v>
      </c>
      <c r="G116">
        <v>-2441.3290000000002</v>
      </c>
      <c r="H116">
        <v>0</v>
      </c>
      <c r="I116">
        <v>0</v>
      </c>
    </row>
    <row r="117" spans="1:9" x14ac:dyDescent="0.25">
      <c r="A117" t="s">
        <v>157</v>
      </c>
      <c r="B117" t="s">
        <v>69</v>
      </c>
      <c r="C117" t="s">
        <v>10</v>
      </c>
      <c r="D117">
        <v>0</v>
      </c>
      <c r="E117">
        <v>180.84</v>
      </c>
      <c r="F117">
        <v>0</v>
      </c>
      <c r="G117">
        <v>-2441.3290000000002</v>
      </c>
      <c r="H117">
        <v>0</v>
      </c>
      <c r="I117">
        <v>723.35699999999997</v>
      </c>
    </row>
    <row r="118" spans="1:9" x14ac:dyDescent="0.25">
      <c r="A118" t="s">
        <v>157</v>
      </c>
      <c r="B118" t="s">
        <v>70</v>
      </c>
      <c r="C118" t="s">
        <v>25</v>
      </c>
      <c r="D118">
        <v>0</v>
      </c>
      <c r="E118">
        <v>0</v>
      </c>
      <c r="F118">
        <v>-218.59</v>
      </c>
      <c r="G118">
        <v>-4328.0910000000003</v>
      </c>
      <c r="H118">
        <v>0</v>
      </c>
      <c r="I118">
        <v>0</v>
      </c>
    </row>
    <row r="119" spans="1:9" x14ac:dyDescent="0.25">
      <c r="A119" t="s">
        <v>157</v>
      </c>
      <c r="B119" t="s">
        <v>70</v>
      </c>
      <c r="C119" t="s">
        <v>10</v>
      </c>
      <c r="D119">
        <v>0</v>
      </c>
      <c r="E119">
        <v>0</v>
      </c>
      <c r="F119">
        <v>-218.59</v>
      </c>
      <c r="G119">
        <v>-4328.0910000000003</v>
      </c>
      <c r="H119">
        <v>874.36199999999997</v>
      </c>
      <c r="I119">
        <v>0</v>
      </c>
    </row>
    <row r="120" spans="1:9" x14ac:dyDescent="0.25">
      <c r="A120" t="s">
        <v>157</v>
      </c>
      <c r="B120" t="s">
        <v>71</v>
      </c>
      <c r="C120" t="s">
        <v>25</v>
      </c>
      <c r="D120">
        <v>0</v>
      </c>
      <c r="E120">
        <v>0</v>
      </c>
      <c r="F120">
        <v>-218.59</v>
      </c>
      <c r="G120">
        <v>-3541.1660000000002</v>
      </c>
      <c r="H120">
        <v>0</v>
      </c>
      <c r="I120">
        <v>0</v>
      </c>
    </row>
    <row r="121" spans="1:9" x14ac:dyDescent="0.25">
      <c r="A121" t="s">
        <v>157</v>
      </c>
      <c r="B121" t="s">
        <v>71</v>
      </c>
      <c r="C121" t="s">
        <v>10</v>
      </c>
      <c r="D121">
        <v>0</v>
      </c>
      <c r="E121">
        <v>0</v>
      </c>
      <c r="F121">
        <v>-218.59</v>
      </c>
      <c r="G121">
        <v>-3541.1660000000002</v>
      </c>
      <c r="H121">
        <v>874.36199999999997</v>
      </c>
      <c r="I121">
        <v>0</v>
      </c>
    </row>
    <row r="122" spans="1:9" x14ac:dyDescent="0.25">
      <c r="A122" t="s">
        <v>157</v>
      </c>
      <c r="B122" t="s">
        <v>72</v>
      </c>
      <c r="C122" t="s">
        <v>25</v>
      </c>
      <c r="D122">
        <v>0</v>
      </c>
      <c r="E122">
        <v>0</v>
      </c>
      <c r="F122">
        <v>218.59</v>
      </c>
      <c r="G122">
        <v>4328.0910000000003</v>
      </c>
      <c r="H122">
        <v>0</v>
      </c>
      <c r="I122">
        <v>0</v>
      </c>
    </row>
    <row r="123" spans="1:9" x14ac:dyDescent="0.25">
      <c r="A123" t="s">
        <v>157</v>
      </c>
      <c r="B123" t="s">
        <v>72</v>
      </c>
      <c r="C123" t="s">
        <v>10</v>
      </c>
      <c r="D123">
        <v>0</v>
      </c>
      <c r="E123">
        <v>0</v>
      </c>
      <c r="F123">
        <v>218.59</v>
      </c>
      <c r="G123">
        <v>4328.0910000000003</v>
      </c>
      <c r="H123">
        <v>-874.36199999999997</v>
      </c>
      <c r="I123">
        <v>0</v>
      </c>
    </row>
    <row r="124" spans="1:9" x14ac:dyDescent="0.25">
      <c r="A124" t="s">
        <v>157</v>
      </c>
      <c r="B124" t="s">
        <v>73</v>
      </c>
      <c r="C124" t="s">
        <v>25</v>
      </c>
      <c r="D124">
        <v>0</v>
      </c>
      <c r="E124">
        <v>0</v>
      </c>
      <c r="F124">
        <v>218.59</v>
      </c>
      <c r="G124">
        <v>3541.1660000000002</v>
      </c>
      <c r="H124">
        <v>0</v>
      </c>
      <c r="I124">
        <v>0</v>
      </c>
    </row>
    <row r="125" spans="1:9" x14ac:dyDescent="0.25">
      <c r="A125" t="s">
        <v>157</v>
      </c>
      <c r="B125" t="s">
        <v>73</v>
      </c>
      <c r="C125" t="s">
        <v>10</v>
      </c>
      <c r="D125">
        <v>0</v>
      </c>
      <c r="E125">
        <v>0</v>
      </c>
      <c r="F125">
        <v>218.59</v>
      </c>
      <c r="G125">
        <v>3541.1660000000002</v>
      </c>
      <c r="H125">
        <v>-874.36199999999997</v>
      </c>
      <c r="I125">
        <v>0</v>
      </c>
    </row>
    <row r="126" spans="1:9" x14ac:dyDescent="0.25">
      <c r="A126" t="s">
        <v>157</v>
      </c>
      <c r="B126" t="s">
        <v>74</v>
      </c>
      <c r="C126" t="s">
        <v>25</v>
      </c>
      <c r="D126">
        <v>0</v>
      </c>
      <c r="E126">
        <v>-180.84</v>
      </c>
      <c r="F126">
        <v>0</v>
      </c>
      <c r="G126">
        <v>2983.846</v>
      </c>
      <c r="H126">
        <v>0</v>
      </c>
      <c r="I126">
        <v>0</v>
      </c>
    </row>
    <row r="127" spans="1:9" x14ac:dyDescent="0.25">
      <c r="A127" t="s">
        <v>157</v>
      </c>
      <c r="B127" t="s">
        <v>74</v>
      </c>
      <c r="C127" t="s">
        <v>10</v>
      </c>
      <c r="D127">
        <v>0</v>
      </c>
      <c r="E127">
        <v>-180.84</v>
      </c>
      <c r="F127">
        <v>0</v>
      </c>
      <c r="G127">
        <v>2983.846</v>
      </c>
      <c r="H127">
        <v>0</v>
      </c>
      <c r="I127">
        <v>-723.35699999999997</v>
      </c>
    </row>
    <row r="128" spans="1:9" x14ac:dyDescent="0.25">
      <c r="A128" t="s">
        <v>157</v>
      </c>
      <c r="B128" t="s">
        <v>75</v>
      </c>
      <c r="C128" t="s">
        <v>25</v>
      </c>
      <c r="D128">
        <v>0</v>
      </c>
      <c r="E128">
        <v>-180.84</v>
      </c>
      <c r="F128">
        <v>0</v>
      </c>
      <c r="G128">
        <v>2441.3290000000002</v>
      </c>
      <c r="H128">
        <v>0</v>
      </c>
      <c r="I128">
        <v>0</v>
      </c>
    </row>
    <row r="129" spans="1:9" x14ac:dyDescent="0.25">
      <c r="A129" t="s">
        <v>157</v>
      </c>
      <c r="B129" t="s">
        <v>75</v>
      </c>
      <c r="C129" t="s">
        <v>10</v>
      </c>
      <c r="D129">
        <v>0</v>
      </c>
      <c r="E129">
        <v>-180.84</v>
      </c>
      <c r="F129">
        <v>0</v>
      </c>
      <c r="G129">
        <v>2441.3290000000002</v>
      </c>
      <c r="H129">
        <v>0</v>
      </c>
      <c r="I129">
        <v>-723.35699999999997</v>
      </c>
    </row>
    <row r="130" spans="1:9" x14ac:dyDescent="0.25">
      <c r="A130" t="s">
        <v>157</v>
      </c>
      <c r="B130" t="s">
        <v>76</v>
      </c>
      <c r="C130" t="s">
        <v>25</v>
      </c>
      <c r="D130">
        <v>0</v>
      </c>
      <c r="E130">
        <v>180.84</v>
      </c>
      <c r="F130">
        <v>0</v>
      </c>
      <c r="G130">
        <v>-2983.846</v>
      </c>
      <c r="H130">
        <v>0</v>
      </c>
      <c r="I130">
        <v>0</v>
      </c>
    </row>
    <row r="131" spans="1:9" x14ac:dyDescent="0.25">
      <c r="A131" t="s">
        <v>157</v>
      </c>
      <c r="B131" t="s">
        <v>76</v>
      </c>
      <c r="C131" t="s">
        <v>10</v>
      </c>
      <c r="D131">
        <v>0</v>
      </c>
      <c r="E131">
        <v>180.84</v>
      </c>
      <c r="F131">
        <v>0</v>
      </c>
      <c r="G131">
        <v>-2983.846</v>
      </c>
      <c r="H131">
        <v>0</v>
      </c>
      <c r="I131">
        <v>723.35699999999997</v>
      </c>
    </row>
    <row r="132" spans="1:9" x14ac:dyDescent="0.25">
      <c r="A132" t="s">
        <v>157</v>
      </c>
      <c r="B132" t="s">
        <v>77</v>
      </c>
      <c r="C132" t="s">
        <v>25</v>
      </c>
      <c r="D132">
        <v>0</v>
      </c>
      <c r="E132">
        <v>180.84</v>
      </c>
      <c r="F132">
        <v>0</v>
      </c>
      <c r="G132">
        <v>-2441.3290000000002</v>
      </c>
      <c r="H132">
        <v>0</v>
      </c>
      <c r="I132">
        <v>0</v>
      </c>
    </row>
    <row r="133" spans="1:9" x14ac:dyDescent="0.25">
      <c r="A133" t="s">
        <v>157</v>
      </c>
      <c r="B133" t="s">
        <v>77</v>
      </c>
      <c r="C133" t="s">
        <v>10</v>
      </c>
      <c r="D133">
        <v>0</v>
      </c>
      <c r="E133">
        <v>180.84</v>
      </c>
      <c r="F133">
        <v>0</v>
      </c>
      <c r="G133">
        <v>-2441.3290000000002</v>
      </c>
      <c r="H133">
        <v>0</v>
      </c>
      <c r="I133">
        <v>723.35699999999997</v>
      </c>
    </row>
    <row r="134" spans="1:9" x14ac:dyDescent="0.25">
      <c r="A134" t="s">
        <v>157</v>
      </c>
      <c r="B134" t="s">
        <v>78</v>
      </c>
      <c r="C134" t="s">
        <v>25</v>
      </c>
      <c r="D134">
        <v>0</v>
      </c>
      <c r="E134">
        <v>0</v>
      </c>
      <c r="F134">
        <v>-218.59</v>
      </c>
      <c r="G134">
        <v>-4328.0910000000003</v>
      </c>
      <c r="H134">
        <v>0</v>
      </c>
      <c r="I134">
        <v>0</v>
      </c>
    </row>
    <row r="135" spans="1:9" x14ac:dyDescent="0.25">
      <c r="A135" t="s">
        <v>157</v>
      </c>
      <c r="B135" t="s">
        <v>78</v>
      </c>
      <c r="C135" t="s">
        <v>10</v>
      </c>
      <c r="D135">
        <v>0</v>
      </c>
      <c r="E135">
        <v>0</v>
      </c>
      <c r="F135">
        <v>-218.59</v>
      </c>
      <c r="G135">
        <v>-4328.0910000000003</v>
      </c>
      <c r="H135">
        <v>874.36199999999997</v>
      </c>
      <c r="I135">
        <v>0</v>
      </c>
    </row>
    <row r="136" spans="1:9" x14ac:dyDescent="0.25">
      <c r="A136" t="s">
        <v>157</v>
      </c>
      <c r="B136" t="s">
        <v>79</v>
      </c>
      <c r="C136" t="s">
        <v>25</v>
      </c>
      <c r="D136">
        <v>0</v>
      </c>
      <c r="E136">
        <v>0</v>
      </c>
      <c r="F136">
        <v>-218.59</v>
      </c>
      <c r="G136">
        <v>-3541.1660000000002</v>
      </c>
      <c r="H136">
        <v>0</v>
      </c>
      <c r="I136">
        <v>0</v>
      </c>
    </row>
    <row r="137" spans="1:9" x14ac:dyDescent="0.25">
      <c r="A137" t="s">
        <v>157</v>
      </c>
      <c r="B137" t="s">
        <v>79</v>
      </c>
      <c r="C137" t="s">
        <v>10</v>
      </c>
      <c r="D137">
        <v>0</v>
      </c>
      <c r="E137">
        <v>0</v>
      </c>
      <c r="F137">
        <v>-218.59</v>
      </c>
      <c r="G137">
        <v>-3541.1660000000002</v>
      </c>
      <c r="H137">
        <v>874.36199999999997</v>
      </c>
      <c r="I137">
        <v>0</v>
      </c>
    </row>
    <row r="138" spans="1:9" x14ac:dyDescent="0.25">
      <c r="A138" t="s">
        <v>157</v>
      </c>
      <c r="B138" t="s">
        <v>80</v>
      </c>
      <c r="C138" t="s">
        <v>25</v>
      </c>
      <c r="D138">
        <v>0</v>
      </c>
      <c r="E138">
        <v>0</v>
      </c>
      <c r="F138">
        <v>218.59</v>
      </c>
      <c r="G138">
        <v>4328.0910000000003</v>
      </c>
      <c r="H138">
        <v>0</v>
      </c>
      <c r="I138">
        <v>0</v>
      </c>
    </row>
    <row r="139" spans="1:9" x14ac:dyDescent="0.25">
      <c r="A139" t="s">
        <v>157</v>
      </c>
      <c r="B139" t="s">
        <v>80</v>
      </c>
      <c r="C139" t="s">
        <v>10</v>
      </c>
      <c r="D139">
        <v>0</v>
      </c>
      <c r="E139">
        <v>0</v>
      </c>
      <c r="F139">
        <v>218.59</v>
      </c>
      <c r="G139">
        <v>4328.0910000000003</v>
      </c>
      <c r="H139">
        <v>-874.36199999999997</v>
      </c>
      <c r="I139">
        <v>0</v>
      </c>
    </row>
    <row r="140" spans="1:9" x14ac:dyDescent="0.25">
      <c r="A140" t="s">
        <v>157</v>
      </c>
      <c r="B140" t="s">
        <v>81</v>
      </c>
      <c r="C140" t="s">
        <v>25</v>
      </c>
      <c r="D140">
        <v>0</v>
      </c>
      <c r="E140">
        <v>0</v>
      </c>
      <c r="F140">
        <v>218.59</v>
      </c>
      <c r="G140">
        <v>3541.1660000000002</v>
      </c>
      <c r="H140">
        <v>0</v>
      </c>
      <c r="I140">
        <v>0</v>
      </c>
    </row>
    <row r="141" spans="1:9" x14ac:dyDescent="0.25">
      <c r="A141" t="s">
        <v>157</v>
      </c>
      <c r="B141" t="s">
        <v>81</v>
      </c>
      <c r="C141" t="s">
        <v>10</v>
      </c>
      <c r="D141">
        <v>0</v>
      </c>
      <c r="E141">
        <v>0</v>
      </c>
      <c r="F141">
        <v>218.59</v>
      </c>
      <c r="G141">
        <v>3541.1660000000002</v>
      </c>
      <c r="H141">
        <v>-874.36199999999997</v>
      </c>
      <c r="I141">
        <v>0</v>
      </c>
    </row>
    <row r="142" spans="1:9" x14ac:dyDescent="0.25">
      <c r="A142" t="s">
        <v>157</v>
      </c>
      <c r="B142" t="s">
        <v>82</v>
      </c>
      <c r="C142" t="s">
        <v>25</v>
      </c>
      <c r="D142">
        <v>0</v>
      </c>
      <c r="E142">
        <v>-54.25</v>
      </c>
      <c r="F142">
        <v>0</v>
      </c>
      <c r="G142">
        <v>895.154</v>
      </c>
      <c r="H142">
        <v>0</v>
      </c>
      <c r="I142">
        <v>0</v>
      </c>
    </row>
    <row r="143" spans="1:9" x14ac:dyDescent="0.25">
      <c r="A143" t="s">
        <v>157</v>
      </c>
      <c r="B143" t="s">
        <v>82</v>
      </c>
      <c r="C143" t="s">
        <v>10</v>
      </c>
      <c r="D143">
        <v>0</v>
      </c>
      <c r="E143">
        <v>-54.25</v>
      </c>
      <c r="F143">
        <v>0</v>
      </c>
      <c r="G143">
        <v>895.154</v>
      </c>
      <c r="H143">
        <v>0</v>
      </c>
      <c r="I143">
        <v>-217.00700000000001</v>
      </c>
    </row>
    <row r="144" spans="1:9" x14ac:dyDescent="0.25">
      <c r="A144" t="s">
        <v>157</v>
      </c>
      <c r="B144" t="s">
        <v>83</v>
      </c>
      <c r="C144" t="s">
        <v>25</v>
      </c>
      <c r="D144">
        <v>0</v>
      </c>
      <c r="E144">
        <v>-54.25</v>
      </c>
      <c r="F144">
        <v>0</v>
      </c>
      <c r="G144">
        <v>732.399</v>
      </c>
      <c r="H144">
        <v>0</v>
      </c>
      <c r="I144">
        <v>0</v>
      </c>
    </row>
    <row r="145" spans="1:9" x14ac:dyDescent="0.25">
      <c r="A145" t="s">
        <v>157</v>
      </c>
      <c r="B145" t="s">
        <v>83</v>
      </c>
      <c r="C145" t="s">
        <v>10</v>
      </c>
      <c r="D145">
        <v>0</v>
      </c>
      <c r="E145">
        <v>-54.25</v>
      </c>
      <c r="F145">
        <v>0</v>
      </c>
      <c r="G145">
        <v>732.399</v>
      </c>
      <c r="H145">
        <v>0</v>
      </c>
      <c r="I145">
        <v>-217.00700000000001</v>
      </c>
    </row>
    <row r="146" spans="1:9" x14ac:dyDescent="0.25">
      <c r="A146" t="s">
        <v>157</v>
      </c>
      <c r="B146" t="s">
        <v>84</v>
      </c>
      <c r="C146" t="s">
        <v>25</v>
      </c>
      <c r="D146">
        <v>0</v>
      </c>
      <c r="E146">
        <v>54.25</v>
      </c>
      <c r="F146">
        <v>0</v>
      </c>
      <c r="G146">
        <v>-895.154</v>
      </c>
      <c r="H146">
        <v>0</v>
      </c>
      <c r="I146">
        <v>0</v>
      </c>
    </row>
    <row r="147" spans="1:9" x14ac:dyDescent="0.25">
      <c r="A147" t="s">
        <v>157</v>
      </c>
      <c r="B147" t="s">
        <v>84</v>
      </c>
      <c r="C147" t="s">
        <v>10</v>
      </c>
      <c r="D147">
        <v>0</v>
      </c>
      <c r="E147">
        <v>54.25</v>
      </c>
      <c r="F147">
        <v>0</v>
      </c>
      <c r="G147">
        <v>-895.154</v>
      </c>
      <c r="H147">
        <v>0</v>
      </c>
      <c r="I147">
        <v>217.00700000000001</v>
      </c>
    </row>
    <row r="148" spans="1:9" x14ac:dyDescent="0.25">
      <c r="A148" t="s">
        <v>157</v>
      </c>
      <c r="B148" t="s">
        <v>85</v>
      </c>
      <c r="C148" t="s">
        <v>25</v>
      </c>
      <c r="D148">
        <v>0</v>
      </c>
      <c r="E148">
        <v>54.25</v>
      </c>
      <c r="F148">
        <v>0</v>
      </c>
      <c r="G148">
        <v>-732.399</v>
      </c>
      <c r="H148">
        <v>0</v>
      </c>
      <c r="I148">
        <v>0</v>
      </c>
    </row>
    <row r="149" spans="1:9" x14ac:dyDescent="0.25">
      <c r="A149" t="s">
        <v>157</v>
      </c>
      <c r="B149" t="s">
        <v>85</v>
      </c>
      <c r="C149" t="s">
        <v>10</v>
      </c>
      <c r="D149">
        <v>0</v>
      </c>
      <c r="E149">
        <v>54.25</v>
      </c>
      <c r="F149">
        <v>0</v>
      </c>
      <c r="G149">
        <v>-732.399</v>
      </c>
      <c r="H149">
        <v>0</v>
      </c>
      <c r="I149">
        <v>217.00700000000001</v>
      </c>
    </row>
    <row r="150" spans="1:9" x14ac:dyDescent="0.25">
      <c r="A150" t="s">
        <v>157</v>
      </c>
      <c r="B150" t="s">
        <v>86</v>
      </c>
      <c r="C150" t="s">
        <v>25</v>
      </c>
      <c r="D150">
        <v>0</v>
      </c>
      <c r="E150">
        <v>0</v>
      </c>
      <c r="F150">
        <v>-65.58</v>
      </c>
      <c r="G150">
        <v>-1298.4269999999999</v>
      </c>
      <c r="H150">
        <v>0</v>
      </c>
      <c r="I150">
        <v>0</v>
      </c>
    </row>
    <row r="151" spans="1:9" x14ac:dyDescent="0.25">
      <c r="A151" t="s">
        <v>157</v>
      </c>
      <c r="B151" t="s">
        <v>86</v>
      </c>
      <c r="C151" t="s">
        <v>10</v>
      </c>
      <c r="D151">
        <v>0</v>
      </c>
      <c r="E151">
        <v>0</v>
      </c>
      <c r="F151">
        <v>-65.58</v>
      </c>
      <c r="G151">
        <v>-1298.4269999999999</v>
      </c>
      <c r="H151">
        <v>262.30900000000003</v>
      </c>
      <c r="I151">
        <v>0</v>
      </c>
    </row>
    <row r="152" spans="1:9" x14ac:dyDescent="0.25">
      <c r="A152" t="s">
        <v>157</v>
      </c>
      <c r="B152" t="s">
        <v>87</v>
      </c>
      <c r="C152" t="s">
        <v>25</v>
      </c>
      <c r="D152">
        <v>0</v>
      </c>
      <c r="E152">
        <v>0</v>
      </c>
      <c r="F152">
        <v>-65.58</v>
      </c>
      <c r="G152">
        <v>-1062.3499999999999</v>
      </c>
      <c r="H152">
        <v>0</v>
      </c>
      <c r="I152">
        <v>0</v>
      </c>
    </row>
    <row r="153" spans="1:9" x14ac:dyDescent="0.25">
      <c r="A153" t="s">
        <v>157</v>
      </c>
      <c r="B153" t="s">
        <v>87</v>
      </c>
      <c r="C153" t="s">
        <v>10</v>
      </c>
      <c r="D153">
        <v>0</v>
      </c>
      <c r="E153">
        <v>0</v>
      </c>
      <c r="F153">
        <v>-65.58</v>
      </c>
      <c r="G153">
        <v>-1062.3499999999999</v>
      </c>
      <c r="H153">
        <v>262.30900000000003</v>
      </c>
      <c r="I153">
        <v>0</v>
      </c>
    </row>
    <row r="154" spans="1:9" x14ac:dyDescent="0.25">
      <c r="A154" t="s">
        <v>157</v>
      </c>
      <c r="B154" t="s">
        <v>88</v>
      </c>
      <c r="C154" t="s">
        <v>25</v>
      </c>
      <c r="D154">
        <v>0</v>
      </c>
      <c r="E154">
        <v>0</v>
      </c>
      <c r="F154">
        <v>65.58</v>
      </c>
      <c r="G154">
        <v>1298.4269999999999</v>
      </c>
      <c r="H154">
        <v>0</v>
      </c>
      <c r="I154">
        <v>0</v>
      </c>
    </row>
    <row r="155" spans="1:9" x14ac:dyDescent="0.25">
      <c r="A155" t="s">
        <v>157</v>
      </c>
      <c r="B155" t="s">
        <v>88</v>
      </c>
      <c r="C155" t="s">
        <v>10</v>
      </c>
      <c r="D155">
        <v>0</v>
      </c>
      <c r="E155">
        <v>0</v>
      </c>
      <c r="F155">
        <v>65.58</v>
      </c>
      <c r="G155">
        <v>1298.4269999999999</v>
      </c>
      <c r="H155">
        <v>-262.30900000000003</v>
      </c>
      <c r="I155">
        <v>0</v>
      </c>
    </row>
    <row r="156" spans="1:9" x14ac:dyDescent="0.25">
      <c r="A156" t="s">
        <v>157</v>
      </c>
      <c r="B156" t="s">
        <v>89</v>
      </c>
      <c r="C156" t="s">
        <v>25</v>
      </c>
      <c r="D156">
        <v>0</v>
      </c>
      <c r="E156">
        <v>0</v>
      </c>
      <c r="F156">
        <v>65.58</v>
      </c>
      <c r="G156">
        <v>1062.3499999999999</v>
      </c>
      <c r="H156">
        <v>0</v>
      </c>
      <c r="I156">
        <v>0</v>
      </c>
    </row>
    <row r="157" spans="1:9" x14ac:dyDescent="0.25">
      <c r="A157" t="s">
        <v>157</v>
      </c>
      <c r="B157" t="s">
        <v>89</v>
      </c>
      <c r="C157" t="s">
        <v>10</v>
      </c>
      <c r="D157">
        <v>0</v>
      </c>
      <c r="E157">
        <v>0</v>
      </c>
      <c r="F157">
        <v>65.58</v>
      </c>
      <c r="G157">
        <v>1062.3499999999999</v>
      </c>
      <c r="H157">
        <v>-262.30900000000003</v>
      </c>
      <c r="I157">
        <v>0</v>
      </c>
    </row>
    <row r="158" spans="1:9" x14ac:dyDescent="0.25">
      <c r="A158" t="s">
        <v>157</v>
      </c>
      <c r="B158" t="s">
        <v>90</v>
      </c>
      <c r="C158" t="s">
        <v>25</v>
      </c>
      <c r="D158">
        <v>0</v>
      </c>
      <c r="E158">
        <v>-54.25</v>
      </c>
      <c r="F158">
        <v>0</v>
      </c>
      <c r="G158">
        <v>895.154</v>
      </c>
      <c r="H158">
        <v>0</v>
      </c>
      <c r="I158">
        <v>0</v>
      </c>
    </row>
    <row r="159" spans="1:9" x14ac:dyDescent="0.25">
      <c r="A159" t="s">
        <v>157</v>
      </c>
      <c r="B159" t="s">
        <v>90</v>
      </c>
      <c r="C159" t="s">
        <v>10</v>
      </c>
      <c r="D159">
        <v>0</v>
      </c>
      <c r="E159">
        <v>-54.25</v>
      </c>
      <c r="F159">
        <v>0</v>
      </c>
      <c r="G159">
        <v>895.154</v>
      </c>
      <c r="H159">
        <v>0</v>
      </c>
      <c r="I159">
        <v>-217.00700000000001</v>
      </c>
    </row>
    <row r="160" spans="1:9" x14ac:dyDescent="0.25">
      <c r="A160" t="s">
        <v>157</v>
      </c>
      <c r="B160" t="s">
        <v>91</v>
      </c>
      <c r="C160" t="s">
        <v>25</v>
      </c>
      <c r="D160">
        <v>0</v>
      </c>
      <c r="E160">
        <v>-54.25</v>
      </c>
      <c r="F160">
        <v>0</v>
      </c>
      <c r="G160">
        <v>732.399</v>
      </c>
      <c r="H160">
        <v>0</v>
      </c>
      <c r="I160">
        <v>0</v>
      </c>
    </row>
    <row r="161" spans="1:9" x14ac:dyDescent="0.25">
      <c r="A161" t="s">
        <v>157</v>
      </c>
      <c r="B161" t="s">
        <v>91</v>
      </c>
      <c r="C161" t="s">
        <v>10</v>
      </c>
      <c r="D161">
        <v>0</v>
      </c>
      <c r="E161">
        <v>-54.25</v>
      </c>
      <c r="F161">
        <v>0</v>
      </c>
      <c r="G161">
        <v>732.399</v>
      </c>
      <c r="H161">
        <v>0</v>
      </c>
      <c r="I161">
        <v>-217.00700000000001</v>
      </c>
    </row>
    <row r="162" spans="1:9" x14ac:dyDescent="0.25">
      <c r="A162" t="s">
        <v>157</v>
      </c>
      <c r="B162" t="s">
        <v>92</v>
      </c>
      <c r="C162" t="s">
        <v>25</v>
      </c>
      <c r="D162">
        <v>0</v>
      </c>
      <c r="E162">
        <v>54.25</v>
      </c>
      <c r="F162">
        <v>0</v>
      </c>
      <c r="G162">
        <v>-895.154</v>
      </c>
      <c r="H162">
        <v>0</v>
      </c>
      <c r="I162">
        <v>0</v>
      </c>
    </row>
    <row r="163" spans="1:9" x14ac:dyDescent="0.25">
      <c r="A163" t="s">
        <v>157</v>
      </c>
      <c r="B163" t="s">
        <v>92</v>
      </c>
      <c r="C163" t="s">
        <v>10</v>
      </c>
      <c r="D163">
        <v>0</v>
      </c>
      <c r="E163">
        <v>54.25</v>
      </c>
      <c r="F163">
        <v>0</v>
      </c>
      <c r="G163">
        <v>-895.154</v>
      </c>
      <c r="H163">
        <v>0</v>
      </c>
      <c r="I163">
        <v>217.00700000000001</v>
      </c>
    </row>
    <row r="164" spans="1:9" x14ac:dyDescent="0.25">
      <c r="A164" t="s">
        <v>157</v>
      </c>
      <c r="B164" t="s">
        <v>93</v>
      </c>
      <c r="C164" t="s">
        <v>25</v>
      </c>
      <c r="D164">
        <v>0</v>
      </c>
      <c r="E164">
        <v>54.25</v>
      </c>
      <c r="F164">
        <v>0</v>
      </c>
      <c r="G164">
        <v>-732.399</v>
      </c>
      <c r="H164">
        <v>0</v>
      </c>
      <c r="I164">
        <v>0</v>
      </c>
    </row>
    <row r="165" spans="1:9" x14ac:dyDescent="0.25">
      <c r="A165" t="s">
        <v>157</v>
      </c>
      <c r="B165" t="s">
        <v>93</v>
      </c>
      <c r="C165" t="s">
        <v>10</v>
      </c>
      <c r="D165">
        <v>0</v>
      </c>
      <c r="E165">
        <v>54.25</v>
      </c>
      <c r="F165">
        <v>0</v>
      </c>
      <c r="G165">
        <v>-732.399</v>
      </c>
      <c r="H165">
        <v>0</v>
      </c>
      <c r="I165">
        <v>217.00700000000001</v>
      </c>
    </row>
    <row r="166" spans="1:9" x14ac:dyDescent="0.25">
      <c r="A166" t="s">
        <v>157</v>
      </c>
      <c r="B166" t="s">
        <v>94</v>
      </c>
      <c r="C166" t="s">
        <v>25</v>
      </c>
      <c r="D166">
        <v>0</v>
      </c>
      <c r="E166">
        <v>0</v>
      </c>
      <c r="F166">
        <v>-65.58</v>
      </c>
      <c r="G166">
        <v>-1298.4269999999999</v>
      </c>
      <c r="H166">
        <v>0</v>
      </c>
      <c r="I166">
        <v>0</v>
      </c>
    </row>
    <row r="167" spans="1:9" x14ac:dyDescent="0.25">
      <c r="A167" t="s">
        <v>157</v>
      </c>
      <c r="B167" t="s">
        <v>94</v>
      </c>
      <c r="C167" t="s">
        <v>10</v>
      </c>
      <c r="D167">
        <v>0</v>
      </c>
      <c r="E167">
        <v>0</v>
      </c>
      <c r="F167">
        <v>-65.58</v>
      </c>
      <c r="G167">
        <v>-1298.4269999999999</v>
      </c>
      <c r="H167">
        <v>262.30900000000003</v>
      </c>
      <c r="I167">
        <v>0</v>
      </c>
    </row>
    <row r="168" spans="1:9" x14ac:dyDescent="0.25">
      <c r="A168" t="s">
        <v>157</v>
      </c>
      <c r="B168" t="s">
        <v>95</v>
      </c>
      <c r="C168" t="s">
        <v>25</v>
      </c>
      <c r="D168">
        <v>0</v>
      </c>
      <c r="E168">
        <v>0</v>
      </c>
      <c r="F168">
        <v>-65.58</v>
      </c>
      <c r="G168">
        <v>-1062.3499999999999</v>
      </c>
      <c r="H168">
        <v>0</v>
      </c>
      <c r="I168">
        <v>0</v>
      </c>
    </row>
    <row r="169" spans="1:9" x14ac:dyDescent="0.25">
      <c r="A169" t="s">
        <v>157</v>
      </c>
      <c r="B169" t="s">
        <v>95</v>
      </c>
      <c r="C169" t="s">
        <v>10</v>
      </c>
      <c r="D169">
        <v>0</v>
      </c>
      <c r="E169">
        <v>0</v>
      </c>
      <c r="F169">
        <v>-65.58</v>
      </c>
      <c r="G169">
        <v>-1062.3499999999999</v>
      </c>
      <c r="H169">
        <v>262.30900000000003</v>
      </c>
      <c r="I169">
        <v>0</v>
      </c>
    </row>
    <row r="170" spans="1:9" x14ac:dyDescent="0.25">
      <c r="A170" t="s">
        <v>157</v>
      </c>
      <c r="B170" t="s">
        <v>96</v>
      </c>
      <c r="C170" t="s">
        <v>25</v>
      </c>
      <c r="D170">
        <v>0</v>
      </c>
      <c r="E170">
        <v>0</v>
      </c>
      <c r="F170">
        <v>65.58</v>
      </c>
      <c r="G170">
        <v>1298.4269999999999</v>
      </c>
      <c r="H170">
        <v>0</v>
      </c>
      <c r="I170">
        <v>0</v>
      </c>
    </row>
    <row r="171" spans="1:9" x14ac:dyDescent="0.25">
      <c r="A171" t="s">
        <v>157</v>
      </c>
      <c r="B171" t="s">
        <v>96</v>
      </c>
      <c r="C171" t="s">
        <v>10</v>
      </c>
      <c r="D171">
        <v>0</v>
      </c>
      <c r="E171">
        <v>0</v>
      </c>
      <c r="F171">
        <v>65.58</v>
      </c>
      <c r="G171">
        <v>1298.4269999999999</v>
      </c>
      <c r="H171">
        <v>-262.30900000000003</v>
      </c>
      <c r="I171">
        <v>0</v>
      </c>
    </row>
    <row r="172" spans="1:9" x14ac:dyDescent="0.25">
      <c r="A172" t="s">
        <v>157</v>
      </c>
      <c r="B172" t="s">
        <v>97</v>
      </c>
      <c r="C172" t="s">
        <v>25</v>
      </c>
      <c r="D172">
        <v>0</v>
      </c>
      <c r="E172">
        <v>0</v>
      </c>
      <c r="F172">
        <v>65.58</v>
      </c>
      <c r="G172">
        <v>1062.3499999999999</v>
      </c>
      <c r="H172">
        <v>0</v>
      </c>
      <c r="I172">
        <v>0</v>
      </c>
    </row>
    <row r="173" spans="1:9" x14ac:dyDescent="0.25">
      <c r="A173" t="s">
        <v>157</v>
      </c>
      <c r="B173" t="s">
        <v>97</v>
      </c>
      <c r="C173" t="s">
        <v>10</v>
      </c>
      <c r="D173">
        <v>0</v>
      </c>
      <c r="E173">
        <v>0</v>
      </c>
      <c r="F173">
        <v>65.58</v>
      </c>
      <c r="G173">
        <v>1062.3499999999999</v>
      </c>
      <c r="H173">
        <v>-262.30900000000003</v>
      </c>
      <c r="I173">
        <v>0</v>
      </c>
    </row>
    <row r="174" spans="1:9" x14ac:dyDescent="0.25">
      <c r="A174" t="s">
        <v>157</v>
      </c>
      <c r="B174" t="s">
        <v>14</v>
      </c>
      <c r="C174" t="s">
        <v>25</v>
      </c>
      <c r="D174">
        <v>0</v>
      </c>
      <c r="E174">
        <v>136.57</v>
      </c>
      <c r="F174">
        <v>0</v>
      </c>
      <c r="G174">
        <v>2253.422</v>
      </c>
      <c r="H174">
        <v>0</v>
      </c>
      <c r="I174">
        <v>0</v>
      </c>
    </row>
    <row r="175" spans="1:9" x14ac:dyDescent="0.25">
      <c r="A175" t="s">
        <v>157</v>
      </c>
      <c r="B175" t="s">
        <v>14</v>
      </c>
      <c r="C175" t="s">
        <v>10</v>
      </c>
      <c r="D175">
        <v>0</v>
      </c>
      <c r="E175">
        <v>136.57</v>
      </c>
      <c r="F175">
        <v>0</v>
      </c>
      <c r="G175">
        <v>2253.422</v>
      </c>
      <c r="H175">
        <v>0</v>
      </c>
      <c r="I175">
        <v>546.28399999999999</v>
      </c>
    </row>
    <row r="176" spans="1:9" x14ac:dyDescent="0.25">
      <c r="A176" t="s">
        <v>157</v>
      </c>
      <c r="B176" t="s">
        <v>98</v>
      </c>
      <c r="C176" t="s">
        <v>25</v>
      </c>
      <c r="D176">
        <v>0</v>
      </c>
      <c r="E176">
        <v>-136.57</v>
      </c>
      <c r="F176">
        <v>0</v>
      </c>
      <c r="G176">
        <v>-2253.422</v>
      </c>
      <c r="H176">
        <v>0</v>
      </c>
      <c r="I176">
        <v>0</v>
      </c>
    </row>
    <row r="177" spans="1:9" x14ac:dyDescent="0.25">
      <c r="A177" t="s">
        <v>157</v>
      </c>
      <c r="B177" t="s">
        <v>98</v>
      </c>
      <c r="C177" t="s">
        <v>10</v>
      </c>
      <c r="D177">
        <v>0</v>
      </c>
      <c r="E177">
        <v>-136.57</v>
      </c>
      <c r="F177">
        <v>0</v>
      </c>
      <c r="G177">
        <v>-2253.422</v>
      </c>
      <c r="H177">
        <v>0</v>
      </c>
      <c r="I177">
        <v>-546.28399999999999</v>
      </c>
    </row>
    <row r="178" spans="1:9" x14ac:dyDescent="0.25">
      <c r="A178" t="s">
        <v>157</v>
      </c>
      <c r="B178" t="s">
        <v>15</v>
      </c>
      <c r="C178" t="s">
        <v>25</v>
      </c>
      <c r="D178">
        <v>0</v>
      </c>
      <c r="E178">
        <v>0</v>
      </c>
      <c r="F178">
        <v>290.91000000000003</v>
      </c>
      <c r="G178">
        <v>5759.9690000000001</v>
      </c>
      <c r="H178">
        <v>0</v>
      </c>
      <c r="I178">
        <v>0</v>
      </c>
    </row>
    <row r="179" spans="1:9" x14ac:dyDescent="0.25">
      <c r="A179" t="s">
        <v>157</v>
      </c>
      <c r="B179" t="s">
        <v>15</v>
      </c>
      <c r="C179" t="s">
        <v>10</v>
      </c>
      <c r="D179">
        <v>0</v>
      </c>
      <c r="E179">
        <v>0</v>
      </c>
      <c r="F179">
        <v>290.91000000000003</v>
      </c>
      <c r="G179">
        <v>5759.9690000000001</v>
      </c>
      <c r="H179">
        <v>1163.6300000000001</v>
      </c>
      <c r="I179">
        <v>0</v>
      </c>
    </row>
    <row r="180" spans="1:9" x14ac:dyDescent="0.25">
      <c r="A180" t="s">
        <v>157</v>
      </c>
      <c r="B180" t="s">
        <v>99</v>
      </c>
      <c r="C180" t="s">
        <v>25</v>
      </c>
      <c r="D180">
        <v>0</v>
      </c>
      <c r="E180">
        <v>0</v>
      </c>
      <c r="F180">
        <v>-290.91000000000003</v>
      </c>
      <c r="G180">
        <v>-5759.9690000000001</v>
      </c>
      <c r="H180">
        <v>0</v>
      </c>
      <c r="I180">
        <v>0</v>
      </c>
    </row>
    <row r="181" spans="1:9" x14ac:dyDescent="0.25">
      <c r="A181" t="s">
        <v>157</v>
      </c>
      <c r="B181" t="s">
        <v>99</v>
      </c>
      <c r="C181" t="s">
        <v>10</v>
      </c>
      <c r="D181">
        <v>0</v>
      </c>
      <c r="E181">
        <v>0</v>
      </c>
      <c r="F181">
        <v>-290.91000000000003</v>
      </c>
      <c r="G181">
        <v>-5759.9690000000001</v>
      </c>
      <c r="H181">
        <v>-1163.6300000000001</v>
      </c>
      <c r="I181">
        <v>0</v>
      </c>
    </row>
    <row r="182" spans="1:9" x14ac:dyDescent="0.25">
      <c r="A182" t="s">
        <v>157</v>
      </c>
      <c r="B182" t="s">
        <v>100</v>
      </c>
      <c r="C182" t="s">
        <v>25</v>
      </c>
      <c r="D182">
        <v>0</v>
      </c>
      <c r="E182">
        <v>136.57</v>
      </c>
      <c r="F182">
        <v>0</v>
      </c>
      <c r="G182">
        <v>2253.422</v>
      </c>
      <c r="H182">
        <v>0</v>
      </c>
      <c r="I182">
        <v>0</v>
      </c>
    </row>
    <row r="183" spans="1:9" x14ac:dyDescent="0.25">
      <c r="A183" t="s">
        <v>157</v>
      </c>
      <c r="B183" t="s">
        <v>100</v>
      </c>
      <c r="C183" t="s">
        <v>10</v>
      </c>
      <c r="D183">
        <v>0</v>
      </c>
      <c r="E183">
        <v>136.57</v>
      </c>
      <c r="F183">
        <v>0</v>
      </c>
      <c r="G183">
        <v>2253.422</v>
      </c>
      <c r="H183">
        <v>0</v>
      </c>
      <c r="I183">
        <v>546.28399999999999</v>
      </c>
    </row>
    <row r="184" spans="1:9" x14ac:dyDescent="0.25">
      <c r="A184" t="s">
        <v>157</v>
      </c>
      <c r="B184" t="s">
        <v>101</v>
      </c>
      <c r="C184" t="s">
        <v>25</v>
      </c>
      <c r="D184">
        <v>0</v>
      </c>
      <c r="E184">
        <v>-136.57</v>
      </c>
      <c r="F184">
        <v>0</v>
      </c>
      <c r="G184">
        <v>-2253.422</v>
      </c>
      <c r="H184">
        <v>0</v>
      </c>
      <c r="I184">
        <v>0</v>
      </c>
    </row>
    <row r="185" spans="1:9" x14ac:dyDescent="0.25">
      <c r="A185" t="s">
        <v>157</v>
      </c>
      <c r="B185" t="s">
        <v>101</v>
      </c>
      <c r="C185" t="s">
        <v>10</v>
      </c>
      <c r="D185">
        <v>0</v>
      </c>
      <c r="E185">
        <v>-136.57</v>
      </c>
      <c r="F185">
        <v>0</v>
      </c>
      <c r="G185">
        <v>-2253.422</v>
      </c>
      <c r="H185">
        <v>0</v>
      </c>
      <c r="I185">
        <v>-546.28399999999999</v>
      </c>
    </row>
    <row r="186" spans="1:9" x14ac:dyDescent="0.25">
      <c r="A186" t="s">
        <v>157</v>
      </c>
      <c r="B186" t="s">
        <v>102</v>
      </c>
      <c r="C186" t="s">
        <v>25</v>
      </c>
      <c r="D186">
        <v>0</v>
      </c>
      <c r="E186">
        <v>136.57</v>
      </c>
      <c r="F186">
        <v>0</v>
      </c>
      <c r="G186">
        <v>2253.422</v>
      </c>
      <c r="H186">
        <v>0</v>
      </c>
      <c r="I186">
        <v>0</v>
      </c>
    </row>
    <row r="187" spans="1:9" x14ac:dyDescent="0.25">
      <c r="A187" t="s">
        <v>157</v>
      </c>
      <c r="B187" t="s">
        <v>102</v>
      </c>
      <c r="C187" t="s">
        <v>10</v>
      </c>
      <c r="D187">
        <v>0</v>
      </c>
      <c r="E187">
        <v>136.57</v>
      </c>
      <c r="F187">
        <v>0</v>
      </c>
      <c r="G187">
        <v>2253.422</v>
      </c>
      <c r="H187">
        <v>0</v>
      </c>
      <c r="I187">
        <v>546.28399999999999</v>
      </c>
    </row>
    <row r="188" spans="1:9" x14ac:dyDescent="0.25">
      <c r="A188" t="s">
        <v>157</v>
      </c>
      <c r="B188" t="s">
        <v>103</v>
      </c>
      <c r="C188" t="s">
        <v>25</v>
      </c>
      <c r="D188">
        <v>0</v>
      </c>
      <c r="E188">
        <v>-136.57</v>
      </c>
      <c r="F188">
        <v>0</v>
      </c>
      <c r="G188">
        <v>-2253.422</v>
      </c>
      <c r="H188">
        <v>0</v>
      </c>
      <c r="I188">
        <v>0</v>
      </c>
    </row>
    <row r="189" spans="1:9" x14ac:dyDescent="0.25">
      <c r="A189" t="s">
        <v>157</v>
      </c>
      <c r="B189" t="s">
        <v>103</v>
      </c>
      <c r="C189" t="s">
        <v>10</v>
      </c>
      <c r="D189">
        <v>0</v>
      </c>
      <c r="E189">
        <v>-136.57</v>
      </c>
      <c r="F189">
        <v>0</v>
      </c>
      <c r="G189">
        <v>-2253.422</v>
      </c>
      <c r="H189">
        <v>0</v>
      </c>
      <c r="I189">
        <v>-546.28399999999999</v>
      </c>
    </row>
    <row r="190" spans="1:9" x14ac:dyDescent="0.25">
      <c r="A190" t="s">
        <v>157</v>
      </c>
      <c r="B190" t="s">
        <v>104</v>
      </c>
      <c r="C190" t="s">
        <v>25</v>
      </c>
      <c r="D190">
        <v>0</v>
      </c>
      <c r="E190">
        <v>0</v>
      </c>
      <c r="F190">
        <v>290.91000000000003</v>
      </c>
      <c r="G190">
        <v>5759.9690000000001</v>
      </c>
      <c r="H190">
        <v>0</v>
      </c>
      <c r="I190">
        <v>0</v>
      </c>
    </row>
    <row r="191" spans="1:9" x14ac:dyDescent="0.25">
      <c r="A191" t="s">
        <v>157</v>
      </c>
      <c r="B191" t="s">
        <v>104</v>
      </c>
      <c r="C191" t="s">
        <v>10</v>
      </c>
      <c r="D191">
        <v>0</v>
      </c>
      <c r="E191">
        <v>0</v>
      </c>
      <c r="F191">
        <v>290.91000000000003</v>
      </c>
      <c r="G191">
        <v>5759.9690000000001</v>
      </c>
      <c r="H191">
        <v>1163.6300000000001</v>
      </c>
      <c r="I191">
        <v>0</v>
      </c>
    </row>
    <row r="192" spans="1:9" x14ac:dyDescent="0.25">
      <c r="A192" t="s">
        <v>157</v>
      </c>
      <c r="B192" t="s">
        <v>105</v>
      </c>
      <c r="C192" t="s">
        <v>25</v>
      </c>
      <c r="D192">
        <v>0</v>
      </c>
      <c r="E192">
        <v>0</v>
      </c>
      <c r="F192">
        <v>-290.91000000000003</v>
      </c>
      <c r="G192">
        <v>-5759.9690000000001</v>
      </c>
      <c r="H192">
        <v>0</v>
      </c>
      <c r="I192">
        <v>0</v>
      </c>
    </row>
    <row r="193" spans="1:9" x14ac:dyDescent="0.25">
      <c r="A193" t="s">
        <v>157</v>
      </c>
      <c r="B193" t="s">
        <v>105</v>
      </c>
      <c r="C193" t="s">
        <v>10</v>
      </c>
      <c r="D193">
        <v>0</v>
      </c>
      <c r="E193">
        <v>0</v>
      </c>
      <c r="F193">
        <v>-290.91000000000003</v>
      </c>
      <c r="G193">
        <v>-5759.9690000000001</v>
      </c>
      <c r="H193">
        <v>-1163.6300000000001</v>
      </c>
      <c r="I193">
        <v>0</v>
      </c>
    </row>
    <row r="194" spans="1:9" x14ac:dyDescent="0.25">
      <c r="A194" t="s">
        <v>157</v>
      </c>
      <c r="B194" t="s">
        <v>106</v>
      </c>
      <c r="C194" t="s">
        <v>25</v>
      </c>
      <c r="D194">
        <v>0</v>
      </c>
      <c r="E194">
        <v>0</v>
      </c>
      <c r="F194">
        <v>290.91000000000003</v>
      </c>
      <c r="G194">
        <v>5759.9690000000001</v>
      </c>
      <c r="H194">
        <v>0</v>
      </c>
      <c r="I194">
        <v>0</v>
      </c>
    </row>
    <row r="195" spans="1:9" x14ac:dyDescent="0.25">
      <c r="A195" t="s">
        <v>157</v>
      </c>
      <c r="B195" t="s">
        <v>106</v>
      </c>
      <c r="C195" t="s">
        <v>10</v>
      </c>
      <c r="D195">
        <v>0</v>
      </c>
      <c r="E195">
        <v>0</v>
      </c>
      <c r="F195">
        <v>290.91000000000003</v>
      </c>
      <c r="G195">
        <v>5759.9690000000001</v>
      </c>
      <c r="H195">
        <v>1163.6300000000001</v>
      </c>
      <c r="I195">
        <v>0</v>
      </c>
    </row>
    <row r="196" spans="1:9" x14ac:dyDescent="0.25">
      <c r="A196" t="s">
        <v>157</v>
      </c>
      <c r="B196" t="s">
        <v>107</v>
      </c>
      <c r="C196" t="s">
        <v>25</v>
      </c>
      <c r="D196">
        <v>0</v>
      </c>
      <c r="E196">
        <v>0</v>
      </c>
      <c r="F196">
        <v>-290.91000000000003</v>
      </c>
      <c r="G196">
        <v>-5759.9690000000001</v>
      </c>
      <c r="H196">
        <v>0</v>
      </c>
      <c r="I196">
        <v>0</v>
      </c>
    </row>
    <row r="197" spans="1:9" x14ac:dyDescent="0.25">
      <c r="A197" t="s">
        <v>157</v>
      </c>
      <c r="B197" t="s">
        <v>107</v>
      </c>
      <c r="C197" t="s">
        <v>10</v>
      </c>
      <c r="D197">
        <v>0</v>
      </c>
      <c r="E197">
        <v>0</v>
      </c>
      <c r="F197">
        <v>-290.91000000000003</v>
      </c>
      <c r="G197">
        <v>-5759.9690000000001</v>
      </c>
      <c r="H197">
        <v>-1163.6300000000001</v>
      </c>
      <c r="I197">
        <v>0</v>
      </c>
    </row>
    <row r="198" spans="1:9" x14ac:dyDescent="0.25">
      <c r="A198" t="s">
        <v>157</v>
      </c>
      <c r="B198" t="s">
        <v>108</v>
      </c>
      <c r="C198" t="s">
        <v>25</v>
      </c>
      <c r="D198">
        <v>0</v>
      </c>
      <c r="E198">
        <v>40.97</v>
      </c>
      <c r="F198">
        <v>0</v>
      </c>
      <c r="G198">
        <v>676.02599999999995</v>
      </c>
      <c r="H198">
        <v>0</v>
      </c>
      <c r="I198">
        <v>0</v>
      </c>
    </row>
    <row r="199" spans="1:9" x14ac:dyDescent="0.25">
      <c r="A199" t="s">
        <v>157</v>
      </c>
      <c r="B199" t="s">
        <v>108</v>
      </c>
      <c r="C199" t="s">
        <v>10</v>
      </c>
      <c r="D199">
        <v>0</v>
      </c>
      <c r="E199">
        <v>40.97</v>
      </c>
      <c r="F199">
        <v>0</v>
      </c>
      <c r="G199">
        <v>676.02599999999995</v>
      </c>
      <c r="H199">
        <v>0</v>
      </c>
      <c r="I199">
        <v>163.88499999999999</v>
      </c>
    </row>
    <row r="200" spans="1:9" x14ac:dyDescent="0.25">
      <c r="A200" t="s">
        <v>157</v>
      </c>
      <c r="B200" t="s">
        <v>109</v>
      </c>
      <c r="C200" t="s">
        <v>25</v>
      </c>
      <c r="D200">
        <v>0</v>
      </c>
      <c r="E200">
        <v>-40.97</v>
      </c>
      <c r="F200">
        <v>0</v>
      </c>
      <c r="G200">
        <v>-676.02599999999995</v>
      </c>
      <c r="H200">
        <v>0</v>
      </c>
      <c r="I200">
        <v>0</v>
      </c>
    </row>
    <row r="201" spans="1:9" x14ac:dyDescent="0.25">
      <c r="A201" t="s">
        <v>157</v>
      </c>
      <c r="B201" t="s">
        <v>109</v>
      </c>
      <c r="C201" t="s">
        <v>10</v>
      </c>
      <c r="D201">
        <v>0</v>
      </c>
      <c r="E201">
        <v>-40.97</v>
      </c>
      <c r="F201">
        <v>0</v>
      </c>
      <c r="G201">
        <v>-676.02599999999995</v>
      </c>
      <c r="H201">
        <v>0</v>
      </c>
      <c r="I201">
        <v>-163.88499999999999</v>
      </c>
    </row>
    <row r="202" spans="1:9" x14ac:dyDescent="0.25">
      <c r="A202" t="s">
        <v>157</v>
      </c>
      <c r="B202" t="s">
        <v>110</v>
      </c>
      <c r="C202" t="s">
        <v>25</v>
      </c>
      <c r="D202">
        <v>0</v>
      </c>
      <c r="E202">
        <v>40.97</v>
      </c>
      <c r="F202">
        <v>0</v>
      </c>
      <c r="G202">
        <v>676.02599999999995</v>
      </c>
      <c r="H202">
        <v>0</v>
      </c>
      <c r="I202">
        <v>0</v>
      </c>
    </row>
    <row r="203" spans="1:9" x14ac:dyDescent="0.25">
      <c r="A203" t="s">
        <v>157</v>
      </c>
      <c r="B203" t="s">
        <v>110</v>
      </c>
      <c r="C203" t="s">
        <v>10</v>
      </c>
      <c r="D203">
        <v>0</v>
      </c>
      <c r="E203">
        <v>40.97</v>
      </c>
      <c r="F203">
        <v>0</v>
      </c>
      <c r="G203">
        <v>676.02599999999995</v>
      </c>
      <c r="H203">
        <v>0</v>
      </c>
      <c r="I203">
        <v>163.88499999999999</v>
      </c>
    </row>
    <row r="204" spans="1:9" x14ac:dyDescent="0.25">
      <c r="A204" t="s">
        <v>157</v>
      </c>
      <c r="B204" t="s">
        <v>111</v>
      </c>
      <c r="C204" t="s">
        <v>25</v>
      </c>
      <c r="D204">
        <v>0</v>
      </c>
      <c r="E204">
        <v>-40.97</v>
      </c>
      <c r="F204">
        <v>0</v>
      </c>
      <c r="G204">
        <v>-676.02599999999995</v>
      </c>
      <c r="H204">
        <v>0</v>
      </c>
      <c r="I204">
        <v>0</v>
      </c>
    </row>
    <row r="205" spans="1:9" x14ac:dyDescent="0.25">
      <c r="A205" t="s">
        <v>157</v>
      </c>
      <c r="B205" t="s">
        <v>111</v>
      </c>
      <c r="C205" t="s">
        <v>10</v>
      </c>
      <c r="D205">
        <v>0</v>
      </c>
      <c r="E205">
        <v>-40.97</v>
      </c>
      <c r="F205">
        <v>0</v>
      </c>
      <c r="G205">
        <v>-676.02599999999995</v>
      </c>
      <c r="H205">
        <v>0</v>
      </c>
      <c r="I205">
        <v>-163.88499999999999</v>
      </c>
    </row>
    <row r="206" spans="1:9" x14ac:dyDescent="0.25">
      <c r="A206" t="s">
        <v>157</v>
      </c>
      <c r="B206" t="s">
        <v>112</v>
      </c>
      <c r="C206" t="s">
        <v>25</v>
      </c>
      <c r="D206">
        <v>0</v>
      </c>
      <c r="E206">
        <v>0</v>
      </c>
      <c r="F206">
        <v>87.27</v>
      </c>
      <c r="G206">
        <v>1727.991</v>
      </c>
      <c r="H206">
        <v>0</v>
      </c>
      <c r="I206">
        <v>0</v>
      </c>
    </row>
    <row r="207" spans="1:9" x14ac:dyDescent="0.25">
      <c r="A207" t="s">
        <v>157</v>
      </c>
      <c r="B207" t="s">
        <v>112</v>
      </c>
      <c r="C207" t="s">
        <v>10</v>
      </c>
      <c r="D207">
        <v>0</v>
      </c>
      <c r="E207">
        <v>0</v>
      </c>
      <c r="F207">
        <v>87.27</v>
      </c>
      <c r="G207">
        <v>1727.991</v>
      </c>
      <c r="H207">
        <v>349.089</v>
      </c>
      <c r="I207">
        <v>0</v>
      </c>
    </row>
    <row r="208" spans="1:9" x14ac:dyDescent="0.25">
      <c r="A208" t="s">
        <v>157</v>
      </c>
      <c r="B208" t="s">
        <v>113</v>
      </c>
      <c r="C208" t="s">
        <v>25</v>
      </c>
      <c r="D208">
        <v>0</v>
      </c>
      <c r="E208">
        <v>0</v>
      </c>
      <c r="F208">
        <v>-87.27</v>
      </c>
      <c r="G208">
        <v>-1727.991</v>
      </c>
      <c r="H208">
        <v>0</v>
      </c>
      <c r="I208">
        <v>0</v>
      </c>
    </row>
    <row r="209" spans="1:9" x14ac:dyDescent="0.25">
      <c r="A209" t="s">
        <v>157</v>
      </c>
      <c r="B209" t="s">
        <v>113</v>
      </c>
      <c r="C209" t="s">
        <v>10</v>
      </c>
      <c r="D209">
        <v>0</v>
      </c>
      <c r="E209">
        <v>0</v>
      </c>
      <c r="F209">
        <v>-87.27</v>
      </c>
      <c r="G209">
        <v>-1727.991</v>
      </c>
      <c r="H209">
        <v>-349.089</v>
      </c>
      <c r="I209">
        <v>0</v>
      </c>
    </row>
    <row r="210" spans="1:9" x14ac:dyDescent="0.25">
      <c r="A210" t="s">
        <v>157</v>
      </c>
      <c r="B210" t="s">
        <v>114</v>
      </c>
      <c r="C210" t="s">
        <v>25</v>
      </c>
      <c r="D210">
        <v>0</v>
      </c>
      <c r="E210">
        <v>0</v>
      </c>
      <c r="F210">
        <v>87.27</v>
      </c>
      <c r="G210">
        <v>1727.991</v>
      </c>
      <c r="H210">
        <v>0</v>
      </c>
      <c r="I210">
        <v>0</v>
      </c>
    </row>
    <row r="211" spans="1:9" x14ac:dyDescent="0.25">
      <c r="A211" t="s">
        <v>157</v>
      </c>
      <c r="B211" t="s">
        <v>114</v>
      </c>
      <c r="C211" t="s">
        <v>10</v>
      </c>
      <c r="D211">
        <v>0</v>
      </c>
      <c r="E211">
        <v>0</v>
      </c>
      <c r="F211">
        <v>87.27</v>
      </c>
      <c r="G211">
        <v>1727.991</v>
      </c>
      <c r="H211">
        <v>349.089</v>
      </c>
      <c r="I211">
        <v>0</v>
      </c>
    </row>
    <row r="212" spans="1:9" x14ac:dyDescent="0.25">
      <c r="A212" t="s">
        <v>157</v>
      </c>
      <c r="B212" t="s">
        <v>115</v>
      </c>
      <c r="C212" t="s">
        <v>25</v>
      </c>
      <c r="D212">
        <v>0</v>
      </c>
      <c r="E212">
        <v>0</v>
      </c>
      <c r="F212">
        <v>-87.27</v>
      </c>
      <c r="G212">
        <v>-1727.991</v>
      </c>
      <c r="H212">
        <v>0</v>
      </c>
      <c r="I212">
        <v>0</v>
      </c>
    </row>
    <row r="213" spans="1:9" x14ac:dyDescent="0.25">
      <c r="A213" t="s">
        <v>157</v>
      </c>
      <c r="B213" t="s">
        <v>115</v>
      </c>
      <c r="C213" t="s">
        <v>10</v>
      </c>
      <c r="D213">
        <v>0</v>
      </c>
      <c r="E213">
        <v>0</v>
      </c>
      <c r="F213">
        <v>-87.27</v>
      </c>
      <c r="G213">
        <v>-1727.991</v>
      </c>
      <c r="H213">
        <v>-349.089</v>
      </c>
      <c r="I213">
        <v>0</v>
      </c>
    </row>
    <row r="214" spans="1:9" x14ac:dyDescent="0.25">
      <c r="A214" t="s">
        <v>157</v>
      </c>
      <c r="B214" t="s">
        <v>116</v>
      </c>
      <c r="C214" t="s">
        <v>25</v>
      </c>
      <c r="D214">
        <v>0</v>
      </c>
      <c r="E214">
        <v>136.57</v>
      </c>
      <c r="F214">
        <v>0</v>
      </c>
      <c r="G214">
        <v>2253.422</v>
      </c>
      <c r="H214">
        <v>0</v>
      </c>
      <c r="I214">
        <v>0</v>
      </c>
    </row>
    <row r="215" spans="1:9" x14ac:dyDescent="0.25">
      <c r="A215" t="s">
        <v>157</v>
      </c>
      <c r="B215" t="s">
        <v>116</v>
      </c>
      <c r="C215" t="s">
        <v>10</v>
      </c>
      <c r="D215">
        <v>0</v>
      </c>
      <c r="E215">
        <v>136.57</v>
      </c>
      <c r="F215">
        <v>0</v>
      </c>
      <c r="G215">
        <v>2253.422</v>
      </c>
      <c r="H215">
        <v>0</v>
      </c>
      <c r="I215">
        <v>546.28399999999999</v>
      </c>
    </row>
    <row r="216" spans="1:9" x14ac:dyDescent="0.25">
      <c r="A216" t="s">
        <v>157</v>
      </c>
      <c r="B216" t="s">
        <v>117</v>
      </c>
      <c r="C216" t="s">
        <v>25</v>
      </c>
      <c r="D216">
        <v>0</v>
      </c>
      <c r="E216">
        <v>-136.57</v>
      </c>
      <c r="F216">
        <v>0</v>
      </c>
      <c r="G216">
        <v>-2253.422</v>
      </c>
      <c r="H216">
        <v>0</v>
      </c>
      <c r="I216">
        <v>0</v>
      </c>
    </row>
    <row r="217" spans="1:9" x14ac:dyDescent="0.25">
      <c r="A217" t="s">
        <v>157</v>
      </c>
      <c r="B217" t="s">
        <v>117</v>
      </c>
      <c r="C217" t="s">
        <v>10</v>
      </c>
      <c r="D217">
        <v>0</v>
      </c>
      <c r="E217">
        <v>-136.57</v>
      </c>
      <c r="F217">
        <v>0</v>
      </c>
      <c r="G217">
        <v>-2253.422</v>
      </c>
      <c r="H217">
        <v>0</v>
      </c>
      <c r="I217">
        <v>-546.28399999999999</v>
      </c>
    </row>
    <row r="218" spans="1:9" x14ac:dyDescent="0.25">
      <c r="A218" t="s">
        <v>157</v>
      </c>
      <c r="B218" t="s">
        <v>118</v>
      </c>
      <c r="C218" t="s">
        <v>25</v>
      </c>
      <c r="D218">
        <v>0</v>
      </c>
      <c r="E218">
        <v>136.57</v>
      </c>
      <c r="F218">
        <v>0</v>
      </c>
      <c r="G218">
        <v>2253.422</v>
      </c>
      <c r="H218">
        <v>0</v>
      </c>
      <c r="I218">
        <v>0</v>
      </c>
    </row>
    <row r="219" spans="1:9" x14ac:dyDescent="0.25">
      <c r="A219" t="s">
        <v>157</v>
      </c>
      <c r="B219" t="s">
        <v>118</v>
      </c>
      <c r="C219" t="s">
        <v>10</v>
      </c>
      <c r="D219">
        <v>0</v>
      </c>
      <c r="E219">
        <v>136.57</v>
      </c>
      <c r="F219">
        <v>0</v>
      </c>
      <c r="G219">
        <v>2253.422</v>
      </c>
      <c r="H219">
        <v>0</v>
      </c>
      <c r="I219">
        <v>546.28399999999999</v>
      </c>
    </row>
    <row r="220" spans="1:9" x14ac:dyDescent="0.25">
      <c r="A220" t="s">
        <v>157</v>
      </c>
      <c r="B220" t="s">
        <v>119</v>
      </c>
      <c r="C220" t="s">
        <v>25</v>
      </c>
      <c r="D220">
        <v>0</v>
      </c>
      <c r="E220">
        <v>-136.57</v>
      </c>
      <c r="F220">
        <v>0</v>
      </c>
      <c r="G220">
        <v>-2253.422</v>
      </c>
      <c r="H220">
        <v>0</v>
      </c>
      <c r="I220">
        <v>0</v>
      </c>
    </row>
    <row r="221" spans="1:9" x14ac:dyDescent="0.25">
      <c r="A221" t="s">
        <v>157</v>
      </c>
      <c r="B221" t="s">
        <v>119</v>
      </c>
      <c r="C221" t="s">
        <v>10</v>
      </c>
      <c r="D221">
        <v>0</v>
      </c>
      <c r="E221">
        <v>-136.57</v>
      </c>
      <c r="F221">
        <v>0</v>
      </c>
      <c r="G221">
        <v>-2253.422</v>
      </c>
      <c r="H221">
        <v>0</v>
      </c>
      <c r="I221">
        <v>-546.28399999999999</v>
      </c>
    </row>
    <row r="222" spans="1:9" x14ac:dyDescent="0.25">
      <c r="A222" t="s">
        <v>157</v>
      </c>
      <c r="B222" t="s">
        <v>120</v>
      </c>
      <c r="C222" t="s">
        <v>25</v>
      </c>
      <c r="D222">
        <v>0</v>
      </c>
      <c r="E222">
        <v>0</v>
      </c>
      <c r="F222">
        <v>290.91000000000003</v>
      </c>
      <c r="G222">
        <v>5759.9690000000001</v>
      </c>
      <c r="H222">
        <v>0</v>
      </c>
      <c r="I222">
        <v>0</v>
      </c>
    </row>
    <row r="223" spans="1:9" x14ac:dyDescent="0.25">
      <c r="A223" t="s">
        <v>157</v>
      </c>
      <c r="B223" t="s">
        <v>120</v>
      </c>
      <c r="C223" t="s">
        <v>10</v>
      </c>
      <c r="D223">
        <v>0</v>
      </c>
      <c r="E223">
        <v>0</v>
      </c>
      <c r="F223">
        <v>290.91000000000003</v>
      </c>
      <c r="G223">
        <v>5759.9690000000001</v>
      </c>
      <c r="H223">
        <v>1163.6300000000001</v>
      </c>
      <c r="I223">
        <v>0</v>
      </c>
    </row>
    <row r="224" spans="1:9" x14ac:dyDescent="0.25">
      <c r="A224" t="s">
        <v>157</v>
      </c>
      <c r="B224" t="s">
        <v>121</v>
      </c>
      <c r="C224" t="s">
        <v>25</v>
      </c>
      <c r="D224">
        <v>0</v>
      </c>
      <c r="E224">
        <v>0</v>
      </c>
      <c r="F224">
        <v>-290.91000000000003</v>
      </c>
      <c r="G224">
        <v>-5759.9690000000001</v>
      </c>
      <c r="H224">
        <v>0</v>
      </c>
      <c r="I224">
        <v>0</v>
      </c>
    </row>
    <row r="225" spans="1:9" x14ac:dyDescent="0.25">
      <c r="A225" t="s">
        <v>157</v>
      </c>
      <c r="B225" t="s">
        <v>121</v>
      </c>
      <c r="C225" t="s">
        <v>10</v>
      </c>
      <c r="D225">
        <v>0</v>
      </c>
      <c r="E225">
        <v>0</v>
      </c>
      <c r="F225">
        <v>-290.91000000000003</v>
      </c>
      <c r="G225">
        <v>-5759.9690000000001</v>
      </c>
      <c r="H225">
        <v>-1163.6300000000001</v>
      </c>
      <c r="I225">
        <v>0</v>
      </c>
    </row>
    <row r="226" spans="1:9" x14ac:dyDescent="0.25">
      <c r="A226" t="s">
        <v>157</v>
      </c>
      <c r="B226" t="s">
        <v>122</v>
      </c>
      <c r="C226" t="s">
        <v>25</v>
      </c>
      <c r="D226">
        <v>0</v>
      </c>
      <c r="E226">
        <v>0</v>
      </c>
      <c r="F226">
        <v>290.91000000000003</v>
      </c>
      <c r="G226">
        <v>5759.9690000000001</v>
      </c>
      <c r="H226">
        <v>0</v>
      </c>
      <c r="I226">
        <v>0</v>
      </c>
    </row>
    <row r="227" spans="1:9" x14ac:dyDescent="0.25">
      <c r="A227" t="s">
        <v>157</v>
      </c>
      <c r="B227" t="s">
        <v>122</v>
      </c>
      <c r="C227" t="s">
        <v>10</v>
      </c>
      <c r="D227">
        <v>0</v>
      </c>
      <c r="E227">
        <v>0</v>
      </c>
      <c r="F227">
        <v>290.91000000000003</v>
      </c>
      <c r="G227">
        <v>5759.9690000000001</v>
      </c>
      <c r="H227">
        <v>1163.6300000000001</v>
      </c>
      <c r="I227">
        <v>0</v>
      </c>
    </row>
    <row r="228" spans="1:9" x14ac:dyDescent="0.25">
      <c r="A228" t="s">
        <v>157</v>
      </c>
      <c r="B228" t="s">
        <v>123</v>
      </c>
      <c r="C228" t="s">
        <v>25</v>
      </c>
      <c r="D228">
        <v>0</v>
      </c>
      <c r="E228">
        <v>0</v>
      </c>
      <c r="F228">
        <v>-290.91000000000003</v>
      </c>
      <c r="G228">
        <v>-5759.9690000000001</v>
      </c>
      <c r="H228">
        <v>0</v>
      </c>
      <c r="I228">
        <v>0</v>
      </c>
    </row>
    <row r="229" spans="1:9" x14ac:dyDescent="0.25">
      <c r="A229" t="s">
        <v>157</v>
      </c>
      <c r="B229" t="s">
        <v>123</v>
      </c>
      <c r="C229" t="s">
        <v>10</v>
      </c>
      <c r="D229">
        <v>0</v>
      </c>
      <c r="E229">
        <v>0</v>
      </c>
      <c r="F229">
        <v>-290.91000000000003</v>
      </c>
      <c r="G229">
        <v>-5759.9690000000001</v>
      </c>
      <c r="H229">
        <v>-1163.6300000000001</v>
      </c>
      <c r="I229">
        <v>0</v>
      </c>
    </row>
    <row r="230" spans="1:9" x14ac:dyDescent="0.25">
      <c r="A230" t="s">
        <v>157</v>
      </c>
      <c r="B230" t="s">
        <v>124</v>
      </c>
      <c r="C230" t="s">
        <v>25</v>
      </c>
      <c r="D230">
        <v>0</v>
      </c>
      <c r="E230">
        <v>40.97</v>
      </c>
      <c r="F230">
        <v>0</v>
      </c>
      <c r="G230">
        <v>676.02599999999995</v>
      </c>
      <c r="H230">
        <v>0</v>
      </c>
      <c r="I230">
        <v>0</v>
      </c>
    </row>
    <row r="231" spans="1:9" x14ac:dyDescent="0.25">
      <c r="A231" t="s">
        <v>157</v>
      </c>
      <c r="B231" t="s">
        <v>124</v>
      </c>
      <c r="C231" t="s">
        <v>10</v>
      </c>
      <c r="D231">
        <v>0</v>
      </c>
      <c r="E231">
        <v>40.97</v>
      </c>
      <c r="F231">
        <v>0</v>
      </c>
      <c r="G231">
        <v>676.02599999999995</v>
      </c>
      <c r="H231">
        <v>0</v>
      </c>
      <c r="I231">
        <v>163.88499999999999</v>
      </c>
    </row>
    <row r="232" spans="1:9" x14ac:dyDescent="0.25">
      <c r="A232" t="s">
        <v>157</v>
      </c>
      <c r="B232" t="s">
        <v>125</v>
      </c>
      <c r="C232" t="s">
        <v>25</v>
      </c>
      <c r="D232">
        <v>0</v>
      </c>
      <c r="E232">
        <v>-40.97</v>
      </c>
      <c r="F232">
        <v>0</v>
      </c>
      <c r="G232">
        <v>-676.02599999999995</v>
      </c>
      <c r="H232">
        <v>0</v>
      </c>
      <c r="I232">
        <v>0</v>
      </c>
    </row>
    <row r="233" spans="1:9" x14ac:dyDescent="0.25">
      <c r="A233" t="s">
        <v>157</v>
      </c>
      <c r="B233" t="s">
        <v>125</v>
      </c>
      <c r="C233" t="s">
        <v>10</v>
      </c>
      <c r="D233">
        <v>0</v>
      </c>
      <c r="E233">
        <v>-40.97</v>
      </c>
      <c r="F233">
        <v>0</v>
      </c>
      <c r="G233">
        <v>-676.02599999999995</v>
      </c>
      <c r="H233">
        <v>0</v>
      </c>
      <c r="I233">
        <v>-163.88499999999999</v>
      </c>
    </row>
    <row r="234" spans="1:9" x14ac:dyDescent="0.25">
      <c r="A234" t="s">
        <v>157</v>
      </c>
      <c r="B234" t="s">
        <v>126</v>
      </c>
      <c r="C234" t="s">
        <v>25</v>
      </c>
      <c r="D234">
        <v>0</v>
      </c>
      <c r="E234">
        <v>40.97</v>
      </c>
      <c r="F234">
        <v>0</v>
      </c>
      <c r="G234">
        <v>676.02599999999995</v>
      </c>
      <c r="H234">
        <v>0</v>
      </c>
      <c r="I234">
        <v>0</v>
      </c>
    </row>
    <row r="235" spans="1:9" x14ac:dyDescent="0.25">
      <c r="A235" t="s">
        <v>157</v>
      </c>
      <c r="B235" t="s">
        <v>126</v>
      </c>
      <c r="C235" t="s">
        <v>10</v>
      </c>
      <c r="D235">
        <v>0</v>
      </c>
      <c r="E235">
        <v>40.97</v>
      </c>
      <c r="F235">
        <v>0</v>
      </c>
      <c r="G235">
        <v>676.02599999999995</v>
      </c>
      <c r="H235">
        <v>0</v>
      </c>
      <c r="I235">
        <v>163.88499999999999</v>
      </c>
    </row>
    <row r="236" spans="1:9" x14ac:dyDescent="0.25">
      <c r="A236" t="s">
        <v>157</v>
      </c>
      <c r="B236" t="s">
        <v>127</v>
      </c>
      <c r="C236" t="s">
        <v>25</v>
      </c>
      <c r="D236">
        <v>0</v>
      </c>
      <c r="E236">
        <v>-40.97</v>
      </c>
      <c r="F236">
        <v>0</v>
      </c>
      <c r="G236">
        <v>-676.02599999999995</v>
      </c>
      <c r="H236">
        <v>0</v>
      </c>
      <c r="I236">
        <v>0</v>
      </c>
    </row>
    <row r="237" spans="1:9" x14ac:dyDescent="0.25">
      <c r="A237" t="s">
        <v>157</v>
      </c>
      <c r="B237" t="s">
        <v>127</v>
      </c>
      <c r="C237" t="s">
        <v>10</v>
      </c>
      <c r="D237">
        <v>0</v>
      </c>
      <c r="E237">
        <v>-40.97</v>
      </c>
      <c r="F237">
        <v>0</v>
      </c>
      <c r="G237">
        <v>-676.02599999999995</v>
      </c>
      <c r="H237">
        <v>0</v>
      </c>
      <c r="I237">
        <v>-163.88499999999999</v>
      </c>
    </row>
    <row r="238" spans="1:9" x14ac:dyDescent="0.25">
      <c r="A238" t="s">
        <v>157</v>
      </c>
      <c r="B238" t="s">
        <v>128</v>
      </c>
      <c r="C238" t="s">
        <v>25</v>
      </c>
      <c r="D238">
        <v>0</v>
      </c>
      <c r="E238">
        <v>0</v>
      </c>
      <c r="F238">
        <v>87.27</v>
      </c>
      <c r="G238">
        <v>1727.991</v>
      </c>
      <c r="H238">
        <v>0</v>
      </c>
      <c r="I238">
        <v>0</v>
      </c>
    </row>
    <row r="239" spans="1:9" x14ac:dyDescent="0.25">
      <c r="A239" t="s">
        <v>157</v>
      </c>
      <c r="B239" t="s">
        <v>128</v>
      </c>
      <c r="C239" t="s">
        <v>10</v>
      </c>
      <c r="D239">
        <v>0</v>
      </c>
      <c r="E239">
        <v>0</v>
      </c>
      <c r="F239">
        <v>87.27</v>
      </c>
      <c r="G239">
        <v>1727.991</v>
      </c>
      <c r="H239">
        <v>349.089</v>
      </c>
      <c r="I239">
        <v>0</v>
      </c>
    </row>
    <row r="240" spans="1:9" x14ac:dyDescent="0.25">
      <c r="A240" t="s">
        <v>157</v>
      </c>
      <c r="B240" t="s">
        <v>129</v>
      </c>
      <c r="C240" t="s">
        <v>25</v>
      </c>
      <c r="D240">
        <v>0</v>
      </c>
      <c r="E240">
        <v>0</v>
      </c>
      <c r="F240">
        <v>-87.27</v>
      </c>
      <c r="G240">
        <v>-1727.991</v>
      </c>
      <c r="H240">
        <v>0</v>
      </c>
      <c r="I240">
        <v>0</v>
      </c>
    </row>
    <row r="241" spans="1:9" x14ac:dyDescent="0.25">
      <c r="A241" t="s">
        <v>157</v>
      </c>
      <c r="B241" t="s">
        <v>129</v>
      </c>
      <c r="C241" t="s">
        <v>10</v>
      </c>
      <c r="D241">
        <v>0</v>
      </c>
      <c r="E241">
        <v>0</v>
      </c>
      <c r="F241">
        <v>-87.27</v>
      </c>
      <c r="G241">
        <v>-1727.991</v>
      </c>
      <c r="H241">
        <v>-349.089</v>
      </c>
      <c r="I241">
        <v>0</v>
      </c>
    </row>
    <row r="242" spans="1:9" x14ac:dyDescent="0.25">
      <c r="A242" t="s">
        <v>157</v>
      </c>
      <c r="B242" t="s">
        <v>130</v>
      </c>
      <c r="C242" t="s">
        <v>25</v>
      </c>
      <c r="D242">
        <v>0</v>
      </c>
      <c r="E242">
        <v>0</v>
      </c>
      <c r="F242">
        <v>87.27</v>
      </c>
      <c r="G242">
        <v>1727.991</v>
      </c>
      <c r="H242">
        <v>0</v>
      </c>
      <c r="I242">
        <v>0</v>
      </c>
    </row>
    <row r="243" spans="1:9" x14ac:dyDescent="0.25">
      <c r="A243" t="s">
        <v>157</v>
      </c>
      <c r="B243" t="s">
        <v>130</v>
      </c>
      <c r="C243" t="s">
        <v>10</v>
      </c>
      <c r="D243">
        <v>0</v>
      </c>
      <c r="E243">
        <v>0</v>
      </c>
      <c r="F243">
        <v>87.27</v>
      </c>
      <c r="G243">
        <v>1727.991</v>
      </c>
      <c r="H243">
        <v>349.089</v>
      </c>
      <c r="I243">
        <v>0</v>
      </c>
    </row>
    <row r="244" spans="1:9" x14ac:dyDescent="0.25">
      <c r="A244" t="s">
        <v>157</v>
      </c>
      <c r="B244" t="s">
        <v>131</v>
      </c>
      <c r="C244" t="s">
        <v>25</v>
      </c>
      <c r="D244">
        <v>0</v>
      </c>
      <c r="E244">
        <v>0</v>
      </c>
      <c r="F244">
        <v>-87.27</v>
      </c>
      <c r="G244">
        <v>-1727.991</v>
      </c>
      <c r="H244">
        <v>0</v>
      </c>
      <c r="I244">
        <v>0</v>
      </c>
    </row>
    <row r="245" spans="1:9" x14ac:dyDescent="0.25">
      <c r="A245" t="s">
        <v>157</v>
      </c>
      <c r="B245" t="s">
        <v>131</v>
      </c>
      <c r="C245" t="s">
        <v>10</v>
      </c>
      <c r="D245">
        <v>0</v>
      </c>
      <c r="E245">
        <v>0</v>
      </c>
      <c r="F245">
        <v>-87.27</v>
      </c>
      <c r="G245">
        <v>-1727.991</v>
      </c>
      <c r="H245">
        <v>-349.089</v>
      </c>
      <c r="I245">
        <v>0</v>
      </c>
    </row>
    <row r="246" spans="1:9" x14ac:dyDescent="0.25">
      <c r="A246" t="s">
        <v>157</v>
      </c>
      <c r="B246" t="s">
        <v>132</v>
      </c>
      <c r="C246" t="s">
        <v>25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</row>
    <row r="247" spans="1:9" x14ac:dyDescent="0.25">
      <c r="A247" t="s">
        <v>157</v>
      </c>
      <c r="B247" t="s">
        <v>132</v>
      </c>
      <c r="C247" t="s">
        <v>10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</row>
    <row r="248" spans="1:9" x14ac:dyDescent="0.25">
      <c r="A248" t="s">
        <v>157</v>
      </c>
      <c r="B248" t="s">
        <v>133</v>
      </c>
      <c r="C248" t="s">
        <v>25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</row>
    <row r="249" spans="1:9" x14ac:dyDescent="0.25">
      <c r="A249" t="s">
        <v>157</v>
      </c>
      <c r="B249" t="s">
        <v>133</v>
      </c>
      <c r="C249" t="s">
        <v>10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</row>
    <row r="250" spans="1:9" x14ac:dyDescent="0.25">
      <c r="A250" t="s">
        <v>157</v>
      </c>
      <c r="B250" t="s">
        <v>134</v>
      </c>
      <c r="C250" t="s">
        <v>25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</row>
    <row r="251" spans="1:9" x14ac:dyDescent="0.25">
      <c r="A251" t="s">
        <v>157</v>
      </c>
      <c r="B251" t="s">
        <v>134</v>
      </c>
      <c r="C251" t="s">
        <v>10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</row>
    <row r="252" spans="1:9" x14ac:dyDescent="0.25">
      <c r="A252" t="s">
        <v>157</v>
      </c>
      <c r="B252" t="s">
        <v>135</v>
      </c>
      <c r="C252" t="s">
        <v>25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</row>
    <row r="253" spans="1:9" x14ac:dyDescent="0.25">
      <c r="A253" t="s">
        <v>157</v>
      </c>
      <c r="B253" t="s">
        <v>135</v>
      </c>
      <c r="C253" t="s">
        <v>10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</row>
    <row r="254" spans="1:9" x14ac:dyDescent="0.25">
      <c r="A254" t="s">
        <v>157</v>
      </c>
      <c r="B254" t="s">
        <v>136</v>
      </c>
      <c r="C254" t="s">
        <v>25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</row>
    <row r="255" spans="1:9" x14ac:dyDescent="0.25">
      <c r="A255" t="s">
        <v>157</v>
      </c>
      <c r="B255" t="s">
        <v>136</v>
      </c>
      <c r="C255" t="s">
        <v>10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</row>
    <row r="256" spans="1:9" x14ac:dyDescent="0.25">
      <c r="A256" t="s">
        <v>157</v>
      </c>
      <c r="B256" t="s">
        <v>137</v>
      </c>
      <c r="C256" t="s">
        <v>25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</row>
    <row r="257" spans="1:9" x14ac:dyDescent="0.25">
      <c r="A257" t="s">
        <v>157</v>
      </c>
      <c r="B257" t="s">
        <v>137</v>
      </c>
      <c r="C257" t="s">
        <v>10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</row>
    <row r="258" spans="1:9" x14ac:dyDescent="0.25">
      <c r="A258" t="s">
        <v>157</v>
      </c>
      <c r="B258" t="s">
        <v>138</v>
      </c>
      <c r="C258" t="s">
        <v>25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</row>
    <row r="259" spans="1:9" x14ac:dyDescent="0.25">
      <c r="A259" t="s">
        <v>157</v>
      </c>
      <c r="B259" t="s">
        <v>138</v>
      </c>
      <c r="C259" t="s">
        <v>10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</row>
    <row r="260" spans="1:9" x14ac:dyDescent="0.25">
      <c r="A260" t="s">
        <v>157</v>
      </c>
      <c r="B260" t="s">
        <v>139</v>
      </c>
      <c r="C260" t="s">
        <v>25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</row>
    <row r="261" spans="1:9" x14ac:dyDescent="0.25">
      <c r="A261" t="s">
        <v>157</v>
      </c>
      <c r="B261" t="s">
        <v>139</v>
      </c>
      <c r="C261" t="s">
        <v>10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</row>
    <row r="262" spans="1:9" x14ac:dyDescent="0.25">
      <c r="A262" t="s">
        <v>157</v>
      </c>
      <c r="B262" t="s">
        <v>140</v>
      </c>
      <c r="C262" t="s">
        <v>25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</row>
    <row r="263" spans="1:9" x14ac:dyDescent="0.25">
      <c r="A263" t="s">
        <v>157</v>
      </c>
      <c r="B263" t="s">
        <v>140</v>
      </c>
      <c r="C263" t="s">
        <v>10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</row>
    <row r="264" spans="1:9" x14ac:dyDescent="0.25">
      <c r="A264" t="s">
        <v>157</v>
      </c>
      <c r="B264" t="s">
        <v>141</v>
      </c>
      <c r="C264" t="s">
        <v>25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</row>
    <row r="265" spans="1:9" x14ac:dyDescent="0.25">
      <c r="A265" t="s">
        <v>157</v>
      </c>
      <c r="B265" t="s">
        <v>141</v>
      </c>
      <c r="C265" t="s">
        <v>10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</row>
    <row r="266" spans="1:9" x14ac:dyDescent="0.25">
      <c r="A266" t="s">
        <v>157</v>
      </c>
      <c r="B266" t="s">
        <v>142</v>
      </c>
      <c r="C266" t="s">
        <v>25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</row>
    <row r="267" spans="1:9" x14ac:dyDescent="0.25">
      <c r="A267" t="s">
        <v>157</v>
      </c>
      <c r="B267" t="s">
        <v>142</v>
      </c>
      <c r="C267" t="s">
        <v>10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</row>
    <row r="268" spans="1:9" x14ac:dyDescent="0.25">
      <c r="A268" t="s">
        <v>157</v>
      </c>
      <c r="B268" t="s">
        <v>143</v>
      </c>
      <c r="C268" t="s">
        <v>25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</row>
    <row r="269" spans="1:9" x14ac:dyDescent="0.25">
      <c r="A269" t="s">
        <v>157</v>
      </c>
      <c r="B269" t="s">
        <v>143</v>
      </c>
      <c r="C269" t="s">
        <v>10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</row>
    <row r="270" spans="1:9" x14ac:dyDescent="0.25">
      <c r="A270" t="s">
        <v>157</v>
      </c>
      <c r="B270" t="s">
        <v>144</v>
      </c>
      <c r="C270" t="s">
        <v>25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</row>
    <row r="271" spans="1:9" x14ac:dyDescent="0.25">
      <c r="A271" t="s">
        <v>157</v>
      </c>
      <c r="B271" t="s">
        <v>144</v>
      </c>
      <c r="C271" t="s">
        <v>10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</row>
    <row r="272" spans="1:9" x14ac:dyDescent="0.25">
      <c r="A272" t="s">
        <v>157</v>
      </c>
      <c r="B272" t="s">
        <v>145</v>
      </c>
      <c r="C272" t="s">
        <v>25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</row>
    <row r="273" spans="1:9" x14ac:dyDescent="0.25">
      <c r="A273" t="s">
        <v>157</v>
      </c>
      <c r="B273" t="s">
        <v>145</v>
      </c>
      <c r="C273" t="s">
        <v>10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</row>
    <row r="274" spans="1:9" x14ac:dyDescent="0.25">
      <c r="A274" t="s">
        <v>157</v>
      </c>
      <c r="B274" t="s">
        <v>146</v>
      </c>
      <c r="C274" t="s">
        <v>25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</row>
    <row r="275" spans="1:9" x14ac:dyDescent="0.25">
      <c r="A275" t="s">
        <v>157</v>
      </c>
      <c r="B275" t="s">
        <v>146</v>
      </c>
      <c r="C275" t="s">
        <v>10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</row>
    <row r="276" spans="1:9" x14ac:dyDescent="0.25">
      <c r="A276" t="s">
        <v>157</v>
      </c>
      <c r="B276" t="s">
        <v>147</v>
      </c>
      <c r="C276" t="s">
        <v>25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</row>
    <row r="277" spans="1:9" x14ac:dyDescent="0.25">
      <c r="A277" t="s">
        <v>157</v>
      </c>
      <c r="B277" t="s">
        <v>147</v>
      </c>
      <c r="C277" t="s">
        <v>10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</row>
    <row r="278" spans="1:9" x14ac:dyDescent="0.25">
      <c r="A278" t="s">
        <v>157</v>
      </c>
      <c r="B278" t="s">
        <v>159</v>
      </c>
      <c r="C278" t="s">
        <v>25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</row>
    <row r="279" spans="1:9" x14ac:dyDescent="0.25">
      <c r="A279" t="s">
        <v>157</v>
      </c>
      <c r="B279" t="s">
        <v>159</v>
      </c>
      <c r="C279" t="s">
        <v>10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</row>
    <row r="280" spans="1:9" x14ac:dyDescent="0.25">
      <c r="A280" t="s">
        <v>157</v>
      </c>
      <c r="B280" t="s">
        <v>160</v>
      </c>
      <c r="C280" t="s">
        <v>25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</row>
    <row r="281" spans="1:9" x14ac:dyDescent="0.25">
      <c r="A281" t="s">
        <v>157</v>
      </c>
      <c r="B281" t="s">
        <v>160</v>
      </c>
      <c r="C281" t="s">
        <v>10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</row>
    <row r="282" spans="1:9" x14ac:dyDescent="0.25">
      <c r="A282" t="s">
        <v>157</v>
      </c>
      <c r="B282" t="s">
        <v>161</v>
      </c>
      <c r="C282" t="s">
        <v>25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</row>
    <row r="283" spans="1:9" x14ac:dyDescent="0.25">
      <c r="A283" t="s">
        <v>157</v>
      </c>
      <c r="B283" t="s">
        <v>161</v>
      </c>
      <c r="C283" t="s">
        <v>10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</row>
    <row r="284" spans="1:9" x14ac:dyDescent="0.25">
      <c r="A284" t="s">
        <v>157</v>
      </c>
      <c r="B284" t="s">
        <v>162</v>
      </c>
      <c r="C284" t="s">
        <v>25</v>
      </c>
      <c r="D284">
        <v>0</v>
      </c>
      <c r="E284">
        <v>-253.17</v>
      </c>
      <c r="F284">
        <v>0</v>
      </c>
      <c r="G284">
        <v>4177.384</v>
      </c>
      <c r="H284">
        <v>0</v>
      </c>
      <c r="I284">
        <v>0</v>
      </c>
    </row>
    <row r="285" spans="1:9" x14ac:dyDescent="0.25">
      <c r="A285" t="s">
        <v>157</v>
      </c>
      <c r="B285" t="s">
        <v>162</v>
      </c>
      <c r="C285" t="s">
        <v>10</v>
      </c>
      <c r="D285">
        <v>0</v>
      </c>
      <c r="E285">
        <v>-253.17</v>
      </c>
      <c r="F285">
        <v>0</v>
      </c>
      <c r="G285">
        <v>4177.384</v>
      </c>
      <c r="H285">
        <v>0</v>
      </c>
      <c r="I285">
        <v>-1012.699</v>
      </c>
    </row>
    <row r="286" spans="1:9" x14ac:dyDescent="0.25">
      <c r="A286" t="s">
        <v>157</v>
      </c>
      <c r="B286" t="s">
        <v>163</v>
      </c>
      <c r="C286" t="s">
        <v>25</v>
      </c>
      <c r="D286">
        <v>0</v>
      </c>
      <c r="E286">
        <v>-253.17</v>
      </c>
      <c r="F286">
        <v>0</v>
      </c>
      <c r="G286">
        <v>3417.86</v>
      </c>
      <c r="H286">
        <v>0</v>
      </c>
      <c r="I286">
        <v>0</v>
      </c>
    </row>
    <row r="287" spans="1:9" x14ac:dyDescent="0.25">
      <c r="A287" t="s">
        <v>157</v>
      </c>
      <c r="B287" t="s">
        <v>163</v>
      </c>
      <c r="C287" t="s">
        <v>10</v>
      </c>
      <c r="D287">
        <v>0</v>
      </c>
      <c r="E287">
        <v>-253.17</v>
      </c>
      <c r="F287">
        <v>0</v>
      </c>
      <c r="G287">
        <v>3417.86</v>
      </c>
      <c r="H287">
        <v>0</v>
      </c>
      <c r="I287">
        <v>-1012.699</v>
      </c>
    </row>
    <row r="288" spans="1:9" x14ac:dyDescent="0.25">
      <c r="A288" t="s">
        <v>157</v>
      </c>
      <c r="B288" t="s">
        <v>164</v>
      </c>
      <c r="C288" t="s">
        <v>25</v>
      </c>
      <c r="D288">
        <v>0</v>
      </c>
      <c r="E288">
        <v>253.17</v>
      </c>
      <c r="F288">
        <v>0</v>
      </c>
      <c r="G288">
        <v>-4177.384</v>
      </c>
      <c r="H288">
        <v>0</v>
      </c>
      <c r="I288">
        <v>0</v>
      </c>
    </row>
    <row r="289" spans="1:9" x14ac:dyDescent="0.25">
      <c r="A289" t="s">
        <v>157</v>
      </c>
      <c r="B289" t="s">
        <v>164</v>
      </c>
      <c r="C289" t="s">
        <v>10</v>
      </c>
      <c r="D289">
        <v>0</v>
      </c>
      <c r="E289">
        <v>253.17</v>
      </c>
      <c r="F289">
        <v>0</v>
      </c>
      <c r="G289">
        <v>-4177.384</v>
      </c>
      <c r="H289">
        <v>0</v>
      </c>
      <c r="I289">
        <v>1012.699</v>
      </c>
    </row>
    <row r="290" spans="1:9" x14ac:dyDescent="0.25">
      <c r="A290" t="s">
        <v>157</v>
      </c>
      <c r="B290" t="s">
        <v>165</v>
      </c>
      <c r="C290" t="s">
        <v>25</v>
      </c>
      <c r="D290">
        <v>0</v>
      </c>
      <c r="E290">
        <v>253.17</v>
      </c>
      <c r="F290">
        <v>0</v>
      </c>
      <c r="G290">
        <v>-3417.86</v>
      </c>
      <c r="H290">
        <v>0</v>
      </c>
      <c r="I290">
        <v>0</v>
      </c>
    </row>
    <row r="291" spans="1:9" x14ac:dyDescent="0.25">
      <c r="A291" t="s">
        <v>157</v>
      </c>
      <c r="B291" t="s">
        <v>165</v>
      </c>
      <c r="C291" t="s">
        <v>10</v>
      </c>
      <c r="D291">
        <v>0</v>
      </c>
      <c r="E291">
        <v>253.17</v>
      </c>
      <c r="F291">
        <v>0</v>
      </c>
      <c r="G291">
        <v>-3417.86</v>
      </c>
      <c r="H291">
        <v>0</v>
      </c>
      <c r="I291">
        <v>1012.699</v>
      </c>
    </row>
    <row r="292" spans="1:9" x14ac:dyDescent="0.25">
      <c r="A292" t="s">
        <v>157</v>
      </c>
      <c r="B292" t="s">
        <v>166</v>
      </c>
      <c r="C292" t="s">
        <v>25</v>
      </c>
      <c r="D292">
        <v>0</v>
      </c>
      <c r="E292">
        <v>0</v>
      </c>
      <c r="F292">
        <v>-306.02999999999997</v>
      </c>
      <c r="G292">
        <v>-6059.3280000000004</v>
      </c>
      <c r="H292">
        <v>0</v>
      </c>
      <c r="I292">
        <v>0</v>
      </c>
    </row>
    <row r="293" spans="1:9" x14ac:dyDescent="0.25">
      <c r="A293" t="s">
        <v>157</v>
      </c>
      <c r="B293" t="s">
        <v>166</v>
      </c>
      <c r="C293" t="s">
        <v>10</v>
      </c>
      <c r="D293">
        <v>0</v>
      </c>
      <c r="E293">
        <v>0</v>
      </c>
      <c r="F293">
        <v>-306.02999999999997</v>
      </c>
      <c r="G293">
        <v>-6059.3280000000004</v>
      </c>
      <c r="H293">
        <v>1224.107</v>
      </c>
      <c r="I293">
        <v>0</v>
      </c>
    </row>
    <row r="294" spans="1:9" x14ac:dyDescent="0.25">
      <c r="A294" t="s">
        <v>157</v>
      </c>
      <c r="B294" t="s">
        <v>167</v>
      </c>
      <c r="C294" t="s">
        <v>25</v>
      </c>
      <c r="D294">
        <v>0</v>
      </c>
      <c r="E294">
        <v>0</v>
      </c>
      <c r="F294">
        <v>-306.02999999999997</v>
      </c>
      <c r="G294">
        <v>-4957.6319999999996</v>
      </c>
      <c r="H294">
        <v>0</v>
      </c>
      <c r="I294">
        <v>0</v>
      </c>
    </row>
    <row r="295" spans="1:9" x14ac:dyDescent="0.25">
      <c r="A295" t="s">
        <v>157</v>
      </c>
      <c r="B295" t="s">
        <v>167</v>
      </c>
      <c r="C295" t="s">
        <v>10</v>
      </c>
      <c r="D295">
        <v>0</v>
      </c>
      <c r="E295">
        <v>0</v>
      </c>
      <c r="F295">
        <v>-306.02999999999997</v>
      </c>
      <c r="G295">
        <v>-4957.6319999999996</v>
      </c>
      <c r="H295">
        <v>1224.107</v>
      </c>
      <c r="I295">
        <v>0</v>
      </c>
    </row>
    <row r="296" spans="1:9" x14ac:dyDescent="0.25">
      <c r="A296" t="s">
        <v>157</v>
      </c>
      <c r="B296" t="s">
        <v>168</v>
      </c>
      <c r="C296" t="s">
        <v>25</v>
      </c>
      <c r="D296">
        <v>0</v>
      </c>
      <c r="E296">
        <v>0</v>
      </c>
      <c r="F296">
        <v>306.02999999999997</v>
      </c>
      <c r="G296">
        <v>6059.3280000000004</v>
      </c>
      <c r="H296">
        <v>0</v>
      </c>
      <c r="I296">
        <v>0</v>
      </c>
    </row>
    <row r="297" spans="1:9" x14ac:dyDescent="0.25">
      <c r="A297" t="s">
        <v>157</v>
      </c>
      <c r="B297" t="s">
        <v>168</v>
      </c>
      <c r="C297" t="s">
        <v>10</v>
      </c>
      <c r="D297">
        <v>0</v>
      </c>
      <c r="E297">
        <v>0</v>
      </c>
      <c r="F297">
        <v>306.02999999999997</v>
      </c>
      <c r="G297">
        <v>6059.3280000000004</v>
      </c>
      <c r="H297">
        <v>-1224.107</v>
      </c>
      <c r="I297">
        <v>0</v>
      </c>
    </row>
    <row r="298" spans="1:9" x14ac:dyDescent="0.25">
      <c r="A298" t="s">
        <v>157</v>
      </c>
      <c r="B298" t="s">
        <v>169</v>
      </c>
      <c r="C298" t="s">
        <v>25</v>
      </c>
      <c r="D298">
        <v>0</v>
      </c>
      <c r="E298">
        <v>0</v>
      </c>
      <c r="F298">
        <v>306.02999999999997</v>
      </c>
      <c r="G298">
        <v>4957.6319999999996</v>
      </c>
      <c r="H298">
        <v>0</v>
      </c>
      <c r="I298">
        <v>0</v>
      </c>
    </row>
    <row r="299" spans="1:9" x14ac:dyDescent="0.25">
      <c r="A299" t="s">
        <v>157</v>
      </c>
      <c r="B299" t="s">
        <v>169</v>
      </c>
      <c r="C299" t="s">
        <v>10</v>
      </c>
      <c r="D299">
        <v>0</v>
      </c>
      <c r="E299">
        <v>0</v>
      </c>
      <c r="F299">
        <v>306.02999999999997</v>
      </c>
      <c r="G299">
        <v>4957.6319999999996</v>
      </c>
      <c r="H299">
        <v>-1224.107</v>
      </c>
      <c r="I299">
        <v>0</v>
      </c>
    </row>
    <row r="300" spans="1:9" x14ac:dyDescent="0.25">
      <c r="A300" t="s">
        <v>157</v>
      </c>
      <c r="B300" t="s">
        <v>170</v>
      </c>
      <c r="C300" t="s">
        <v>25</v>
      </c>
      <c r="D300">
        <v>0</v>
      </c>
      <c r="E300">
        <v>-253.17</v>
      </c>
      <c r="F300">
        <v>0</v>
      </c>
      <c r="G300">
        <v>4177.384</v>
      </c>
      <c r="H300">
        <v>0</v>
      </c>
      <c r="I300">
        <v>0</v>
      </c>
    </row>
    <row r="301" spans="1:9" x14ac:dyDescent="0.25">
      <c r="A301" t="s">
        <v>157</v>
      </c>
      <c r="B301" t="s">
        <v>170</v>
      </c>
      <c r="C301" t="s">
        <v>10</v>
      </c>
      <c r="D301">
        <v>0</v>
      </c>
      <c r="E301">
        <v>-253.17</v>
      </c>
      <c r="F301">
        <v>0</v>
      </c>
      <c r="G301">
        <v>4177.384</v>
      </c>
      <c r="H301">
        <v>0</v>
      </c>
      <c r="I301">
        <v>-1012.699</v>
      </c>
    </row>
    <row r="302" spans="1:9" x14ac:dyDescent="0.25">
      <c r="A302" t="s">
        <v>157</v>
      </c>
      <c r="B302" t="s">
        <v>171</v>
      </c>
      <c r="C302" t="s">
        <v>25</v>
      </c>
      <c r="D302">
        <v>0</v>
      </c>
      <c r="E302">
        <v>-253.17</v>
      </c>
      <c r="F302">
        <v>0</v>
      </c>
      <c r="G302">
        <v>3417.86</v>
      </c>
      <c r="H302">
        <v>0</v>
      </c>
      <c r="I302">
        <v>0</v>
      </c>
    </row>
    <row r="303" spans="1:9" x14ac:dyDescent="0.25">
      <c r="A303" t="s">
        <v>157</v>
      </c>
      <c r="B303" t="s">
        <v>171</v>
      </c>
      <c r="C303" t="s">
        <v>10</v>
      </c>
      <c r="D303">
        <v>0</v>
      </c>
      <c r="E303">
        <v>-253.17</v>
      </c>
      <c r="F303">
        <v>0</v>
      </c>
      <c r="G303">
        <v>3417.86</v>
      </c>
      <c r="H303">
        <v>0</v>
      </c>
      <c r="I303">
        <v>-1012.699</v>
      </c>
    </row>
    <row r="304" spans="1:9" x14ac:dyDescent="0.25">
      <c r="A304" t="s">
        <v>157</v>
      </c>
      <c r="B304" t="s">
        <v>172</v>
      </c>
      <c r="C304" t="s">
        <v>25</v>
      </c>
      <c r="D304">
        <v>0</v>
      </c>
      <c r="E304">
        <v>253.17</v>
      </c>
      <c r="F304">
        <v>0</v>
      </c>
      <c r="G304">
        <v>-4177.384</v>
      </c>
      <c r="H304">
        <v>0</v>
      </c>
      <c r="I304">
        <v>0</v>
      </c>
    </row>
    <row r="305" spans="1:9" x14ac:dyDescent="0.25">
      <c r="A305" t="s">
        <v>157</v>
      </c>
      <c r="B305" t="s">
        <v>172</v>
      </c>
      <c r="C305" t="s">
        <v>10</v>
      </c>
      <c r="D305">
        <v>0</v>
      </c>
      <c r="E305">
        <v>253.17</v>
      </c>
      <c r="F305">
        <v>0</v>
      </c>
      <c r="G305">
        <v>-4177.384</v>
      </c>
      <c r="H305">
        <v>0</v>
      </c>
      <c r="I305">
        <v>1012.699</v>
      </c>
    </row>
    <row r="306" spans="1:9" x14ac:dyDescent="0.25">
      <c r="A306" t="s">
        <v>157</v>
      </c>
      <c r="B306" t="s">
        <v>173</v>
      </c>
      <c r="C306" t="s">
        <v>25</v>
      </c>
      <c r="D306">
        <v>0</v>
      </c>
      <c r="E306">
        <v>253.17</v>
      </c>
      <c r="F306">
        <v>0</v>
      </c>
      <c r="G306">
        <v>-3417.86</v>
      </c>
      <c r="H306">
        <v>0</v>
      </c>
      <c r="I306">
        <v>0</v>
      </c>
    </row>
    <row r="307" spans="1:9" x14ac:dyDescent="0.25">
      <c r="A307" t="s">
        <v>157</v>
      </c>
      <c r="B307" t="s">
        <v>173</v>
      </c>
      <c r="C307" t="s">
        <v>10</v>
      </c>
      <c r="D307">
        <v>0</v>
      </c>
      <c r="E307">
        <v>253.17</v>
      </c>
      <c r="F307">
        <v>0</v>
      </c>
      <c r="G307">
        <v>-3417.86</v>
      </c>
      <c r="H307">
        <v>0</v>
      </c>
      <c r="I307">
        <v>1012.699</v>
      </c>
    </row>
    <row r="308" spans="1:9" x14ac:dyDescent="0.25">
      <c r="A308" t="s">
        <v>157</v>
      </c>
      <c r="B308" t="s">
        <v>174</v>
      </c>
      <c r="C308" t="s">
        <v>25</v>
      </c>
      <c r="D308">
        <v>0</v>
      </c>
      <c r="E308">
        <v>0</v>
      </c>
      <c r="F308">
        <v>-306.02999999999997</v>
      </c>
      <c r="G308">
        <v>-6059.3280000000004</v>
      </c>
      <c r="H308">
        <v>0</v>
      </c>
      <c r="I308">
        <v>0</v>
      </c>
    </row>
    <row r="309" spans="1:9" x14ac:dyDescent="0.25">
      <c r="A309" t="s">
        <v>157</v>
      </c>
      <c r="B309" t="s">
        <v>174</v>
      </c>
      <c r="C309" t="s">
        <v>10</v>
      </c>
      <c r="D309">
        <v>0</v>
      </c>
      <c r="E309">
        <v>0</v>
      </c>
      <c r="F309">
        <v>-306.02999999999997</v>
      </c>
      <c r="G309">
        <v>-6059.3280000000004</v>
      </c>
      <c r="H309">
        <v>1224.107</v>
      </c>
      <c r="I309">
        <v>0</v>
      </c>
    </row>
    <row r="310" spans="1:9" x14ac:dyDescent="0.25">
      <c r="A310" t="s">
        <v>157</v>
      </c>
      <c r="B310" t="s">
        <v>175</v>
      </c>
      <c r="C310" t="s">
        <v>25</v>
      </c>
      <c r="D310">
        <v>0</v>
      </c>
      <c r="E310">
        <v>0</v>
      </c>
      <c r="F310">
        <v>-306.02999999999997</v>
      </c>
      <c r="G310">
        <v>-4957.6319999999996</v>
      </c>
      <c r="H310">
        <v>0</v>
      </c>
      <c r="I310">
        <v>0</v>
      </c>
    </row>
    <row r="311" spans="1:9" x14ac:dyDescent="0.25">
      <c r="A311" t="s">
        <v>157</v>
      </c>
      <c r="B311" t="s">
        <v>175</v>
      </c>
      <c r="C311" t="s">
        <v>10</v>
      </c>
      <c r="D311">
        <v>0</v>
      </c>
      <c r="E311">
        <v>0</v>
      </c>
      <c r="F311">
        <v>-306.02999999999997</v>
      </c>
      <c r="G311">
        <v>-4957.6319999999996</v>
      </c>
      <c r="H311">
        <v>1224.107</v>
      </c>
      <c r="I311">
        <v>0</v>
      </c>
    </row>
    <row r="312" spans="1:9" x14ac:dyDescent="0.25">
      <c r="A312" t="s">
        <v>157</v>
      </c>
      <c r="B312" t="s">
        <v>176</v>
      </c>
      <c r="C312" t="s">
        <v>25</v>
      </c>
      <c r="D312">
        <v>0</v>
      </c>
      <c r="E312">
        <v>0</v>
      </c>
      <c r="F312">
        <v>306.02999999999997</v>
      </c>
      <c r="G312">
        <v>6059.3280000000004</v>
      </c>
      <c r="H312">
        <v>0</v>
      </c>
      <c r="I312">
        <v>0</v>
      </c>
    </row>
    <row r="313" spans="1:9" x14ac:dyDescent="0.25">
      <c r="A313" t="s">
        <v>157</v>
      </c>
      <c r="B313" t="s">
        <v>176</v>
      </c>
      <c r="C313" t="s">
        <v>10</v>
      </c>
      <c r="D313">
        <v>0</v>
      </c>
      <c r="E313">
        <v>0</v>
      </c>
      <c r="F313">
        <v>306.02999999999997</v>
      </c>
      <c r="G313">
        <v>6059.3280000000004</v>
      </c>
      <c r="H313">
        <v>-1224.107</v>
      </c>
      <c r="I313">
        <v>0</v>
      </c>
    </row>
    <row r="314" spans="1:9" x14ac:dyDescent="0.25">
      <c r="A314" t="s">
        <v>157</v>
      </c>
      <c r="B314" t="s">
        <v>177</v>
      </c>
      <c r="C314" t="s">
        <v>25</v>
      </c>
      <c r="D314">
        <v>0</v>
      </c>
      <c r="E314">
        <v>0</v>
      </c>
      <c r="F314">
        <v>306.02999999999997</v>
      </c>
      <c r="G314">
        <v>4957.6319999999996</v>
      </c>
      <c r="H314">
        <v>0</v>
      </c>
      <c r="I314">
        <v>0</v>
      </c>
    </row>
    <row r="315" spans="1:9" x14ac:dyDescent="0.25">
      <c r="A315" t="s">
        <v>157</v>
      </c>
      <c r="B315" t="s">
        <v>177</v>
      </c>
      <c r="C315" t="s">
        <v>10</v>
      </c>
      <c r="D315">
        <v>0</v>
      </c>
      <c r="E315">
        <v>0</v>
      </c>
      <c r="F315">
        <v>306.02999999999997</v>
      </c>
      <c r="G315">
        <v>4957.6319999999996</v>
      </c>
      <c r="H315">
        <v>-1224.107</v>
      </c>
      <c r="I315">
        <v>0</v>
      </c>
    </row>
    <row r="316" spans="1:9" x14ac:dyDescent="0.25">
      <c r="A316" t="s">
        <v>157</v>
      </c>
      <c r="B316" t="s">
        <v>178</v>
      </c>
      <c r="C316" t="s">
        <v>25</v>
      </c>
      <c r="D316">
        <v>0</v>
      </c>
      <c r="E316">
        <v>-75.95</v>
      </c>
      <c r="F316">
        <v>0</v>
      </c>
      <c r="G316">
        <v>1253.2149999999999</v>
      </c>
      <c r="H316">
        <v>0</v>
      </c>
      <c r="I316">
        <v>0</v>
      </c>
    </row>
    <row r="317" spans="1:9" x14ac:dyDescent="0.25">
      <c r="A317" t="s">
        <v>157</v>
      </c>
      <c r="B317" t="s">
        <v>178</v>
      </c>
      <c r="C317" t="s">
        <v>10</v>
      </c>
      <c r="D317">
        <v>0</v>
      </c>
      <c r="E317">
        <v>-75.95</v>
      </c>
      <c r="F317">
        <v>0</v>
      </c>
      <c r="G317">
        <v>1253.2149999999999</v>
      </c>
      <c r="H317">
        <v>0</v>
      </c>
      <c r="I317">
        <v>-303.81</v>
      </c>
    </row>
    <row r="318" spans="1:9" x14ac:dyDescent="0.25">
      <c r="A318" t="s">
        <v>157</v>
      </c>
      <c r="B318" t="s">
        <v>179</v>
      </c>
      <c r="C318" t="s">
        <v>25</v>
      </c>
      <c r="D318">
        <v>0</v>
      </c>
      <c r="E318">
        <v>-75.95</v>
      </c>
      <c r="F318">
        <v>0</v>
      </c>
      <c r="G318">
        <v>1025.3579999999999</v>
      </c>
      <c r="H318">
        <v>0</v>
      </c>
      <c r="I318">
        <v>0</v>
      </c>
    </row>
    <row r="319" spans="1:9" x14ac:dyDescent="0.25">
      <c r="A319" t="s">
        <v>157</v>
      </c>
      <c r="B319" t="s">
        <v>179</v>
      </c>
      <c r="C319" t="s">
        <v>10</v>
      </c>
      <c r="D319">
        <v>0</v>
      </c>
      <c r="E319">
        <v>-75.95</v>
      </c>
      <c r="F319">
        <v>0</v>
      </c>
      <c r="G319">
        <v>1025.3579999999999</v>
      </c>
      <c r="H319">
        <v>0</v>
      </c>
      <c r="I319">
        <v>-303.81</v>
      </c>
    </row>
    <row r="320" spans="1:9" x14ac:dyDescent="0.25">
      <c r="A320" t="s">
        <v>157</v>
      </c>
      <c r="B320" t="s">
        <v>180</v>
      </c>
      <c r="C320" t="s">
        <v>25</v>
      </c>
      <c r="D320">
        <v>0</v>
      </c>
      <c r="E320">
        <v>75.95</v>
      </c>
      <c r="F320">
        <v>0</v>
      </c>
      <c r="G320">
        <v>-1253.2149999999999</v>
      </c>
      <c r="H320">
        <v>0</v>
      </c>
      <c r="I320">
        <v>0</v>
      </c>
    </row>
    <row r="321" spans="1:9" x14ac:dyDescent="0.25">
      <c r="A321" t="s">
        <v>157</v>
      </c>
      <c r="B321" t="s">
        <v>180</v>
      </c>
      <c r="C321" t="s">
        <v>10</v>
      </c>
      <c r="D321">
        <v>0</v>
      </c>
      <c r="E321">
        <v>75.95</v>
      </c>
      <c r="F321">
        <v>0</v>
      </c>
      <c r="G321">
        <v>-1253.2149999999999</v>
      </c>
      <c r="H321">
        <v>0</v>
      </c>
      <c r="I321">
        <v>303.81</v>
      </c>
    </row>
    <row r="322" spans="1:9" x14ac:dyDescent="0.25">
      <c r="A322" t="s">
        <v>157</v>
      </c>
      <c r="B322" t="s">
        <v>181</v>
      </c>
      <c r="C322" t="s">
        <v>25</v>
      </c>
      <c r="D322">
        <v>0</v>
      </c>
      <c r="E322">
        <v>75.95</v>
      </c>
      <c r="F322">
        <v>0</v>
      </c>
      <c r="G322">
        <v>-1025.3579999999999</v>
      </c>
      <c r="H322">
        <v>0</v>
      </c>
      <c r="I322">
        <v>0</v>
      </c>
    </row>
    <row r="323" spans="1:9" x14ac:dyDescent="0.25">
      <c r="A323" t="s">
        <v>157</v>
      </c>
      <c r="B323" t="s">
        <v>181</v>
      </c>
      <c r="C323" t="s">
        <v>10</v>
      </c>
      <c r="D323">
        <v>0</v>
      </c>
      <c r="E323">
        <v>75.95</v>
      </c>
      <c r="F323">
        <v>0</v>
      </c>
      <c r="G323">
        <v>-1025.3579999999999</v>
      </c>
      <c r="H323">
        <v>0</v>
      </c>
      <c r="I323">
        <v>303.81</v>
      </c>
    </row>
    <row r="324" spans="1:9" x14ac:dyDescent="0.25">
      <c r="A324" t="s">
        <v>157</v>
      </c>
      <c r="B324" t="s">
        <v>182</v>
      </c>
      <c r="C324" t="s">
        <v>25</v>
      </c>
      <c r="D324">
        <v>0</v>
      </c>
      <c r="E324">
        <v>0</v>
      </c>
      <c r="F324">
        <v>-91.81</v>
      </c>
      <c r="G324">
        <v>-1817.798</v>
      </c>
      <c r="H324">
        <v>0</v>
      </c>
      <c r="I324">
        <v>0</v>
      </c>
    </row>
    <row r="325" spans="1:9" x14ac:dyDescent="0.25">
      <c r="A325" t="s">
        <v>157</v>
      </c>
      <c r="B325" t="s">
        <v>182</v>
      </c>
      <c r="C325" t="s">
        <v>10</v>
      </c>
      <c r="D325">
        <v>0</v>
      </c>
      <c r="E325">
        <v>0</v>
      </c>
      <c r="F325">
        <v>-91.81</v>
      </c>
      <c r="G325">
        <v>-1817.798</v>
      </c>
      <c r="H325">
        <v>367.23200000000003</v>
      </c>
      <c r="I325">
        <v>0</v>
      </c>
    </row>
    <row r="326" spans="1:9" x14ac:dyDescent="0.25">
      <c r="A326" t="s">
        <v>157</v>
      </c>
      <c r="B326" t="s">
        <v>183</v>
      </c>
      <c r="C326" t="s">
        <v>25</v>
      </c>
      <c r="D326">
        <v>0</v>
      </c>
      <c r="E326">
        <v>0</v>
      </c>
      <c r="F326">
        <v>-91.81</v>
      </c>
      <c r="G326">
        <v>-1487.29</v>
      </c>
      <c r="H326">
        <v>0</v>
      </c>
      <c r="I326">
        <v>0</v>
      </c>
    </row>
    <row r="327" spans="1:9" x14ac:dyDescent="0.25">
      <c r="A327" t="s">
        <v>157</v>
      </c>
      <c r="B327" t="s">
        <v>183</v>
      </c>
      <c r="C327" t="s">
        <v>10</v>
      </c>
      <c r="D327">
        <v>0</v>
      </c>
      <c r="E327">
        <v>0</v>
      </c>
      <c r="F327">
        <v>-91.81</v>
      </c>
      <c r="G327">
        <v>-1487.29</v>
      </c>
      <c r="H327">
        <v>367.23200000000003</v>
      </c>
      <c r="I327">
        <v>0</v>
      </c>
    </row>
    <row r="328" spans="1:9" x14ac:dyDescent="0.25">
      <c r="A328" t="s">
        <v>157</v>
      </c>
      <c r="B328" t="s">
        <v>184</v>
      </c>
      <c r="C328" t="s">
        <v>25</v>
      </c>
      <c r="D328">
        <v>0</v>
      </c>
      <c r="E328">
        <v>0</v>
      </c>
      <c r="F328">
        <v>91.81</v>
      </c>
      <c r="G328">
        <v>1817.798</v>
      </c>
      <c r="H328">
        <v>0</v>
      </c>
      <c r="I328">
        <v>0</v>
      </c>
    </row>
    <row r="329" spans="1:9" x14ac:dyDescent="0.25">
      <c r="A329" t="s">
        <v>157</v>
      </c>
      <c r="B329" t="s">
        <v>184</v>
      </c>
      <c r="C329" t="s">
        <v>10</v>
      </c>
      <c r="D329">
        <v>0</v>
      </c>
      <c r="E329">
        <v>0</v>
      </c>
      <c r="F329">
        <v>91.81</v>
      </c>
      <c r="G329">
        <v>1817.798</v>
      </c>
      <c r="H329">
        <v>-367.23200000000003</v>
      </c>
      <c r="I329">
        <v>0</v>
      </c>
    </row>
    <row r="330" spans="1:9" x14ac:dyDescent="0.25">
      <c r="A330" t="s">
        <v>157</v>
      </c>
      <c r="B330" t="s">
        <v>185</v>
      </c>
      <c r="C330" t="s">
        <v>25</v>
      </c>
      <c r="D330">
        <v>0</v>
      </c>
      <c r="E330">
        <v>0</v>
      </c>
      <c r="F330">
        <v>91.81</v>
      </c>
      <c r="G330">
        <v>1487.29</v>
      </c>
      <c r="H330">
        <v>0</v>
      </c>
      <c r="I330">
        <v>0</v>
      </c>
    </row>
    <row r="331" spans="1:9" x14ac:dyDescent="0.25">
      <c r="A331" t="s">
        <v>157</v>
      </c>
      <c r="B331" t="s">
        <v>185</v>
      </c>
      <c r="C331" t="s">
        <v>10</v>
      </c>
      <c r="D331">
        <v>0</v>
      </c>
      <c r="E331">
        <v>0</v>
      </c>
      <c r="F331">
        <v>91.81</v>
      </c>
      <c r="G331">
        <v>1487.29</v>
      </c>
      <c r="H331">
        <v>-367.23200000000003</v>
      </c>
      <c r="I331">
        <v>0</v>
      </c>
    </row>
    <row r="332" spans="1:9" x14ac:dyDescent="0.25">
      <c r="A332" t="s">
        <v>157</v>
      </c>
      <c r="B332" t="s">
        <v>186</v>
      </c>
      <c r="C332" t="s">
        <v>25</v>
      </c>
      <c r="D332">
        <v>0</v>
      </c>
      <c r="E332">
        <v>-75.95</v>
      </c>
      <c r="F332">
        <v>0</v>
      </c>
      <c r="G332">
        <v>1253.2149999999999</v>
      </c>
      <c r="H332">
        <v>0</v>
      </c>
      <c r="I332">
        <v>0</v>
      </c>
    </row>
    <row r="333" spans="1:9" x14ac:dyDescent="0.25">
      <c r="A333" t="s">
        <v>157</v>
      </c>
      <c r="B333" t="s">
        <v>186</v>
      </c>
      <c r="C333" t="s">
        <v>10</v>
      </c>
      <c r="D333">
        <v>0</v>
      </c>
      <c r="E333">
        <v>-75.95</v>
      </c>
      <c r="F333">
        <v>0</v>
      </c>
      <c r="G333">
        <v>1253.2149999999999</v>
      </c>
      <c r="H333">
        <v>0</v>
      </c>
      <c r="I333">
        <v>-303.81</v>
      </c>
    </row>
    <row r="334" spans="1:9" x14ac:dyDescent="0.25">
      <c r="A334" t="s">
        <v>157</v>
      </c>
      <c r="B334" t="s">
        <v>187</v>
      </c>
      <c r="C334" t="s">
        <v>25</v>
      </c>
      <c r="D334">
        <v>0</v>
      </c>
      <c r="E334">
        <v>-75.95</v>
      </c>
      <c r="F334">
        <v>0</v>
      </c>
      <c r="G334">
        <v>1025.3579999999999</v>
      </c>
      <c r="H334">
        <v>0</v>
      </c>
      <c r="I334">
        <v>0</v>
      </c>
    </row>
    <row r="335" spans="1:9" x14ac:dyDescent="0.25">
      <c r="A335" t="s">
        <v>157</v>
      </c>
      <c r="B335" t="s">
        <v>187</v>
      </c>
      <c r="C335" t="s">
        <v>10</v>
      </c>
      <c r="D335">
        <v>0</v>
      </c>
      <c r="E335">
        <v>-75.95</v>
      </c>
      <c r="F335">
        <v>0</v>
      </c>
      <c r="G335">
        <v>1025.3579999999999</v>
      </c>
      <c r="H335">
        <v>0</v>
      </c>
      <c r="I335">
        <v>-303.81</v>
      </c>
    </row>
    <row r="336" spans="1:9" x14ac:dyDescent="0.25">
      <c r="A336" t="s">
        <v>157</v>
      </c>
      <c r="B336" t="s">
        <v>188</v>
      </c>
      <c r="C336" t="s">
        <v>25</v>
      </c>
      <c r="D336">
        <v>0</v>
      </c>
      <c r="E336">
        <v>75.95</v>
      </c>
      <c r="F336">
        <v>0</v>
      </c>
      <c r="G336">
        <v>-1253.2149999999999</v>
      </c>
      <c r="H336">
        <v>0</v>
      </c>
      <c r="I336">
        <v>0</v>
      </c>
    </row>
    <row r="337" spans="1:9" x14ac:dyDescent="0.25">
      <c r="A337" t="s">
        <v>157</v>
      </c>
      <c r="B337" t="s">
        <v>188</v>
      </c>
      <c r="C337" t="s">
        <v>10</v>
      </c>
      <c r="D337">
        <v>0</v>
      </c>
      <c r="E337">
        <v>75.95</v>
      </c>
      <c r="F337">
        <v>0</v>
      </c>
      <c r="G337">
        <v>-1253.2149999999999</v>
      </c>
      <c r="H337">
        <v>0</v>
      </c>
      <c r="I337">
        <v>303.81</v>
      </c>
    </row>
    <row r="338" spans="1:9" x14ac:dyDescent="0.25">
      <c r="A338" t="s">
        <v>157</v>
      </c>
      <c r="B338" t="s">
        <v>189</v>
      </c>
      <c r="C338" t="s">
        <v>25</v>
      </c>
      <c r="D338">
        <v>0</v>
      </c>
      <c r="E338">
        <v>75.95</v>
      </c>
      <c r="F338">
        <v>0</v>
      </c>
      <c r="G338">
        <v>-1025.3579999999999</v>
      </c>
      <c r="H338">
        <v>0</v>
      </c>
      <c r="I338">
        <v>0</v>
      </c>
    </row>
    <row r="339" spans="1:9" x14ac:dyDescent="0.25">
      <c r="A339" t="s">
        <v>157</v>
      </c>
      <c r="B339" t="s">
        <v>189</v>
      </c>
      <c r="C339" t="s">
        <v>10</v>
      </c>
      <c r="D339">
        <v>0</v>
      </c>
      <c r="E339">
        <v>75.95</v>
      </c>
      <c r="F339">
        <v>0</v>
      </c>
      <c r="G339">
        <v>-1025.3579999999999</v>
      </c>
      <c r="H339">
        <v>0</v>
      </c>
      <c r="I339">
        <v>303.81</v>
      </c>
    </row>
    <row r="340" spans="1:9" x14ac:dyDescent="0.25">
      <c r="A340" t="s">
        <v>157</v>
      </c>
      <c r="B340" t="s">
        <v>190</v>
      </c>
      <c r="C340" t="s">
        <v>25</v>
      </c>
      <c r="D340">
        <v>0</v>
      </c>
      <c r="E340">
        <v>0</v>
      </c>
      <c r="F340">
        <v>-91.81</v>
      </c>
      <c r="G340">
        <v>-1817.798</v>
      </c>
      <c r="H340">
        <v>0</v>
      </c>
      <c r="I340">
        <v>0</v>
      </c>
    </row>
    <row r="341" spans="1:9" x14ac:dyDescent="0.25">
      <c r="A341" t="s">
        <v>157</v>
      </c>
      <c r="B341" t="s">
        <v>190</v>
      </c>
      <c r="C341" t="s">
        <v>10</v>
      </c>
      <c r="D341">
        <v>0</v>
      </c>
      <c r="E341">
        <v>0</v>
      </c>
      <c r="F341">
        <v>-91.81</v>
      </c>
      <c r="G341">
        <v>-1817.798</v>
      </c>
      <c r="H341">
        <v>367.23200000000003</v>
      </c>
      <c r="I341">
        <v>0</v>
      </c>
    </row>
    <row r="342" spans="1:9" x14ac:dyDescent="0.25">
      <c r="A342" t="s">
        <v>157</v>
      </c>
      <c r="B342" t="s">
        <v>191</v>
      </c>
      <c r="C342" t="s">
        <v>25</v>
      </c>
      <c r="D342">
        <v>0</v>
      </c>
      <c r="E342">
        <v>0</v>
      </c>
      <c r="F342">
        <v>-91.81</v>
      </c>
      <c r="G342">
        <v>-1487.29</v>
      </c>
      <c r="H342">
        <v>0</v>
      </c>
      <c r="I342">
        <v>0</v>
      </c>
    </row>
    <row r="343" spans="1:9" x14ac:dyDescent="0.25">
      <c r="A343" t="s">
        <v>157</v>
      </c>
      <c r="B343" t="s">
        <v>191</v>
      </c>
      <c r="C343" t="s">
        <v>10</v>
      </c>
      <c r="D343">
        <v>0</v>
      </c>
      <c r="E343">
        <v>0</v>
      </c>
      <c r="F343">
        <v>-91.81</v>
      </c>
      <c r="G343">
        <v>-1487.29</v>
      </c>
      <c r="H343">
        <v>367.23200000000003</v>
      </c>
      <c r="I343">
        <v>0</v>
      </c>
    </row>
    <row r="344" spans="1:9" x14ac:dyDescent="0.25">
      <c r="A344" t="s">
        <v>157</v>
      </c>
      <c r="B344" t="s">
        <v>192</v>
      </c>
      <c r="C344" t="s">
        <v>25</v>
      </c>
      <c r="D344">
        <v>0</v>
      </c>
      <c r="E344">
        <v>0</v>
      </c>
      <c r="F344">
        <v>91.81</v>
      </c>
      <c r="G344">
        <v>1817.798</v>
      </c>
      <c r="H344">
        <v>0</v>
      </c>
      <c r="I344">
        <v>0</v>
      </c>
    </row>
    <row r="345" spans="1:9" x14ac:dyDescent="0.25">
      <c r="A345" t="s">
        <v>157</v>
      </c>
      <c r="B345" t="s">
        <v>192</v>
      </c>
      <c r="C345" t="s">
        <v>10</v>
      </c>
      <c r="D345">
        <v>0</v>
      </c>
      <c r="E345">
        <v>0</v>
      </c>
      <c r="F345">
        <v>91.81</v>
      </c>
      <c r="G345">
        <v>1817.798</v>
      </c>
      <c r="H345">
        <v>-367.23200000000003</v>
      </c>
      <c r="I345">
        <v>0</v>
      </c>
    </row>
    <row r="346" spans="1:9" x14ac:dyDescent="0.25">
      <c r="A346" t="s">
        <v>157</v>
      </c>
      <c r="B346" t="s">
        <v>193</v>
      </c>
      <c r="C346" t="s">
        <v>25</v>
      </c>
      <c r="D346">
        <v>0</v>
      </c>
      <c r="E346">
        <v>0</v>
      </c>
      <c r="F346">
        <v>91.81</v>
      </c>
      <c r="G346">
        <v>1487.29</v>
      </c>
      <c r="H346">
        <v>0</v>
      </c>
      <c r="I346">
        <v>0</v>
      </c>
    </row>
    <row r="347" spans="1:9" x14ac:dyDescent="0.25">
      <c r="A347" t="s">
        <v>157</v>
      </c>
      <c r="B347" t="s">
        <v>193</v>
      </c>
      <c r="C347" t="s">
        <v>10</v>
      </c>
      <c r="D347">
        <v>0</v>
      </c>
      <c r="E347">
        <v>0</v>
      </c>
      <c r="F347">
        <v>91.81</v>
      </c>
      <c r="G347">
        <v>1487.29</v>
      </c>
      <c r="H347">
        <v>-367.23200000000003</v>
      </c>
      <c r="I347">
        <v>0</v>
      </c>
    </row>
    <row r="348" spans="1:9" x14ac:dyDescent="0.25">
      <c r="A348" t="s">
        <v>157</v>
      </c>
      <c r="B348" t="s">
        <v>194</v>
      </c>
      <c r="C348" t="s">
        <v>25</v>
      </c>
      <c r="D348">
        <v>0</v>
      </c>
      <c r="E348">
        <v>-253.17</v>
      </c>
      <c r="F348">
        <v>0</v>
      </c>
      <c r="G348">
        <v>4177.384</v>
      </c>
      <c r="H348">
        <v>0</v>
      </c>
      <c r="I348">
        <v>0</v>
      </c>
    </row>
    <row r="349" spans="1:9" x14ac:dyDescent="0.25">
      <c r="A349" t="s">
        <v>157</v>
      </c>
      <c r="B349" t="s">
        <v>194</v>
      </c>
      <c r="C349" t="s">
        <v>10</v>
      </c>
      <c r="D349">
        <v>0</v>
      </c>
      <c r="E349">
        <v>-253.17</v>
      </c>
      <c r="F349">
        <v>0</v>
      </c>
      <c r="G349">
        <v>4177.384</v>
      </c>
      <c r="H349">
        <v>0</v>
      </c>
      <c r="I349">
        <v>-1012.699</v>
      </c>
    </row>
    <row r="350" spans="1:9" x14ac:dyDescent="0.25">
      <c r="A350" t="s">
        <v>157</v>
      </c>
      <c r="B350" t="s">
        <v>195</v>
      </c>
      <c r="C350" t="s">
        <v>25</v>
      </c>
      <c r="D350">
        <v>0</v>
      </c>
      <c r="E350">
        <v>-253.17</v>
      </c>
      <c r="F350">
        <v>0</v>
      </c>
      <c r="G350">
        <v>3417.86</v>
      </c>
      <c r="H350">
        <v>0</v>
      </c>
      <c r="I350">
        <v>0</v>
      </c>
    </row>
    <row r="351" spans="1:9" x14ac:dyDescent="0.25">
      <c r="A351" t="s">
        <v>157</v>
      </c>
      <c r="B351" t="s">
        <v>195</v>
      </c>
      <c r="C351" t="s">
        <v>10</v>
      </c>
      <c r="D351">
        <v>0</v>
      </c>
      <c r="E351">
        <v>-253.17</v>
      </c>
      <c r="F351">
        <v>0</v>
      </c>
      <c r="G351">
        <v>3417.86</v>
      </c>
      <c r="H351">
        <v>0</v>
      </c>
      <c r="I351">
        <v>-1012.699</v>
      </c>
    </row>
    <row r="352" spans="1:9" x14ac:dyDescent="0.25">
      <c r="A352" t="s">
        <v>157</v>
      </c>
      <c r="B352" t="s">
        <v>196</v>
      </c>
      <c r="C352" t="s">
        <v>25</v>
      </c>
      <c r="D352">
        <v>0</v>
      </c>
      <c r="E352">
        <v>253.17</v>
      </c>
      <c r="F352">
        <v>0</v>
      </c>
      <c r="G352">
        <v>-4177.384</v>
      </c>
      <c r="H352">
        <v>0</v>
      </c>
      <c r="I352">
        <v>0</v>
      </c>
    </row>
    <row r="353" spans="1:9" x14ac:dyDescent="0.25">
      <c r="A353" t="s">
        <v>157</v>
      </c>
      <c r="B353" t="s">
        <v>196</v>
      </c>
      <c r="C353" t="s">
        <v>10</v>
      </c>
      <c r="D353">
        <v>0</v>
      </c>
      <c r="E353">
        <v>253.17</v>
      </c>
      <c r="F353">
        <v>0</v>
      </c>
      <c r="G353">
        <v>-4177.384</v>
      </c>
      <c r="H353">
        <v>0</v>
      </c>
      <c r="I353">
        <v>1012.699</v>
      </c>
    </row>
    <row r="354" spans="1:9" x14ac:dyDescent="0.25">
      <c r="A354" t="s">
        <v>157</v>
      </c>
      <c r="B354" t="s">
        <v>197</v>
      </c>
      <c r="C354" t="s">
        <v>25</v>
      </c>
      <c r="D354">
        <v>0</v>
      </c>
      <c r="E354">
        <v>253.17</v>
      </c>
      <c r="F354">
        <v>0</v>
      </c>
      <c r="G354">
        <v>-3417.86</v>
      </c>
      <c r="H354">
        <v>0</v>
      </c>
      <c r="I354">
        <v>0</v>
      </c>
    </row>
    <row r="355" spans="1:9" x14ac:dyDescent="0.25">
      <c r="A355" t="s">
        <v>157</v>
      </c>
      <c r="B355" t="s">
        <v>197</v>
      </c>
      <c r="C355" t="s">
        <v>10</v>
      </c>
      <c r="D355">
        <v>0</v>
      </c>
      <c r="E355">
        <v>253.17</v>
      </c>
      <c r="F355">
        <v>0</v>
      </c>
      <c r="G355">
        <v>-3417.86</v>
      </c>
      <c r="H355">
        <v>0</v>
      </c>
      <c r="I355">
        <v>1012.699</v>
      </c>
    </row>
    <row r="356" spans="1:9" x14ac:dyDescent="0.25">
      <c r="A356" t="s">
        <v>157</v>
      </c>
      <c r="B356" t="s">
        <v>198</v>
      </c>
      <c r="C356" t="s">
        <v>25</v>
      </c>
      <c r="D356">
        <v>0</v>
      </c>
      <c r="E356">
        <v>0</v>
      </c>
      <c r="F356">
        <v>-306.02999999999997</v>
      </c>
      <c r="G356">
        <v>-6059.3280000000004</v>
      </c>
      <c r="H356">
        <v>0</v>
      </c>
      <c r="I356">
        <v>0</v>
      </c>
    </row>
    <row r="357" spans="1:9" x14ac:dyDescent="0.25">
      <c r="A357" t="s">
        <v>157</v>
      </c>
      <c r="B357" t="s">
        <v>198</v>
      </c>
      <c r="C357" t="s">
        <v>10</v>
      </c>
      <c r="D357">
        <v>0</v>
      </c>
      <c r="E357">
        <v>0</v>
      </c>
      <c r="F357">
        <v>-306.02999999999997</v>
      </c>
      <c r="G357">
        <v>-6059.3280000000004</v>
      </c>
      <c r="H357">
        <v>1224.107</v>
      </c>
      <c r="I357">
        <v>0</v>
      </c>
    </row>
    <row r="358" spans="1:9" x14ac:dyDescent="0.25">
      <c r="A358" t="s">
        <v>157</v>
      </c>
      <c r="B358" t="s">
        <v>199</v>
      </c>
      <c r="C358" t="s">
        <v>25</v>
      </c>
      <c r="D358">
        <v>0</v>
      </c>
      <c r="E358">
        <v>0</v>
      </c>
      <c r="F358">
        <v>-306.02999999999997</v>
      </c>
      <c r="G358">
        <v>-4957.6319999999996</v>
      </c>
      <c r="H358">
        <v>0</v>
      </c>
      <c r="I358">
        <v>0</v>
      </c>
    </row>
    <row r="359" spans="1:9" x14ac:dyDescent="0.25">
      <c r="A359" t="s">
        <v>157</v>
      </c>
      <c r="B359" t="s">
        <v>199</v>
      </c>
      <c r="C359" t="s">
        <v>10</v>
      </c>
      <c r="D359">
        <v>0</v>
      </c>
      <c r="E359">
        <v>0</v>
      </c>
      <c r="F359">
        <v>-306.02999999999997</v>
      </c>
      <c r="G359">
        <v>-4957.6319999999996</v>
      </c>
      <c r="H359">
        <v>1224.107</v>
      </c>
      <c r="I359">
        <v>0</v>
      </c>
    </row>
    <row r="360" spans="1:9" x14ac:dyDescent="0.25">
      <c r="A360" t="s">
        <v>157</v>
      </c>
      <c r="B360" t="s">
        <v>200</v>
      </c>
      <c r="C360" t="s">
        <v>25</v>
      </c>
      <c r="D360">
        <v>0</v>
      </c>
      <c r="E360">
        <v>0</v>
      </c>
      <c r="F360">
        <v>306.02999999999997</v>
      </c>
      <c r="G360">
        <v>6059.3280000000004</v>
      </c>
      <c r="H360">
        <v>0</v>
      </c>
      <c r="I360">
        <v>0</v>
      </c>
    </row>
    <row r="361" spans="1:9" x14ac:dyDescent="0.25">
      <c r="A361" t="s">
        <v>157</v>
      </c>
      <c r="B361" t="s">
        <v>200</v>
      </c>
      <c r="C361" t="s">
        <v>10</v>
      </c>
      <c r="D361">
        <v>0</v>
      </c>
      <c r="E361">
        <v>0</v>
      </c>
      <c r="F361">
        <v>306.02999999999997</v>
      </c>
      <c r="G361">
        <v>6059.3280000000004</v>
      </c>
      <c r="H361">
        <v>-1224.107</v>
      </c>
      <c r="I361">
        <v>0</v>
      </c>
    </row>
    <row r="362" spans="1:9" x14ac:dyDescent="0.25">
      <c r="A362" t="s">
        <v>157</v>
      </c>
      <c r="B362" t="s">
        <v>201</v>
      </c>
      <c r="C362" t="s">
        <v>25</v>
      </c>
      <c r="D362">
        <v>0</v>
      </c>
      <c r="E362">
        <v>0</v>
      </c>
      <c r="F362">
        <v>306.02999999999997</v>
      </c>
      <c r="G362">
        <v>4957.6319999999996</v>
      </c>
      <c r="H362">
        <v>0</v>
      </c>
      <c r="I362">
        <v>0</v>
      </c>
    </row>
    <row r="363" spans="1:9" x14ac:dyDescent="0.25">
      <c r="A363" t="s">
        <v>157</v>
      </c>
      <c r="B363" t="s">
        <v>201</v>
      </c>
      <c r="C363" t="s">
        <v>10</v>
      </c>
      <c r="D363">
        <v>0</v>
      </c>
      <c r="E363">
        <v>0</v>
      </c>
      <c r="F363">
        <v>306.02999999999997</v>
      </c>
      <c r="G363">
        <v>4957.6319999999996</v>
      </c>
      <c r="H363">
        <v>-1224.107</v>
      </c>
      <c r="I363">
        <v>0</v>
      </c>
    </row>
    <row r="364" spans="1:9" x14ac:dyDescent="0.25">
      <c r="A364" t="s">
        <v>157</v>
      </c>
      <c r="B364" t="s">
        <v>202</v>
      </c>
      <c r="C364" t="s">
        <v>25</v>
      </c>
      <c r="D364">
        <v>0</v>
      </c>
      <c r="E364">
        <v>-253.17</v>
      </c>
      <c r="F364">
        <v>0</v>
      </c>
      <c r="G364">
        <v>4177.384</v>
      </c>
      <c r="H364">
        <v>0</v>
      </c>
      <c r="I364">
        <v>0</v>
      </c>
    </row>
    <row r="365" spans="1:9" x14ac:dyDescent="0.25">
      <c r="A365" t="s">
        <v>157</v>
      </c>
      <c r="B365" t="s">
        <v>202</v>
      </c>
      <c r="C365" t="s">
        <v>10</v>
      </c>
      <c r="D365">
        <v>0</v>
      </c>
      <c r="E365">
        <v>-253.17</v>
      </c>
      <c r="F365">
        <v>0</v>
      </c>
      <c r="G365">
        <v>4177.384</v>
      </c>
      <c r="H365">
        <v>0</v>
      </c>
      <c r="I365">
        <v>-1012.699</v>
      </c>
    </row>
    <row r="366" spans="1:9" x14ac:dyDescent="0.25">
      <c r="A366" t="s">
        <v>157</v>
      </c>
      <c r="B366" t="s">
        <v>203</v>
      </c>
      <c r="C366" t="s">
        <v>25</v>
      </c>
      <c r="D366">
        <v>0</v>
      </c>
      <c r="E366">
        <v>-253.17</v>
      </c>
      <c r="F366">
        <v>0</v>
      </c>
      <c r="G366">
        <v>3417.86</v>
      </c>
      <c r="H366">
        <v>0</v>
      </c>
      <c r="I366">
        <v>0</v>
      </c>
    </row>
    <row r="367" spans="1:9" x14ac:dyDescent="0.25">
      <c r="A367" t="s">
        <v>157</v>
      </c>
      <c r="B367" t="s">
        <v>203</v>
      </c>
      <c r="C367" t="s">
        <v>10</v>
      </c>
      <c r="D367">
        <v>0</v>
      </c>
      <c r="E367">
        <v>-253.17</v>
      </c>
      <c r="F367">
        <v>0</v>
      </c>
      <c r="G367">
        <v>3417.86</v>
      </c>
      <c r="H367">
        <v>0</v>
      </c>
      <c r="I367">
        <v>-1012.699</v>
      </c>
    </row>
    <row r="368" spans="1:9" x14ac:dyDescent="0.25">
      <c r="A368" t="s">
        <v>157</v>
      </c>
      <c r="B368" t="s">
        <v>204</v>
      </c>
      <c r="C368" t="s">
        <v>25</v>
      </c>
      <c r="D368">
        <v>0</v>
      </c>
      <c r="E368">
        <v>253.17</v>
      </c>
      <c r="F368">
        <v>0</v>
      </c>
      <c r="G368">
        <v>-4177.384</v>
      </c>
      <c r="H368">
        <v>0</v>
      </c>
      <c r="I368">
        <v>0</v>
      </c>
    </row>
    <row r="369" spans="1:9" x14ac:dyDescent="0.25">
      <c r="A369" t="s">
        <v>157</v>
      </c>
      <c r="B369" t="s">
        <v>204</v>
      </c>
      <c r="C369" t="s">
        <v>10</v>
      </c>
      <c r="D369">
        <v>0</v>
      </c>
      <c r="E369">
        <v>253.17</v>
      </c>
      <c r="F369">
        <v>0</v>
      </c>
      <c r="G369">
        <v>-4177.384</v>
      </c>
      <c r="H369">
        <v>0</v>
      </c>
      <c r="I369">
        <v>1012.699</v>
      </c>
    </row>
    <row r="370" spans="1:9" x14ac:dyDescent="0.25">
      <c r="A370" t="s">
        <v>157</v>
      </c>
      <c r="B370" t="s">
        <v>205</v>
      </c>
      <c r="C370" t="s">
        <v>25</v>
      </c>
      <c r="D370">
        <v>0</v>
      </c>
      <c r="E370">
        <v>253.17</v>
      </c>
      <c r="F370">
        <v>0</v>
      </c>
      <c r="G370">
        <v>-3417.86</v>
      </c>
      <c r="H370">
        <v>0</v>
      </c>
      <c r="I370">
        <v>0</v>
      </c>
    </row>
    <row r="371" spans="1:9" x14ac:dyDescent="0.25">
      <c r="A371" t="s">
        <v>157</v>
      </c>
      <c r="B371" t="s">
        <v>205</v>
      </c>
      <c r="C371" t="s">
        <v>10</v>
      </c>
      <c r="D371">
        <v>0</v>
      </c>
      <c r="E371">
        <v>253.17</v>
      </c>
      <c r="F371">
        <v>0</v>
      </c>
      <c r="G371">
        <v>-3417.86</v>
      </c>
      <c r="H371">
        <v>0</v>
      </c>
      <c r="I371">
        <v>1012.699</v>
      </c>
    </row>
    <row r="372" spans="1:9" x14ac:dyDescent="0.25">
      <c r="A372" t="s">
        <v>157</v>
      </c>
      <c r="B372" t="s">
        <v>206</v>
      </c>
      <c r="C372" t="s">
        <v>25</v>
      </c>
      <c r="D372">
        <v>0</v>
      </c>
      <c r="E372">
        <v>0</v>
      </c>
      <c r="F372">
        <v>-306.02999999999997</v>
      </c>
      <c r="G372">
        <v>-6059.3280000000004</v>
      </c>
      <c r="H372">
        <v>0</v>
      </c>
      <c r="I372">
        <v>0</v>
      </c>
    </row>
    <row r="373" spans="1:9" x14ac:dyDescent="0.25">
      <c r="A373" t="s">
        <v>157</v>
      </c>
      <c r="B373" t="s">
        <v>206</v>
      </c>
      <c r="C373" t="s">
        <v>10</v>
      </c>
      <c r="D373">
        <v>0</v>
      </c>
      <c r="E373">
        <v>0</v>
      </c>
      <c r="F373">
        <v>-306.02999999999997</v>
      </c>
      <c r="G373">
        <v>-6059.3280000000004</v>
      </c>
      <c r="H373">
        <v>1224.107</v>
      </c>
      <c r="I373">
        <v>0</v>
      </c>
    </row>
    <row r="374" spans="1:9" x14ac:dyDescent="0.25">
      <c r="A374" t="s">
        <v>157</v>
      </c>
      <c r="B374" t="s">
        <v>207</v>
      </c>
      <c r="C374" t="s">
        <v>25</v>
      </c>
      <c r="D374">
        <v>0</v>
      </c>
      <c r="E374">
        <v>0</v>
      </c>
      <c r="F374">
        <v>-306.02999999999997</v>
      </c>
      <c r="G374">
        <v>-4957.6319999999996</v>
      </c>
      <c r="H374">
        <v>0</v>
      </c>
      <c r="I374">
        <v>0</v>
      </c>
    </row>
    <row r="375" spans="1:9" x14ac:dyDescent="0.25">
      <c r="A375" t="s">
        <v>157</v>
      </c>
      <c r="B375" t="s">
        <v>207</v>
      </c>
      <c r="C375" t="s">
        <v>10</v>
      </c>
      <c r="D375">
        <v>0</v>
      </c>
      <c r="E375">
        <v>0</v>
      </c>
      <c r="F375">
        <v>-306.02999999999997</v>
      </c>
      <c r="G375">
        <v>-4957.6319999999996</v>
      </c>
      <c r="H375">
        <v>1224.107</v>
      </c>
      <c r="I375">
        <v>0</v>
      </c>
    </row>
    <row r="376" spans="1:9" x14ac:dyDescent="0.25">
      <c r="A376" t="s">
        <v>157</v>
      </c>
      <c r="B376" t="s">
        <v>208</v>
      </c>
      <c r="C376" t="s">
        <v>25</v>
      </c>
      <c r="D376">
        <v>0</v>
      </c>
      <c r="E376">
        <v>0</v>
      </c>
      <c r="F376">
        <v>306.02999999999997</v>
      </c>
      <c r="G376">
        <v>6059.3280000000004</v>
      </c>
      <c r="H376">
        <v>0</v>
      </c>
      <c r="I376">
        <v>0</v>
      </c>
    </row>
    <row r="377" spans="1:9" x14ac:dyDescent="0.25">
      <c r="A377" t="s">
        <v>157</v>
      </c>
      <c r="B377" t="s">
        <v>208</v>
      </c>
      <c r="C377" t="s">
        <v>10</v>
      </c>
      <c r="D377">
        <v>0</v>
      </c>
      <c r="E377">
        <v>0</v>
      </c>
      <c r="F377">
        <v>306.02999999999997</v>
      </c>
      <c r="G377">
        <v>6059.3280000000004</v>
      </c>
      <c r="H377">
        <v>-1224.107</v>
      </c>
      <c r="I377">
        <v>0</v>
      </c>
    </row>
    <row r="378" spans="1:9" x14ac:dyDescent="0.25">
      <c r="A378" t="s">
        <v>157</v>
      </c>
      <c r="B378" t="s">
        <v>209</v>
      </c>
      <c r="C378" t="s">
        <v>25</v>
      </c>
      <c r="D378">
        <v>0</v>
      </c>
      <c r="E378">
        <v>0</v>
      </c>
      <c r="F378">
        <v>306.02999999999997</v>
      </c>
      <c r="G378">
        <v>4957.6319999999996</v>
      </c>
      <c r="H378">
        <v>0</v>
      </c>
      <c r="I378">
        <v>0</v>
      </c>
    </row>
    <row r="379" spans="1:9" x14ac:dyDescent="0.25">
      <c r="A379" t="s">
        <v>157</v>
      </c>
      <c r="B379" t="s">
        <v>209</v>
      </c>
      <c r="C379" t="s">
        <v>10</v>
      </c>
      <c r="D379">
        <v>0</v>
      </c>
      <c r="E379">
        <v>0</v>
      </c>
      <c r="F379">
        <v>306.02999999999997</v>
      </c>
      <c r="G379">
        <v>4957.6319999999996</v>
      </c>
      <c r="H379">
        <v>-1224.107</v>
      </c>
      <c r="I379">
        <v>0</v>
      </c>
    </row>
    <row r="380" spans="1:9" x14ac:dyDescent="0.25">
      <c r="A380" t="s">
        <v>157</v>
      </c>
      <c r="B380" t="s">
        <v>210</v>
      </c>
      <c r="C380" t="s">
        <v>25</v>
      </c>
      <c r="D380">
        <v>0</v>
      </c>
      <c r="E380">
        <v>-75.95</v>
      </c>
      <c r="F380">
        <v>0</v>
      </c>
      <c r="G380">
        <v>1253.2149999999999</v>
      </c>
      <c r="H380">
        <v>0</v>
      </c>
      <c r="I380">
        <v>0</v>
      </c>
    </row>
    <row r="381" spans="1:9" x14ac:dyDescent="0.25">
      <c r="A381" t="s">
        <v>157</v>
      </c>
      <c r="B381" t="s">
        <v>210</v>
      </c>
      <c r="C381" t="s">
        <v>10</v>
      </c>
      <c r="D381">
        <v>0</v>
      </c>
      <c r="E381">
        <v>-75.95</v>
      </c>
      <c r="F381">
        <v>0</v>
      </c>
      <c r="G381">
        <v>1253.2149999999999</v>
      </c>
      <c r="H381">
        <v>0</v>
      </c>
      <c r="I381">
        <v>-303.81</v>
      </c>
    </row>
    <row r="382" spans="1:9" x14ac:dyDescent="0.25">
      <c r="A382" t="s">
        <v>157</v>
      </c>
      <c r="B382" t="s">
        <v>211</v>
      </c>
      <c r="C382" t="s">
        <v>25</v>
      </c>
      <c r="D382">
        <v>0</v>
      </c>
      <c r="E382">
        <v>-75.95</v>
      </c>
      <c r="F382">
        <v>0</v>
      </c>
      <c r="G382">
        <v>1025.3579999999999</v>
      </c>
      <c r="H382">
        <v>0</v>
      </c>
      <c r="I382">
        <v>0</v>
      </c>
    </row>
    <row r="383" spans="1:9" x14ac:dyDescent="0.25">
      <c r="A383" t="s">
        <v>157</v>
      </c>
      <c r="B383" t="s">
        <v>211</v>
      </c>
      <c r="C383" t="s">
        <v>10</v>
      </c>
      <c r="D383">
        <v>0</v>
      </c>
      <c r="E383">
        <v>-75.95</v>
      </c>
      <c r="F383">
        <v>0</v>
      </c>
      <c r="G383">
        <v>1025.3579999999999</v>
      </c>
      <c r="H383">
        <v>0</v>
      </c>
      <c r="I383">
        <v>-303.81</v>
      </c>
    </row>
    <row r="384" spans="1:9" x14ac:dyDescent="0.25">
      <c r="A384" t="s">
        <v>157</v>
      </c>
      <c r="B384" t="s">
        <v>212</v>
      </c>
      <c r="C384" t="s">
        <v>25</v>
      </c>
      <c r="D384">
        <v>0</v>
      </c>
      <c r="E384">
        <v>75.95</v>
      </c>
      <c r="F384">
        <v>0</v>
      </c>
      <c r="G384">
        <v>-1253.2149999999999</v>
      </c>
      <c r="H384">
        <v>0</v>
      </c>
      <c r="I384">
        <v>0</v>
      </c>
    </row>
    <row r="385" spans="1:9" x14ac:dyDescent="0.25">
      <c r="A385" t="s">
        <v>157</v>
      </c>
      <c r="B385" t="s">
        <v>212</v>
      </c>
      <c r="C385" t="s">
        <v>10</v>
      </c>
      <c r="D385">
        <v>0</v>
      </c>
      <c r="E385">
        <v>75.95</v>
      </c>
      <c r="F385">
        <v>0</v>
      </c>
      <c r="G385">
        <v>-1253.2149999999999</v>
      </c>
      <c r="H385">
        <v>0</v>
      </c>
      <c r="I385">
        <v>303.81</v>
      </c>
    </row>
    <row r="386" spans="1:9" x14ac:dyDescent="0.25">
      <c r="A386" t="s">
        <v>157</v>
      </c>
      <c r="B386" t="s">
        <v>213</v>
      </c>
      <c r="C386" t="s">
        <v>25</v>
      </c>
      <c r="D386">
        <v>0</v>
      </c>
      <c r="E386">
        <v>75.95</v>
      </c>
      <c r="F386">
        <v>0</v>
      </c>
      <c r="G386">
        <v>-1025.3579999999999</v>
      </c>
      <c r="H386">
        <v>0</v>
      </c>
      <c r="I386">
        <v>0</v>
      </c>
    </row>
    <row r="387" spans="1:9" x14ac:dyDescent="0.25">
      <c r="A387" t="s">
        <v>157</v>
      </c>
      <c r="B387" t="s">
        <v>213</v>
      </c>
      <c r="C387" t="s">
        <v>10</v>
      </c>
      <c r="D387">
        <v>0</v>
      </c>
      <c r="E387">
        <v>75.95</v>
      </c>
      <c r="F387">
        <v>0</v>
      </c>
      <c r="G387">
        <v>-1025.3579999999999</v>
      </c>
      <c r="H387">
        <v>0</v>
      </c>
      <c r="I387">
        <v>303.81</v>
      </c>
    </row>
    <row r="388" spans="1:9" x14ac:dyDescent="0.25">
      <c r="A388" t="s">
        <v>157</v>
      </c>
      <c r="B388" t="s">
        <v>214</v>
      </c>
      <c r="C388" t="s">
        <v>25</v>
      </c>
      <c r="D388">
        <v>0</v>
      </c>
      <c r="E388">
        <v>0</v>
      </c>
      <c r="F388">
        <v>-91.81</v>
      </c>
      <c r="G388">
        <v>-1817.798</v>
      </c>
      <c r="H388">
        <v>0</v>
      </c>
      <c r="I388">
        <v>0</v>
      </c>
    </row>
    <row r="389" spans="1:9" x14ac:dyDescent="0.25">
      <c r="A389" t="s">
        <v>157</v>
      </c>
      <c r="B389" t="s">
        <v>214</v>
      </c>
      <c r="C389" t="s">
        <v>10</v>
      </c>
      <c r="D389">
        <v>0</v>
      </c>
      <c r="E389">
        <v>0</v>
      </c>
      <c r="F389">
        <v>-91.81</v>
      </c>
      <c r="G389">
        <v>-1817.798</v>
      </c>
      <c r="H389">
        <v>367.23200000000003</v>
      </c>
      <c r="I389">
        <v>0</v>
      </c>
    </row>
    <row r="390" spans="1:9" x14ac:dyDescent="0.25">
      <c r="A390" t="s">
        <v>157</v>
      </c>
      <c r="B390" t="s">
        <v>215</v>
      </c>
      <c r="C390" t="s">
        <v>25</v>
      </c>
      <c r="D390">
        <v>0</v>
      </c>
      <c r="E390">
        <v>0</v>
      </c>
      <c r="F390">
        <v>-91.81</v>
      </c>
      <c r="G390">
        <v>-1487.29</v>
      </c>
      <c r="H390">
        <v>0</v>
      </c>
      <c r="I390">
        <v>0</v>
      </c>
    </row>
    <row r="391" spans="1:9" x14ac:dyDescent="0.25">
      <c r="A391" t="s">
        <v>157</v>
      </c>
      <c r="B391" t="s">
        <v>215</v>
      </c>
      <c r="C391" t="s">
        <v>10</v>
      </c>
      <c r="D391">
        <v>0</v>
      </c>
      <c r="E391">
        <v>0</v>
      </c>
      <c r="F391">
        <v>-91.81</v>
      </c>
      <c r="G391">
        <v>-1487.29</v>
      </c>
      <c r="H391">
        <v>367.23200000000003</v>
      </c>
      <c r="I391">
        <v>0</v>
      </c>
    </row>
    <row r="392" spans="1:9" x14ac:dyDescent="0.25">
      <c r="A392" t="s">
        <v>157</v>
      </c>
      <c r="B392" t="s">
        <v>216</v>
      </c>
      <c r="C392" t="s">
        <v>25</v>
      </c>
      <c r="D392">
        <v>0</v>
      </c>
      <c r="E392">
        <v>0</v>
      </c>
      <c r="F392">
        <v>91.81</v>
      </c>
      <c r="G392">
        <v>1817.798</v>
      </c>
      <c r="H392">
        <v>0</v>
      </c>
      <c r="I392">
        <v>0</v>
      </c>
    </row>
    <row r="393" spans="1:9" x14ac:dyDescent="0.25">
      <c r="A393" t="s">
        <v>157</v>
      </c>
      <c r="B393" t="s">
        <v>216</v>
      </c>
      <c r="C393" t="s">
        <v>10</v>
      </c>
      <c r="D393">
        <v>0</v>
      </c>
      <c r="E393">
        <v>0</v>
      </c>
      <c r="F393">
        <v>91.81</v>
      </c>
      <c r="G393">
        <v>1817.798</v>
      </c>
      <c r="H393">
        <v>-367.23200000000003</v>
      </c>
      <c r="I393">
        <v>0</v>
      </c>
    </row>
    <row r="394" spans="1:9" x14ac:dyDescent="0.25">
      <c r="A394" t="s">
        <v>157</v>
      </c>
      <c r="B394" t="s">
        <v>217</v>
      </c>
      <c r="C394" t="s">
        <v>25</v>
      </c>
      <c r="D394">
        <v>0</v>
      </c>
      <c r="E394">
        <v>0</v>
      </c>
      <c r="F394">
        <v>91.81</v>
      </c>
      <c r="G394">
        <v>1487.29</v>
      </c>
      <c r="H394">
        <v>0</v>
      </c>
      <c r="I394">
        <v>0</v>
      </c>
    </row>
    <row r="395" spans="1:9" x14ac:dyDescent="0.25">
      <c r="A395" t="s">
        <v>157</v>
      </c>
      <c r="B395" t="s">
        <v>217</v>
      </c>
      <c r="C395" t="s">
        <v>10</v>
      </c>
      <c r="D395">
        <v>0</v>
      </c>
      <c r="E395">
        <v>0</v>
      </c>
      <c r="F395">
        <v>91.81</v>
      </c>
      <c r="G395">
        <v>1487.29</v>
      </c>
      <c r="H395">
        <v>-367.23200000000003</v>
      </c>
      <c r="I395">
        <v>0</v>
      </c>
    </row>
    <row r="396" spans="1:9" x14ac:dyDescent="0.25">
      <c r="A396" t="s">
        <v>157</v>
      </c>
      <c r="B396" t="s">
        <v>218</v>
      </c>
      <c r="C396" t="s">
        <v>25</v>
      </c>
      <c r="D396">
        <v>0</v>
      </c>
      <c r="E396">
        <v>-75.95</v>
      </c>
      <c r="F396">
        <v>0</v>
      </c>
      <c r="G396">
        <v>1253.2149999999999</v>
      </c>
      <c r="H396">
        <v>0</v>
      </c>
      <c r="I396">
        <v>0</v>
      </c>
    </row>
    <row r="397" spans="1:9" x14ac:dyDescent="0.25">
      <c r="A397" t="s">
        <v>157</v>
      </c>
      <c r="B397" t="s">
        <v>218</v>
      </c>
      <c r="C397" t="s">
        <v>10</v>
      </c>
      <c r="D397">
        <v>0</v>
      </c>
      <c r="E397">
        <v>-75.95</v>
      </c>
      <c r="F397">
        <v>0</v>
      </c>
      <c r="G397">
        <v>1253.2149999999999</v>
      </c>
      <c r="H397">
        <v>0</v>
      </c>
      <c r="I397">
        <v>-303.81</v>
      </c>
    </row>
    <row r="398" spans="1:9" x14ac:dyDescent="0.25">
      <c r="A398" t="s">
        <v>157</v>
      </c>
      <c r="B398" t="s">
        <v>219</v>
      </c>
      <c r="C398" t="s">
        <v>25</v>
      </c>
      <c r="D398">
        <v>0</v>
      </c>
      <c r="E398">
        <v>-75.95</v>
      </c>
      <c r="F398">
        <v>0</v>
      </c>
      <c r="G398">
        <v>1025.3579999999999</v>
      </c>
      <c r="H398">
        <v>0</v>
      </c>
      <c r="I398">
        <v>0</v>
      </c>
    </row>
    <row r="399" spans="1:9" x14ac:dyDescent="0.25">
      <c r="A399" t="s">
        <v>157</v>
      </c>
      <c r="B399" t="s">
        <v>219</v>
      </c>
      <c r="C399" t="s">
        <v>10</v>
      </c>
      <c r="D399">
        <v>0</v>
      </c>
      <c r="E399">
        <v>-75.95</v>
      </c>
      <c r="F399">
        <v>0</v>
      </c>
      <c r="G399">
        <v>1025.3579999999999</v>
      </c>
      <c r="H399">
        <v>0</v>
      </c>
      <c r="I399">
        <v>-303.81</v>
      </c>
    </row>
    <row r="400" spans="1:9" x14ac:dyDescent="0.25">
      <c r="A400" t="s">
        <v>157</v>
      </c>
      <c r="B400" t="s">
        <v>220</v>
      </c>
      <c r="C400" t="s">
        <v>25</v>
      </c>
      <c r="D400">
        <v>0</v>
      </c>
      <c r="E400">
        <v>75.95</v>
      </c>
      <c r="F400">
        <v>0</v>
      </c>
      <c r="G400">
        <v>-1253.2149999999999</v>
      </c>
      <c r="H400">
        <v>0</v>
      </c>
      <c r="I400">
        <v>0</v>
      </c>
    </row>
    <row r="401" spans="1:9" x14ac:dyDescent="0.25">
      <c r="A401" t="s">
        <v>157</v>
      </c>
      <c r="B401" t="s">
        <v>220</v>
      </c>
      <c r="C401" t="s">
        <v>10</v>
      </c>
      <c r="D401">
        <v>0</v>
      </c>
      <c r="E401">
        <v>75.95</v>
      </c>
      <c r="F401">
        <v>0</v>
      </c>
      <c r="G401">
        <v>-1253.2149999999999</v>
      </c>
      <c r="H401">
        <v>0</v>
      </c>
      <c r="I401">
        <v>303.81</v>
      </c>
    </row>
    <row r="402" spans="1:9" x14ac:dyDescent="0.25">
      <c r="A402" t="s">
        <v>157</v>
      </c>
      <c r="B402" t="s">
        <v>221</v>
      </c>
      <c r="C402" t="s">
        <v>25</v>
      </c>
      <c r="D402">
        <v>0</v>
      </c>
      <c r="E402">
        <v>75.95</v>
      </c>
      <c r="F402">
        <v>0</v>
      </c>
      <c r="G402">
        <v>-1025.3579999999999</v>
      </c>
      <c r="H402">
        <v>0</v>
      </c>
      <c r="I402">
        <v>0</v>
      </c>
    </row>
    <row r="403" spans="1:9" x14ac:dyDescent="0.25">
      <c r="A403" t="s">
        <v>157</v>
      </c>
      <c r="B403" t="s">
        <v>221</v>
      </c>
      <c r="C403" t="s">
        <v>10</v>
      </c>
      <c r="D403">
        <v>0</v>
      </c>
      <c r="E403">
        <v>75.95</v>
      </c>
      <c r="F403">
        <v>0</v>
      </c>
      <c r="G403">
        <v>-1025.3579999999999</v>
      </c>
      <c r="H403">
        <v>0</v>
      </c>
      <c r="I403">
        <v>303.81</v>
      </c>
    </row>
    <row r="404" spans="1:9" x14ac:dyDescent="0.25">
      <c r="A404" t="s">
        <v>157</v>
      </c>
      <c r="B404" t="s">
        <v>222</v>
      </c>
      <c r="C404" t="s">
        <v>25</v>
      </c>
      <c r="D404">
        <v>0</v>
      </c>
      <c r="E404">
        <v>0</v>
      </c>
      <c r="F404">
        <v>-91.81</v>
      </c>
      <c r="G404">
        <v>-1817.798</v>
      </c>
      <c r="H404">
        <v>0</v>
      </c>
      <c r="I404">
        <v>0</v>
      </c>
    </row>
    <row r="405" spans="1:9" x14ac:dyDescent="0.25">
      <c r="A405" t="s">
        <v>157</v>
      </c>
      <c r="B405" t="s">
        <v>222</v>
      </c>
      <c r="C405" t="s">
        <v>10</v>
      </c>
      <c r="D405">
        <v>0</v>
      </c>
      <c r="E405">
        <v>0</v>
      </c>
      <c r="F405">
        <v>-91.81</v>
      </c>
      <c r="G405">
        <v>-1817.798</v>
      </c>
      <c r="H405">
        <v>367.23200000000003</v>
      </c>
      <c r="I405">
        <v>0</v>
      </c>
    </row>
    <row r="406" spans="1:9" x14ac:dyDescent="0.25">
      <c r="A406" t="s">
        <v>157</v>
      </c>
      <c r="B406" t="s">
        <v>223</v>
      </c>
      <c r="C406" t="s">
        <v>25</v>
      </c>
      <c r="D406">
        <v>0</v>
      </c>
      <c r="E406">
        <v>0</v>
      </c>
      <c r="F406">
        <v>-91.81</v>
      </c>
      <c r="G406">
        <v>-1487.29</v>
      </c>
      <c r="H406">
        <v>0</v>
      </c>
      <c r="I406">
        <v>0</v>
      </c>
    </row>
    <row r="407" spans="1:9" x14ac:dyDescent="0.25">
      <c r="A407" t="s">
        <v>157</v>
      </c>
      <c r="B407" t="s">
        <v>223</v>
      </c>
      <c r="C407" t="s">
        <v>10</v>
      </c>
      <c r="D407">
        <v>0</v>
      </c>
      <c r="E407">
        <v>0</v>
      </c>
      <c r="F407">
        <v>-91.81</v>
      </c>
      <c r="G407">
        <v>-1487.29</v>
      </c>
      <c r="H407">
        <v>367.23200000000003</v>
      </c>
      <c r="I407">
        <v>0</v>
      </c>
    </row>
    <row r="408" spans="1:9" x14ac:dyDescent="0.25">
      <c r="A408" t="s">
        <v>157</v>
      </c>
      <c r="B408" t="s">
        <v>224</v>
      </c>
      <c r="C408" t="s">
        <v>25</v>
      </c>
      <c r="D408">
        <v>0</v>
      </c>
      <c r="E408">
        <v>0</v>
      </c>
      <c r="F408">
        <v>91.81</v>
      </c>
      <c r="G408">
        <v>1817.798</v>
      </c>
      <c r="H408">
        <v>0</v>
      </c>
      <c r="I408">
        <v>0</v>
      </c>
    </row>
    <row r="409" spans="1:9" x14ac:dyDescent="0.25">
      <c r="A409" t="s">
        <v>157</v>
      </c>
      <c r="B409" t="s">
        <v>224</v>
      </c>
      <c r="C409" t="s">
        <v>10</v>
      </c>
      <c r="D409">
        <v>0</v>
      </c>
      <c r="E409">
        <v>0</v>
      </c>
      <c r="F409">
        <v>91.81</v>
      </c>
      <c r="G409">
        <v>1817.798</v>
      </c>
      <c r="H409">
        <v>-367.23200000000003</v>
      </c>
      <c r="I409">
        <v>0</v>
      </c>
    </row>
    <row r="410" spans="1:9" x14ac:dyDescent="0.25">
      <c r="A410" t="s">
        <v>157</v>
      </c>
      <c r="B410" t="s">
        <v>225</v>
      </c>
      <c r="C410" t="s">
        <v>25</v>
      </c>
      <c r="D410">
        <v>0</v>
      </c>
      <c r="E410">
        <v>0</v>
      </c>
      <c r="F410">
        <v>91.81</v>
      </c>
      <c r="G410">
        <v>1487.29</v>
      </c>
      <c r="H410">
        <v>0</v>
      </c>
      <c r="I410">
        <v>0</v>
      </c>
    </row>
    <row r="411" spans="1:9" x14ac:dyDescent="0.25">
      <c r="A411" t="s">
        <v>157</v>
      </c>
      <c r="B411" t="s">
        <v>225</v>
      </c>
      <c r="C411" t="s">
        <v>10</v>
      </c>
      <c r="D411">
        <v>0</v>
      </c>
      <c r="E411">
        <v>0</v>
      </c>
      <c r="F411">
        <v>91.81</v>
      </c>
      <c r="G411">
        <v>1487.29</v>
      </c>
      <c r="H411">
        <v>-367.23200000000003</v>
      </c>
      <c r="I411">
        <v>0</v>
      </c>
    </row>
    <row r="412" spans="1:9" x14ac:dyDescent="0.25">
      <c r="A412" t="s">
        <v>157</v>
      </c>
      <c r="B412" t="s">
        <v>327</v>
      </c>
      <c r="C412" t="s">
        <v>25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</row>
    <row r="413" spans="1:9" x14ac:dyDescent="0.25">
      <c r="A413" t="s">
        <v>157</v>
      </c>
      <c r="B413" t="s">
        <v>327</v>
      </c>
      <c r="C413" t="s">
        <v>10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</row>
    <row r="414" spans="1:9" x14ac:dyDescent="0.25">
      <c r="A414" t="s">
        <v>157</v>
      </c>
      <c r="B414" t="s">
        <v>328</v>
      </c>
      <c r="C414" t="s">
        <v>25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</row>
    <row r="415" spans="1:9" x14ac:dyDescent="0.25">
      <c r="A415" t="s">
        <v>157</v>
      </c>
      <c r="B415" t="s">
        <v>328</v>
      </c>
      <c r="C415" t="s">
        <v>10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</row>
    <row r="416" spans="1:9" x14ac:dyDescent="0.25">
      <c r="A416" t="s">
        <v>158</v>
      </c>
      <c r="B416" t="s">
        <v>9</v>
      </c>
      <c r="C416" t="s">
        <v>25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</row>
    <row r="417" spans="1:9" x14ac:dyDescent="0.25">
      <c r="A417" t="s">
        <v>158</v>
      </c>
      <c r="B417" t="s">
        <v>9</v>
      </c>
      <c r="C417" t="s">
        <v>10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</row>
    <row r="418" spans="1:9" x14ac:dyDescent="0.25">
      <c r="A418" t="s">
        <v>158</v>
      </c>
      <c r="B418" t="s">
        <v>26</v>
      </c>
      <c r="C418" t="s">
        <v>25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</row>
    <row r="419" spans="1:9" x14ac:dyDescent="0.25">
      <c r="A419" t="s">
        <v>158</v>
      </c>
      <c r="B419" t="s">
        <v>26</v>
      </c>
      <c r="C419" t="s">
        <v>10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</row>
    <row r="420" spans="1:9" x14ac:dyDescent="0.25">
      <c r="A420" t="s">
        <v>158</v>
      </c>
      <c r="B420" t="s">
        <v>20</v>
      </c>
      <c r="C420" t="s">
        <v>25</v>
      </c>
      <c r="D420">
        <v>0</v>
      </c>
      <c r="E420">
        <v>-316.47000000000003</v>
      </c>
      <c r="F420">
        <v>0</v>
      </c>
      <c r="G420">
        <v>5221.7299999999996</v>
      </c>
      <c r="H420">
        <v>0</v>
      </c>
      <c r="I420">
        <v>-723.35699999999997</v>
      </c>
    </row>
    <row r="421" spans="1:9" x14ac:dyDescent="0.25">
      <c r="A421" t="s">
        <v>158</v>
      </c>
      <c r="B421" t="s">
        <v>20</v>
      </c>
      <c r="C421" t="s">
        <v>10</v>
      </c>
      <c r="D421">
        <v>0</v>
      </c>
      <c r="E421">
        <v>-316.47000000000003</v>
      </c>
      <c r="F421">
        <v>0</v>
      </c>
      <c r="G421">
        <v>5221.7299999999996</v>
      </c>
      <c r="H421">
        <v>0</v>
      </c>
      <c r="I421">
        <v>-1989.231</v>
      </c>
    </row>
    <row r="422" spans="1:9" x14ac:dyDescent="0.25">
      <c r="A422" t="s">
        <v>158</v>
      </c>
      <c r="B422" t="s">
        <v>21</v>
      </c>
      <c r="C422" t="s">
        <v>25</v>
      </c>
      <c r="D422">
        <v>0</v>
      </c>
      <c r="E422">
        <v>-316.47000000000003</v>
      </c>
      <c r="F422">
        <v>0</v>
      </c>
      <c r="G422">
        <v>4272.3249999999998</v>
      </c>
      <c r="H422">
        <v>0</v>
      </c>
      <c r="I422">
        <v>-723.35699999999997</v>
      </c>
    </row>
    <row r="423" spans="1:9" x14ac:dyDescent="0.25">
      <c r="A423" t="s">
        <v>158</v>
      </c>
      <c r="B423" t="s">
        <v>21</v>
      </c>
      <c r="C423" t="s">
        <v>10</v>
      </c>
      <c r="D423">
        <v>0</v>
      </c>
      <c r="E423">
        <v>-316.47000000000003</v>
      </c>
      <c r="F423">
        <v>0</v>
      </c>
      <c r="G423">
        <v>4272.3249999999998</v>
      </c>
      <c r="H423">
        <v>0</v>
      </c>
      <c r="I423">
        <v>-1989.231</v>
      </c>
    </row>
    <row r="424" spans="1:9" x14ac:dyDescent="0.25">
      <c r="A424" t="s">
        <v>158</v>
      </c>
      <c r="B424" t="s">
        <v>22</v>
      </c>
      <c r="C424" t="s">
        <v>25</v>
      </c>
      <c r="D424">
        <v>0</v>
      </c>
      <c r="E424">
        <v>0</v>
      </c>
      <c r="F424">
        <v>-382.53</v>
      </c>
      <c r="G424">
        <v>-7574.16</v>
      </c>
      <c r="H424">
        <v>874.36199999999997</v>
      </c>
      <c r="I424">
        <v>0</v>
      </c>
    </row>
    <row r="425" spans="1:9" x14ac:dyDescent="0.25">
      <c r="A425" t="s">
        <v>158</v>
      </c>
      <c r="B425" t="s">
        <v>22</v>
      </c>
      <c r="C425" t="s">
        <v>10</v>
      </c>
      <c r="D425">
        <v>0</v>
      </c>
      <c r="E425">
        <v>0</v>
      </c>
      <c r="F425">
        <v>-382.53</v>
      </c>
      <c r="G425">
        <v>-7574.16</v>
      </c>
      <c r="H425">
        <v>2404.4949999999999</v>
      </c>
      <c r="I425">
        <v>0</v>
      </c>
    </row>
    <row r="426" spans="1:9" x14ac:dyDescent="0.25">
      <c r="A426" t="s">
        <v>158</v>
      </c>
      <c r="B426" t="s">
        <v>23</v>
      </c>
      <c r="C426" t="s">
        <v>25</v>
      </c>
      <c r="D426">
        <v>0</v>
      </c>
      <c r="E426">
        <v>0</v>
      </c>
      <c r="F426">
        <v>-382.53</v>
      </c>
      <c r="G426">
        <v>-6197.04</v>
      </c>
      <c r="H426">
        <v>874.36199999999997</v>
      </c>
      <c r="I426">
        <v>0</v>
      </c>
    </row>
    <row r="427" spans="1:9" x14ac:dyDescent="0.25">
      <c r="A427" t="s">
        <v>158</v>
      </c>
      <c r="B427" t="s">
        <v>23</v>
      </c>
      <c r="C427" t="s">
        <v>10</v>
      </c>
      <c r="D427">
        <v>0</v>
      </c>
      <c r="E427">
        <v>0</v>
      </c>
      <c r="F427">
        <v>-382.53</v>
      </c>
      <c r="G427">
        <v>-6197.04</v>
      </c>
      <c r="H427">
        <v>2404.4949999999999</v>
      </c>
      <c r="I427">
        <v>0</v>
      </c>
    </row>
    <row r="428" spans="1:9" x14ac:dyDescent="0.25">
      <c r="A428" t="s">
        <v>158</v>
      </c>
      <c r="B428" t="s">
        <v>321</v>
      </c>
      <c r="C428" t="s">
        <v>25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</row>
    <row r="429" spans="1:9" x14ac:dyDescent="0.25">
      <c r="A429" t="s">
        <v>158</v>
      </c>
      <c r="B429" t="s">
        <v>321</v>
      </c>
      <c r="C429" t="s">
        <v>10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</row>
    <row r="430" spans="1:9" x14ac:dyDescent="0.25">
      <c r="A430" t="s">
        <v>158</v>
      </c>
      <c r="B430" t="s">
        <v>322</v>
      </c>
      <c r="C430" t="s">
        <v>25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</row>
    <row r="431" spans="1:9" x14ac:dyDescent="0.25">
      <c r="A431" t="s">
        <v>158</v>
      </c>
      <c r="B431" t="s">
        <v>322</v>
      </c>
      <c r="C431" t="s">
        <v>10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</row>
    <row r="432" spans="1:9" x14ac:dyDescent="0.25">
      <c r="A432" t="s">
        <v>158</v>
      </c>
      <c r="B432" t="s">
        <v>323</v>
      </c>
      <c r="C432" t="s">
        <v>25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</row>
    <row r="433" spans="1:9" x14ac:dyDescent="0.25">
      <c r="A433" t="s">
        <v>158</v>
      </c>
      <c r="B433" t="s">
        <v>323</v>
      </c>
      <c r="C433" t="s">
        <v>10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</row>
    <row r="434" spans="1:9" x14ac:dyDescent="0.25">
      <c r="A434" t="s">
        <v>158</v>
      </c>
      <c r="B434" t="s">
        <v>324</v>
      </c>
      <c r="C434" t="s">
        <v>25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</row>
    <row r="435" spans="1:9" x14ac:dyDescent="0.25">
      <c r="A435" t="s">
        <v>158</v>
      </c>
      <c r="B435" t="s">
        <v>324</v>
      </c>
      <c r="C435" t="s">
        <v>10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</row>
    <row r="436" spans="1:9" x14ac:dyDescent="0.25">
      <c r="A436" t="s">
        <v>158</v>
      </c>
      <c r="B436" t="s">
        <v>325</v>
      </c>
      <c r="C436" t="s">
        <v>25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</row>
    <row r="437" spans="1:9" x14ac:dyDescent="0.25">
      <c r="A437" t="s">
        <v>158</v>
      </c>
      <c r="B437" t="s">
        <v>325</v>
      </c>
      <c r="C437" t="s">
        <v>10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</row>
    <row r="438" spans="1:9" x14ac:dyDescent="0.25">
      <c r="A438" t="s">
        <v>158</v>
      </c>
      <c r="B438" t="s">
        <v>326</v>
      </c>
      <c r="C438" t="s">
        <v>25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158</v>
      </c>
      <c r="B439" t="s">
        <v>326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x14ac:dyDescent="0.25">
      <c r="A440" t="s">
        <v>158</v>
      </c>
      <c r="B440" t="s">
        <v>27</v>
      </c>
      <c r="C440" t="s">
        <v>25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25">
      <c r="A441" t="s">
        <v>158</v>
      </c>
      <c r="B441" t="s">
        <v>27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</row>
    <row r="442" spans="1:9" x14ac:dyDescent="0.25">
      <c r="A442" t="s">
        <v>158</v>
      </c>
      <c r="B442" t="s">
        <v>28</v>
      </c>
      <c r="C442" t="s">
        <v>25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 t="s">
        <v>158</v>
      </c>
      <c r="B443" t="s">
        <v>28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 t="s">
        <v>158</v>
      </c>
      <c r="B444" t="s">
        <v>29</v>
      </c>
      <c r="C444" t="s">
        <v>25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25">
      <c r="A445" t="s">
        <v>158</v>
      </c>
      <c r="B445" t="s">
        <v>29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25">
      <c r="A446" t="s">
        <v>158</v>
      </c>
      <c r="B446" t="s">
        <v>30</v>
      </c>
      <c r="C446" t="s">
        <v>25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25">
      <c r="A447" t="s">
        <v>158</v>
      </c>
      <c r="B447" t="s">
        <v>30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25">
      <c r="A448" t="s">
        <v>158</v>
      </c>
      <c r="B448" t="s">
        <v>11</v>
      </c>
      <c r="C448" t="s">
        <v>25</v>
      </c>
      <c r="D448">
        <v>0</v>
      </c>
      <c r="E448">
        <v>155.59</v>
      </c>
      <c r="F448">
        <v>0</v>
      </c>
      <c r="G448">
        <v>2628.0709999999999</v>
      </c>
      <c r="H448">
        <v>0</v>
      </c>
      <c r="I448">
        <v>437.33600000000001</v>
      </c>
    </row>
    <row r="449" spans="1:9" x14ac:dyDescent="0.25">
      <c r="A449" t="s">
        <v>158</v>
      </c>
      <c r="B449" t="s">
        <v>11</v>
      </c>
      <c r="C449" t="s">
        <v>10</v>
      </c>
      <c r="D449">
        <v>0</v>
      </c>
      <c r="E449">
        <v>155.59</v>
      </c>
      <c r="F449">
        <v>0</v>
      </c>
      <c r="G449">
        <v>2628.0709999999999</v>
      </c>
      <c r="H449">
        <v>0</v>
      </c>
      <c r="I449">
        <v>1018.086</v>
      </c>
    </row>
    <row r="450" spans="1:9" x14ac:dyDescent="0.25">
      <c r="A450" t="s">
        <v>158</v>
      </c>
      <c r="B450" t="s">
        <v>12</v>
      </c>
      <c r="C450" t="s">
        <v>25</v>
      </c>
      <c r="D450">
        <v>0</v>
      </c>
      <c r="E450">
        <v>0</v>
      </c>
      <c r="F450">
        <v>402.26</v>
      </c>
      <c r="G450">
        <v>8000.375</v>
      </c>
      <c r="H450">
        <v>968.72900000000004</v>
      </c>
      <c r="I450">
        <v>0</v>
      </c>
    </row>
    <row r="451" spans="1:9" x14ac:dyDescent="0.25">
      <c r="A451" t="s">
        <v>158</v>
      </c>
      <c r="B451" t="s">
        <v>12</v>
      </c>
      <c r="C451" t="s">
        <v>10</v>
      </c>
      <c r="D451">
        <v>0</v>
      </c>
      <c r="E451">
        <v>0</v>
      </c>
      <c r="F451">
        <v>402.26</v>
      </c>
      <c r="G451">
        <v>8000.375</v>
      </c>
      <c r="H451">
        <v>2556.8760000000002</v>
      </c>
      <c r="I451">
        <v>0</v>
      </c>
    </row>
    <row r="452" spans="1:9" x14ac:dyDescent="0.25">
      <c r="A452" t="s">
        <v>158</v>
      </c>
      <c r="B452" t="s">
        <v>13</v>
      </c>
      <c r="C452" t="s">
        <v>25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25">
      <c r="A453" t="s">
        <v>158</v>
      </c>
      <c r="B453" t="s">
        <v>13</v>
      </c>
      <c r="C453" t="s">
        <v>10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25">
      <c r="A454" t="s">
        <v>158</v>
      </c>
      <c r="B454" t="s">
        <v>31</v>
      </c>
      <c r="C454" t="s">
        <v>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x14ac:dyDescent="0.25">
      <c r="A455" t="s">
        <v>158</v>
      </c>
      <c r="B455" t="s">
        <v>31</v>
      </c>
      <c r="C455" t="s">
        <v>10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x14ac:dyDescent="0.25">
      <c r="A456" t="s">
        <v>158</v>
      </c>
      <c r="B456" t="s">
        <v>32</v>
      </c>
      <c r="C456" t="s">
        <v>25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x14ac:dyDescent="0.25">
      <c r="A457" t="s">
        <v>158</v>
      </c>
      <c r="B457" t="s">
        <v>32</v>
      </c>
      <c r="C457" t="s">
        <v>10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</row>
    <row r="458" spans="1:9" x14ac:dyDescent="0.25">
      <c r="A458" t="s">
        <v>158</v>
      </c>
      <c r="B458" t="s">
        <v>33</v>
      </c>
      <c r="C458" t="s">
        <v>25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</row>
    <row r="459" spans="1:9" x14ac:dyDescent="0.25">
      <c r="A459" t="s">
        <v>158</v>
      </c>
      <c r="B459" t="s">
        <v>33</v>
      </c>
      <c r="C459" t="s">
        <v>10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</row>
    <row r="460" spans="1:9" x14ac:dyDescent="0.25">
      <c r="A460" t="s">
        <v>158</v>
      </c>
      <c r="B460" t="s">
        <v>34</v>
      </c>
      <c r="C460" t="s">
        <v>25</v>
      </c>
      <c r="D460">
        <v>0</v>
      </c>
      <c r="E460">
        <v>-316.47000000000003</v>
      </c>
      <c r="F460">
        <v>0</v>
      </c>
      <c r="G460">
        <v>5221.7299999999996</v>
      </c>
      <c r="H460">
        <v>0</v>
      </c>
      <c r="I460">
        <v>-723.35699999999997</v>
      </c>
    </row>
    <row r="461" spans="1:9" x14ac:dyDescent="0.25">
      <c r="A461" t="s">
        <v>158</v>
      </c>
      <c r="B461" t="s">
        <v>34</v>
      </c>
      <c r="C461" t="s">
        <v>10</v>
      </c>
      <c r="D461">
        <v>0</v>
      </c>
      <c r="E461">
        <v>-316.47000000000003</v>
      </c>
      <c r="F461">
        <v>0</v>
      </c>
      <c r="G461">
        <v>5221.7299999999996</v>
      </c>
      <c r="H461">
        <v>0</v>
      </c>
      <c r="I461">
        <v>-1989.231</v>
      </c>
    </row>
    <row r="462" spans="1:9" x14ac:dyDescent="0.25">
      <c r="A462" t="s">
        <v>158</v>
      </c>
      <c r="B462" t="s">
        <v>35</v>
      </c>
      <c r="C462" t="s">
        <v>25</v>
      </c>
      <c r="D462">
        <v>0</v>
      </c>
      <c r="E462">
        <v>-316.47000000000003</v>
      </c>
      <c r="F462">
        <v>0</v>
      </c>
      <c r="G462">
        <v>4272.3249999999998</v>
      </c>
      <c r="H462">
        <v>0</v>
      </c>
      <c r="I462">
        <v>-723.35699999999997</v>
      </c>
    </row>
    <row r="463" spans="1:9" x14ac:dyDescent="0.25">
      <c r="A463" t="s">
        <v>158</v>
      </c>
      <c r="B463" t="s">
        <v>35</v>
      </c>
      <c r="C463" t="s">
        <v>10</v>
      </c>
      <c r="D463">
        <v>0</v>
      </c>
      <c r="E463">
        <v>-316.47000000000003</v>
      </c>
      <c r="F463">
        <v>0</v>
      </c>
      <c r="G463">
        <v>4272.3249999999998</v>
      </c>
      <c r="H463">
        <v>0</v>
      </c>
      <c r="I463">
        <v>-1989.231</v>
      </c>
    </row>
    <row r="464" spans="1:9" x14ac:dyDescent="0.25">
      <c r="A464" t="s">
        <v>158</v>
      </c>
      <c r="B464" t="s">
        <v>36</v>
      </c>
      <c r="C464" t="s">
        <v>25</v>
      </c>
      <c r="D464">
        <v>0</v>
      </c>
      <c r="E464">
        <v>316.47000000000003</v>
      </c>
      <c r="F464">
        <v>0</v>
      </c>
      <c r="G464">
        <v>-5221.7299999999996</v>
      </c>
      <c r="H464">
        <v>0</v>
      </c>
      <c r="I464">
        <v>723.35699999999997</v>
      </c>
    </row>
    <row r="465" spans="1:9" x14ac:dyDescent="0.25">
      <c r="A465" t="s">
        <v>158</v>
      </c>
      <c r="B465" t="s">
        <v>36</v>
      </c>
      <c r="C465" t="s">
        <v>10</v>
      </c>
      <c r="D465">
        <v>0</v>
      </c>
      <c r="E465">
        <v>316.47000000000003</v>
      </c>
      <c r="F465">
        <v>0</v>
      </c>
      <c r="G465">
        <v>-5221.7299999999996</v>
      </c>
      <c r="H465">
        <v>0</v>
      </c>
      <c r="I465">
        <v>1989.231</v>
      </c>
    </row>
    <row r="466" spans="1:9" x14ac:dyDescent="0.25">
      <c r="A466" t="s">
        <v>158</v>
      </c>
      <c r="B466" t="s">
        <v>37</v>
      </c>
      <c r="C466" t="s">
        <v>25</v>
      </c>
      <c r="D466">
        <v>0</v>
      </c>
      <c r="E466">
        <v>316.47000000000003</v>
      </c>
      <c r="F466">
        <v>0</v>
      </c>
      <c r="G466">
        <v>-4272.3249999999998</v>
      </c>
      <c r="H466">
        <v>0</v>
      </c>
      <c r="I466">
        <v>723.35699999999997</v>
      </c>
    </row>
    <row r="467" spans="1:9" x14ac:dyDescent="0.25">
      <c r="A467" t="s">
        <v>158</v>
      </c>
      <c r="B467" t="s">
        <v>37</v>
      </c>
      <c r="C467" t="s">
        <v>10</v>
      </c>
      <c r="D467">
        <v>0</v>
      </c>
      <c r="E467">
        <v>316.47000000000003</v>
      </c>
      <c r="F467">
        <v>0</v>
      </c>
      <c r="G467">
        <v>-4272.3249999999998</v>
      </c>
      <c r="H467">
        <v>0</v>
      </c>
      <c r="I467">
        <v>1989.231</v>
      </c>
    </row>
    <row r="468" spans="1:9" x14ac:dyDescent="0.25">
      <c r="A468" t="s">
        <v>158</v>
      </c>
      <c r="B468" t="s">
        <v>38</v>
      </c>
      <c r="C468" t="s">
        <v>25</v>
      </c>
      <c r="D468">
        <v>0</v>
      </c>
      <c r="E468">
        <v>0</v>
      </c>
      <c r="F468">
        <v>-382.53</v>
      </c>
      <c r="G468">
        <v>-7574.16</v>
      </c>
      <c r="H468">
        <v>874.36199999999997</v>
      </c>
      <c r="I468">
        <v>0</v>
      </c>
    </row>
    <row r="469" spans="1:9" x14ac:dyDescent="0.25">
      <c r="A469" t="s">
        <v>158</v>
      </c>
      <c r="B469" t="s">
        <v>38</v>
      </c>
      <c r="C469" t="s">
        <v>10</v>
      </c>
      <c r="D469">
        <v>0</v>
      </c>
      <c r="E469">
        <v>0</v>
      </c>
      <c r="F469">
        <v>-382.53</v>
      </c>
      <c r="G469">
        <v>-7574.16</v>
      </c>
      <c r="H469">
        <v>2404.4949999999999</v>
      </c>
      <c r="I469">
        <v>0</v>
      </c>
    </row>
    <row r="470" spans="1:9" x14ac:dyDescent="0.25">
      <c r="A470" t="s">
        <v>158</v>
      </c>
      <c r="B470" t="s">
        <v>39</v>
      </c>
      <c r="C470" t="s">
        <v>25</v>
      </c>
      <c r="D470">
        <v>0</v>
      </c>
      <c r="E470">
        <v>0</v>
      </c>
      <c r="F470">
        <v>-382.53</v>
      </c>
      <c r="G470">
        <v>-6197.04</v>
      </c>
      <c r="H470">
        <v>874.36199999999997</v>
      </c>
      <c r="I470">
        <v>0</v>
      </c>
    </row>
    <row r="471" spans="1:9" x14ac:dyDescent="0.25">
      <c r="A471" t="s">
        <v>158</v>
      </c>
      <c r="B471" t="s">
        <v>39</v>
      </c>
      <c r="C471" t="s">
        <v>10</v>
      </c>
      <c r="D471">
        <v>0</v>
      </c>
      <c r="E471">
        <v>0</v>
      </c>
      <c r="F471">
        <v>-382.53</v>
      </c>
      <c r="G471">
        <v>-6197.04</v>
      </c>
      <c r="H471">
        <v>2404.4949999999999</v>
      </c>
      <c r="I471">
        <v>0</v>
      </c>
    </row>
    <row r="472" spans="1:9" x14ac:dyDescent="0.25">
      <c r="A472" t="s">
        <v>158</v>
      </c>
      <c r="B472" t="s">
        <v>40</v>
      </c>
      <c r="C472" t="s">
        <v>25</v>
      </c>
      <c r="D472">
        <v>0</v>
      </c>
      <c r="E472">
        <v>0</v>
      </c>
      <c r="F472">
        <v>382.53</v>
      </c>
      <c r="G472">
        <v>7574.16</v>
      </c>
      <c r="H472">
        <v>-874.36199999999997</v>
      </c>
      <c r="I472">
        <v>0</v>
      </c>
    </row>
    <row r="473" spans="1:9" x14ac:dyDescent="0.25">
      <c r="A473" t="s">
        <v>158</v>
      </c>
      <c r="B473" t="s">
        <v>40</v>
      </c>
      <c r="C473" t="s">
        <v>10</v>
      </c>
      <c r="D473">
        <v>0</v>
      </c>
      <c r="E473">
        <v>0</v>
      </c>
      <c r="F473">
        <v>382.53</v>
      </c>
      <c r="G473">
        <v>7574.16</v>
      </c>
      <c r="H473">
        <v>-2404.4949999999999</v>
      </c>
      <c r="I473">
        <v>0</v>
      </c>
    </row>
    <row r="474" spans="1:9" x14ac:dyDescent="0.25">
      <c r="A474" t="s">
        <v>158</v>
      </c>
      <c r="B474" t="s">
        <v>41</v>
      </c>
      <c r="C474" t="s">
        <v>25</v>
      </c>
      <c r="D474">
        <v>0</v>
      </c>
      <c r="E474">
        <v>0</v>
      </c>
      <c r="F474">
        <v>382.53</v>
      </c>
      <c r="G474">
        <v>6197.04</v>
      </c>
      <c r="H474">
        <v>-874.36199999999997</v>
      </c>
      <c r="I474">
        <v>0</v>
      </c>
    </row>
    <row r="475" spans="1:9" x14ac:dyDescent="0.25">
      <c r="A475" t="s">
        <v>158</v>
      </c>
      <c r="B475" t="s">
        <v>41</v>
      </c>
      <c r="C475" t="s">
        <v>10</v>
      </c>
      <c r="D475">
        <v>0</v>
      </c>
      <c r="E475">
        <v>0</v>
      </c>
      <c r="F475">
        <v>382.53</v>
      </c>
      <c r="G475">
        <v>6197.04</v>
      </c>
      <c r="H475">
        <v>-2404.4949999999999</v>
      </c>
      <c r="I475">
        <v>0</v>
      </c>
    </row>
    <row r="476" spans="1:9" x14ac:dyDescent="0.25">
      <c r="A476" t="s">
        <v>158</v>
      </c>
      <c r="B476" t="s">
        <v>42</v>
      </c>
      <c r="C476" t="s">
        <v>25</v>
      </c>
      <c r="D476">
        <v>0</v>
      </c>
      <c r="E476">
        <v>-316.47000000000003</v>
      </c>
      <c r="F476">
        <v>0</v>
      </c>
      <c r="G476">
        <v>5221.7299999999996</v>
      </c>
      <c r="H476">
        <v>0</v>
      </c>
      <c r="I476">
        <v>-723.35699999999997</v>
      </c>
    </row>
    <row r="477" spans="1:9" x14ac:dyDescent="0.25">
      <c r="A477" t="s">
        <v>158</v>
      </c>
      <c r="B477" t="s">
        <v>42</v>
      </c>
      <c r="C477" t="s">
        <v>10</v>
      </c>
      <c r="D477">
        <v>0</v>
      </c>
      <c r="E477">
        <v>-316.47000000000003</v>
      </c>
      <c r="F477">
        <v>0</v>
      </c>
      <c r="G477">
        <v>5221.7299999999996</v>
      </c>
      <c r="H477">
        <v>0</v>
      </c>
      <c r="I477">
        <v>-1989.231</v>
      </c>
    </row>
    <row r="478" spans="1:9" x14ac:dyDescent="0.25">
      <c r="A478" t="s">
        <v>158</v>
      </c>
      <c r="B478" t="s">
        <v>43</v>
      </c>
      <c r="C478" t="s">
        <v>25</v>
      </c>
      <c r="D478">
        <v>0</v>
      </c>
      <c r="E478">
        <v>-316.47000000000003</v>
      </c>
      <c r="F478">
        <v>0</v>
      </c>
      <c r="G478">
        <v>4272.3249999999998</v>
      </c>
      <c r="H478">
        <v>0</v>
      </c>
      <c r="I478">
        <v>-723.35699999999997</v>
      </c>
    </row>
    <row r="479" spans="1:9" x14ac:dyDescent="0.25">
      <c r="A479" t="s">
        <v>158</v>
      </c>
      <c r="B479" t="s">
        <v>43</v>
      </c>
      <c r="C479" t="s">
        <v>10</v>
      </c>
      <c r="D479">
        <v>0</v>
      </c>
      <c r="E479">
        <v>-316.47000000000003</v>
      </c>
      <c r="F479">
        <v>0</v>
      </c>
      <c r="G479">
        <v>4272.3249999999998</v>
      </c>
      <c r="H479">
        <v>0</v>
      </c>
      <c r="I479">
        <v>-1989.231</v>
      </c>
    </row>
    <row r="480" spans="1:9" x14ac:dyDescent="0.25">
      <c r="A480" t="s">
        <v>158</v>
      </c>
      <c r="B480" t="s">
        <v>44</v>
      </c>
      <c r="C480" t="s">
        <v>25</v>
      </c>
      <c r="D480">
        <v>0</v>
      </c>
      <c r="E480">
        <v>316.47000000000003</v>
      </c>
      <c r="F480">
        <v>0</v>
      </c>
      <c r="G480">
        <v>-5221.7299999999996</v>
      </c>
      <c r="H480">
        <v>0</v>
      </c>
      <c r="I480">
        <v>723.35699999999997</v>
      </c>
    </row>
    <row r="481" spans="1:9" x14ac:dyDescent="0.25">
      <c r="A481" t="s">
        <v>158</v>
      </c>
      <c r="B481" t="s">
        <v>44</v>
      </c>
      <c r="C481" t="s">
        <v>10</v>
      </c>
      <c r="D481">
        <v>0</v>
      </c>
      <c r="E481">
        <v>316.47000000000003</v>
      </c>
      <c r="F481">
        <v>0</v>
      </c>
      <c r="G481">
        <v>-5221.7299999999996</v>
      </c>
      <c r="H481">
        <v>0</v>
      </c>
      <c r="I481">
        <v>1989.231</v>
      </c>
    </row>
    <row r="482" spans="1:9" x14ac:dyDescent="0.25">
      <c r="A482" t="s">
        <v>158</v>
      </c>
      <c r="B482" t="s">
        <v>45</v>
      </c>
      <c r="C482" t="s">
        <v>25</v>
      </c>
      <c r="D482">
        <v>0</v>
      </c>
      <c r="E482">
        <v>316.47000000000003</v>
      </c>
      <c r="F482">
        <v>0</v>
      </c>
      <c r="G482">
        <v>-4272.3249999999998</v>
      </c>
      <c r="H482">
        <v>0</v>
      </c>
      <c r="I482">
        <v>723.35699999999997</v>
      </c>
    </row>
    <row r="483" spans="1:9" x14ac:dyDescent="0.25">
      <c r="A483" t="s">
        <v>158</v>
      </c>
      <c r="B483" t="s">
        <v>45</v>
      </c>
      <c r="C483" t="s">
        <v>10</v>
      </c>
      <c r="D483">
        <v>0</v>
      </c>
      <c r="E483">
        <v>316.47000000000003</v>
      </c>
      <c r="F483">
        <v>0</v>
      </c>
      <c r="G483">
        <v>-4272.3249999999998</v>
      </c>
      <c r="H483">
        <v>0</v>
      </c>
      <c r="I483">
        <v>1989.231</v>
      </c>
    </row>
    <row r="484" spans="1:9" x14ac:dyDescent="0.25">
      <c r="A484" t="s">
        <v>158</v>
      </c>
      <c r="B484" t="s">
        <v>46</v>
      </c>
      <c r="C484" t="s">
        <v>25</v>
      </c>
      <c r="D484">
        <v>0</v>
      </c>
      <c r="E484">
        <v>0</v>
      </c>
      <c r="F484">
        <v>-382.53</v>
      </c>
      <c r="G484">
        <v>-7574.16</v>
      </c>
      <c r="H484">
        <v>874.36199999999997</v>
      </c>
      <c r="I484">
        <v>0</v>
      </c>
    </row>
    <row r="485" spans="1:9" x14ac:dyDescent="0.25">
      <c r="A485" t="s">
        <v>158</v>
      </c>
      <c r="B485" t="s">
        <v>46</v>
      </c>
      <c r="C485" t="s">
        <v>10</v>
      </c>
      <c r="D485">
        <v>0</v>
      </c>
      <c r="E485">
        <v>0</v>
      </c>
      <c r="F485">
        <v>-382.53</v>
      </c>
      <c r="G485">
        <v>-7574.16</v>
      </c>
      <c r="H485">
        <v>2404.4949999999999</v>
      </c>
      <c r="I485">
        <v>0</v>
      </c>
    </row>
    <row r="486" spans="1:9" x14ac:dyDescent="0.25">
      <c r="A486" t="s">
        <v>158</v>
      </c>
      <c r="B486" t="s">
        <v>47</v>
      </c>
      <c r="C486" t="s">
        <v>25</v>
      </c>
      <c r="D486">
        <v>0</v>
      </c>
      <c r="E486">
        <v>0</v>
      </c>
      <c r="F486">
        <v>-382.53</v>
      </c>
      <c r="G486">
        <v>-6197.04</v>
      </c>
      <c r="H486">
        <v>874.36199999999997</v>
      </c>
      <c r="I486">
        <v>0</v>
      </c>
    </row>
    <row r="487" spans="1:9" x14ac:dyDescent="0.25">
      <c r="A487" t="s">
        <v>158</v>
      </c>
      <c r="B487" t="s">
        <v>47</v>
      </c>
      <c r="C487" t="s">
        <v>10</v>
      </c>
      <c r="D487">
        <v>0</v>
      </c>
      <c r="E487">
        <v>0</v>
      </c>
      <c r="F487">
        <v>-382.53</v>
      </c>
      <c r="G487">
        <v>-6197.04</v>
      </c>
      <c r="H487">
        <v>2404.4949999999999</v>
      </c>
      <c r="I487">
        <v>0</v>
      </c>
    </row>
    <row r="488" spans="1:9" x14ac:dyDescent="0.25">
      <c r="A488" t="s">
        <v>158</v>
      </c>
      <c r="B488" t="s">
        <v>48</v>
      </c>
      <c r="C488" t="s">
        <v>25</v>
      </c>
      <c r="D488">
        <v>0</v>
      </c>
      <c r="E488">
        <v>0</v>
      </c>
      <c r="F488">
        <v>382.53</v>
      </c>
      <c r="G488">
        <v>7574.16</v>
      </c>
      <c r="H488">
        <v>-874.36199999999997</v>
      </c>
      <c r="I488">
        <v>0</v>
      </c>
    </row>
    <row r="489" spans="1:9" x14ac:dyDescent="0.25">
      <c r="A489" t="s">
        <v>158</v>
      </c>
      <c r="B489" t="s">
        <v>48</v>
      </c>
      <c r="C489" t="s">
        <v>10</v>
      </c>
      <c r="D489">
        <v>0</v>
      </c>
      <c r="E489">
        <v>0</v>
      </c>
      <c r="F489">
        <v>382.53</v>
      </c>
      <c r="G489">
        <v>7574.16</v>
      </c>
      <c r="H489">
        <v>-2404.4949999999999</v>
      </c>
      <c r="I489">
        <v>0</v>
      </c>
    </row>
    <row r="490" spans="1:9" x14ac:dyDescent="0.25">
      <c r="A490" t="s">
        <v>158</v>
      </c>
      <c r="B490" t="s">
        <v>49</v>
      </c>
      <c r="C490" t="s">
        <v>25</v>
      </c>
      <c r="D490">
        <v>0</v>
      </c>
      <c r="E490">
        <v>0</v>
      </c>
      <c r="F490">
        <v>382.53</v>
      </c>
      <c r="G490">
        <v>6197.04</v>
      </c>
      <c r="H490">
        <v>-874.36199999999997</v>
      </c>
      <c r="I490">
        <v>0</v>
      </c>
    </row>
    <row r="491" spans="1:9" x14ac:dyDescent="0.25">
      <c r="A491" t="s">
        <v>158</v>
      </c>
      <c r="B491" t="s">
        <v>49</v>
      </c>
      <c r="C491" t="s">
        <v>10</v>
      </c>
      <c r="D491">
        <v>0</v>
      </c>
      <c r="E491">
        <v>0</v>
      </c>
      <c r="F491">
        <v>382.53</v>
      </c>
      <c r="G491">
        <v>6197.04</v>
      </c>
      <c r="H491">
        <v>-2404.4949999999999</v>
      </c>
      <c r="I491">
        <v>0</v>
      </c>
    </row>
    <row r="492" spans="1:9" x14ac:dyDescent="0.25">
      <c r="A492" t="s">
        <v>158</v>
      </c>
      <c r="B492" t="s">
        <v>50</v>
      </c>
      <c r="C492" t="s">
        <v>25</v>
      </c>
      <c r="D492">
        <v>0</v>
      </c>
      <c r="E492">
        <v>-94.94</v>
      </c>
      <c r="F492">
        <v>0</v>
      </c>
      <c r="G492">
        <v>1566.519</v>
      </c>
      <c r="H492">
        <v>0</v>
      </c>
      <c r="I492">
        <v>-217.00700000000001</v>
      </c>
    </row>
    <row r="493" spans="1:9" x14ac:dyDescent="0.25">
      <c r="A493" t="s">
        <v>158</v>
      </c>
      <c r="B493" t="s">
        <v>50</v>
      </c>
      <c r="C493" t="s">
        <v>10</v>
      </c>
      <c r="D493">
        <v>0</v>
      </c>
      <c r="E493">
        <v>-94.94</v>
      </c>
      <c r="F493">
        <v>0</v>
      </c>
      <c r="G493">
        <v>1566.519</v>
      </c>
      <c r="H493">
        <v>0</v>
      </c>
      <c r="I493">
        <v>-596.76900000000001</v>
      </c>
    </row>
    <row r="494" spans="1:9" x14ac:dyDescent="0.25">
      <c r="A494" t="s">
        <v>158</v>
      </c>
      <c r="B494" t="s">
        <v>51</v>
      </c>
      <c r="C494" t="s">
        <v>25</v>
      </c>
      <c r="D494">
        <v>0</v>
      </c>
      <c r="E494">
        <v>-94.94</v>
      </c>
      <c r="F494">
        <v>0</v>
      </c>
      <c r="G494">
        <v>1281.6969999999999</v>
      </c>
      <c r="H494">
        <v>0</v>
      </c>
      <c r="I494">
        <v>-217.00700000000001</v>
      </c>
    </row>
    <row r="495" spans="1:9" x14ac:dyDescent="0.25">
      <c r="A495" t="s">
        <v>158</v>
      </c>
      <c r="B495" t="s">
        <v>51</v>
      </c>
      <c r="C495" t="s">
        <v>10</v>
      </c>
      <c r="D495">
        <v>0</v>
      </c>
      <c r="E495">
        <v>-94.94</v>
      </c>
      <c r="F495">
        <v>0</v>
      </c>
      <c r="G495">
        <v>1281.6969999999999</v>
      </c>
      <c r="H495">
        <v>0</v>
      </c>
      <c r="I495">
        <v>-596.76900000000001</v>
      </c>
    </row>
    <row r="496" spans="1:9" x14ac:dyDescent="0.25">
      <c r="A496" t="s">
        <v>158</v>
      </c>
      <c r="B496" t="s">
        <v>52</v>
      </c>
      <c r="C496" t="s">
        <v>25</v>
      </c>
      <c r="D496">
        <v>0</v>
      </c>
      <c r="E496">
        <v>94.94</v>
      </c>
      <c r="F496">
        <v>0</v>
      </c>
      <c r="G496">
        <v>-1566.519</v>
      </c>
      <c r="H496">
        <v>0</v>
      </c>
      <c r="I496">
        <v>217.00700000000001</v>
      </c>
    </row>
    <row r="497" spans="1:9" x14ac:dyDescent="0.25">
      <c r="A497" t="s">
        <v>158</v>
      </c>
      <c r="B497" t="s">
        <v>52</v>
      </c>
      <c r="C497" t="s">
        <v>10</v>
      </c>
      <c r="D497">
        <v>0</v>
      </c>
      <c r="E497">
        <v>94.94</v>
      </c>
      <c r="F497">
        <v>0</v>
      </c>
      <c r="G497">
        <v>-1566.519</v>
      </c>
      <c r="H497">
        <v>0</v>
      </c>
      <c r="I497">
        <v>596.76900000000001</v>
      </c>
    </row>
    <row r="498" spans="1:9" x14ac:dyDescent="0.25">
      <c r="A498" t="s">
        <v>158</v>
      </c>
      <c r="B498" t="s">
        <v>53</v>
      </c>
      <c r="C498" t="s">
        <v>25</v>
      </c>
      <c r="D498">
        <v>0</v>
      </c>
      <c r="E498">
        <v>94.94</v>
      </c>
      <c r="F498">
        <v>0</v>
      </c>
      <c r="G498">
        <v>-1281.6969999999999</v>
      </c>
      <c r="H498">
        <v>0</v>
      </c>
      <c r="I498">
        <v>217.00700000000001</v>
      </c>
    </row>
    <row r="499" spans="1:9" x14ac:dyDescent="0.25">
      <c r="A499" t="s">
        <v>158</v>
      </c>
      <c r="B499" t="s">
        <v>53</v>
      </c>
      <c r="C499" t="s">
        <v>10</v>
      </c>
      <c r="D499">
        <v>0</v>
      </c>
      <c r="E499">
        <v>94.94</v>
      </c>
      <c r="F499">
        <v>0</v>
      </c>
      <c r="G499">
        <v>-1281.6969999999999</v>
      </c>
      <c r="H499">
        <v>0</v>
      </c>
      <c r="I499">
        <v>596.76900000000001</v>
      </c>
    </row>
    <row r="500" spans="1:9" x14ac:dyDescent="0.25">
      <c r="A500" t="s">
        <v>158</v>
      </c>
      <c r="B500" t="s">
        <v>54</v>
      </c>
      <c r="C500" t="s">
        <v>25</v>
      </c>
      <c r="D500">
        <v>0</v>
      </c>
      <c r="E500">
        <v>0</v>
      </c>
      <c r="F500">
        <v>-114.76</v>
      </c>
      <c r="G500">
        <v>-2272.248</v>
      </c>
      <c r="H500">
        <v>262.30900000000003</v>
      </c>
      <c r="I500">
        <v>0</v>
      </c>
    </row>
    <row r="501" spans="1:9" x14ac:dyDescent="0.25">
      <c r="A501" t="s">
        <v>158</v>
      </c>
      <c r="B501" t="s">
        <v>54</v>
      </c>
      <c r="C501" t="s">
        <v>10</v>
      </c>
      <c r="D501">
        <v>0</v>
      </c>
      <c r="E501">
        <v>0</v>
      </c>
      <c r="F501">
        <v>-114.76</v>
      </c>
      <c r="G501">
        <v>-2272.248</v>
      </c>
      <c r="H501">
        <v>721.34900000000005</v>
      </c>
      <c r="I501">
        <v>0</v>
      </c>
    </row>
    <row r="502" spans="1:9" x14ac:dyDescent="0.25">
      <c r="A502" t="s">
        <v>158</v>
      </c>
      <c r="B502" t="s">
        <v>55</v>
      </c>
      <c r="C502" t="s">
        <v>25</v>
      </c>
      <c r="D502">
        <v>0</v>
      </c>
      <c r="E502">
        <v>0</v>
      </c>
      <c r="F502">
        <v>-114.76</v>
      </c>
      <c r="G502">
        <v>-1859.1120000000001</v>
      </c>
      <c r="H502">
        <v>262.30900000000003</v>
      </c>
      <c r="I502">
        <v>0</v>
      </c>
    </row>
    <row r="503" spans="1:9" x14ac:dyDescent="0.25">
      <c r="A503" t="s">
        <v>158</v>
      </c>
      <c r="B503" t="s">
        <v>55</v>
      </c>
      <c r="C503" t="s">
        <v>10</v>
      </c>
      <c r="D503">
        <v>0</v>
      </c>
      <c r="E503">
        <v>0</v>
      </c>
      <c r="F503">
        <v>-114.76</v>
      </c>
      <c r="G503">
        <v>-1859.1120000000001</v>
      </c>
      <c r="H503">
        <v>721.34900000000005</v>
      </c>
      <c r="I503">
        <v>0</v>
      </c>
    </row>
    <row r="504" spans="1:9" x14ac:dyDescent="0.25">
      <c r="A504" t="s">
        <v>158</v>
      </c>
      <c r="B504" t="s">
        <v>56</v>
      </c>
      <c r="C504" t="s">
        <v>25</v>
      </c>
      <c r="D504">
        <v>0</v>
      </c>
      <c r="E504">
        <v>0</v>
      </c>
      <c r="F504">
        <v>114.76</v>
      </c>
      <c r="G504">
        <v>2272.248</v>
      </c>
      <c r="H504">
        <v>-262.30900000000003</v>
      </c>
      <c r="I504">
        <v>0</v>
      </c>
    </row>
    <row r="505" spans="1:9" x14ac:dyDescent="0.25">
      <c r="A505" t="s">
        <v>158</v>
      </c>
      <c r="B505" t="s">
        <v>56</v>
      </c>
      <c r="C505" t="s">
        <v>10</v>
      </c>
      <c r="D505">
        <v>0</v>
      </c>
      <c r="E505">
        <v>0</v>
      </c>
      <c r="F505">
        <v>114.76</v>
      </c>
      <c r="G505">
        <v>2272.248</v>
      </c>
      <c r="H505">
        <v>-721.34900000000005</v>
      </c>
      <c r="I505">
        <v>0</v>
      </c>
    </row>
    <row r="506" spans="1:9" x14ac:dyDescent="0.25">
      <c r="A506" t="s">
        <v>158</v>
      </c>
      <c r="B506" t="s">
        <v>57</v>
      </c>
      <c r="C506" t="s">
        <v>25</v>
      </c>
      <c r="D506">
        <v>0</v>
      </c>
      <c r="E506">
        <v>0</v>
      </c>
      <c r="F506">
        <v>114.76</v>
      </c>
      <c r="G506">
        <v>1859.1120000000001</v>
      </c>
      <c r="H506">
        <v>-262.30900000000003</v>
      </c>
      <c r="I506">
        <v>0</v>
      </c>
    </row>
    <row r="507" spans="1:9" x14ac:dyDescent="0.25">
      <c r="A507" t="s">
        <v>158</v>
      </c>
      <c r="B507" t="s">
        <v>57</v>
      </c>
      <c r="C507" t="s">
        <v>10</v>
      </c>
      <c r="D507">
        <v>0</v>
      </c>
      <c r="E507">
        <v>0</v>
      </c>
      <c r="F507">
        <v>114.76</v>
      </c>
      <c r="G507">
        <v>1859.1120000000001</v>
      </c>
      <c r="H507">
        <v>-721.34900000000005</v>
      </c>
      <c r="I507">
        <v>0</v>
      </c>
    </row>
    <row r="508" spans="1:9" x14ac:dyDescent="0.25">
      <c r="A508" t="s">
        <v>158</v>
      </c>
      <c r="B508" t="s">
        <v>58</v>
      </c>
      <c r="C508" t="s">
        <v>25</v>
      </c>
      <c r="D508">
        <v>0</v>
      </c>
      <c r="E508">
        <v>-94.94</v>
      </c>
      <c r="F508">
        <v>0</v>
      </c>
      <c r="G508">
        <v>1566.519</v>
      </c>
      <c r="H508">
        <v>0</v>
      </c>
      <c r="I508">
        <v>-217.00700000000001</v>
      </c>
    </row>
    <row r="509" spans="1:9" x14ac:dyDescent="0.25">
      <c r="A509" t="s">
        <v>158</v>
      </c>
      <c r="B509" t="s">
        <v>58</v>
      </c>
      <c r="C509" t="s">
        <v>10</v>
      </c>
      <c r="D509">
        <v>0</v>
      </c>
      <c r="E509">
        <v>-94.94</v>
      </c>
      <c r="F509">
        <v>0</v>
      </c>
      <c r="G509">
        <v>1566.519</v>
      </c>
      <c r="H509">
        <v>0</v>
      </c>
      <c r="I509">
        <v>-596.76900000000001</v>
      </c>
    </row>
    <row r="510" spans="1:9" x14ac:dyDescent="0.25">
      <c r="A510" t="s">
        <v>158</v>
      </c>
      <c r="B510" t="s">
        <v>59</v>
      </c>
      <c r="C510" t="s">
        <v>25</v>
      </c>
      <c r="D510">
        <v>0</v>
      </c>
      <c r="E510">
        <v>-94.94</v>
      </c>
      <c r="F510">
        <v>0</v>
      </c>
      <c r="G510">
        <v>1281.6969999999999</v>
      </c>
      <c r="H510">
        <v>0</v>
      </c>
      <c r="I510">
        <v>-217.00700000000001</v>
      </c>
    </row>
    <row r="511" spans="1:9" x14ac:dyDescent="0.25">
      <c r="A511" t="s">
        <v>158</v>
      </c>
      <c r="B511" t="s">
        <v>59</v>
      </c>
      <c r="C511" t="s">
        <v>10</v>
      </c>
      <c r="D511">
        <v>0</v>
      </c>
      <c r="E511">
        <v>-94.94</v>
      </c>
      <c r="F511">
        <v>0</v>
      </c>
      <c r="G511">
        <v>1281.6969999999999</v>
      </c>
      <c r="H511">
        <v>0</v>
      </c>
      <c r="I511">
        <v>-596.76900000000001</v>
      </c>
    </row>
    <row r="512" spans="1:9" x14ac:dyDescent="0.25">
      <c r="A512" t="s">
        <v>158</v>
      </c>
      <c r="B512" t="s">
        <v>60</v>
      </c>
      <c r="C512" t="s">
        <v>25</v>
      </c>
      <c r="D512">
        <v>0</v>
      </c>
      <c r="E512">
        <v>94.94</v>
      </c>
      <c r="F512">
        <v>0</v>
      </c>
      <c r="G512">
        <v>-1566.519</v>
      </c>
      <c r="H512">
        <v>0</v>
      </c>
      <c r="I512">
        <v>217.00700000000001</v>
      </c>
    </row>
    <row r="513" spans="1:9" x14ac:dyDescent="0.25">
      <c r="A513" t="s">
        <v>158</v>
      </c>
      <c r="B513" t="s">
        <v>60</v>
      </c>
      <c r="C513" t="s">
        <v>10</v>
      </c>
      <c r="D513">
        <v>0</v>
      </c>
      <c r="E513">
        <v>94.94</v>
      </c>
      <c r="F513">
        <v>0</v>
      </c>
      <c r="G513">
        <v>-1566.519</v>
      </c>
      <c r="H513">
        <v>0</v>
      </c>
      <c r="I513">
        <v>596.76900000000001</v>
      </c>
    </row>
    <row r="514" spans="1:9" x14ac:dyDescent="0.25">
      <c r="A514" t="s">
        <v>158</v>
      </c>
      <c r="B514" t="s">
        <v>61</v>
      </c>
      <c r="C514" t="s">
        <v>25</v>
      </c>
      <c r="D514">
        <v>0</v>
      </c>
      <c r="E514">
        <v>94.94</v>
      </c>
      <c r="F514">
        <v>0</v>
      </c>
      <c r="G514">
        <v>-1281.6969999999999</v>
      </c>
      <c r="H514">
        <v>0</v>
      </c>
      <c r="I514">
        <v>217.00700000000001</v>
      </c>
    </row>
    <row r="515" spans="1:9" x14ac:dyDescent="0.25">
      <c r="A515" t="s">
        <v>158</v>
      </c>
      <c r="B515" t="s">
        <v>61</v>
      </c>
      <c r="C515" t="s">
        <v>10</v>
      </c>
      <c r="D515">
        <v>0</v>
      </c>
      <c r="E515">
        <v>94.94</v>
      </c>
      <c r="F515">
        <v>0</v>
      </c>
      <c r="G515">
        <v>-1281.6969999999999</v>
      </c>
      <c r="H515">
        <v>0</v>
      </c>
      <c r="I515">
        <v>596.76900000000001</v>
      </c>
    </row>
    <row r="516" spans="1:9" x14ac:dyDescent="0.25">
      <c r="A516" t="s">
        <v>158</v>
      </c>
      <c r="B516" t="s">
        <v>62</v>
      </c>
      <c r="C516" t="s">
        <v>25</v>
      </c>
      <c r="D516">
        <v>0</v>
      </c>
      <c r="E516">
        <v>0</v>
      </c>
      <c r="F516">
        <v>-114.76</v>
      </c>
      <c r="G516">
        <v>-2272.248</v>
      </c>
      <c r="H516">
        <v>262.30900000000003</v>
      </c>
      <c r="I516">
        <v>0</v>
      </c>
    </row>
    <row r="517" spans="1:9" x14ac:dyDescent="0.25">
      <c r="A517" t="s">
        <v>158</v>
      </c>
      <c r="B517" t="s">
        <v>62</v>
      </c>
      <c r="C517" t="s">
        <v>10</v>
      </c>
      <c r="D517">
        <v>0</v>
      </c>
      <c r="E517">
        <v>0</v>
      </c>
      <c r="F517">
        <v>-114.76</v>
      </c>
      <c r="G517">
        <v>-2272.248</v>
      </c>
      <c r="H517">
        <v>721.34900000000005</v>
      </c>
      <c r="I517">
        <v>0</v>
      </c>
    </row>
    <row r="518" spans="1:9" x14ac:dyDescent="0.25">
      <c r="A518" t="s">
        <v>158</v>
      </c>
      <c r="B518" t="s">
        <v>63</v>
      </c>
      <c r="C518" t="s">
        <v>25</v>
      </c>
      <c r="D518">
        <v>0</v>
      </c>
      <c r="E518">
        <v>0</v>
      </c>
      <c r="F518">
        <v>-114.76</v>
      </c>
      <c r="G518">
        <v>-1859.1120000000001</v>
      </c>
      <c r="H518">
        <v>262.30900000000003</v>
      </c>
      <c r="I518">
        <v>0</v>
      </c>
    </row>
    <row r="519" spans="1:9" x14ac:dyDescent="0.25">
      <c r="A519" t="s">
        <v>158</v>
      </c>
      <c r="B519" t="s">
        <v>63</v>
      </c>
      <c r="C519" t="s">
        <v>10</v>
      </c>
      <c r="D519">
        <v>0</v>
      </c>
      <c r="E519">
        <v>0</v>
      </c>
      <c r="F519">
        <v>-114.76</v>
      </c>
      <c r="G519">
        <v>-1859.1120000000001</v>
      </c>
      <c r="H519">
        <v>721.34900000000005</v>
      </c>
      <c r="I519">
        <v>0</v>
      </c>
    </row>
    <row r="520" spans="1:9" x14ac:dyDescent="0.25">
      <c r="A520" t="s">
        <v>158</v>
      </c>
      <c r="B520" t="s">
        <v>64</v>
      </c>
      <c r="C520" t="s">
        <v>25</v>
      </c>
      <c r="D520">
        <v>0</v>
      </c>
      <c r="E520">
        <v>0</v>
      </c>
      <c r="F520">
        <v>114.76</v>
      </c>
      <c r="G520">
        <v>2272.248</v>
      </c>
      <c r="H520">
        <v>-262.30900000000003</v>
      </c>
      <c r="I520">
        <v>0</v>
      </c>
    </row>
    <row r="521" spans="1:9" x14ac:dyDescent="0.25">
      <c r="A521" t="s">
        <v>158</v>
      </c>
      <c r="B521" t="s">
        <v>64</v>
      </c>
      <c r="C521" t="s">
        <v>10</v>
      </c>
      <c r="D521">
        <v>0</v>
      </c>
      <c r="E521">
        <v>0</v>
      </c>
      <c r="F521">
        <v>114.76</v>
      </c>
      <c r="G521">
        <v>2272.248</v>
      </c>
      <c r="H521">
        <v>-721.34900000000005</v>
      </c>
      <c r="I521">
        <v>0</v>
      </c>
    </row>
    <row r="522" spans="1:9" x14ac:dyDescent="0.25">
      <c r="A522" t="s">
        <v>158</v>
      </c>
      <c r="B522" t="s">
        <v>65</v>
      </c>
      <c r="C522" t="s">
        <v>25</v>
      </c>
      <c r="D522">
        <v>0</v>
      </c>
      <c r="E522">
        <v>0</v>
      </c>
      <c r="F522">
        <v>114.76</v>
      </c>
      <c r="G522">
        <v>1859.1120000000001</v>
      </c>
      <c r="H522">
        <v>-262.30900000000003</v>
      </c>
      <c r="I522">
        <v>0</v>
      </c>
    </row>
    <row r="523" spans="1:9" x14ac:dyDescent="0.25">
      <c r="A523" t="s">
        <v>158</v>
      </c>
      <c r="B523" t="s">
        <v>65</v>
      </c>
      <c r="C523" t="s">
        <v>10</v>
      </c>
      <c r="D523">
        <v>0</v>
      </c>
      <c r="E523">
        <v>0</v>
      </c>
      <c r="F523">
        <v>114.76</v>
      </c>
      <c r="G523">
        <v>1859.1120000000001</v>
      </c>
      <c r="H523">
        <v>-721.34900000000005</v>
      </c>
      <c r="I523">
        <v>0</v>
      </c>
    </row>
    <row r="524" spans="1:9" x14ac:dyDescent="0.25">
      <c r="A524" t="s">
        <v>158</v>
      </c>
      <c r="B524" t="s">
        <v>66</v>
      </c>
      <c r="C524" t="s">
        <v>25</v>
      </c>
      <c r="D524">
        <v>0</v>
      </c>
      <c r="E524">
        <v>-316.47000000000003</v>
      </c>
      <c r="F524">
        <v>0</v>
      </c>
      <c r="G524">
        <v>5221.7299999999996</v>
      </c>
      <c r="H524">
        <v>0</v>
      </c>
      <c r="I524">
        <v>-723.35699999999997</v>
      </c>
    </row>
    <row r="525" spans="1:9" x14ac:dyDescent="0.25">
      <c r="A525" t="s">
        <v>158</v>
      </c>
      <c r="B525" t="s">
        <v>66</v>
      </c>
      <c r="C525" t="s">
        <v>10</v>
      </c>
      <c r="D525">
        <v>0</v>
      </c>
      <c r="E525">
        <v>-316.47000000000003</v>
      </c>
      <c r="F525">
        <v>0</v>
      </c>
      <c r="G525">
        <v>5221.7299999999996</v>
      </c>
      <c r="H525">
        <v>0</v>
      </c>
      <c r="I525">
        <v>-1989.231</v>
      </c>
    </row>
    <row r="526" spans="1:9" x14ac:dyDescent="0.25">
      <c r="A526" t="s">
        <v>158</v>
      </c>
      <c r="B526" t="s">
        <v>67</v>
      </c>
      <c r="C526" t="s">
        <v>25</v>
      </c>
      <c r="D526">
        <v>0</v>
      </c>
      <c r="E526">
        <v>-316.47000000000003</v>
      </c>
      <c r="F526">
        <v>0</v>
      </c>
      <c r="G526">
        <v>4272.3249999999998</v>
      </c>
      <c r="H526">
        <v>0</v>
      </c>
      <c r="I526">
        <v>-723.35699999999997</v>
      </c>
    </row>
    <row r="527" spans="1:9" x14ac:dyDescent="0.25">
      <c r="A527" t="s">
        <v>158</v>
      </c>
      <c r="B527" t="s">
        <v>67</v>
      </c>
      <c r="C527" t="s">
        <v>10</v>
      </c>
      <c r="D527">
        <v>0</v>
      </c>
      <c r="E527">
        <v>-316.47000000000003</v>
      </c>
      <c r="F527">
        <v>0</v>
      </c>
      <c r="G527">
        <v>4272.3249999999998</v>
      </c>
      <c r="H527">
        <v>0</v>
      </c>
      <c r="I527">
        <v>-1989.231</v>
      </c>
    </row>
    <row r="528" spans="1:9" x14ac:dyDescent="0.25">
      <c r="A528" t="s">
        <v>158</v>
      </c>
      <c r="B528" t="s">
        <v>68</v>
      </c>
      <c r="C528" t="s">
        <v>25</v>
      </c>
      <c r="D528">
        <v>0</v>
      </c>
      <c r="E528">
        <v>316.47000000000003</v>
      </c>
      <c r="F528">
        <v>0</v>
      </c>
      <c r="G528">
        <v>-5221.7299999999996</v>
      </c>
      <c r="H528">
        <v>0</v>
      </c>
      <c r="I528">
        <v>723.35699999999997</v>
      </c>
    </row>
    <row r="529" spans="1:9" x14ac:dyDescent="0.25">
      <c r="A529" t="s">
        <v>158</v>
      </c>
      <c r="B529" t="s">
        <v>68</v>
      </c>
      <c r="C529" t="s">
        <v>10</v>
      </c>
      <c r="D529">
        <v>0</v>
      </c>
      <c r="E529">
        <v>316.47000000000003</v>
      </c>
      <c r="F529">
        <v>0</v>
      </c>
      <c r="G529">
        <v>-5221.7299999999996</v>
      </c>
      <c r="H529">
        <v>0</v>
      </c>
      <c r="I529">
        <v>1989.231</v>
      </c>
    </row>
    <row r="530" spans="1:9" x14ac:dyDescent="0.25">
      <c r="A530" t="s">
        <v>158</v>
      </c>
      <c r="B530" t="s">
        <v>69</v>
      </c>
      <c r="C530" t="s">
        <v>25</v>
      </c>
      <c r="D530">
        <v>0</v>
      </c>
      <c r="E530">
        <v>316.47000000000003</v>
      </c>
      <c r="F530">
        <v>0</v>
      </c>
      <c r="G530">
        <v>-4272.3249999999998</v>
      </c>
      <c r="H530">
        <v>0</v>
      </c>
      <c r="I530">
        <v>723.35699999999997</v>
      </c>
    </row>
    <row r="531" spans="1:9" x14ac:dyDescent="0.25">
      <c r="A531" t="s">
        <v>158</v>
      </c>
      <c r="B531" t="s">
        <v>69</v>
      </c>
      <c r="C531" t="s">
        <v>10</v>
      </c>
      <c r="D531">
        <v>0</v>
      </c>
      <c r="E531">
        <v>316.47000000000003</v>
      </c>
      <c r="F531">
        <v>0</v>
      </c>
      <c r="G531">
        <v>-4272.3249999999998</v>
      </c>
      <c r="H531">
        <v>0</v>
      </c>
      <c r="I531">
        <v>1989.231</v>
      </c>
    </row>
    <row r="532" spans="1:9" x14ac:dyDescent="0.25">
      <c r="A532" t="s">
        <v>158</v>
      </c>
      <c r="B532" t="s">
        <v>70</v>
      </c>
      <c r="C532" t="s">
        <v>25</v>
      </c>
      <c r="D532">
        <v>0</v>
      </c>
      <c r="E532">
        <v>0</v>
      </c>
      <c r="F532">
        <v>-382.53</v>
      </c>
      <c r="G532">
        <v>-7574.16</v>
      </c>
      <c r="H532">
        <v>874.36199999999997</v>
      </c>
      <c r="I532">
        <v>0</v>
      </c>
    </row>
    <row r="533" spans="1:9" x14ac:dyDescent="0.25">
      <c r="A533" t="s">
        <v>158</v>
      </c>
      <c r="B533" t="s">
        <v>70</v>
      </c>
      <c r="C533" t="s">
        <v>10</v>
      </c>
      <c r="D533">
        <v>0</v>
      </c>
      <c r="E533">
        <v>0</v>
      </c>
      <c r="F533">
        <v>-382.53</v>
      </c>
      <c r="G533">
        <v>-7574.16</v>
      </c>
      <c r="H533">
        <v>2404.4949999999999</v>
      </c>
      <c r="I533">
        <v>0</v>
      </c>
    </row>
    <row r="534" spans="1:9" x14ac:dyDescent="0.25">
      <c r="A534" t="s">
        <v>158</v>
      </c>
      <c r="B534" t="s">
        <v>71</v>
      </c>
      <c r="C534" t="s">
        <v>25</v>
      </c>
      <c r="D534">
        <v>0</v>
      </c>
      <c r="E534">
        <v>0</v>
      </c>
      <c r="F534">
        <v>-382.53</v>
      </c>
      <c r="G534">
        <v>-6197.04</v>
      </c>
      <c r="H534">
        <v>874.36199999999997</v>
      </c>
      <c r="I534">
        <v>0</v>
      </c>
    </row>
    <row r="535" spans="1:9" x14ac:dyDescent="0.25">
      <c r="A535" t="s">
        <v>158</v>
      </c>
      <c r="B535" t="s">
        <v>71</v>
      </c>
      <c r="C535" t="s">
        <v>10</v>
      </c>
      <c r="D535">
        <v>0</v>
      </c>
      <c r="E535">
        <v>0</v>
      </c>
      <c r="F535">
        <v>-382.53</v>
      </c>
      <c r="G535">
        <v>-6197.04</v>
      </c>
      <c r="H535">
        <v>2404.4949999999999</v>
      </c>
      <c r="I535">
        <v>0</v>
      </c>
    </row>
    <row r="536" spans="1:9" x14ac:dyDescent="0.25">
      <c r="A536" t="s">
        <v>158</v>
      </c>
      <c r="B536" t="s">
        <v>72</v>
      </c>
      <c r="C536" t="s">
        <v>25</v>
      </c>
      <c r="D536">
        <v>0</v>
      </c>
      <c r="E536">
        <v>0</v>
      </c>
      <c r="F536">
        <v>382.53</v>
      </c>
      <c r="G536">
        <v>7574.16</v>
      </c>
      <c r="H536">
        <v>-874.36199999999997</v>
      </c>
      <c r="I536">
        <v>0</v>
      </c>
    </row>
    <row r="537" spans="1:9" x14ac:dyDescent="0.25">
      <c r="A537" t="s">
        <v>158</v>
      </c>
      <c r="B537" t="s">
        <v>72</v>
      </c>
      <c r="C537" t="s">
        <v>10</v>
      </c>
      <c r="D537">
        <v>0</v>
      </c>
      <c r="E537">
        <v>0</v>
      </c>
      <c r="F537">
        <v>382.53</v>
      </c>
      <c r="G537">
        <v>7574.16</v>
      </c>
      <c r="H537">
        <v>-2404.4949999999999</v>
      </c>
      <c r="I537">
        <v>0</v>
      </c>
    </row>
    <row r="538" spans="1:9" x14ac:dyDescent="0.25">
      <c r="A538" t="s">
        <v>158</v>
      </c>
      <c r="B538" t="s">
        <v>73</v>
      </c>
      <c r="C538" t="s">
        <v>25</v>
      </c>
      <c r="D538">
        <v>0</v>
      </c>
      <c r="E538">
        <v>0</v>
      </c>
      <c r="F538">
        <v>382.53</v>
      </c>
      <c r="G538">
        <v>6197.04</v>
      </c>
      <c r="H538">
        <v>-874.36199999999997</v>
      </c>
      <c r="I538">
        <v>0</v>
      </c>
    </row>
    <row r="539" spans="1:9" x14ac:dyDescent="0.25">
      <c r="A539" t="s">
        <v>158</v>
      </c>
      <c r="B539" t="s">
        <v>73</v>
      </c>
      <c r="C539" t="s">
        <v>10</v>
      </c>
      <c r="D539">
        <v>0</v>
      </c>
      <c r="E539">
        <v>0</v>
      </c>
      <c r="F539">
        <v>382.53</v>
      </c>
      <c r="G539">
        <v>6197.04</v>
      </c>
      <c r="H539">
        <v>-2404.4949999999999</v>
      </c>
      <c r="I539">
        <v>0</v>
      </c>
    </row>
    <row r="540" spans="1:9" x14ac:dyDescent="0.25">
      <c r="A540" t="s">
        <v>158</v>
      </c>
      <c r="B540" t="s">
        <v>74</v>
      </c>
      <c r="C540" t="s">
        <v>25</v>
      </c>
      <c r="D540">
        <v>0</v>
      </c>
      <c r="E540">
        <v>-316.47000000000003</v>
      </c>
      <c r="F540">
        <v>0</v>
      </c>
      <c r="G540">
        <v>5221.7299999999996</v>
      </c>
      <c r="H540">
        <v>0</v>
      </c>
      <c r="I540">
        <v>-723.35699999999997</v>
      </c>
    </row>
    <row r="541" spans="1:9" x14ac:dyDescent="0.25">
      <c r="A541" t="s">
        <v>158</v>
      </c>
      <c r="B541" t="s">
        <v>74</v>
      </c>
      <c r="C541" t="s">
        <v>10</v>
      </c>
      <c r="D541">
        <v>0</v>
      </c>
      <c r="E541">
        <v>-316.47000000000003</v>
      </c>
      <c r="F541">
        <v>0</v>
      </c>
      <c r="G541">
        <v>5221.7299999999996</v>
      </c>
      <c r="H541">
        <v>0</v>
      </c>
      <c r="I541">
        <v>-1989.231</v>
      </c>
    </row>
    <row r="542" spans="1:9" x14ac:dyDescent="0.25">
      <c r="A542" t="s">
        <v>158</v>
      </c>
      <c r="B542" t="s">
        <v>75</v>
      </c>
      <c r="C542" t="s">
        <v>25</v>
      </c>
      <c r="D542">
        <v>0</v>
      </c>
      <c r="E542">
        <v>-316.47000000000003</v>
      </c>
      <c r="F542">
        <v>0</v>
      </c>
      <c r="G542">
        <v>4272.3249999999998</v>
      </c>
      <c r="H542">
        <v>0</v>
      </c>
      <c r="I542">
        <v>-723.35699999999997</v>
      </c>
    </row>
    <row r="543" spans="1:9" x14ac:dyDescent="0.25">
      <c r="A543" t="s">
        <v>158</v>
      </c>
      <c r="B543" t="s">
        <v>75</v>
      </c>
      <c r="C543" t="s">
        <v>10</v>
      </c>
      <c r="D543">
        <v>0</v>
      </c>
      <c r="E543">
        <v>-316.47000000000003</v>
      </c>
      <c r="F543">
        <v>0</v>
      </c>
      <c r="G543">
        <v>4272.3249999999998</v>
      </c>
      <c r="H543">
        <v>0</v>
      </c>
      <c r="I543">
        <v>-1989.231</v>
      </c>
    </row>
    <row r="544" spans="1:9" x14ac:dyDescent="0.25">
      <c r="A544" t="s">
        <v>158</v>
      </c>
      <c r="B544" t="s">
        <v>76</v>
      </c>
      <c r="C544" t="s">
        <v>25</v>
      </c>
      <c r="D544">
        <v>0</v>
      </c>
      <c r="E544">
        <v>316.47000000000003</v>
      </c>
      <c r="F544">
        <v>0</v>
      </c>
      <c r="G544">
        <v>-5221.7299999999996</v>
      </c>
      <c r="H544">
        <v>0</v>
      </c>
      <c r="I544">
        <v>723.35699999999997</v>
      </c>
    </row>
    <row r="545" spans="1:9" x14ac:dyDescent="0.25">
      <c r="A545" t="s">
        <v>158</v>
      </c>
      <c r="B545" t="s">
        <v>76</v>
      </c>
      <c r="C545" t="s">
        <v>10</v>
      </c>
      <c r="D545">
        <v>0</v>
      </c>
      <c r="E545">
        <v>316.47000000000003</v>
      </c>
      <c r="F545">
        <v>0</v>
      </c>
      <c r="G545">
        <v>-5221.7299999999996</v>
      </c>
      <c r="H545">
        <v>0</v>
      </c>
      <c r="I545">
        <v>1989.231</v>
      </c>
    </row>
    <row r="546" spans="1:9" x14ac:dyDescent="0.25">
      <c r="A546" t="s">
        <v>158</v>
      </c>
      <c r="B546" t="s">
        <v>77</v>
      </c>
      <c r="C546" t="s">
        <v>25</v>
      </c>
      <c r="D546">
        <v>0</v>
      </c>
      <c r="E546">
        <v>316.47000000000003</v>
      </c>
      <c r="F546">
        <v>0</v>
      </c>
      <c r="G546">
        <v>-4272.3249999999998</v>
      </c>
      <c r="H546">
        <v>0</v>
      </c>
      <c r="I546">
        <v>723.35699999999997</v>
      </c>
    </row>
    <row r="547" spans="1:9" x14ac:dyDescent="0.25">
      <c r="A547" t="s">
        <v>158</v>
      </c>
      <c r="B547" t="s">
        <v>77</v>
      </c>
      <c r="C547" t="s">
        <v>10</v>
      </c>
      <c r="D547">
        <v>0</v>
      </c>
      <c r="E547">
        <v>316.47000000000003</v>
      </c>
      <c r="F547">
        <v>0</v>
      </c>
      <c r="G547">
        <v>-4272.3249999999998</v>
      </c>
      <c r="H547">
        <v>0</v>
      </c>
      <c r="I547">
        <v>1989.231</v>
      </c>
    </row>
    <row r="548" spans="1:9" x14ac:dyDescent="0.25">
      <c r="A548" t="s">
        <v>158</v>
      </c>
      <c r="B548" t="s">
        <v>78</v>
      </c>
      <c r="C548" t="s">
        <v>25</v>
      </c>
      <c r="D548">
        <v>0</v>
      </c>
      <c r="E548">
        <v>0</v>
      </c>
      <c r="F548">
        <v>-382.53</v>
      </c>
      <c r="G548">
        <v>-7574.16</v>
      </c>
      <c r="H548">
        <v>874.36199999999997</v>
      </c>
      <c r="I548">
        <v>0</v>
      </c>
    </row>
    <row r="549" spans="1:9" x14ac:dyDescent="0.25">
      <c r="A549" t="s">
        <v>158</v>
      </c>
      <c r="B549" t="s">
        <v>78</v>
      </c>
      <c r="C549" t="s">
        <v>10</v>
      </c>
      <c r="D549">
        <v>0</v>
      </c>
      <c r="E549">
        <v>0</v>
      </c>
      <c r="F549">
        <v>-382.53</v>
      </c>
      <c r="G549">
        <v>-7574.16</v>
      </c>
      <c r="H549">
        <v>2404.4949999999999</v>
      </c>
      <c r="I549">
        <v>0</v>
      </c>
    </row>
    <row r="550" spans="1:9" x14ac:dyDescent="0.25">
      <c r="A550" t="s">
        <v>158</v>
      </c>
      <c r="B550" t="s">
        <v>79</v>
      </c>
      <c r="C550" t="s">
        <v>25</v>
      </c>
      <c r="D550">
        <v>0</v>
      </c>
      <c r="E550">
        <v>0</v>
      </c>
      <c r="F550">
        <v>-382.53</v>
      </c>
      <c r="G550">
        <v>-6197.04</v>
      </c>
      <c r="H550">
        <v>874.36199999999997</v>
      </c>
      <c r="I550">
        <v>0</v>
      </c>
    </row>
    <row r="551" spans="1:9" x14ac:dyDescent="0.25">
      <c r="A551" t="s">
        <v>158</v>
      </c>
      <c r="B551" t="s">
        <v>79</v>
      </c>
      <c r="C551" t="s">
        <v>10</v>
      </c>
      <c r="D551">
        <v>0</v>
      </c>
      <c r="E551">
        <v>0</v>
      </c>
      <c r="F551">
        <v>-382.53</v>
      </c>
      <c r="G551">
        <v>-6197.04</v>
      </c>
      <c r="H551">
        <v>2404.4949999999999</v>
      </c>
      <c r="I551">
        <v>0</v>
      </c>
    </row>
    <row r="552" spans="1:9" x14ac:dyDescent="0.25">
      <c r="A552" t="s">
        <v>158</v>
      </c>
      <c r="B552" t="s">
        <v>80</v>
      </c>
      <c r="C552" t="s">
        <v>25</v>
      </c>
      <c r="D552">
        <v>0</v>
      </c>
      <c r="E552">
        <v>0</v>
      </c>
      <c r="F552">
        <v>382.53</v>
      </c>
      <c r="G552">
        <v>7574.16</v>
      </c>
      <c r="H552">
        <v>-874.36199999999997</v>
      </c>
      <c r="I552">
        <v>0</v>
      </c>
    </row>
    <row r="553" spans="1:9" x14ac:dyDescent="0.25">
      <c r="A553" t="s">
        <v>158</v>
      </c>
      <c r="B553" t="s">
        <v>80</v>
      </c>
      <c r="C553" t="s">
        <v>10</v>
      </c>
      <c r="D553">
        <v>0</v>
      </c>
      <c r="E553">
        <v>0</v>
      </c>
      <c r="F553">
        <v>382.53</v>
      </c>
      <c r="G553">
        <v>7574.16</v>
      </c>
      <c r="H553">
        <v>-2404.4949999999999</v>
      </c>
      <c r="I553">
        <v>0</v>
      </c>
    </row>
    <row r="554" spans="1:9" x14ac:dyDescent="0.25">
      <c r="A554" t="s">
        <v>158</v>
      </c>
      <c r="B554" t="s">
        <v>81</v>
      </c>
      <c r="C554" t="s">
        <v>25</v>
      </c>
      <c r="D554">
        <v>0</v>
      </c>
      <c r="E554">
        <v>0</v>
      </c>
      <c r="F554">
        <v>382.53</v>
      </c>
      <c r="G554">
        <v>6197.04</v>
      </c>
      <c r="H554">
        <v>-874.36199999999997</v>
      </c>
      <c r="I554">
        <v>0</v>
      </c>
    </row>
    <row r="555" spans="1:9" x14ac:dyDescent="0.25">
      <c r="A555" t="s">
        <v>158</v>
      </c>
      <c r="B555" t="s">
        <v>81</v>
      </c>
      <c r="C555" t="s">
        <v>10</v>
      </c>
      <c r="D555">
        <v>0</v>
      </c>
      <c r="E555">
        <v>0</v>
      </c>
      <c r="F555">
        <v>382.53</v>
      </c>
      <c r="G555">
        <v>6197.04</v>
      </c>
      <c r="H555">
        <v>-2404.4949999999999</v>
      </c>
      <c r="I555">
        <v>0</v>
      </c>
    </row>
    <row r="556" spans="1:9" x14ac:dyDescent="0.25">
      <c r="A556" t="s">
        <v>158</v>
      </c>
      <c r="B556" t="s">
        <v>82</v>
      </c>
      <c r="C556" t="s">
        <v>25</v>
      </c>
      <c r="D556">
        <v>0</v>
      </c>
      <c r="E556">
        <v>-94.94</v>
      </c>
      <c r="F556">
        <v>0</v>
      </c>
      <c r="G556">
        <v>1566.519</v>
      </c>
      <c r="H556">
        <v>0</v>
      </c>
      <c r="I556">
        <v>-217.00700000000001</v>
      </c>
    </row>
    <row r="557" spans="1:9" x14ac:dyDescent="0.25">
      <c r="A557" t="s">
        <v>158</v>
      </c>
      <c r="B557" t="s">
        <v>82</v>
      </c>
      <c r="C557" t="s">
        <v>10</v>
      </c>
      <c r="D557">
        <v>0</v>
      </c>
      <c r="E557">
        <v>-94.94</v>
      </c>
      <c r="F557">
        <v>0</v>
      </c>
      <c r="G557">
        <v>1566.519</v>
      </c>
      <c r="H557">
        <v>0</v>
      </c>
      <c r="I557">
        <v>-596.76900000000001</v>
      </c>
    </row>
    <row r="558" spans="1:9" x14ac:dyDescent="0.25">
      <c r="A558" t="s">
        <v>158</v>
      </c>
      <c r="B558" t="s">
        <v>83</v>
      </c>
      <c r="C558" t="s">
        <v>25</v>
      </c>
      <c r="D558">
        <v>0</v>
      </c>
      <c r="E558">
        <v>-94.94</v>
      </c>
      <c r="F558">
        <v>0</v>
      </c>
      <c r="G558">
        <v>1281.6969999999999</v>
      </c>
      <c r="H558">
        <v>0</v>
      </c>
      <c r="I558">
        <v>-217.00700000000001</v>
      </c>
    </row>
    <row r="559" spans="1:9" x14ac:dyDescent="0.25">
      <c r="A559" t="s">
        <v>158</v>
      </c>
      <c r="B559" t="s">
        <v>83</v>
      </c>
      <c r="C559" t="s">
        <v>10</v>
      </c>
      <c r="D559">
        <v>0</v>
      </c>
      <c r="E559">
        <v>-94.94</v>
      </c>
      <c r="F559">
        <v>0</v>
      </c>
      <c r="G559">
        <v>1281.6969999999999</v>
      </c>
      <c r="H559">
        <v>0</v>
      </c>
      <c r="I559">
        <v>-596.76900000000001</v>
      </c>
    </row>
    <row r="560" spans="1:9" x14ac:dyDescent="0.25">
      <c r="A560" t="s">
        <v>158</v>
      </c>
      <c r="B560" t="s">
        <v>84</v>
      </c>
      <c r="C560" t="s">
        <v>25</v>
      </c>
      <c r="D560">
        <v>0</v>
      </c>
      <c r="E560">
        <v>94.94</v>
      </c>
      <c r="F560">
        <v>0</v>
      </c>
      <c r="G560">
        <v>-1566.519</v>
      </c>
      <c r="H560">
        <v>0</v>
      </c>
      <c r="I560">
        <v>217.00700000000001</v>
      </c>
    </row>
    <row r="561" spans="1:9" x14ac:dyDescent="0.25">
      <c r="A561" t="s">
        <v>158</v>
      </c>
      <c r="B561" t="s">
        <v>84</v>
      </c>
      <c r="C561" t="s">
        <v>10</v>
      </c>
      <c r="D561">
        <v>0</v>
      </c>
      <c r="E561">
        <v>94.94</v>
      </c>
      <c r="F561">
        <v>0</v>
      </c>
      <c r="G561">
        <v>-1566.519</v>
      </c>
      <c r="H561">
        <v>0</v>
      </c>
      <c r="I561">
        <v>596.76900000000001</v>
      </c>
    </row>
    <row r="562" spans="1:9" x14ac:dyDescent="0.25">
      <c r="A562" t="s">
        <v>158</v>
      </c>
      <c r="B562" t="s">
        <v>85</v>
      </c>
      <c r="C562" t="s">
        <v>25</v>
      </c>
      <c r="D562">
        <v>0</v>
      </c>
      <c r="E562">
        <v>94.94</v>
      </c>
      <c r="F562">
        <v>0</v>
      </c>
      <c r="G562">
        <v>-1281.6969999999999</v>
      </c>
      <c r="H562">
        <v>0</v>
      </c>
      <c r="I562">
        <v>217.00700000000001</v>
      </c>
    </row>
    <row r="563" spans="1:9" x14ac:dyDescent="0.25">
      <c r="A563" t="s">
        <v>158</v>
      </c>
      <c r="B563" t="s">
        <v>85</v>
      </c>
      <c r="C563" t="s">
        <v>10</v>
      </c>
      <c r="D563">
        <v>0</v>
      </c>
      <c r="E563">
        <v>94.94</v>
      </c>
      <c r="F563">
        <v>0</v>
      </c>
      <c r="G563">
        <v>-1281.6969999999999</v>
      </c>
      <c r="H563">
        <v>0</v>
      </c>
      <c r="I563">
        <v>596.76900000000001</v>
      </c>
    </row>
    <row r="564" spans="1:9" x14ac:dyDescent="0.25">
      <c r="A564" t="s">
        <v>158</v>
      </c>
      <c r="B564" t="s">
        <v>86</v>
      </c>
      <c r="C564" t="s">
        <v>25</v>
      </c>
      <c r="D564">
        <v>0</v>
      </c>
      <c r="E564">
        <v>0</v>
      </c>
      <c r="F564">
        <v>-114.76</v>
      </c>
      <c r="G564">
        <v>-2272.248</v>
      </c>
      <c r="H564">
        <v>262.30900000000003</v>
      </c>
      <c r="I564">
        <v>0</v>
      </c>
    </row>
    <row r="565" spans="1:9" x14ac:dyDescent="0.25">
      <c r="A565" t="s">
        <v>158</v>
      </c>
      <c r="B565" t="s">
        <v>86</v>
      </c>
      <c r="C565" t="s">
        <v>10</v>
      </c>
      <c r="D565">
        <v>0</v>
      </c>
      <c r="E565">
        <v>0</v>
      </c>
      <c r="F565">
        <v>-114.76</v>
      </c>
      <c r="G565">
        <v>-2272.248</v>
      </c>
      <c r="H565">
        <v>721.34900000000005</v>
      </c>
      <c r="I565">
        <v>0</v>
      </c>
    </row>
    <row r="566" spans="1:9" x14ac:dyDescent="0.25">
      <c r="A566" t="s">
        <v>158</v>
      </c>
      <c r="B566" t="s">
        <v>87</v>
      </c>
      <c r="C566" t="s">
        <v>25</v>
      </c>
      <c r="D566">
        <v>0</v>
      </c>
      <c r="E566">
        <v>0</v>
      </c>
      <c r="F566">
        <v>-114.76</v>
      </c>
      <c r="G566">
        <v>-1859.1120000000001</v>
      </c>
      <c r="H566">
        <v>262.30900000000003</v>
      </c>
      <c r="I566">
        <v>0</v>
      </c>
    </row>
    <row r="567" spans="1:9" x14ac:dyDescent="0.25">
      <c r="A567" t="s">
        <v>158</v>
      </c>
      <c r="B567" t="s">
        <v>87</v>
      </c>
      <c r="C567" t="s">
        <v>10</v>
      </c>
      <c r="D567">
        <v>0</v>
      </c>
      <c r="E567">
        <v>0</v>
      </c>
      <c r="F567">
        <v>-114.76</v>
      </c>
      <c r="G567">
        <v>-1859.1120000000001</v>
      </c>
      <c r="H567">
        <v>721.34900000000005</v>
      </c>
      <c r="I567">
        <v>0</v>
      </c>
    </row>
    <row r="568" spans="1:9" x14ac:dyDescent="0.25">
      <c r="A568" t="s">
        <v>158</v>
      </c>
      <c r="B568" t="s">
        <v>88</v>
      </c>
      <c r="C568" t="s">
        <v>25</v>
      </c>
      <c r="D568">
        <v>0</v>
      </c>
      <c r="E568">
        <v>0</v>
      </c>
      <c r="F568">
        <v>114.76</v>
      </c>
      <c r="G568">
        <v>2272.248</v>
      </c>
      <c r="H568">
        <v>-262.30900000000003</v>
      </c>
      <c r="I568">
        <v>0</v>
      </c>
    </row>
    <row r="569" spans="1:9" x14ac:dyDescent="0.25">
      <c r="A569" t="s">
        <v>158</v>
      </c>
      <c r="B569" t="s">
        <v>88</v>
      </c>
      <c r="C569" t="s">
        <v>10</v>
      </c>
      <c r="D569">
        <v>0</v>
      </c>
      <c r="E569">
        <v>0</v>
      </c>
      <c r="F569">
        <v>114.76</v>
      </c>
      <c r="G569">
        <v>2272.248</v>
      </c>
      <c r="H569">
        <v>-721.34900000000005</v>
      </c>
      <c r="I569">
        <v>0</v>
      </c>
    </row>
    <row r="570" spans="1:9" x14ac:dyDescent="0.25">
      <c r="A570" t="s">
        <v>158</v>
      </c>
      <c r="B570" t="s">
        <v>89</v>
      </c>
      <c r="C570" t="s">
        <v>25</v>
      </c>
      <c r="D570">
        <v>0</v>
      </c>
      <c r="E570">
        <v>0</v>
      </c>
      <c r="F570">
        <v>114.76</v>
      </c>
      <c r="G570">
        <v>1859.1120000000001</v>
      </c>
      <c r="H570">
        <v>-262.30900000000003</v>
      </c>
      <c r="I570">
        <v>0</v>
      </c>
    </row>
    <row r="571" spans="1:9" x14ac:dyDescent="0.25">
      <c r="A571" t="s">
        <v>158</v>
      </c>
      <c r="B571" t="s">
        <v>89</v>
      </c>
      <c r="C571" t="s">
        <v>10</v>
      </c>
      <c r="D571">
        <v>0</v>
      </c>
      <c r="E571">
        <v>0</v>
      </c>
      <c r="F571">
        <v>114.76</v>
      </c>
      <c r="G571">
        <v>1859.1120000000001</v>
      </c>
      <c r="H571">
        <v>-721.34900000000005</v>
      </c>
      <c r="I571">
        <v>0</v>
      </c>
    </row>
    <row r="572" spans="1:9" x14ac:dyDescent="0.25">
      <c r="A572" t="s">
        <v>158</v>
      </c>
      <c r="B572" t="s">
        <v>90</v>
      </c>
      <c r="C572" t="s">
        <v>25</v>
      </c>
      <c r="D572">
        <v>0</v>
      </c>
      <c r="E572">
        <v>-94.94</v>
      </c>
      <c r="F572">
        <v>0</v>
      </c>
      <c r="G572">
        <v>1566.519</v>
      </c>
      <c r="H572">
        <v>0</v>
      </c>
      <c r="I572">
        <v>-217.00700000000001</v>
      </c>
    </row>
    <row r="573" spans="1:9" x14ac:dyDescent="0.25">
      <c r="A573" t="s">
        <v>158</v>
      </c>
      <c r="B573" t="s">
        <v>90</v>
      </c>
      <c r="C573" t="s">
        <v>10</v>
      </c>
      <c r="D573">
        <v>0</v>
      </c>
      <c r="E573">
        <v>-94.94</v>
      </c>
      <c r="F573">
        <v>0</v>
      </c>
      <c r="G573">
        <v>1566.519</v>
      </c>
      <c r="H573">
        <v>0</v>
      </c>
      <c r="I573">
        <v>-596.76900000000001</v>
      </c>
    </row>
    <row r="574" spans="1:9" x14ac:dyDescent="0.25">
      <c r="A574" t="s">
        <v>158</v>
      </c>
      <c r="B574" t="s">
        <v>91</v>
      </c>
      <c r="C574" t="s">
        <v>25</v>
      </c>
      <c r="D574">
        <v>0</v>
      </c>
      <c r="E574">
        <v>-94.94</v>
      </c>
      <c r="F574">
        <v>0</v>
      </c>
      <c r="G574">
        <v>1281.6969999999999</v>
      </c>
      <c r="H574">
        <v>0</v>
      </c>
      <c r="I574">
        <v>-217.00700000000001</v>
      </c>
    </row>
    <row r="575" spans="1:9" x14ac:dyDescent="0.25">
      <c r="A575" t="s">
        <v>158</v>
      </c>
      <c r="B575" t="s">
        <v>91</v>
      </c>
      <c r="C575" t="s">
        <v>10</v>
      </c>
      <c r="D575">
        <v>0</v>
      </c>
      <c r="E575">
        <v>-94.94</v>
      </c>
      <c r="F575">
        <v>0</v>
      </c>
      <c r="G575">
        <v>1281.6969999999999</v>
      </c>
      <c r="H575">
        <v>0</v>
      </c>
      <c r="I575">
        <v>-596.76900000000001</v>
      </c>
    </row>
    <row r="576" spans="1:9" x14ac:dyDescent="0.25">
      <c r="A576" t="s">
        <v>158</v>
      </c>
      <c r="B576" t="s">
        <v>92</v>
      </c>
      <c r="C576" t="s">
        <v>25</v>
      </c>
      <c r="D576">
        <v>0</v>
      </c>
      <c r="E576">
        <v>94.94</v>
      </c>
      <c r="F576">
        <v>0</v>
      </c>
      <c r="G576">
        <v>-1566.519</v>
      </c>
      <c r="H576">
        <v>0</v>
      </c>
      <c r="I576">
        <v>217.00700000000001</v>
      </c>
    </row>
    <row r="577" spans="1:9" x14ac:dyDescent="0.25">
      <c r="A577" t="s">
        <v>158</v>
      </c>
      <c r="B577" t="s">
        <v>92</v>
      </c>
      <c r="C577" t="s">
        <v>10</v>
      </c>
      <c r="D577">
        <v>0</v>
      </c>
      <c r="E577">
        <v>94.94</v>
      </c>
      <c r="F577">
        <v>0</v>
      </c>
      <c r="G577">
        <v>-1566.519</v>
      </c>
      <c r="H577">
        <v>0</v>
      </c>
      <c r="I577">
        <v>596.76900000000001</v>
      </c>
    </row>
    <row r="578" spans="1:9" x14ac:dyDescent="0.25">
      <c r="A578" t="s">
        <v>158</v>
      </c>
      <c r="B578" t="s">
        <v>93</v>
      </c>
      <c r="C578" t="s">
        <v>25</v>
      </c>
      <c r="D578">
        <v>0</v>
      </c>
      <c r="E578">
        <v>94.94</v>
      </c>
      <c r="F578">
        <v>0</v>
      </c>
      <c r="G578">
        <v>-1281.6969999999999</v>
      </c>
      <c r="H578">
        <v>0</v>
      </c>
      <c r="I578">
        <v>217.00700000000001</v>
      </c>
    </row>
    <row r="579" spans="1:9" x14ac:dyDescent="0.25">
      <c r="A579" t="s">
        <v>158</v>
      </c>
      <c r="B579" t="s">
        <v>93</v>
      </c>
      <c r="C579" t="s">
        <v>10</v>
      </c>
      <c r="D579">
        <v>0</v>
      </c>
      <c r="E579">
        <v>94.94</v>
      </c>
      <c r="F579">
        <v>0</v>
      </c>
      <c r="G579">
        <v>-1281.6969999999999</v>
      </c>
      <c r="H579">
        <v>0</v>
      </c>
      <c r="I579">
        <v>596.76900000000001</v>
      </c>
    </row>
    <row r="580" spans="1:9" x14ac:dyDescent="0.25">
      <c r="A580" t="s">
        <v>158</v>
      </c>
      <c r="B580" t="s">
        <v>94</v>
      </c>
      <c r="C580" t="s">
        <v>25</v>
      </c>
      <c r="D580">
        <v>0</v>
      </c>
      <c r="E580">
        <v>0</v>
      </c>
      <c r="F580">
        <v>-114.76</v>
      </c>
      <c r="G580">
        <v>-2272.248</v>
      </c>
      <c r="H580">
        <v>262.30900000000003</v>
      </c>
      <c r="I580">
        <v>0</v>
      </c>
    </row>
    <row r="581" spans="1:9" x14ac:dyDescent="0.25">
      <c r="A581" t="s">
        <v>158</v>
      </c>
      <c r="B581" t="s">
        <v>94</v>
      </c>
      <c r="C581" t="s">
        <v>10</v>
      </c>
      <c r="D581">
        <v>0</v>
      </c>
      <c r="E581">
        <v>0</v>
      </c>
      <c r="F581">
        <v>-114.76</v>
      </c>
      <c r="G581">
        <v>-2272.248</v>
      </c>
      <c r="H581">
        <v>721.34900000000005</v>
      </c>
      <c r="I581">
        <v>0</v>
      </c>
    </row>
    <row r="582" spans="1:9" x14ac:dyDescent="0.25">
      <c r="A582" t="s">
        <v>158</v>
      </c>
      <c r="B582" t="s">
        <v>95</v>
      </c>
      <c r="C582" t="s">
        <v>25</v>
      </c>
      <c r="D582">
        <v>0</v>
      </c>
      <c r="E582">
        <v>0</v>
      </c>
      <c r="F582">
        <v>-114.76</v>
      </c>
      <c r="G582">
        <v>-1859.1120000000001</v>
      </c>
      <c r="H582">
        <v>262.30900000000003</v>
      </c>
      <c r="I582">
        <v>0</v>
      </c>
    </row>
    <row r="583" spans="1:9" x14ac:dyDescent="0.25">
      <c r="A583" t="s">
        <v>158</v>
      </c>
      <c r="B583" t="s">
        <v>95</v>
      </c>
      <c r="C583" t="s">
        <v>10</v>
      </c>
      <c r="D583">
        <v>0</v>
      </c>
      <c r="E583">
        <v>0</v>
      </c>
      <c r="F583">
        <v>-114.76</v>
      </c>
      <c r="G583">
        <v>-1859.1120000000001</v>
      </c>
      <c r="H583">
        <v>721.34900000000005</v>
      </c>
      <c r="I583">
        <v>0</v>
      </c>
    </row>
    <row r="584" spans="1:9" x14ac:dyDescent="0.25">
      <c r="A584" t="s">
        <v>158</v>
      </c>
      <c r="B584" t="s">
        <v>96</v>
      </c>
      <c r="C584" t="s">
        <v>25</v>
      </c>
      <c r="D584">
        <v>0</v>
      </c>
      <c r="E584">
        <v>0</v>
      </c>
      <c r="F584">
        <v>114.76</v>
      </c>
      <c r="G584">
        <v>2272.248</v>
      </c>
      <c r="H584">
        <v>-262.30900000000003</v>
      </c>
      <c r="I584">
        <v>0</v>
      </c>
    </row>
    <row r="585" spans="1:9" x14ac:dyDescent="0.25">
      <c r="A585" t="s">
        <v>158</v>
      </c>
      <c r="B585" t="s">
        <v>96</v>
      </c>
      <c r="C585" t="s">
        <v>10</v>
      </c>
      <c r="D585">
        <v>0</v>
      </c>
      <c r="E585">
        <v>0</v>
      </c>
      <c r="F585">
        <v>114.76</v>
      </c>
      <c r="G585">
        <v>2272.248</v>
      </c>
      <c r="H585">
        <v>-721.34900000000005</v>
      </c>
      <c r="I585">
        <v>0</v>
      </c>
    </row>
    <row r="586" spans="1:9" x14ac:dyDescent="0.25">
      <c r="A586" t="s">
        <v>158</v>
      </c>
      <c r="B586" t="s">
        <v>97</v>
      </c>
      <c r="C586" t="s">
        <v>25</v>
      </c>
      <c r="D586">
        <v>0</v>
      </c>
      <c r="E586">
        <v>0</v>
      </c>
      <c r="F586">
        <v>114.76</v>
      </c>
      <c r="G586">
        <v>1859.1120000000001</v>
      </c>
      <c r="H586">
        <v>-262.30900000000003</v>
      </c>
      <c r="I586">
        <v>0</v>
      </c>
    </row>
    <row r="587" spans="1:9" x14ac:dyDescent="0.25">
      <c r="A587" t="s">
        <v>158</v>
      </c>
      <c r="B587" t="s">
        <v>97</v>
      </c>
      <c r="C587" t="s">
        <v>10</v>
      </c>
      <c r="D587">
        <v>0</v>
      </c>
      <c r="E587">
        <v>0</v>
      </c>
      <c r="F587">
        <v>114.76</v>
      </c>
      <c r="G587">
        <v>1859.1120000000001</v>
      </c>
      <c r="H587">
        <v>-721.34900000000005</v>
      </c>
      <c r="I587">
        <v>0</v>
      </c>
    </row>
    <row r="588" spans="1:9" x14ac:dyDescent="0.25">
      <c r="A588" t="s">
        <v>158</v>
      </c>
      <c r="B588" t="s">
        <v>14</v>
      </c>
      <c r="C588" t="s">
        <v>25</v>
      </c>
      <c r="D588">
        <v>0</v>
      </c>
      <c r="E588">
        <v>194.35</v>
      </c>
      <c r="F588">
        <v>0</v>
      </c>
      <c r="G588">
        <v>3282.768</v>
      </c>
      <c r="H588">
        <v>0</v>
      </c>
      <c r="I588">
        <v>546.28399999999999</v>
      </c>
    </row>
    <row r="589" spans="1:9" x14ac:dyDescent="0.25">
      <c r="A589" t="s">
        <v>158</v>
      </c>
      <c r="B589" t="s">
        <v>14</v>
      </c>
      <c r="C589" t="s">
        <v>10</v>
      </c>
      <c r="D589">
        <v>0</v>
      </c>
      <c r="E589">
        <v>194.35</v>
      </c>
      <c r="F589">
        <v>0</v>
      </c>
      <c r="G589">
        <v>3282.768</v>
      </c>
      <c r="H589">
        <v>0</v>
      </c>
      <c r="I589">
        <v>1271.7080000000001</v>
      </c>
    </row>
    <row r="590" spans="1:9" x14ac:dyDescent="0.25">
      <c r="A590" t="s">
        <v>158</v>
      </c>
      <c r="B590" t="s">
        <v>98</v>
      </c>
      <c r="C590" t="s">
        <v>25</v>
      </c>
      <c r="D590">
        <v>0</v>
      </c>
      <c r="E590">
        <v>-194.35</v>
      </c>
      <c r="F590">
        <v>0</v>
      </c>
      <c r="G590">
        <v>-3282.768</v>
      </c>
      <c r="H590">
        <v>0</v>
      </c>
      <c r="I590">
        <v>-546.28399999999999</v>
      </c>
    </row>
    <row r="591" spans="1:9" x14ac:dyDescent="0.25">
      <c r="A591" t="s">
        <v>158</v>
      </c>
      <c r="B591" t="s">
        <v>98</v>
      </c>
      <c r="C591" t="s">
        <v>10</v>
      </c>
      <c r="D591">
        <v>0</v>
      </c>
      <c r="E591">
        <v>-194.35</v>
      </c>
      <c r="F591">
        <v>0</v>
      </c>
      <c r="G591">
        <v>-3282.768</v>
      </c>
      <c r="H591">
        <v>0</v>
      </c>
      <c r="I591">
        <v>-1271.7080000000001</v>
      </c>
    </row>
    <row r="592" spans="1:9" x14ac:dyDescent="0.25">
      <c r="A592" t="s">
        <v>158</v>
      </c>
      <c r="B592" t="s">
        <v>15</v>
      </c>
      <c r="C592" t="s">
        <v>25</v>
      </c>
      <c r="D592">
        <v>0</v>
      </c>
      <c r="E592">
        <v>0</v>
      </c>
      <c r="F592">
        <v>483.2</v>
      </c>
      <c r="G592">
        <v>9609.9860000000008</v>
      </c>
      <c r="H592">
        <v>1163.6300000000001</v>
      </c>
      <c r="I592">
        <v>0</v>
      </c>
    </row>
    <row r="593" spans="1:9" x14ac:dyDescent="0.25">
      <c r="A593" t="s">
        <v>158</v>
      </c>
      <c r="B593" t="s">
        <v>15</v>
      </c>
      <c r="C593" t="s">
        <v>10</v>
      </c>
      <c r="D593">
        <v>0</v>
      </c>
      <c r="E593">
        <v>0</v>
      </c>
      <c r="F593">
        <v>483.2</v>
      </c>
      <c r="G593">
        <v>9609.9860000000008</v>
      </c>
      <c r="H593">
        <v>3071.299</v>
      </c>
      <c r="I593">
        <v>0</v>
      </c>
    </row>
    <row r="594" spans="1:9" x14ac:dyDescent="0.25">
      <c r="A594" t="s">
        <v>158</v>
      </c>
      <c r="B594" t="s">
        <v>99</v>
      </c>
      <c r="C594" t="s">
        <v>25</v>
      </c>
      <c r="D594">
        <v>0</v>
      </c>
      <c r="E594">
        <v>0</v>
      </c>
      <c r="F594">
        <v>-483.2</v>
      </c>
      <c r="G594">
        <v>-9609.9860000000008</v>
      </c>
      <c r="H594">
        <v>-1163.6300000000001</v>
      </c>
      <c r="I594">
        <v>0</v>
      </c>
    </row>
    <row r="595" spans="1:9" x14ac:dyDescent="0.25">
      <c r="A595" t="s">
        <v>158</v>
      </c>
      <c r="B595" t="s">
        <v>99</v>
      </c>
      <c r="C595" t="s">
        <v>10</v>
      </c>
      <c r="D595">
        <v>0</v>
      </c>
      <c r="E595">
        <v>0</v>
      </c>
      <c r="F595">
        <v>-483.2</v>
      </c>
      <c r="G595">
        <v>-9609.9860000000008</v>
      </c>
      <c r="H595">
        <v>-3071.299</v>
      </c>
      <c r="I595">
        <v>0</v>
      </c>
    </row>
    <row r="596" spans="1:9" x14ac:dyDescent="0.25">
      <c r="A596" t="s">
        <v>158</v>
      </c>
      <c r="B596" t="s">
        <v>100</v>
      </c>
      <c r="C596" t="s">
        <v>25</v>
      </c>
      <c r="D596">
        <v>0</v>
      </c>
      <c r="E596">
        <v>194.35</v>
      </c>
      <c r="F596">
        <v>0</v>
      </c>
      <c r="G596">
        <v>3282.768</v>
      </c>
      <c r="H596">
        <v>0</v>
      </c>
      <c r="I596">
        <v>546.28399999999999</v>
      </c>
    </row>
    <row r="597" spans="1:9" x14ac:dyDescent="0.25">
      <c r="A597" t="s">
        <v>158</v>
      </c>
      <c r="B597" t="s">
        <v>100</v>
      </c>
      <c r="C597" t="s">
        <v>10</v>
      </c>
      <c r="D597">
        <v>0</v>
      </c>
      <c r="E597">
        <v>194.35</v>
      </c>
      <c r="F597">
        <v>0</v>
      </c>
      <c r="G597">
        <v>3282.768</v>
      </c>
      <c r="H597">
        <v>0</v>
      </c>
      <c r="I597">
        <v>1271.7080000000001</v>
      </c>
    </row>
    <row r="598" spans="1:9" x14ac:dyDescent="0.25">
      <c r="A598" t="s">
        <v>158</v>
      </c>
      <c r="B598" t="s">
        <v>101</v>
      </c>
      <c r="C598" t="s">
        <v>25</v>
      </c>
      <c r="D598">
        <v>0</v>
      </c>
      <c r="E598">
        <v>-194.35</v>
      </c>
      <c r="F598">
        <v>0</v>
      </c>
      <c r="G598">
        <v>-3282.768</v>
      </c>
      <c r="H598">
        <v>0</v>
      </c>
      <c r="I598">
        <v>-546.28399999999999</v>
      </c>
    </row>
    <row r="599" spans="1:9" x14ac:dyDescent="0.25">
      <c r="A599" t="s">
        <v>158</v>
      </c>
      <c r="B599" t="s">
        <v>101</v>
      </c>
      <c r="C599" t="s">
        <v>10</v>
      </c>
      <c r="D599">
        <v>0</v>
      </c>
      <c r="E599">
        <v>-194.35</v>
      </c>
      <c r="F599">
        <v>0</v>
      </c>
      <c r="G599">
        <v>-3282.768</v>
      </c>
      <c r="H599">
        <v>0</v>
      </c>
      <c r="I599">
        <v>-1271.7080000000001</v>
      </c>
    </row>
    <row r="600" spans="1:9" x14ac:dyDescent="0.25">
      <c r="A600" t="s">
        <v>158</v>
      </c>
      <c r="B600" t="s">
        <v>102</v>
      </c>
      <c r="C600" t="s">
        <v>25</v>
      </c>
      <c r="D600">
        <v>0</v>
      </c>
      <c r="E600">
        <v>194.35</v>
      </c>
      <c r="F600">
        <v>0</v>
      </c>
      <c r="G600">
        <v>3282.768</v>
      </c>
      <c r="H600">
        <v>0</v>
      </c>
      <c r="I600">
        <v>546.28399999999999</v>
      </c>
    </row>
    <row r="601" spans="1:9" x14ac:dyDescent="0.25">
      <c r="A601" t="s">
        <v>158</v>
      </c>
      <c r="B601" t="s">
        <v>102</v>
      </c>
      <c r="C601" t="s">
        <v>10</v>
      </c>
      <c r="D601">
        <v>0</v>
      </c>
      <c r="E601">
        <v>194.35</v>
      </c>
      <c r="F601">
        <v>0</v>
      </c>
      <c r="G601">
        <v>3282.768</v>
      </c>
      <c r="H601">
        <v>0</v>
      </c>
      <c r="I601">
        <v>1271.7080000000001</v>
      </c>
    </row>
    <row r="602" spans="1:9" x14ac:dyDescent="0.25">
      <c r="A602" t="s">
        <v>158</v>
      </c>
      <c r="B602" t="s">
        <v>103</v>
      </c>
      <c r="C602" t="s">
        <v>25</v>
      </c>
      <c r="D602">
        <v>0</v>
      </c>
      <c r="E602">
        <v>-194.35</v>
      </c>
      <c r="F602">
        <v>0</v>
      </c>
      <c r="G602">
        <v>-3282.768</v>
      </c>
      <c r="H602">
        <v>0</v>
      </c>
      <c r="I602">
        <v>-546.28399999999999</v>
      </c>
    </row>
    <row r="603" spans="1:9" x14ac:dyDescent="0.25">
      <c r="A603" t="s">
        <v>158</v>
      </c>
      <c r="B603" t="s">
        <v>103</v>
      </c>
      <c r="C603" t="s">
        <v>10</v>
      </c>
      <c r="D603">
        <v>0</v>
      </c>
      <c r="E603">
        <v>-194.35</v>
      </c>
      <c r="F603">
        <v>0</v>
      </c>
      <c r="G603">
        <v>-3282.768</v>
      </c>
      <c r="H603">
        <v>0</v>
      </c>
      <c r="I603">
        <v>-1271.7080000000001</v>
      </c>
    </row>
    <row r="604" spans="1:9" x14ac:dyDescent="0.25">
      <c r="A604" t="s">
        <v>158</v>
      </c>
      <c r="B604" t="s">
        <v>104</v>
      </c>
      <c r="C604" t="s">
        <v>25</v>
      </c>
      <c r="D604">
        <v>0</v>
      </c>
      <c r="E604">
        <v>0</v>
      </c>
      <c r="F604">
        <v>483.2</v>
      </c>
      <c r="G604">
        <v>9609.9860000000008</v>
      </c>
      <c r="H604">
        <v>1163.6300000000001</v>
      </c>
      <c r="I604">
        <v>0</v>
      </c>
    </row>
    <row r="605" spans="1:9" x14ac:dyDescent="0.25">
      <c r="A605" t="s">
        <v>158</v>
      </c>
      <c r="B605" t="s">
        <v>104</v>
      </c>
      <c r="C605" t="s">
        <v>10</v>
      </c>
      <c r="D605">
        <v>0</v>
      </c>
      <c r="E605">
        <v>0</v>
      </c>
      <c r="F605">
        <v>483.2</v>
      </c>
      <c r="G605">
        <v>9609.9860000000008</v>
      </c>
      <c r="H605">
        <v>3071.299</v>
      </c>
      <c r="I605">
        <v>0</v>
      </c>
    </row>
    <row r="606" spans="1:9" x14ac:dyDescent="0.25">
      <c r="A606" t="s">
        <v>158</v>
      </c>
      <c r="B606" t="s">
        <v>105</v>
      </c>
      <c r="C606" t="s">
        <v>25</v>
      </c>
      <c r="D606">
        <v>0</v>
      </c>
      <c r="E606">
        <v>0</v>
      </c>
      <c r="F606">
        <v>-483.2</v>
      </c>
      <c r="G606">
        <v>-9609.9860000000008</v>
      </c>
      <c r="H606">
        <v>-1163.6300000000001</v>
      </c>
      <c r="I606">
        <v>0</v>
      </c>
    </row>
    <row r="607" spans="1:9" x14ac:dyDescent="0.25">
      <c r="A607" t="s">
        <v>158</v>
      </c>
      <c r="B607" t="s">
        <v>105</v>
      </c>
      <c r="C607" t="s">
        <v>10</v>
      </c>
      <c r="D607">
        <v>0</v>
      </c>
      <c r="E607">
        <v>0</v>
      </c>
      <c r="F607">
        <v>-483.2</v>
      </c>
      <c r="G607">
        <v>-9609.9860000000008</v>
      </c>
      <c r="H607">
        <v>-3071.299</v>
      </c>
      <c r="I607">
        <v>0</v>
      </c>
    </row>
    <row r="608" spans="1:9" x14ac:dyDescent="0.25">
      <c r="A608" t="s">
        <v>158</v>
      </c>
      <c r="B608" t="s">
        <v>106</v>
      </c>
      <c r="C608" t="s">
        <v>25</v>
      </c>
      <c r="D608">
        <v>0</v>
      </c>
      <c r="E608">
        <v>0</v>
      </c>
      <c r="F608">
        <v>483.2</v>
      </c>
      <c r="G608">
        <v>9609.9860000000008</v>
      </c>
      <c r="H608">
        <v>1163.6300000000001</v>
      </c>
      <c r="I608">
        <v>0</v>
      </c>
    </row>
    <row r="609" spans="1:9" x14ac:dyDescent="0.25">
      <c r="A609" t="s">
        <v>158</v>
      </c>
      <c r="B609" t="s">
        <v>106</v>
      </c>
      <c r="C609" t="s">
        <v>10</v>
      </c>
      <c r="D609">
        <v>0</v>
      </c>
      <c r="E609">
        <v>0</v>
      </c>
      <c r="F609">
        <v>483.2</v>
      </c>
      <c r="G609">
        <v>9609.9860000000008</v>
      </c>
      <c r="H609">
        <v>3071.299</v>
      </c>
      <c r="I609">
        <v>0</v>
      </c>
    </row>
    <row r="610" spans="1:9" x14ac:dyDescent="0.25">
      <c r="A610" t="s">
        <v>158</v>
      </c>
      <c r="B610" t="s">
        <v>107</v>
      </c>
      <c r="C610" t="s">
        <v>25</v>
      </c>
      <c r="D610">
        <v>0</v>
      </c>
      <c r="E610">
        <v>0</v>
      </c>
      <c r="F610">
        <v>-483.2</v>
      </c>
      <c r="G610">
        <v>-9609.9860000000008</v>
      </c>
      <c r="H610">
        <v>-1163.6300000000001</v>
      </c>
      <c r="I610">
        <v>0</v>
      </c>
    </row>
    <row r="611" spans="1:9" x14ac:dyDescent="0.25">
      <c r="A611" t="s">
        <v>158</v>
      </c>
      <c r="B611" t="s">
        <v>107</v>
      </c>
      <c r="C611" t="s">
        <v>10</v>
      </c>
      <c r="D611">
        <v>0</v>
      </c>
      <c r="E611">
        <v>0</v>
      </c>
      <c r="F611">
        <v>-483.2</v>
      </c>
      <c r="G611">
        <v>-9609.9860000000008</v>
      </c>
      <c r="H611">
        <v>-3071.299</v>
      </c>
      <c r="I611">
        <v>0</v>
      </c>
    </row>
    <row r="612" spans="1:9" x14ac:dyDescent="0.25">
      <c r="A612" t="s">
        <v>158</v>
      </c>
      <c r="B612" t="s">
        <v>108</v>
      </c>
      <c r="C612" t="s">
        <v>25</v>
      </c>
      <c r="D612">
        <v>0</v>
      </c>
      <c r="E612">
        <v>58.3</v>
      </c>
      <c r="F612">
        <v>0</v>
      </c>
      <c r="G612">
        <v>984.83</v>
      </c>
      <c r="H612">
        <v>0</v>
      </c>
      <c r="I612">
        <v>163.88499999999999</v>
      </c>
    </row>
    <row r="613" spans="1:9" x14ac:dyDescent="0.25">
      <c r="A613" t="s">
        <v>158</v>
      </c>
      <c r="B613" t="s">
        <v>108</v>
      </c>
      <c r="C613" t="s">
        <v>10</v>
      </c>
      <c r="D613">
        <v>0</v>
      </c>
      <c r="E613">
        <v>58.3</v>
      </c>
      <c r="F613">
        <v>0</v>
      </c>
      <c r="G613">
        <v>984.83</v>
      </c>
      <c r="H613">
        <v>0</v>
      </c>
      <c r="I613">
        <v>381.512</v>
      </c>
    </row>
    <row r="614" spans="1:9" x14ac:dyDescent="0.25">
      <c r="A614" t="s">
        <v>158</v>
      </c>
      <c r="B614" t="s">
        <v>109</v>
      </c>
      <c r="C614" t="s">
        <v>25</v>
      </c>
      <c r="D614">
        <v>0</v>
      </c>
      <c r="E614">
        <v>-58.3</v>
      </c>
      <c r="F614">
        <v>0</v>
      </c>
      <c r="G614">
        <v>-984.83</v>
      </c>
      <c r="H614">
        <v>0</v>
      </c>
      <c r="I614">
        <v>-163.88499999999999</v>
      </c>
    </row>
    <row r="615" spans="1:9" x14ac:dyDescent="0.25">
      <c r="A615" t="s">
        <v>158</v>
      </c>
      <c r="B615" t="s">
        <v>109</v>
      </c>
      <c r="C615" t="s">
        <v>10</v>
      </c>
      <c r="D615">
        <v>0</v>
      </c>
      <c r="E615">
        <v>-58.3</v>
      </c>
      <c r="F615">
        <v>0</v>
      </c>
      <c r="G615">
        <v>-984.83</v>
      </c>
      <c r="H615">
        <v>0</v>
      </c>
      <c r="I615">
        <v>-381.512</v>
      </c>
    </row>
    <row r="616" spans="1:9" x14ac:dyDescent="0.25">
      <c r="A616" t="s">
        <v>158</v>
      </c>
      <c r="B616" t="s">
        <v>110</v>
      </c>
      <c r="C616" t="s">
        <v>25</v>
      </c>
      <c r="D616">
        <v>0</v>
      </c>
      <c r="E616">
        <v>58.3</v>
      </c>
      <c r="F616">
        <v>0</v>
      </c>
      <c r="G616">
        <v>984.83</v>
      </c>
      <c r="H616">
        <v>0</v>
      </c>
      <c r="I616">
        <v>163.88499999999999</v>
      </c>
    </row>
    <row r="617" spans="1:9" x14ac:dyDescent="0.25">
      <c r="A617" t="s">
        <v>158</v>
      </c>
      <c r="B617" t="s">
        <v>110</v>
      </c>
      <c r="C617" t="s">
        <v>10</v>
      </c>
      <c r="D617">
        <v>0</v>
      </c>
      <c r="E617">
        <v>58.3</v>
      </c>
      <c r="F617">
        <v>0</v>
      </c>
      <c r="G617">
        <v>984.83</v>
      </c>
      <c r="H617">
        <v>0</v>
      </c>
      <c r="I617">
        <v>381.512</v>
      </c>
    </row>
    <row r="618" spans="1:9" x14ac:dyDescent="0.25">
      <c r="A618" t="s">
        <v>158</v>
      </c>
      <c r="B618" t="s">
        <v>111</v>
      </c>
      <c r="C618" t="s">
        <v>25</v>
      </c>
      <c r="D618">
        <v>0</v>
      </c>
      <c r="E618">
        <v>-58.3</v>
      </c>
      <c r="F618">
        <v>0</v>
      </c>
      <c r="G618">
        <v>-984.83</v>
      </c>
      <c r="H618">
        <v>0</v>
      </c>
      <c r="I618">
        <v>-163.88499999999999</v>
      </c>
    </row>
    <row r="619" spans="1:9" x14ac:dyDescent="0.25">
      <c r="A619" t="s">
        <v>158</v>
      </c>
      <c r="B619" t="s">
        <v>111</v>
      </c>
      <c r="C619" t="s">
        <v>10</v>
      </c>
      <c r="D619">
        <v>0</v>
      </c>
      <c r="E619">
        <v>-58.3</v>
      </c>
      <c r="F619">
        <v>0</v>
      </c>
      <c r="G619">
        <v>-984.83</v>
      </c>
      <c r="H619">
        <v>0</v>
      </c>
      <c r="I619">
        <v>-381.512</v>
      </c>
    </row>
    <row r="620" spans="1:9" x14ac:dyDescent="0.25">
      <c r="A620" t="s">
        <v>158</v>
      </c>
      <c r="B620" t="s">
        <v>112</v>
      </c>
      <c r="C620" t="s">
        <v>25</v>
      </c>
      <c r="D620">
        <v>0</v>
      </c>
      <c r="E620">
        <v>0</v>
      </c>
      <c r="F620">
        <v>144.96</v>
      </c>
      <c r="G620">
        <v>2882.9960000000001</v>
      </c>
      <c r="H620">
        <v>349.089</v>
      </c>
      <c r="I620">
        <v>0</v>
      </c>
    </row>
    <row r="621" spans="1:9" x14ac:dyDescent="0.25">
      <c r="A621" t="s">
        <v>158</v>
      </c>
      <c r="B621" t="s">
        <v>112</v>
      </c>
      <c r="C621" t="s">
        <v>10</v>
      </c>
      <c r="D621">
        <v>0</v>
      </c>
      <c r="E621">
        <v>0</v>
      </c>
      <c r="F621">
        <v>144.96</v>
      </c>
      <c r="G621">
        <v>2882.9960000000001</v>
      </c>
      <c r="H621">
        <v>921.39</v>
      </c>
      <c r="I621">
        <v>0</v>
      </c>
    </row>
    <row r="622" spans="1:9" x14ac:dyDescent="0.25">
      <c r="A622" t="s">
        <v>158</v>
      </c>
      <c r="B622" t="s">
        <v>113</v>
      </c>
      <c r="C622" t="s">
        <v>25</v>
      </c>
      <c r="D622">
        <v>0</v>
      </c>
      <c r="E622">
        <v>0</v>
      </c>
      <c r="F622">
        <v>-144.96</v>
      </c>
      <c r="G622">
        <v>-2882.9960000000001</v>
      </c>
      <c r="H622">
        <v>-349.089</v>
      </c>
      <c r="I622">
        <v>0</v>
      </c>
    </row>
    <row r="623" spans="1:9" x14ac:dyDescent="0.25">
      <c r="A623" t="s">
        <v>158</v>
      </c>
      <c r="B623" t="s">
        <v>113</v>
      </c>
      <c r="C623" t="s">
        <v>10</v>
      </c>
      <c r="D623">
        <v>0</v>
      </c>
      <c r="E623">
        <v>0</v>
      </c>
      <c r="F623">
        <v>-144.96</v>
      </c>
      <c r="G623">
        <v>-2882.9960000000001</v>
      </c>
      <c r="H623">
        <v>-921.39</v>
      </c>
      <c r="I623">
        <v>0</v>
      </c>
    </row>
    <row r="624" spans="1:9" x14ac:dyDescent="0.25">
      <c r="A624" t="s">
        <v>158</v>
      </c>
      <c r="B624" t="s">
        <v>114</v>
      </c>
      <c r="C624" t="s">
        <v>25</v>
      </c>
      <c r="D624">
        <v>0</v>
      </c>
      <c r="E624">
        <v>0</v>
      </c>
      <c r="F624">
        <v>144.96</v>
      </c>
      <c r="G624">
        <v>2882.9960000000001</v>
      </c>
      <c r="H624">
        <v>349.089</v>
      </c>
      <c r="I624">
        <v>0</v>
      </c>
    </row>
    <row r="625" spans="1:9" x14ac:dyDescent="0.25">
      <c r="A625" t="s">
        <v>158</v>
      </c>
      <c r="B625" t="s">
        <v>114</v>
      </c>
      <c r="C625" t="s">
        <v>10</v>
      </c>
      <c r="D625">
        <v>0</v>
      </c>
      <c r="E625">
        <v>0</v>
      </c>
      <c r="F625">
        <v>144.96</v>
      </c>
      <c r="G625">
        <v>2882.9960000000001</v>
      </c>
      <c r="H625">
        <v>921.39</v>
      </c>
      <c r="I625">
        <v>0</v>
      </c>
    </row>
    <row r="626" spans="1:9" x14ac:dyDescent="0.25">
      <c r="A626" t="s">
        <v>158</v>
      </c>
      <c r="B626" t="s">
        <v>115</v>
      </c>
      <c r="C626" t="s">
        <v>25</v>
      </c>
      <c r="D626">
        <v>0</v>
      </c>
      <c r="E626">
        <v>0</v>
      </c>
      <c r="F626">
        <v>-144.96</v>
      </c>
      <c r="G626">
        <v>-2882.9960000000001</v>
      </c>
      <c r="H626">
        <v>-349.089</v>
      </c>
      <c r="I626">
        <v>0</v>
      </c>
    </row>
    <row r="627" spans="1:9" x14ac:dyDescent="0.25">
      <c r="A627" t="s">
        <v>158</v>
      </c>
      <c r="B627" t="s">
        <v>115</v>
      </c>
      <c r="C627" t="s">
        <v>10</v>
      </c>
      <c r="D627">
        <v>0</v>
      </c>
      <c r="E627">
        <v>0</v>
      </c>
      <c r="F627">
        <v>-144.96</v>
      </c>
      <c r="G627">
        <v>-2882.9960000000001</v>
      </c>
      <c r="H627">
        <v>-921.39</v>
      </c>
      <c r="I627">
        <v>0</v>
      </c>
    </row>
    <row r="628" spans="1:9" x14ac:dyDescent="0.25">
      <c r="A628" t="s">
        <v>158</v>
      </c>
      <c r="B628" t="s">
        <v>116</v>
      </c>
      <c r="C628" t="s">
        <v>25</v>
      </c>
      <c r="D628">
        <v>0</v>
      </c>
      <c r="E628">
        <v>194.35</v>
      </c>
      <c r="F628">
        <v>0</v>
      </c>
      <c r="G628">
        <v>3282.768</v>
      </c>
      <c r="H628">
        <v>0</v>
      </c>
      <c r="I628">
        <v>546.28399999999999</v>
      </c>
    </row>
    <row r="629" spans="1:9" x14ac:dyDescent="0.25">
      <c r="A629" t="s">
        <v>158</v>
      </c>
      <c r="B629" t="s">
        <v>116</v>
      </c>
      <c r="C629" t="s">
        <v>10</v>
      </c>
      <c r="D629">
        <v>0</v>
      </c>
      <c r="E629">
        <v>194.35</v>
      </c>
      <c r="F629">
        <v>0</v>
      </c>
      <c r="G629">
        <v>3282.768</v>
      </c>
      <c r="H629">
        <v>0</v>
      </c>
      <c r="I629">
        <v>1271.7080000000001</v>
      </c>
    </row>
    <row r="630" spans="1:9" x14ac:dyDescent="0.25">
      <c r="A630" t="s">
        <v>158</v>
      </c>
      <c r="B630" t="s">
        <v>117</v>
      </c>
      <c r="C630" t="s">
        <v>25</v>
      </c>
      <c r="D630">
        <v>0</v>
      </c>
      <c r="E630">
        <v>-194.35</v>
      </c>
      <c r="F630">
        <v>0</v>
      </c>
      <c r="G630">
        <v>-3282.768</v>
      </c>
      <c r="H630">
        <v>0</v>
      </c>
      <c r="I630">
        <v>-546.28399999999999</v>
      </c>
    </row>
    <row r="631" spans="1:9" x14ac:dyDescent="0.25">
      <c r="A631" t="s">
        <v>158</v>
      </c>
      <c r="B631" t="s">
        <v>117</v>
      </c>
      <c r="C631" t="s">
        <v>10</v>
      </c>
      <c r="D631">
        <v>0</v>
      </c>
      <c r="E631">
        <v>-194.35</v>
      </c>
      <c r="F631">
        <v>0</v>
      </c>
      <c r="G631">
        <v>-3282.768</v>
      </c>
      <c r="H631">
        <v>0</v>
      </c>
      <c r="I631">
        <v>-1271.7080000000001</v>
      </c>
    </row>
    <row r="632" spans="1:9" x14ac:dyDescent="0.25">
      <c r="A632" t="s">
        <v>158</v>
      </c>
      <c r="B632" t="s">
        <v>118</v>
      </c>
      <c r="C632" t="s">
        <v>25</v>
      </c>
      <c r="D632">
        <v>0</v>
      </c>
      <c r="E632">
        <v>194.35</v>
      </c>
      <c r="F632">
        <v>0</v>
      </c>
      <c r="G632">
        <v>3282.768</v>
      </c>
      <c r="H632">
        <v>0</v>
      </c>
      <c r="I632">
        <v>546.28399999999999</v>
      </c>
    </row>
    <row r="633" spans="1:9" x14ac:dyDescent="0.25">
      <c r="A633" t="s">
        <v>158</v>
      </c>
      <c r="B633" t="s">
        <v>118</v>
      </c>
      <c r="C633" t="s">
        <v>10</v>
      </c>
      <c r="D633">
        <v>0</v>
      </c>
      <c r="E633">
        <v>194.35</v>
      </c>
      <c r="F633">
        <v>0</v>
      </c>
      <c r="G633">
        <v>3282.768</v>
      </c>
      <c r="H633">
        <v>0</v>
      </c>
      <c r="I633">
        <v>1271.7080000000001</v>
      </c>
    </row>
    <row r="634" spans="1:9" x14ac:dyDescent="0.25">
      <c r="A634" t="s">
        <v>158</v>
      </c>
      <c r="B634" t="s">
        <v>119</v>
      </c>
      <c r="C634" t="s">
        <v>25</v>
      </c>
      <c r="D634">
        <v>0</v>
      </c>
      <c r="E634">
        <v>-194.35</v>
      </c>
      <c r="F634">
        <v>0</v>
      </c>
      <c r="G634">
        <v>-3282.768</v>
      </c>
      <c r="H634">
        <v>0</v>
      </c>
      <c r="I634">
        <v>-546.28399999999999</v>
      </c>
    </row>
    <row r="635" spans="1:9" x14ac:dyDescent="0.25">
      <c r="A635" t="s">
        <v>158</v>
      </c>
      <c r="B635" t="s">
        <v>119</v>
      </c>
      <c r="C635" t="s">
        <v>10</v>
      </c>
      <c r="D635">
        <v>0</v>
      </c>
      <c r="E635">
        <v>-194.35</v>
      </c>
      <c r="F635">
        <v>0</v>
      </c>
      <c r="G635">
        <v>-3282.768</v>
      </c>
      <c r="H635">
        <v>0</v>
      </c>
      <c r="I635">
        <v>-1271.7080000000001</v>
      </c>
    </row>
    <row r="636" spans="1:9" x14ac:dyDescent="0.25">
      <c r="A636" t="s">
        <v>158</v>
      </c>
      <c r="B636" t="s">
        <v>120</v>
      </c>
      <c r="C636" t="s">
        <v>25</v>
      </c>
      <c r="D636">
        <v>0</v>
      </c>
      <c r="E636">
        <v>0</v>
      </c>
      <c r="F636">
        <v>483.2</v>
      </c>
      <c r="G636">
        <v>9609.9860000000008</v>
      </c>
      <c r="H636">
        <v>1163.6300000000001</v>
      </c>
      <c r="I636">
        <v>0</v>
      </c>
    </row>
    <row r="637" spans="1:9" x14ac:dyDescent="0.25">
      <c r="A637" t="s">
        <v>158</v>
      </c>
      <c r="B637" t="s">
        <v>120</v>
      </c>
      <c r="C637" t="s">
        <v>10</v>
      </c>
      <c r="D637">
        <v>0</v>
      </c>
      <c r="E637">
        <v>0</v>
      </c>
      <c r="F637">
        <v>483.2</v>
      </c>
      <c r="G637">
        <v>9609.9860000000008</v>
      </c>
      <c r="H637">
        <v>3071.299</v>
      </c>
      <c r="I637">
        <v>0</v>
      </c>
    </row>
    <row r="638" spans="1:9" x14ac:dyDescent="0.25">
      <c r="A638" t="s">
        <v>158</v>
      </c>
      <c r="B638" t="s">
        <v>121</v>
      </c>
      <c r="C638" t="s">
        <v>25</v>
      </c>
      <c r="D638">
        <v>0</v>
      </c>
      <c r="E638">
        <v>0</v>
      </c>
      <c r="F638">
        <v>-483.2</v>
      </c>
      <c r="G638">
        <v>-9609.9860000000008</v>
      </c>
      <c r="H638">
        <v>-1163.6300000000001</v>
      </c>
      <c r="I638">
        <v>0</v>
      </c>
    </row>
    <row r="639" spans="1:9" x14ac:dyDescent="0.25">
      <c r="A639" t="s">
        <v>158</v>
      </c>
      <c r="B639" t="s">
        <v>121</v>
      </c>
      <c r="C639" t="s">
        <v>10</v>
      </c>
      <c r="D639">
        <v>0</v>
      </c>
      <c r="E639">
        <v>0</v>
      </c>
      <c r="F639">
        <v>-483.2</v>
      </c>
      <c r="G639">
        <v>-9609.9860000000008</v>
      </c>
      <c r="H639">
        <v>-3071.299</v>
      </c>
      <c r="I639">
        <v>0</v>
      </c>
    </row>
    <row r="640" spans="1:9" x14ac:dyDescent="0.25">
      <c r="A640" t="s">
        <v>158</v>
      </c>
      <c r="B640" t="s">
        <v>122</v>
      </c>
      <c r="C640" t="s">
        <v>25</v>
      </c>
      <c r="D640">
        <v>0</v>
      </c>
      <c r="E640">
        <v>0</v>
      </c>
      <c r="F640">
        <v>483.2</v>
      </c>
      <c r="G640">
        <v>9609.9860000000008</v>
      </c>
      <c r="H640">
        <v>1163.6300000000001</v>
      </c>
      <c r="I640">
        <v>0</v>
      </c>
    </row>
    <row r="641" spans="1:9" x14ac:dyDescent="0.25">
      <c r="A641" t="s">
        <v>158</v>
      </c>
      <c r="B641" t="s">
        <v>122</v>
      </c>
      <c r="C641" t="s">
        <v>10</v>
      </c>
      <c r="D641">
        <v>0</v>
      </c>
      <c r="E641">
        <v>0</v>
      </c>
      <c r="F641">
        <v>483.2</v>
      </c>
      <c r="G641">
        <v>9609.9860000000008</v>
      </c>
      <c r="H641">
        <v>3071.299</v>
      </c>
      <c r="I641">
        <v>0</v>
      </c>
    </row>
    <row r="642" spans="1:9" x14ac:dyDescent="0.25">
      <c r="A642" t="s">
        <v>158</v>
      </c>
      <c r="B642" t="s">
        <v>123</v>
      </c>
      <c r="C642" t="s">
        <v>25</v>
      </c>
      <c r="D642">
        <v>0</v>
      </c>
      <c r="E642">
        <v>0</v>
      </c>
      <c r="F642">
        <v>-483.2</v>
      </c>
      <c r="G642">
        <v>-9609.9860000000008</v>
      </c>
      <c r="H642">
        <v>-1163.6300000000001</v>
      </c>
      <c r="I642">
        <v>0</v>
      </c>
    </row>
    <row r="643" spans="1:9" x14ac:dyDescent="0.25">
      <c r="A643" t="s">
        <v>158</v>
      </c>
      <c r="B643" t="s">
        <v>123</v>
      </c>
      <c r="C643" t="s">
        <v>10</v>
      </c>
      <c r="D643">
        <v>0</v>
      </c>
      <c r="E643">
        <v>0</v>
      </c>
      <c r="F643">
        <v>-483.2</v>
      </c>
      <c r="G643">
        <v>-9609.9860000000008</v>
      </c>
      <c r="H643">
        <v>-3071.299</v>
      </c>
      <c r="I643">
        <v>0</v>
      </c>
    </row>
    <row r="644" spans="1:9" x14ac:dyDescent="0.25">
      <c r="A644" t="s">
        <v>158</v>
      </c>
      <c r="B644" t="s">
        <v>124</v>
      </c>
      <c r="C644" t="s">
        <v>25</v>
      </c>
      <c r="D644">
        <v>0</v>
      </c>
      <c r="E644">
        <v>58.3</v>
      </c>
      <c r="F644">
        <v>0</v>
      </c>
      <c r="G644">
        <v>984.83</v>
      </c>
      <c r="H644">
        <v>0</v>
      </c>
      <c r="I644">
        <v>163.88499999999999</v>
      </c>
    </row>
    <row r="645" spans="1:9" x14ac:dyDescent="0.25">
      <c r="A645" t="s">
        <v>158</v>
      </c>
      <c r="B645" t="s">
        <v>124</v>
      </c>
      <c r="C645" t="s">
        <v>10</v>
      </c>
      <c r="D645">
        <v>0</v>
      </c>
      <c r="E645">
        <v>58.3</v>
      </c>
      <c r="F645">
        <v>0</v>
      </c>
      <c r="G645">
        <v>984.83</v>
      </c>
      <c r="H645">
        <v>0</v>
      </c>
      <c r="I645">
        <v>381.512</v>
      </c>
    </row>
    <row r="646" spans="1:9" x14ac:dyDescent="0.25">
      <c r="A646" t="s">
        <v>158</v>
      </c>
      <c r="B646" t="s">
        <v>125</v>
      </c>
      <c r="C646" t="s">
        <v>25</v>
      </c>
      <c r="D646">
        <v>0</v>
      </c>
      <c r="E646">
        <v>-58.3</v>
      </c>
      <c r="F646">
        <v>0</v>
      </c>
      <c r="G646">
        <v>-984.83</v>
      </c>
      <c r="H646">
        <v>0</v>
      </c>
      <c r="I646">
        <v>-163.88499999999999</v>
      </c>
    </row>
    <row r="647" spans="1:9" x14ac:dyDescent="0.25">
      <c r="A647" t="s">
        <v>158</v>
      </c>
      <c r="B647" t="s">
        <v>125</v>
      </c>
      <c r="C647" t="s">
        <v>10</v>
      </c>
      <c r="D647">
        <v>0</v>
      </c>
      <c r="E647">
        <v>-58.3</v>
      </c>
      <c r="F647">
        <v>0</v>
      </c>
      <c r="G647">
        <v>-984.83</v>
      </c>
      <c r="H647">
        <v>0</v>
      </c>
      <c r="I647">
        <v>-381.512</v>
      </c>
    </row>
    <row r="648" spans="1:9" x14ac:dyDescent="0.25">
      <c r="A648" t="s">
        <v>158</v>
      </c>
      <c r="B648" t="s">
        <v>126</v>
      </c>
      <c r="C648" t="s">
        <v>25</v>
      </c>
      <c r="D648">
        <v>0</v>
      </c>
      <c r="E648">
        <v>58.3</v>
      </c>
      <c r="F648">
        <v>0</v>
      </c>
      <c r="G648">
        <v>984.83</v>
      </c>
      <c r="H648">
        <v>0</v>
      </c>
      <c r="I648">
        <v>163.88499999999999</v>
      </c>
    </row>
    <row r="649" spans="1:9" x14ac:dyDescent="0.25">
      <c r="A649" t="s">
        <v>158</v>
      </c>
      <c r="B649" t="s">
        <v>126</v>
      </c>
      <c r="C649" t="s">
        <v>10</v>
      </c>
      <c r="D649">
        <v>0</v>
      </c>
      <c r="E649">
        <v>58.3</v>
      </c>
      <c r="F649">
        <v>0</v>
      </c>
      <c r="G649">
        <v>984.83</v>
      </c>
      <c r="H649">
        <v>0</v>
      </c>
      <c r="I649">
        <v>381.512</v>
      </c>
    </row>
    <row r="650" spans="1:9" x14ac:dyDescent="0.25">
      <c r="A650" t="s">
        <v>158</v>
      </c>
      <c r="B650" t="s">
        <v>127</v>
      </c>
      <c r="C650" t="s">
        <v>25</v>
      </c>
      <c r="D650">
        <v>0</v>
      </c>
      <c r="E650">
        <v>-58.3</v>
      </c>
      <c r="F650">
        <v>0</v>
      </c>
      <c r="G650">
        <v>-984.83</v>
      </c>
      <c r="H650">
        <v>0</v>
      </c>
      <c r="I650">
        <v>-163.88499999999999</v>
      </c>
    </row>
    <row r="651" spans="1:9" x14ac:dyDescent="0.25">
      <c r="A651" t="s">
        <v>158</v>
      </c>
      <c r="B651" t="s">
        <v>127</v>
      </c>
      <c r="C651" t="s">
        <v>10</v>
      </c>
      <c r="D651">
        <v>0</v>
      </c>
      <c r="E651">
        <v>-58.3</v>
      </c>
      <c r="F651">
        <v>0</v>
      </c>
      <c r="G651">
        <v>-984.83</v>
      </c>
      <c r="H651">
        <v>0</v>
      </c>
      <c r="I651">
        <v>-381.512</v>
      </c>
    </row>
    <row r="652" spans="1:9" x14ac:dyDescent="0.25">
      <c r="A652" t="s">
        <v>158</v>
      </c>
      <c r="B652" t="s">
        <v>128</v>
      </c>
      <c r="C652" t="s">
        <v>25</v>
      </c>
      <c r="D652">
        <v>0</v>
      </c>
      <c r="E652">
        <v>0</v>
      </c>
      <c r="F652">
        <v>144.96</v>
      </c>
      <c r="G652">
        <v>2882.9960000000001</v>
      </c>
      <c r="H652">
        <v>349.089</v>
      </c>
      <c r="I652">
        <v>0</v>
      </c>
    </row>
    <row r="653" spans="1:9" x14ac:dyDescent="0.25">
      <c r="A653" t="s">
        <v>158</v>
      </c>
      <c r="B653" t="s">
        <v>128</v>
      </c>
      <c r="C653" t="s">
        <v>10</v>
      </c>
      <c r="D653">
        <v>0</v>
      </c>
      <c r="E653">
        <v>0</v>
      </c>
      <c r="F653">
        <v>144.96</v>
      </c>
      <c r="G653">
        <v>2882.9960000000001</v>
      </c>
      <c r="H653">
        <v>921.39</v>
      </c>
      <c r="I653">
        <v>0</v>
      </c>
    </row>
    <row r="654" spans="1:9" x14ac:dyDescent="0.25">
      <c r="A654" t="s">
        <v>158</v>
      </c>
      <c r="B654" t="s">
        <v>129</v>
      </c>
      <c r="C654" t="s">
        <v>25</v>
      </c>
      <c r="D654">
        <v>0</v>
      </c>
      <c r="E654">
        <v>0</v>
      </c>
      <c r="F654">
        <v>-144.96</v>
      </c>
      <c r="G654">
        <v>-2882.9960000000001</v>
      </c>
      <c r="H654">
        <v>-349.089</v>
      </c>
      <c r="I654">
        <v>0</v>
      </c>
    </row>
    <row r="655" spans="1:9" x14ac:dyDescent="0.25">
      <c r="A655" t="s">
        <v>158</v>
      </c>
      <c r="B655" t="s">
        <v>129</v>
      </c>
      <c r="C655" t="s">
        <v>10</v>
      </c>
      <c r="D655">
        <v>0</v>
      </c>
      <c r="E655">
        <v>0</v>
      </c>
      <c r="F655">
        <v>-144.96</v>
      </c>
      <c r="G655">
        <v>-2882.9960000000001</v>
      </c>
      <c r="H655">
        <v>-921.39</v>
      </c>
      <c r="I655">
        <v>0</v>
      </c>
    </row>
    <row r="656" spans="1:9" x14ac:dyDescent="0.25">
      <c r="A656" t="s">
        <v>158</v>
      </c>
      <c r="B656" t="s">
        <v>130</v>
      </c>
      <c r="C656" t="s">
        <v>25</v>
      </c>
      <c r="D656">
        <v>0</v>
      </c>
      <c r="E656">
        <v>0</v>
      </c>
      <c r="F656">
        <v>144.96</v>
      </c>
      <c r="G656">
        <v>2882.9960000000001</v>
      </c>
      <c r="H656">
        <v>349.089</v>
      </c>
      <c r="I656">
        <v>0</v>
      </c>
    </row>
    <row r="657" spans="1:9" x14ac:dyDescent="0.25">
      <c r="A657" t="s">
        <v>158</v>
      </c>
      <c r="B657" t="s">
        <v>130</v>
      </c>
      <c r="C657" t="s">
        <v>10</v>
      </c>
      <c r="D657">
        <v>0</v>
      </c>
      <c r="E657">
        <v>0</v>
      </c>
      <c r="F657">
        <v>144.96</v>
      </c>
      <c r="G657">
        <v>2882.9960000000001</v>
      </c>
      <c r="H657">
        <v>921.39</v>
      </c>
      <c r="I657">
        <v>0</v>
      </c>
    </row>
    <row r="658" spans="1:9" x14ac:dyDescent="0.25">
      <c r="A658" t="s">
        <v>158</v>
      </c>
      <c r="B658" t="s">
        <v>131</v>
      </c>
      <c r="C658" t="s">
        <v>25</v>
      </c>
      <c r="D658">
        <v>0</v>
      </c>
      <c r="E658">
        <v>0</v>
      </c>
      <c r="F658">
        <v>-144.96</v>
      </c>
      <c r="G658">
        <v>-2882.9960000000001</v>
      </c>
      <c r="H658">
        <v>-349.089</v>
      </c>
      <c r="I658">
        <v>0</v>
      </c>
    </row>
    <row r="659" spans="1:9" x14ac:dyDescent="0.25">
      <c r="A659" t="s">
        <v>158</v>
      </c>
      <c r="B659" t="s">
        <v>131</v>
      </c>
      <c r="C659" t="s">
        <v>10</v>
      </c>
      <c r="D659">
        <v>0</v>
      </c>
      <c r="E659">
        <v>0</v>
      </c>
      <c r="F659">
        <v>-144.96</v>
      </c>
      <c r="G659">
        <v>-2882.9960000000001</v>
      </c>
      <c r="H659">
        <v>-921.39</v>
      </c>
      <c r="I659">
        <v>0</v>
      </c>
    </row>
    <row r="660" spans="1:9" x14ac:dyDescent="0.25">
      <c r="A660" t="s">
        <v>158</v>
      </c>
      <c r="B660" t="s">
        <v>132</v>
      </c>
      <c r="C660" t="s">
        <v>25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</row>
    <row r="661" spans="1:9" x14ac:dyDescent="0.25">
      <c r="A661" t="s">
        <v>158</v>
      </c>
      <c r="B661" t="s">
        <v>132</v>
      </c>
      <c r="C661" t="s">
        <v>10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</row>
    <row r="662" spans="1:9" x14ac:dyDescent="0.25">
      <c r="A662" t="s">
        <v>158</v>
      </c>
      <c r="B662" t="s">
        <v>133</v>
      </c>
      <c r="C662" t="s">
        <v>25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</row>
    <row r="663" spans="1:9" x14ac:dyDescent="0.25">
      <c r="A663" t="s">
        <v>158</v>
      </c>
      <c r="B663" t="s">
        <v>133</v>
      </c>
      <c r="C663" t="s">
        <v>10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</row>
    <row r="664" spans="1:9" x14ac:dyDescent="0.25">
      <c r="A664" t="s">
        <v>158</v>
      </c>
      <c r="B664" t="s">
        <v>134</v>
      </c>
      <c r="C664" t="s">
        <v>25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</row>
    <row r="665" spans="1:9" x14ac:dyDescent="0.25">
      <c r="A665" t="s">
        <v>158</v>
      </c>
      <c r="B665" t="s">
        <v>134</v>
      </c>
      <c r="C665" t="s">
        <v>10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</row>
    <row r="666" spans="1:9" x14ac:dyDescent="0.25">
      <c r="A666" t="s">
        <v>158</v>
      </c>
      <c r="B666" t="s">
        <v>135</v>
      </c>
      <c r="C666" t="s">
        <v>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</row>
    <row r="667" spans="1:9" x14ac:dyDescent="0.25">
      <c r="A667" t="s">
        <v>158</v>
      </c>
      <c r="B667" t="s">
        <v>135</v>
      </c>
      <c r="C667" t="s">
        <v>10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</row>
    <row r="668" spans="1:9" x14ac:dyDescent="0.25">
      <c r="A668" t="s">
        <v>158</v>
      </c>
      <c r="B668" t="s">
        <v>136</v>
      </c>
      <c r="C668" t="s">
        <v>25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</row>
    <row r="669" spans="1:9" x14ac:dyDescent="0.25">
      <c r="A669" t="s">
        <v>158</v>
      </c>
      <c r="B669" t="s">
        <v>136</v>
      </c>
      <c r="C669" t="s">
        <v>10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</row>
    <row r="670" spans="1:9" x14ac:dyDescent="0.25">
      <c r="A670" t="s">
        <v>158</v>
      </c>
      <c r="B670" t="s">
        <v>137</v>
      </c>
      <c r="C670" t="s">
        <v>25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</row>
    <row r="671" spans="1:9" x14ac:dyDescent="0.25">
      <c r="A671" t="s">
        <v>158</v>
      </c>
      <c r="B671" t="s">
        <v>137</v>
      </c>
      <c r="C671" t="s">
        <v>10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</row>
    <row r="672" spans="1:9" x14ac:dyDescent="0.25">
      <c r="A672" t="s">
        <v>158</v>
      </c>
      <c r="B672" t="s">
        <v>138</v>
      </c>
      <c r="C672" t="s">
        <v>25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</row>
    <row r="673" spans="1:9" x14ac:dyDescent="0.25">
      <c r="A673" t="s">
        <v>158</v>
      </c>
      <c r="B673" t="s">
        <v>138</v>
      </c>
      <c r="C673" t="s">
        <v>10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</row>
    <row r="674" spans="1:9" x14ac:dyDescent="0.25">
      <c r="A674" t="s">
        <v>158</v>
      </c>
      <c r="B674" t="s">
        <v>139</v>
      </c>
      <c r="C674" t="s">
        <v>25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</row>
    <row r="675" spans="1:9" x14ac:dyDescent="0.25">
      <c r="A675" t="s">
        <v>158</v>
      </c>
      <c r="B675" t="s">
        <v>139</v>
      </c>
      <c r="C675" t="s">
        <v>10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</row>
    <row r="676" spans="1:9" x14ac:dyDescent="0.25">
      <c r="A676" t="s">
        <v>158</v>
      </c>
      <c r="B676" t="s">
        <v>140</v>
      </c>
      <c r="C676" t="s">
        <v>25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</row>
    <row r="677" spans="1:9" x14ac:dyDescent="0.25">
      <c r="A677" t="s">
        <v>158</v>
      </c>
      <c r="B677" t="s">
        <v>140</v>
      </c>
      <c r="C677" t="s">
        <v>10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</row>
    <row r="678" spans="1:9" x14ac:dyDescent="0.25">
      <c r="A678" t="s">
        <v>158</v>
      </c>
      <c r="B678" t="s">
        <v>141</v>
      </c>
      <c r="C678" t="s">
        <v>25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</row>
    <row r="679" spans="1:9" x14ac:dyDescent="0.25">
      <c r="A679" t="s">
        <v>158</v>
      </c>
      <c r="B679" t="s">
        <v>141</v>
      </c>
      <c r="C679" t="s">
        <v>10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</row>
    <row r="680" spans="1:9" x14ac:dyDescent="0.25">
      <c r="A680" t="s">
        <v>158</v>
      </c>
      <c r="B680" t="s">
        <v>142</v>
      </c>
      <c r="C680" t="s">
        <v>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</row>
    <row r="681" spans="1:9" x14ac:dyDescent="0.25">
      <c r="A681" t="s">
        <v>158</v>
      </c>
      <c r="B681" t="s">
        <v>142</v>
      </c>
      <c r="C681" t="s">
        <v>10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</row>
    <row r="682" spans="1:9" x14ac:dyDescent="0.25">
      <c r="A682" t="s">
        <v>158</v>
      </c>
      <c r="B682" t="s">
        <v>143</v>
      </c>
      <c r="C682" t="s">
        <v>25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</row>
    <row r="683" spans="1:9" x14ac:dyDescent="0.25">
      <c r="A683" t="s">
        <v>158</v>
      </c>
      <c r="B683" t="s">
        <v>143</v>
      </c>
      <c r="C683" t="s">
        <v>10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</row>
    <row r="684" spans="1:9" x14ac:dyDescent="0.25">
      <c r="A684" t="s">
        <v>158</v>
      </c>
      <c r="B684" t="s">
        <v>144</v>
      </c>
      <c r="C684" t="s">
        <v>25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</row>
    <row r="685" spans="1:9" x14ac:dyDescent="0.25">
      <c r="A685" t="s">
        <v>158</v>
      </c>
      <c r="B685" t="s">
        <v>144</v>
      </c>
      <c r="C685" t="s">
        <v>10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</row>
    <row r="686" spans="1:9" x14ac:dyDescent="0.25">
      <c r="A686" t="s">
        <v>158</v>
      </c>
      <c r="B686" t="s">
        <v>145</v>
      </c>
      <c r="C686" t="s">
        <v>25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</row>
    <row r="687" spans="1:9" x14ac:dyDescent="0.25">
      <c r="A687" t="s">
        <v>158</v>
      </c>
      <c r="B687" t="s">
        <v>145</v>
      </c>
      <c r="C687" t="s">
        <v>10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</row>
    <row r="688" spans="1:9" x14ac:dyDescent="0.25">
      <c r="A688" t="s">
        <v>158</v>
      </c>
      <c r="B688" t="s">
        <v>146</v>
      </c>
      <c r="C688" t="s">
        <v>25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</row>
    <row r="689" spans="1:9" x14ac:dyDescent="0.25">
      <c r="A689" t="s">
        <v>158</v>
      </c>
      <c r="B689" t="s">
        <v>146</v>
      </c>
      <c r="C689" t="s">
        <v>10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</row>
    <row r="690" spans="1:9" x14ac:dyDescent="0.25">
      <c r="A690" t="s">
        <v>158</v>
      </c>
      <c r="B690" t="s">
        <v>147</v>
      </c>
      <c r="C690" t="s">
        <v>25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</row>
    <row r="691" spans="1:9" x14ac:dyDescent="0.25">
      <c r="A691" t="s">
        <v>158</v>
      </c>
      <c r="B691" t="s">
        <v>147</v>
      </c>
      <c r="C691" t="s">
        <v>10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</row>
    <row r="692" spans="1:9" x14ac:dyDescent="0.25">
      <c r="A692" t="s">
        <v>158</v>
      </c>
      <c r="B692" t="s">
        <v>159</v>
      </c>
      <c r="C692" t="s">
        <v>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</row>
    <row r="693" spans="1:9" x14ac:dyDescent="0.25">
      <c r="A693" t="s">
        <v>158</v>
      </c>
      <c r="B693" t="s">
        <v>159</v>
      </c>
      <c r="C693" t="s">
        <v>10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</row>
    <row r="694" spans="1:9" x14ac:dyDescent="0.25">
      <c r="A694" t="s">
        <v>158</v>
      </c>
      <c r="B694" t="s">
        <v>160</v>
      </c>
      <c r="C694" t="s">
        <v>25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</row>
    <row r="695" spans="1:9" x14ac:dyDescent="0.25">
      <c r="A695" t="s">
        <v>158</v>
      </c>
      <c r="B695" t="s">
        <v>160</v>
      </c>
      <c r="C695" t="s">
        <v>10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</row>
    <row r="696" spans="1:9" x14ac:dyDescent="0.25">
      <c r="A696" t="s">
        <v>158</v>
      </c>
      <c r="B696" t="s">
        <v>161</v>
      </c>
      <c r="C696" t="s">
        <v>25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</row>
    <row r="697" spans="1:9" x14ac:dyDescent="0.25">
      <c r="A697" t="s">
        <v>158</v>
      </c>
      <c r="B697" t="s">
        <v>161</v>
      </c>
      <c r="C697" t="s">
        <v>10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</row>
    <row r="698" spans="1:9" x14ac:dyDescent="0.25">
      <c r="A698" t="s">
        <v>158</v>
      </c>
      <c r="B698" t="s">
        <v>162</v>
      </c>
      <c r="C698" t="s">
        <v>25</v>
      </c>
      <c r="D698">
        <v>0</v>
      </c>
      <c r="E698">
        <v>-443.06</v>
      </c>
      <c r="F698">
        <v>0</v>
      </c>
      <c r="G698">
        <v>7310.4229999999998</v>
      </c>
      <c r="H698">
        <v>0</v>
      </c>
      <c r="I698">
        <v>-1012.699</v>
      </c>
    </row>
    <row r="699" spans="1:9" x14ac:dyDescent="0.25">
      <c r="A699" t="s">
        <v>158</v>
      </c>
      <c r="B699" t="s">
        <v>162</v>
      </c>
      <c r="C699" t="s">
        <v>10</v>
      </c>
      <c r="D699">
        <v>0</v>
      </c>
      <c r="E699">
        <v>-443.06</v>
      </c>
      <c r="F699">
        <v>0</v>
      </c>
      <c r="G699">
        <v>7310.4229999999998</v>
      </c>
      <c r="H699">
        <v>0</v>
      </c>
      <c r="I699">
        <v>-2784.9229999999998</v>
      </c>
    </row>
    <row r="700" spans="1:9" x14ac:dyDescent="0.25">
      <c r="A700" t="s">
        <v>158</v>
      </c>
      <c r="B700" t="s">
        <v>163</v>
      </c>
      <c r="C700" t="s">
        <v>25</v>
      </c>
      <c r="D700">
        <v>0</v>
      </c>
      <c r="E700">
        <v>-443.06</v>
      </c>
      <c r="F700">
        <v>0</v>
      </c>
      <c r="G700">
        <v>5981.2550000000001</v>
      </c>
      <c r="H700">
        <v>0</v>
      </c>
      <c r="I700">
        <v>-1012.699</v>
      </c>
    </row>
    <row r="701" spans="1:9" x14ac:dyDescent="0.25">
      <c r="A701" t="s">
        <v>158</v>
      </c>
      <c r="B701" t="s">
        <v>163</v>
      </c>
      <c r="C701" t="s">
        <v>10</v>
      </c>
      <c r="D701">
        <v>0</v>
      </c>
      <c r="E701">
        <v>-443.06</v>
      </c>
      <c r="F701">
        <v>0</v>
      </c>
      <c r="G701">
        <v>5981.2550000000001</v>
      </c>
      <c r="H701">
        <v>0</v>
      </c>
      <c r="I701">
        <v>-2784.9229999999998</v>
      </c>
    </row>
    <row r="702" spans="1:9" x14ac:dyDescent="0.25">
      <c r="A702" t="s">
        <v>158</v>
      </c>
      <c r="B702" t="s">
        <v>164</v>
      </c>
      <c r="C702" t="s">
        <v>25</v>
      </c>
      <c r="D702">
        <v>0</v>
      </c>
      <c r="E702">
        <v>443.06</v>
      </c>
      <c r="F702">
        <v>0</v>
      </c>
      <c r="G702">
        <v>-7310.4229999999998</v>
      </c>
      <c r="H702">
        <v>0</v>
      </c>
      <c r="I702">
        <v>1012.699</v>
      </c>
    </row>
    <row r="703" spans="1:9" x14ac:dyDescent="0.25">
      <c r="A703" t="s">
        <v>158</v>
      </c>
      <c r="B703" t="s">
        <v>164</v>
      </c>
      <c r="C703" t="s">
        <v>10</v>
      </c>
      <c r="D703">
        <v>0</v>
      </c>
      <c r="E703">
        <v>443.06</v>
      </c>
      <c r="F703">
        <v>0</v>
      </c>
      <c r="G703">
        <v>-7310.4229999999998</v>
      </c>
      <c r="H703">
        <v>0</v>
      </c>
      <c r="I703">
        <v>2784.9229999999998</v>
      </c>
    </row>
    <row r="704" spans="1:9" x14ac:dyDescent="0.25">
      <c r="A704" t="s">
        <v>158</v>
      </c>
      <c r="B704" t="s">
        <v>165</v>
      </c>
      <c r="C704" t="s">
        <v>25</v>
      </c>
      <c r="D704">
        <v>0</v>
      </c>
      <c r="E704">
        <v>443.06</v>
      </c>
      <c r="F704">
        <v>0</v>
      </c>
      <c r="G704">
        <v>-5981.2550000000001</v>
      </c>
      <c r="H704">
        <v>0</v>
      </c>
      <c r="I704">
        <v>1012.699</v>
      </c>
    </row>
    <row r="705" spans="1:9" x14ac:dyDescent="0.25">
      <c r="A705" t="s">
        <v>158</v>
      </c>
      <c r="B705" t="s">
        <v>165</v>
      </c>
      <c r="C705" t="s">
        <v>10</v>
      </c>
      <c r="D705">
        <v>0</v>
      </c>
      <c r="E705">
        <v>443.06</v>
      </c>
      <c r="F705">
        <v>0</v>
      </c>
      <c r="G705">
        <v>-5981.2550000000001</v>
      </c>
      <c r="H705">
        <v>0</v>
      </c>
      <c r="I705">
        <v>2784.9229999999998</v>
      </c>
    </row>
    <row r="706" spans="1:9" x14ac:dyDescent="0.25">
      <c r="A706" t="s">
        <v>158</v>
      </c>
      <c r="B706" t="s">
        <v>166</v>
      </c>
      <c r="C706" t="s">
        <v>25</v>
      </c>
      <c r="D706">
        <v>0</v>
      </c>
      <c r="E706">
        <v>0</v>
      </c>
      <c r="F706">
        <v>-535.54999999999995</v>
      </c>
      <c r="G706">
        <v>-10603.824000000001</v>
      </c>
      <c r="H706">
        <v>1224.107</v>
      </c>
      <c r="I706">
        <v>0</v>
      </c>
    </row>
    <row r="707" spans="1:9" x14ac:dyDescent="0.25">
      <c r="A707" t="s">
        <v>158</v>
      </c>
      <c r="B707" t="s">
        <v>166</v>
      </c>
      <c r="C707" t="s">
        <v>10</v>
      </c>
      <c r="D707">
        <v>0</v>
      </c>
      <c r="E707">
        <v>0</v>
      </c>
      <c r="F707">
        <v>-535.54999999999995</v>
      </c>
      <c r="G707">
        <v>-10603.824000000001</v>
      </c>
      <c r="H707">
        <v>3366.2930000000001</v>
      </c>
      <c r="I707">
        <v>0</v>
      </c>
    </row>
    <row r="708" spans="1:9" x14ac:dyDescent="0.25">
      <c r="A708" t="s">
        <v>158</v>
      </c>
      <c r="B708" t="s">
        <v>167</v>
      </c>
      <c r="C708" t="s">
        <v>25</v>
      </c>
      <c r="D708">
        <v>0</v>
      </c>
      <c r="E708">
        <v>0</v>
      </c>
      <c r="F708">
        <v>-535.54999999999995</v>
      </c>
      <c r="G708">
        <v>-8675.8559999999998</v>
      </c>
      <c r="H708">
        <v>1224.107</v>
      </c>
      <c r="I708">
        <v>0</v>
      </c>
    </row>
    <row r="709" spans="1:9" x14ac:dyDescent="0.25">
      <c r="A709" t="s">
        <v>158</v>
      </c>
      <c r="B709" t="s">
        <v>167</v>
      </c>
      <c r="C709" t="s">
        <v>10</v>
      </c>
      <c r="D709">
        <v>0</v>
      </c>
      <c r="E709">
        <v>0</v>
      </c>
      <c r="F709">
        <v>-535.54999999999995</v>
      </c>
      <c r="G709">
        <v>-8675.8559999999998</v>
      </c>
      <c r="H709">
        <v>3366.2930000000001</v>
      </c>
      <c r="I709">
        <v>0</v>
      </c>
    </row>
    <row r="710" spans="1:9" x14ac:dyDescent="0.25">
      <c r="A710" t="s">
        <v>158</v>
      </c>
      <c r="B710" t="s">
        <v>168</v>
      </c>
      <c r="C710" t="s">
        <v>25</v>
      </c>
      <c r="D710">
        <v>0</v>
      </c>
      <c r="E710">
        <v>0</v>
      </c>
      <c r="F710">
        <v>535.54999999999995</v>
      </c>
      <c r="G710">
        <v>10603.824000000001</v>
      </c>
      <c r="H710">
        <v>-1224.107</v>
      </c>
      <c r="I710">
        <v>0</v>
      </c>
    </row>
    <row r="711" spans="1:9" x14ac:dyDescent="0.25">
      <c r="A711" t="s">
        <v>158</v>
      </c>
      <c r="B711" t="s">
        <v>168</v>
      </c>
      <c r="C711" t="s">
        <v>10</v>
      </c>
      <c r="D711">
        <v>0</v>
      </c>
      <c r="E711">
        <v>0</v>
      </c>
      <c r="F711">
        <v>535.54999999999995</v>
      </c>
      <c r="G711">
        <v>10603.824000000001</v>
      </c>
      <c r="H711">
        <v>-3366.2930000000001</v>
      </c>
      <c r="I711">
        <v>0</v>
      </c>
    </row>
    <row r="712" spans="1:9" x14ac:dyDescent="0.25">
      <c r="A712" t="s">
        <v>158</v>
      </c>
      <c r="B712" t="s">
        <v>169</v>
      </c>
      <c r="C712" t="s">
        <v>25</v>
      </c>
      <c r="D712">
        <v>0</v>
      </c>
      <c r="E712">
        <v>0</v>
      </c>
      <c r="F712">
        <v>535.54999999999995</v>
      </c>
      <c r="G712">
        <v>8675.8559999999998</v>
      </c>
      <c r="H712">
        <v>-1224.107</v>
      </c>
      <c r="I712">
        <v>0</v>
      </c>
    </row>
    <row r="713" spans="1:9" x14ac:dyDescent="0.25">
      <c r="A713" t="s">
        <v>158</v>
      </c>
      <c r="B713" t="s">
        <v>169</v>
      </c>
      <c r="C713" t="s">
        <v>10</v>
      </c>
      <c r="D713">
        <v>0</v>
      </c>
      <c r="E713">
        <v>0</v>
      </c>
      <c r="F713">
        <v>535.54999999999995</v>
      </c>
      <c r="G713">
        <v>8675.8559999999998</v>
      </c>
      <c r="H713">
        <v>-3366.2930000000001</v>
      </c>
      <c r="I713">
        <v>0</v>
      </c>
    </row>
    <row r="714" spans="1:9" x14ac:dyDescent="0.25">
      <c r="A714" t="s">
        <v>158</v>
      </c>
      <c r="B714" t="s">
        <v>170</v>
      </c>
      <c r="C714" t="s">
        <v>25</v>
      </c>
      <c r="D714">
        <v>0</v>
      </c>
      <c r="E714">
        <v>-443.06</v>
      </c>
      <c r="F714">
        <v>0</v>
      </c>
      <c r="G714">
        <v>7310.4229999999998</v>
      </c>
      <c r="H714">
        <v>0</v>
      </c>
      <c r="I714">
        <v>-1012.699</v>
      </c>
    </row>
    <row r="715" spans="1:9" x14ac:dyDescent="0.25">
      <c r="A715" t="s">
        <v>158</v>
      </c>
      <c r="B715" t="s">
        <v>170</v>
      </c>
      <c r="C715" t="s">
        <v>10</v>
      </c>
      <c r="D715">
        <v>0</v>
      </c>
      <c r="E715">
        <v>-443.06</v>
      </c>
      <c r="F715">
        <v>0</v>
      </c>
      <c r="G715">
        <v>7310.4229999999998</v>
      </c>
      <c r="H715">
        <v>0</v>
      </c>
      <c r="I715">
        <v>-2784.9229999999998</v>
      </c>
    </row>
    <row r="716" spans="1:9" x14ac:dyDescent="0.25">
      <c r="A716" t="s">
        <v>158</v>
      </c>
      <c r="B716" t="s">
        <v>171</v>
      </c>
      <c r="C716" t="s">
        <v>25</v>
      </c>
      <c r="D716">
        <v>0</v>
      </c>
      <c r="E716">
        <v>-443.06</v>
      </c>
      <c r="F716">
        <v>0</v>
      </c>
      <c r="G716">
        <v>5981.2550000000001</v>
      </c>
      <c r="H716">
        <v>0</v>
      </c>
      <c r="I716">
        <v>-1012.699</v>
      </c>
    </row>
    <row r="717" spans="1:9" x14ac:dyDescent="0.25">
      <c r="A717" t="s">
        <v>158</v>
      </c>
      <c r="B717" t="s">
        <v>171</v>
      </c>
      <c r="C717" t="s">
        <v>10</v>
      </c>
      <c r="D717">
        <v>0</v>
      </c>
      <c r="E717">
        <v>-443.06</v>
      </c>
      <c r="F717">
        <v>0</v>
      </c>
      <c r="G717">
        <v>5981.2550000000001</v>
      </c>
      <c r="H717">
        <v>0</v>
      </c>
      <c r="I717">
        <v>-2784.9229999999998</v>
      </c>
    </row>
    <row r="718" spans="1:9" x14ac:dyDescent="0.25">
      <c r="A718" t="s">
        <v>158</v>
      </c>
      <c r="B718" t="s">
        <v>172</v>
      </c>
      <c r="C718" t="s">
        <v>25</v>
      </c>
      <c r="D718">
        <v>0</v>
      </c>
      <c r="E718">
        <v>443.06</v>
      </c>
      <c r="F718">
        <v>0</v>
      </c>
      <c r="G718">
        <v>-7310.4229999999998</v>
      </c>
      <c r="H718">
        <v>0</v>
      </c>
      <c r="I718">
        <v>1012.699</v>
      </c>
    </row>
    <row r="719" spans="1:9" x14ac:dyDescent="0.25">
      <c r="A719" t="s">
        <v>158</v>
      </c>
      <c r="B719" t="s">
        <v>172</v>
      </c>
      <c r="C719" t="s">
        <v>10</v>
      </c>
      <c r="D719">
        <v>0</v>
      </c>
      <c r="E719">
        <v>443.06</v>
      </c>
      <c r="F719">
        <v>0</v>
      </c>
      <c r="G719">
        <v>-7310.4229999999998</v>
      </c>
      <c r="H719">
        <v>0</v>
      </c>
      <c r="I719">
        <v>2784.9229999999998</v>
      </c>
    </row>
    <row r="720" spans="1:9" x14ac:dyDescent="0.25">
      <c r="A720" t="s">
        <v>158</v>
      </c>
      <c r="B720" t="s">
        <v>173</v>
      </c>
      <c r="C720" t="s">
        <v>25</v>
      </c>
      <c r="D720">
        <v>0</v>
      </c>
      <c r="E720">
        <v>443.06</v>
      </c>
      <c r="F720">
        <v>0</v>
      </c>
      <c r="G720">
        <v>-5981.2550000000001</v>
      </c>
      <c r="H720">
        <v>0</v>
      </c>
      <c r="I720">
        <v>1012.699</v>
      </c>
    </row>
    <row r="721" spans="1:9" x14ac:dyDescent="0.25">
      <c r="A721" t="s">
        <v>158</v>
      </c>
      <c r="B721" t="s">
        <v>173</v>
      </c>
      <c r="C721" t="s">
        <v>10</v>
      </c>
      <c r="D721">
        <v>0</v>
      </c>
      <c r="E721">
        <v>443.06</v>
      </c>
      <c r="F721">
        <v>0</v>
      </c>
      <c r="G721">
        <v>-5981.2550000000001</v>
      </c>
      <c r="H721">
        <v>0</v>
      </c>
      <c r="I721">
        <v>2784.9229999999998</v>
      </c>
    </row>
    <row r="722" spans="1:9" x14ac:dyDescent="0.25">
      <c r="A722" t="s">
        <v>158</v>
      </c>
      <c r="B722" t="s">
        <v>174</v>
      </c>
      <c r="C722" t="s">
        <v>25</v>
      </c>
      <c r="D722">
        <v>0</v>
      </c>
      <c r="E722">
        <v>0</v>
      </c>
      <c r="F722">
        <v>-535.54999999999995</v>
      </c>
      <c r="G722">
        <v>-10603.824000000001</v>
      </c>
      <c r="H722">
        <v>1224.107</v>
      </c>
      <c r="I722">
        <v>0</v>
      </c>
    </row>
    <row r="723" spans="1:9" x14ac:dyDescent="0.25">
      <c r="A723" t="s">
        <v>158</v>
      </c>
      <c r="B723" t="s">
        <v>174</v>
      </c>
      <c r="C723" t="s">
        <v>10</v>
      </c>
      <c r="D723">
        <v>0</v>
      </c>
      <c r="E723">
        <v>0</v>
      </c>
      <c r="F723">
        <v>-535.54999999999995</v>
      </c>
      <c r="G723">
        <v>-10603.824000000001</v>
      </c>
      <c r="H723">
        <v>3366.2930000000001</v>
      </c>
      <c r="I723">
        <v>0</v>
      </c>
    </row>
    <row r="724" spans="1:9" x14ac:dyDescent="0.25">
      <c r="A724" t="s">
        <v>158</v>
      </c>
      <c r="B724" t="s">
        <v>175</v>
      </c>
      <c r="C724" t="s">
        <v>25</v>
      </c>
      <c r="D724">
        <v>0</v>
      </c>
      <c r="E724">
        <v>0</v>
      </c>
      <c r="F724">
        <v>-535.54999999999995</v>
      </c>
      <c r="G724">
        <v>-8675.8559999999998</v>
      </c>
      <c r="H724">
        <v>1224.107</v>
      </c>
      <c r="I724">
        <v>0</v>
      </c>
    </row>
    <row r="725" spans="1:9" x14ac:dyDescent="0.25">
      <c r="A725" t="s">
        <v>158</v>
      </c>
      <c r="B725" t="s">
        <v>175</v>
      </c>
      <c r="C725" t="s">
        <v>10</v>
      </c>
      <c r="D725">
        <v>0</v>
      </c>
      <c r="E725">
        <v>0</v>
      </c>
      <c r="F725">
        <v>-535.54999999999995</v>
      </c>
      <c r="G725">
        <v>-8675.8559999999998</v>
      </c>
      <c r="H725">
        <v>3366.2930000000001</v>
      </c>
      <c r="I725">
        <v>0</v>
      </c>
    </row>
    <row r="726" spans="1:9" x14ac:dyDescent="0.25">
      <c r="A726" t="s">
        <v>158</v>
      </c>
      <c r="B726" t="s">
        <v>176</v>
      </c>
      <c r="C726" t="s">
        <v>25</v>
      </c>
      <c r="D726">
        <v>0</v>
      </c>
      <c r="E726">
        <v>0</v>
      </c>
      <c r="F726">
        <v>535.54999999999995</v>
      </c>
      <c r="G726">
        <v>10603.824000000001</v>
      </c>
      <c r="H726">
        <v>-1224.107</v>
      </c>
      <c r="I726">
        <v>0</v>
      </c>
    </row>
    <row r="727" spans="1:9" x14ac:dyDescent="0.25">
      <c r="A727" t="s">
        <v>158</v>
      </c>
      <c r="B727" t="s">
        <v>176</v>
      </c>
      <c r="C727" t="s">
        <v>10</v>
      </c>
      <c r="D727">
        <v>0</v>
      </c>
      <c r="E727">
        <v>0</v>
      </c>
      <c r="F727">
        <v>535.54999999999995</v>
      </c>
      <c r="G727">
        <v>10603.824000000001</v>
      </c>
      <c r="H727">
        <v>-3366.2930000000001</v>
      </c>
      <c r="I727">
        <v>0</v>
      </c>
    </row>
    <row r="728" spans="1:9" x14ac:dyDescent="0.25">
      <c r="A728" t="s">
        <v>158</v>
      </c>
      <c r="B728" t="s">
        <v>177</v>
      </c>
      <c r="C728" t="s">
        <v>25</v>
      </c>
      <c r="D728">
        <v>0</v>
      </c>
      <c r="E728">
        <v>0</v>
      </c>
      <c r="F728">
        <v>535.54999999999995</v>
      </c>
      <c r="G728">
        <v>8675.8559999999998</v>
      </c>
      <c r="H728">
        <v>-1224.107</v>
      </c>
      <c r="I728">
        <v>0</v>
      </c>
    </row>
    <row r="729" spans="1:9" x14ac:dyDescent="0.25">
      <c r="A729" t="s">
        <v>158</v>
      </c>
      <c r="B729" t="s">
        <v>177</v>
      </c>
      <c r="C729" t="s">
        <v>10</v>
      </c>
      <c r="D729">
        <v>0</v>
      </c>
      <c r="E729">
        <v>0</v>
      </c>
      <c r="F729">
        <v>535.54999999999995</v>
      </c>
      <c r="G729">
        <v>8675.8559999999998</v>
      </c>
      <c r="H729">
        <v>-3366.2930000000001</v>
      </c>
      <c r="I729">
        <v>0</v>
      </c>
    </row>
    <row r="730" spans="1:9" x14ac:dyDescent="0.25">
      <c r="A730" t="s">
        <v>158</v>
      </c>
      <c r="B730" t="s">
        <v>178</v>
      </c>
      <c r="C730" t="s">
        <v>25</v>
      </c>
      <c r="D730">
        <v>0</v>
      </c>
      <c r="E730">
        <v>-132.91999999999999</v>
      </c>
      <c r="F730">
        <v>0</v>
      </c>
      <c r="G730">
        <v>2193.127</v>
      </c>
      <c r="H730">
        <v>0</v>
      </c>
      <c r="I730">
        <v>-303.81</v>
      </c>
    </row>
    <row r="731" spans="1:9" x14ac:dyDescent="0.25">
      <c r="A731" t="s">
        <v>158</v>
      </c>
      <c r="B731" t="s">
        <v>178</v>
      </c>
      <c r="C731" t="s">
        <v>10</v>
      </c>
      <c r="D731">
        <v>0</v>
      </c>
      <c r="E731">
        <v>-132.91999999999999</v>
      </c>
      <c r="F731">
        <v>0</v>
      </c>
      <c r="G731">
        <v>2193.127</v>
      </c>
      <c r="H731">
        <v>0</v>
      </c>
      <c r="I731">
        <v>-835.47699999999998</v>
      </c>
    </row>
    <row r="732" spans="1:9" x14ac:dyDescent="0.25">
      <c r="A732" t="s">
        <v>158</v>
      </c>
      <c r="B732" t="s">
        <v>179</v>
      </c>
      <c r="C732" t="s">
        <v>25</v>
      </c>
      <c r="D732">
        <v>0</v>
      </c>
      <c r="E732">
        <v>-132.91999999999999</v>
      </c>
      <c r="F732">
        <v>0</v>
      </c>
      <c r="G732">
        <v>1794.376</v>
      </c>
      <c r="H732">
        <v>0</v>
      </c>
      <c r="I732">
        <v>-303.81</v>
      </c>
    </row>
    <row r="733" spans="1:9" x14ac:dyDescent="0.25">
      <c r="A733" t="s">
        <v>158</v>
      </c>
      <c r="B733" t="s">
        <v>179</v>
      </c>
      <c r="C733" t="s">
        <v>10</v>
      </c>
      <c r="D733">
        <v>0</v>
      </c>
      <c r="E733">
        <v>-132.91999999999999</v>
      </c>
      <c r="F733">
        <v>0</v>
      </c>
      <c r="G733">
        <v>1794.376</v>
      </c>
      <c r="H733">
        <v>0</v>
      </c>
      <c r="I733">
        <v>-835.47699999999998</v>
      </c>
    </row>
    <row r="734" spans="1:9" x14ac:dyDescent="0.25">
      <c r="A734" t="s">
        <v>158</v>
      </c>
      <c r="B734" t="s">
        <v>180</v>
      </c>
      <c r="C734" t="s">
        <v>25</v>
      </c>
      <c r="D734">
        <v>0</v>
      </c>
      <c r="E734">
        <v>132.91999999999999</v>
      </c>
      <c r="F734">
        <v>0</v>
      </c>
      <c r="G734">
        <v>-2193.127</v>
      </c>
      <c r="H734">
        <v>0</v>
      </c>
      <c r="I734">
        <v>303.81</v>
      </c>
    </row>
    <row r="735" spans="1:9" x14ac:dyDescent="0.25">
      <c r="A735" t="s">
        <v>158</v>
      </c>
      <c r="B735" t="s">
        <v>180</v>
      </c>
      <c r="C735" t="s">
        <v>10</v>
      </c>
      <c r="D735">
        <v>0</v>
      </c>
      <c r="E735">
        <v>132.91999999999999</v>
      </c>
      <c r="F735">
        <v>0</v>
      </c>
      <c r="G735">
        <v>-2193.127</v>
      </c>
      <c r="H735">
        <v>0</v>
      </c>
      <c r="I735">
        <v>835.47699999999998</v>
      </c>
    </row>
    <row r="736" spans="1:9" x14ac:dyDescent="0.25">
      <c r="A736" t="s">
        <v>158</v>
      </c>
      <c r="B736" t="s">
        <v>181</v>
      </c>
      <c r="C736" t="s">
        <v>25</v>
      </c>
      <c r="D736">
        <v>0</v>
      </c>
      <c r="E736">
        <v>132.91999999999999</v>
      </c>
      <c r="F736">
        <v>0</v>
      </c>
      <c r="G736">
        <v>-1794.376</v>
      </c>
      <c r="H736">
        <v>0</v>
      </c>
      <c r="I736">
        <v>303.81</v>
      </c>
    </row>
    <row r="737" spans="1:9" x14ac:dyDescent="0.25">
      <c r="A737" t="s">
        <v>158</v>
      </c>
      <c r="B737" t="s">
        <v>181</v>
      </c>
      <c r="C737" t="s">
        <v>10</v>
      </c>
      <c r="D737">
        <v>0</v>
      </c>
      <c r="E737">
        <v>132.91999999999999</v>
      </c>
      <c r="F737">
        <v>0</v>
      </c>
      <c r="G737">
        <v>-1794.376</v>
      </c>
      <c r="H737">
        <v>0</v>
      </c>
      <c r="I737">
        <v>835.47699999999998</v>
      </c>
    </row>
    <row r="738" spans="1:9" x14ac:dyDescent="0.25">
      <c r="A738" t="s">
        <v>158</v>
      </c>
      <c r="B738" t="s">
        <v>182</v>
      </c>
      <c r="C738" t="s">
        <v>25</v>
      </c>
      <c r="D738">
        <v>0</v>
      </c>
      <c r="E738">
        <v>0</v>
      </c>
      <c r="F738">
        <v>-160.66</v>
      </c>
      <c r="G738">
        <v>-3181.1469999999999</v>
      </c>
      <c r="H738">
        <v>367.23200000000003</v>
      </c>
      <c r="I738">
        <v>0</v>
      </c>
    </row>
    <row r="739" spans="1:9" x14ac:dyDescent="0.25">
      <c r="A739" t="s">
        <v>158</v>
      </c>
      <c r="B739" t="s">
        <v>182</v>
      </c>
      <c r="C739" t="s">
        <v>10</v>
      </c>
      <c r="D739">
        <v>0</v>
      </c>
      <c r="E739">
        <v>0</v>
      </c>
      <c r="F739">
        <v>-160.66</v>
      </c>
      <c r="G739">
        <v>-3181.1469999999999</v>
      </c>
      <c r="H739">
        <v>1009.888</v>
      </c>
      <c r="I739">
        <v>0</v>
      </c>
    </row>
    <row r="740" spans="1:9" x14ac:dyDescent="0.25">
      <c r="A740" t="s">
        <v>158</v>
      </c>
      <c r="B740" t="s">
        <v>183</v>
      </c>
      <c r="C740" t="s">
        <v>25</v>
      </c>
      <c r="D740">
        <v>0</v>
      </c>
      <c r="E740">
        <v>0</v>
      </c>
      <c r="F740">
        <v>-160.66</v>
      </c>
      <c r="G740">
        <v>-2602.7570000000001</v>
      </c>
      <c r="H740">
        <v>367.23200000000003</v>
      </c>
      <c r="I740">
        <v>0</v>
      </c>
    </row>
    <row r="741" spans="1:9" x14ac:dyDescent="0.25">
      <c r="A741" t="s">
        <v>158</v>
      </c>
      <c r="B741" t="s">
        <v>183</v>
      </c>
      <c r="C741" t="s">
        <v>10</v>
      </c>
      <c r="D741">
        <v>0</v>
      </c>
      <c r="E741">
        <v>0</v>
      </c>
      <c r="F741">
        <v>-160.66</v>
      </c>
      <c r="G741">
        <v>-2602.7570000000001</v>
      </c>
      <c r="H741">
        <v>1009.888</v>
      </c>
      <c r="I741">
        <v>0</v>
      </c>
    </row>
    <row r="742" spans="1:9" x14ac:dyDescent="0.25">
      <c r="A742" t="s">
        <v>158</v>
      </c>
      <c r="B742" t="s">
        <v>184</v>
      </c>
      <c r="C742" t="s">
        <v>25</v>
      </c>
      <c r="D742">
        <v>0</v>
      </c>
      <c r="E742">
        <v>0</v>
      </c>
      <c r="F742">
        <v>160.66</v>
      </c>
      <c r="G742">
        <v>3181.1469999999999</v>
      </c>
      <c r="H742">
        <v>-367.23200000000003</v>
      </c>
      <c r="I742">
        <v>0</v>
      </c>
    </row>
    <row r="743" spans="1:9" x14ac:dyDescent="0.25">
      <c r="A743" t="s">
        <v>158</v>
      </c>
      <c r="B743" t="s">
        <v>184</v>
      </c>
      <c r="C743" t="s">
        <v>10</v>
      </c>
      <c r="D743">
        <v>0</v>
      </c>
      <c r="E743">
        <v>0</v>
      </c>
      <c r="F743">
        <v>160.66</v>
      </c>
      <c r="G743">
        <v>3181.1469999999999</v>
      </c>
      <c r="H743">
        <v>-1009.888</v>
      </c>
      <c r="I743">
        <v>0</v>
      </c>
    </row>
    <row r="744" spans="1:9" x14ac:dyDescent="0.25">
      <c r="A744" t="s">
        <v>158</v>
      </c>
      <c r="B744" t="s">
        <v>185</v>
      </c>
      <c r="C744" t="s">
        <v>25</v>
      </c>
      <c r="D744">
        <v>0</v>
      </c>
      <c r="E744">
        <v>0</v>
      </c>
      <c r="F744">
        <v>160.66</v>
      </c>
      <c r="G744">
        <v>2602.7570000000001</v>
      </c>
      <c r="H744">
        <v>-367.23200000000003</v>
      </c>
      <c r="I744">
        <v>0</v>
      </c>
    </row>
    <row r="745" spans="1:9" x14ac:dyDescent="0.25">
      <c r="A745" t="s">
        <v>158</v>
      </c>
      <c r="B745" t="s">
        <v>185</v>
      </c>
      <c r="C745" t="s">
        <v>10</v>
      </c>
      <c r="D745">
        <v>0</v>
      </c>
      <c r="E745">
        <v>0</v>
      </c>
      <c r="F745">
        <v>160.66</v>
      </c>
      <c r="G745">
        <v>2602.7570000000001</v>
      </c>
      <c r="H745">
        <v>-1009.888</v>
      </c>
      <c r="I745">
        <v>0</v>
      </c>
    </row>
    <row r="746" spans="1:9" x14ac:dyDescent="0.25">
      <c r="A746" t="s">
        <v>158</v>
      </c>
      <c r="B746" t="s">
        <v>186</v>
      </c>
      <c r="C746" t="s">
        <v>25</v>
      </c>
      <c r="D746">
        <v>0</v>
      </c>
      <c r="E746">
        <v>-132.91999999999999</v>
      </c>
      <c r="F746">
        <v>0</v>
      </c>
      <c r="G746">
        <v>2193.127</v>
      </c>
      <c r="H746">
        <v>0</v>
      </c>
      <c r="I746">
        <v>-303.81</v>
      </c>
    </row>
    <row r="747" spans="1:9" x14ac:dyDescent="0.25">
      <c r="A747" t="s">
        <v>158</v>
      </c>
      <c r="B747" t="s">
        <v>186</v>
      </c>
      <c r="C747" t="s">
        <v>10</v>
      </c>
      <c r="D747">
        <v>0</v>
      </c>
      <c r="E747">
        <v>-132.91999999999999</v>
      </c>
      <c r="F747">
        <v>0</v>
      </c>
      <c r="G747">
        <v>2193.127</v>
      </c>
      <c r="H747">
        <v>0</v>
      </c>
      <c r="I747">
        <v>-835.47699999999998</v>
      </c>
    </row>
    <row r="748" spans="1:9" x14ac:dyDescent="0.25">
      <c r="A748" t="s">
        <v>158</v>
      </c>
      <c r="B748" t="s">
        <v>187</v>
      </c>
      <c r="C748" t="s">
        <v>25</v>
      </c>
      <c r="D748">
        <v>0</v>
      </c>
      <c r="E748">
        <v>-132.91999999999999</v>
      </c>
      <c r="F748">
        <v>0</v>
      </c>
      <c r="G748">
        <v>1794.376</v>
      </c>
      <c r="H748">
        <v>0</v>
      </c>
      <c r="I748">
        <v>-303.81</v>
      </c>
    </row>
    <row r="749" spans="1:9" x14ac:dyDescent="0.25">
      <c r="A749" t="s">
        <v>158</v>
      </c>
      <c r="B749" t="s">
        <v>187</v>
      </c>
      <c r="C749" t="s">
        <v>10</v>
      </c>
      <c r="D749">
        <v>0</v>
      </c>
      <c r="E749">
        <v>-132.91999999999999</v>
      </c>
      <c r="F749">
        <v>0</v>
      </c>
      <c r="G749">
        <v>1794.376</v>
      </c>
      <c r="H749">
        <v>0</v>
      </c>
      <c r="I749">
        <v>-835.47699999999998</v>
      </c>
    </row>
    <row r="750" spans="1:9" x14ac:dyDescent="0.25">
      <c r="A750" t="s">
        <v>158</v>
      </c>
      <c r="B750" t="s">
        <v>188</v>
      </c>
      <c r="C750" t="s">
        <v>25</v>
      </c>
      <c r="D750">
        <v>0</v>
      </c>
      <c r="E750">
        <v>132.91999999999999</v>
      </c>
      <c r="F750">
        <v>0</v>
      </c>
      <c r="G750">
        <v>-2193.127</v>
      </c>
      <c r="H750">
        <v>0</v>
      </c>
      <c r="I750">
        <v>303.81</v>
      </c>
    </row>
    <row r="751" spans="1:9" x14ac:dyDescent="0.25">
      <c r="A751" t="s">
        <v>158</v>
      </c>
      <c r="B751" t="s">
        <v>188</v>
      </c>
      <c r="C751" t="s">
        <v>10</v>
      </c>
      <c r="D751">
        <v>0</v>
      </c>
      <c r="E751">
        <v>132.91999999999999</v>
      </c>
      <c r="F751">
        <v>0</v>
      </c>
      <c r="G751">
        <v>-2193.127</v>
      </c>
      <c r="H751">
        <v>0</v>
      </c>
      <c r="I751">
        <v>835.47699999999998</v>
      </c>
    </row>
    <row r="752" spans="1:9" x14ac:dyDescent="0.25">
      <c r="A752" t="s">
        <v>158</v>
      </c>
      <c r="B752" t="s">
        <v>189</v>
      </c>
      <c r="C752" t="s">
        <v>25</v>
      </c>
      <c r="D752">
        <v>0</v>
      </c>
      <c r="E752">
        <v>132.91999999999999</v>
      </c>
      <c r="F752">
        <v>0</v>
      </c>
      <c r="G752">
        <v>-1794.376</v>
      </c>
      <c r="H752">
        <v>0</v>
      </c>
      <c r="I752">
        <v>303.81</v>
      </c>
    </row>
    <row r="753" spans="1:9" x14ac:dyDescent="0.25">
      <c r="A753" t="s">
        <v>158</v>
      </c>
      <c r="B753" t="s">
        <v>189</v>
      </c>
      <c r="C753" t="s">
        <v>10</v>
      </c>
      <c r="D753">
        <v>0</v>
      </c>
      <c r="E753">
        <v>132.91999999999999</v>
      </c>
      <c r="F753">
        <v>0</v>
      </c>
      <c r="G753">
        <v>-1794.376</v>
      </c>
      <c r="H753">
        <v>0</v>
      </c>
      <c r="I753">
        <v>835.47699999999998</v>
      </c>
    </row>
    <row r="754" spans="1:9" x14ac:dyDescent="0.25">
      <c r="A754" t="s">
        <v>158</v>
      </c>
      <c r="B754" t="s">
        <v>190</v>
      </c>
      <c r="C754" t="s">
        <v>25</v>
      </c>
      <c r="D754">
        <v>0</v>
      </c>
      <c r="E754">
        <v>0</v>
      </c>
      <c r="F754">
        <v>-160.66</v>
      </c>
      <c r="G754">
        <v>-3181.1469999999999</v>
      </c>
      <c r="H754">
        <v>367.23200000000003</v>
      </c>
      <c r="I754">
        <v>0</v>
      </c>
    </row>
    <row r="755" spans="1:9" x14ac:dyDescent="0.25">
      <c r="A755" t="s">
        <v>158</v>
      </c>
      <c r="B755" t="s">
        <v>190</v>
      </c>
      <c r="C755" t="s">
        <v>10</v>
      </c>
      <c r="D755">
        <v>0</v>
      </c>
      <c r="E755">
        <v>0</v>
      </c>
      <c r="F755">
        <v>-160.66</v>
      </c>
      <c r="G755">
        <v>-3181.1469999999999</v>
      </c>
      <c r="H755">
        <v>1009.888</v>
      </c>
      <c r="I755">
        <v>0</v>
      </c>
    </row>
    <row r="756" spans="1:9" x14ac:dyDescent="0.25">
      <c r="A756" t="s">
        <v>158</v>
      </c>
      <c r="B756" t="s">
        <v>191</v>
      </c>
      <c r="C756" t="s">
        <v>25</v>
      </c>
      <c r="D756">
        <v>0</v>
      </c>
      <c r="E756">
        <v>0</v>
      </c>
      <c r="F756">
        <v>-160.66</v>
      </c>
      <c r="G756">
        <v>-2602.7570000000001</v>
      </c>
      <c r="H756">
        <v>367.23200000000003</v>
      </c>
      <c r="I756">
        <v>0</v>
      </c>
    </row>
    <row r="757" spans="1:9" x14ac:dyDescent="0.25">
      <c r="A757" t="s">
        <v>158</v>
      </c>
      <c r="B757" t="s">
        <v>191</v>
      </c>
      <c r="C757" t="s">
        <v>10</v>
      </c>
      <c r="D757">
        <v>0</v>
      </c>
      <c r="E757">
        <v>0</v>
      </c>
      <c r="F757">
        <v>-160.66</v>
      </c>
      <c r="G757">
        <v>-2602.7570000000001</v>
      </c>
      <c r="H757">
        <v>1009.888</v>
      </c>
      <c r="I757">
        <v>0</v>
      </c>
    </row>
    <row r="758" spans="1:9" x14ac:dyDescent="0.25">
      <c r="A758" t="s">
        <v>158</v>
      </c>
      <c r="B758" t="s">
        <v>192</v>
      </c>
      <c r="C758" t="s">
        <v>25</v>
      </c>
      <c r="D758">
        <v>0</v>
      </c>
      <c r="E758">
        <v>0</v>
      </c>
      <c r="F758">
        <v>160.66</v>
      </c>
      <c r="G758">
        <v>3181.1469999999999</v>
      </c>
      <c r="H758">
        <v>-367.23200000000003</v>
      </c>
      <c r="I758">
        <v>0</v>
      </c>
    </row>
    <row r="759" spans="1:9" x14ac:dyDescent="0.25">
      <c r="A759" t="s">
        <v>158</v>
      </c>
      <c r="B759" t="s">
        <v>192</v>
      </c>
      <c r="C759" t="s">
        <v>10</v>
      </c>
      <c r="D759">
        <v>0</v>
      </c>
      <c r="E759">
        <v>0</v>
      </c>
      <c r="F759">
        <v>160.66</v>
      </c>
      <c r="G759">
        <v>3181.1469999999999</v>
      </c>
      <c r="H759">
        <v>-1009.888</v>
      </c>
      <c r="I759">
        <v>0</v>
      </c>
    </row>
    <row r="760" spans="1:9" x14ac:dyDescent="0.25">
      <c r="A760" t="s">
        <v>158</v>
      </c>
      <c r="B760" t="s">
        <v>193</v>
      </c>
      <c r="C760" t="s">
        <v>25</v>
      </c>
      <c r="D760">
        <v>0</v>
      </c>
      <c r="E760">
        <v>0</v>
      </c>
      <c r="F760">
        <v>160.66</v>
      </c>
      <c r="G760">
        <v>2602.7570000000001</v>
      </c>
      <c r="H760">
        <v>-367.23200000000003</v>
      </c>
      <c r="I760">
        <v>0</v>
      </c>
    </row>
    <row r="761" spans="1:9" x14ac:dyDescent="0.25">
      <c r="A761" t="s">
        <v>158</v>
      </c>
      <c r="B761" t="s">
        <v>193</v>
      </c>
      <c r="C761" t="s">
        <v>10</v>
      </c>
      <c r="D761">
        <v>0</v>
      </c>
      <c r="E761">
        <v>0</v>
      </c>
      <c r="F761">
        <v>160.66</v>
      </c>
      <c r="G761">
        <v>2602.7570000000001</v>
      </c>
      <c r="H761">
        <v>-1009.888</v>
      </c>
      <c r="I761">
        <v>0</v>
      </c>
    </row>
    <row r="762" spans="1:9" x14ac:dyDescent="0.25">
      <c r="A762" t="s">
        <v>158</v>
      </c>
      <c r="B762" t="s">
        <v>194</v>
      </c>
      <c r="C762" t="s">
        <v>25</v>
      </c>
      <c r="D762">
        <v>0</v>
      </c>
      <c r="E762">
        <v>-443.06</v>
      </c>
      <c r="F762">
        <v>0</v>
      </c>
      <c r="G762">
        <v>7310.4229999999998</v>
      </c>
      <c r="H762">
        <v>0</v>
      </c>
      <c r="I762">
        <v>-1012.699</v>
      </c>
    </row>
    <row r="763" spans="1:9" x14ac:dyDescent="0.25">
      <c r="A763" t="s">
        <v>158</v>
      </c>
      <c r="B763" t="s">
        <v>194</v>
      </c>
      <c r="C763" t="s">
        <v>10</v>
      </c>
      <c r="D763">
        <v>0</v>
      </c>
      <c r="E763">
        <v>-443.06</v>
      </c>
      <c r="F763">
        <v>0</v>
      </c>
      <c r="G763">
        <v>7310.4229999999998</v>
      </c>
      <c r="H763">
        <v>0</v>
      </c>
      <c r="I763">
        <v>-2784.9229999999998</v>
      </c>
    </row>
    <row r="764" spans="1:9" x14ac:dyDescent="0.25">
      <c r="A764" t="s">
        <v>158</v>
      </c>
      <c r="B764" t="s">
        <v>195</v>
      </c>
      <c r="C764" t="s">
        <v>25</v>
      </c>
      <c r="D764">
        <v>0</v>
      </c>
      <c r="E764">
        <v>-443.06</v>
      </c>
      <c r="F764">
        <v>0</v>
      </c>
      <c r="G764">
        <v>5981.2550000000001</v>
      </c>
      <c r="H764">
        <v>0</v>
      </c>
      <c r="I764">
        <v>-1012.699</v>
      </c>
    </row>
    <row r="765" spans="1:9" x14ac:dyDescent="0.25">
      <c r="A765" t="s">
        <v>158</v>
      </c>
      <c r="B765" t="s">
        <v>195</v>
      </c>
      <c r="C765" t="s">
        <v>10</v>
      </c>
      <c r="D765">
        <v>0</v>
      </c>
      <c r="E765">
        <v>-443.06</v>
      </c>
      <c r="F765">
        <v>0</v>
      </c>
      <c r="G765">
        <v>5981.2550000000001</v>
      </c>
      <c r="H765">
        <v>0</v>
      </c>
      <c r="I765">
        <v>-2784.9229999999998</v>
      </c>
    </row>
    <row r="766" spans="1:9" x14ac:dyDescent="0.25">
      <c r="A766" t="s">
        <v>158</v>
      </c>
      <c r="B766" t="s">
        <v>196</v>
      </c>
      <c r="C766" t="s">
        <v>25</v>
      </c>
      <c r="D766">
        <v>0</v>
      </c>
      <c r="E766">
        <v>443.06</v>
      </c>
      <c r="F766">
        <v>0</v>
      </c>
      <c r="G766">
        <v>-7310.4229999999998</v>
      </c>
      <c r="H766">
        <v>0</v>
      </c>
      <c r="I766">
        <v>1012.699</v>
      </c>
    </row>
    <row r="767" spans="1:9" x14ac:dyDescent="0.25">
      <c r="A767" t="s">
        <v>158</v>
      </c>
      <c r="B767" t="s">
        <v>196</v>
      </c>
      <c r="C767" t="s">
        <v>10</v>
      </c>
      <c r="D767">
        <v>0</v>
      </c>
      <c r="E767">
        <v>443.06</v>
      </c>
      <c r="F767">
        <v>0</v>
      </c>
      <c r="G767">
        <v>-7310.4229999999998</v>
      </c>
      <c r="H767">
        <v>0</v>
      </c>
      <c r="I767">
        <v>2784.9229999999998</v>
      </c>
    </row>
    <row r="768" spans="1:9" x14ac:dyDescent="0.25">
      <c r="A768" t="s">
        <v>158</v>
      </c>
      <c r="B768" t="s">
        <v>197</v>
      </c>
      <c r="C768" t="s">
        <v>25</v>
      </c>
      <c r="D768">
        <v>0</v>
      </c>
      <c r="E768">
        <v>443.06</v>
      </c>
      <c r="F768">
        <v>0</v>
      </c>
      <c r="G768">
        <v>-5981.2550000000001</v>
      </c>
      <c r="H768">
        <v>0</v>
      </c>
      <c r="I768">
        <v>1012.699</v>
      </c>
    </row>
    <row r="769" spans="1:9" x14ac:dyDescent="0.25">
      <c r="A769" t="s">
        <v>158</v>
      </c>
      <c r="B769" t="s">
        <v>197</v>
      </c>
      <c r="C769" t="s">
        <v>10</v>
      </c>
      <c r="D769">
        <v>0</v>
      </c>
      <c r="E769">
        <v>443.06</v>
      </c>
      <c r="F769">
        <v>0</v>
      </c>
      <c r="G769">
        <v>-5981.2550000000001</v>
      </c>
      <c r="H769">
        <v>0</v>
      </c>
      <c r="I769">
        <v>2784.9229999999998</v>
      </c>
    </row>
    <row r="770" spans="1:9" x14ac:dyDescent="0.25">
      <c r="A770" t="s">
        <v>158</v>
      </c>
      <c r="B770" t="s">
        <v>198</v>
      </c>
      <c r="C770" t="s">
        <v>25</v>
      </c>
      <c r="D770">
        <v>0</v>
      </c>
      <c r="E770">
        <v>0</v>
      </c>
      <c r="F770">
        <v>-535.54999999999995</v>
      </c>
      <c r="G770">
        <v>-10603.824000000001</v>
      </c>
      <c r="H770">
        <v>1224.107</v>
      </c>
      <c r="I770">
        <v>0</v>
      </c>
    </row>
    <row r="771" spans="1:9" x14ac:dyDescent="0.25">
      <c r="A771" t="s">
        <v>158</v>
      </c>
      <c r="B771" t="s">
        <v>198</v>
      </c>
      <c r="C771" t="s">
        <v>10</v>
      </c>
      <c r="D771">
        <v>0</v>
      </c>
      <c r="E771">
        <v>0</v>
      </c>
      <c r="F771">
        <v>-535.54999999999995</v>
      </c>
      <c r="G771">
        <v>-10603.824000000001</v>
      </c>
      <c r="H771">
        <v>3366.2930000000001</v>
      </c>
      <c r="I771">
        <v>0</v>
      </c>
    </row>
    <row r="772" spans="1:9" x14ac:dyDescent="0.25">
      <c r="A772" t="s">
        <v>158</v>
      </c>
      <c r="B772" t="s">
        <v>199</v>
      </c>
      <c r="C772" t="s">
        <v>25</v>
      </c>
      <c r="D772">
        <v>0</v>
      </c>
      <c r="E772">
        <v>0</v>
      </c>
      <c r="F772">
        <v>-535.54999999999995</v>
      </c>
      <c r="G772">
        <v>-8675.8559999999998</v>
      </c>
      <c r="H772">
        <v>1224.107</v>
      </c>
      <c r="I772">
        <v>0</v>
      </c>
    </row>
    <row r="773" spans="1:9" x14ac:dyDescent="0.25">
      <c r="A773" t="s">
        <v>158</v>
      </c>
      <c r="B773" t="s">
        <v>199</v>
      </c>
      <c r="C773" t="s">
        <v>10</v>
      </c>
      <c r="D773">
        <v>0</v>
      </c>
      <c r="E773">
        <v>0</v>
      </c>
      <c r="F773">
        <v>-535.54999999999995</v>
      </c>
      <c r="G773">
        <v>-8675.8559999999998</v>
      </c>
      <c r="H773">
        <v>3366.2930000000001</v>
      </c>
      <c r="I773">
        <v>0</v>
      </c>
    </row>
    <row r="774" spans="1:9" x14ac:dyDescent="0.25">
      <c r="A774" t="s">
        <v>158</v>
      </c>
      <c r="B774" t="s">
        <v>200</v>
      </c>
      <c r="C774" t="s">
        <v>25</v>
      </c>
      <c r="D774">
        <v>0</v>
      </c>
      <c r="E774">
        <v>0</v>
      </c>
      <c r="F774">
        <v>535.54999999999995</v>
      </c>
      <c r="G774">
        <v>10603.824000000001</v>
      </c>
      <c r="H774">
        <v>-1224.107</v>
      </c>
      <c r="I774">
        <v>0</v>
      </c>
    </row>
    <row r="775" spans="1:9" x14ac:dyDescent="0.25">
      <c r="A775" t="s">
        <v>158</v>
      </c>
      <c r="B775" t="s">
        <v>200</v>
      </c>
      <c r="C775" t="s">
        <v>10</v>
      </c>
      <c r="D775">
        <v>0</v>
      </c>
      <c r="E775">
        <v>0</v>
      </c>
      <c r="F775">
        <v>535.54999999999995</v>
      </c>
      <c r="G775">
        <v>10603.824000000001</v>
      </c>
      <c r="H775">
        <v>-3366.2930000000001</v>
      </c>
      <c r="I775">
        <v>0</v>
      </c>
    </row>
    <row r="776" spans="1:9" x14ac:dyDescent="0.25">
      <c r="A776" t="s">
        <v>158</v>
      </c>
      <c r="B776" t="s">
        <v>201</v>
      </c>
      <c r="C776" t="s">
        <v>25</v>
      </c>
      <c r="D776">
        <v>0</v>
      </c>
      <c r="E776">
        <v>0</v>
      </c>
      <c r="F776">
        <v>535.54999999999995</v>
      </c>
      <c r="G776">
        <v>8675.8559999999998</v>
      </c>
      <c r="H776">
        <v>-1224.107</v>
      </c>
      <c r="I776">
        <v>0</v>
      </c>
    </row>
    <row r="777" spans="1:9" x14ac:dyDescent="0.25">
      <c r="A777" t="s">
        <v>158</v>
      </c>
      <c r="B777" t="s">
        <v>201</v>
      </c>
      <c r="C777" t="s">
        <v>10</v>
      </c>
      <c r="D777">
        <v>0</v>
      </c>
      <c r="E777">
        <v>0</v>
      </c>
      <c r="F777">
        <v>535.54999999999995</v>
      </c>
      <c r="G777">
        <v>8675.8559999999998</v>
      </c>
      <c r="H777">
        <v>-3366.2930000000001</v>
      </c>
      <c r="I777">
        <v>0</v>
      </c>
    </row>
    <row r="778" spans="1:9" x14ac:dyDescent="0.25">
      <c r="A778" t="s">
        <v>158</v>
      </c>
      <c r="B778" t="s">
        <v>202</v>
      </c>
      <c r="C778" t="s">
        <v>25</v>
      </c>
      <c r="D778">
        <v>0</v>
      </c>
      <c r="E778">
        <v>-443.06</v>
      </c>
      <c r="F778">
        <v>0</v>
      </c>
      <c r="G778">
        <v>7310.4229999999998</v>
      </c>
      <c r="H778">
        <v>0</v>
      </c>
      <c r="I778">
        <v>-1012.699</v>
      </c>
    </row>
    <row r="779" spans="1:9" x14ac:dyDescent="0.25">
      <c r="A779" t="s">
        <v>158</v>
      </c>
      <c r="B779" t="s">
        <v>202</v>
      </c>
      <c r="C779" t="s">
        <v>10</v>
      </c>
      <c r="D779">
        <v>0</v>
      </c>
      <c r="E779">
        <v>-443.06</v>
      </c>
      <c r="F779">
        <v>0</v>
      </c>
      <c r="G779">
        <v>7310.4229999999998</v>
      </c>
      <c r="H779">
        <v>0</v>
      </c>
      <c r="I779">
        <v>-2784.9229999999998</v>
      </c>
    </row>
    <row r="780" spans="1:9" x14ac:dyDescent="0.25">
      <c r="A780" t="s">
        <v>158</v>
      </c>
      <c r="B780" t="s">
        <v>203</v>
      </c>
      <c r="C780" t="s">
        <v>25</v>
      </c>
      <c r="D780">
        <v>0</v>
      </c>
      <c r="E780">
        <v>-443.06</v>
      </c>
      <c r="F780">
        <v>0</v>
      </c>
      <c r="G780">
        <v>5981.2550000000001</v>
      </c>
      <c r="H780">
        <v>0</v>
      </c>
      <c r="I780">
        <v>-1012.699</v>
      </c>
    </row>
    <row r="781" spans="1:9" x14ac:dyDescent="0.25">
      <c r="A781" t="s">
        <v>158</v>
      </c>
      <c r="B781" t="s">
        <v>203</v>
      </c>
      <c r="C781" t="s">
        <v>10</v>
      </c>
      <c r="D781">
        <v>0</v>
      </c>
      <c r="E781">
        <v>-443.06</v>
      </c>
      <c r="F781">
        <v>0</v>
      </c>
      <c r="G781">
        <v>5981.2550000000001</v>
      </c>
      <c r="H781">
        <v>0</v>
      </c>
      <c r="I781">
        <v>-2784.9229999999998</v>
      </c>
    </row>
    <row r="782" spans="1:9" x14ac:dyDescent="0.25">
      <c r="A782" t="s">
        <v>158</v>
      </c>
      <c r="B782" t="s">
        <v>204</v>
      </c>
      <c r="C782" t="s">
        <v>25</v>
      </c>
      <c r="D782">
        <v>0</v>
      </c>
      <c r="E782">
        <v>443.06</v>
      </c>
      <c r="F782">
        <v>0</v>
      </c>
      <c r="G782">
        <v>-7310.4229999999998</v>
      </c>
      <c r="H782">
        <v>0</v>
      </c>
      <c r="I782">
        <v>1012.699</v>
      </c>
    </row>
    <row r="783" spans="1:9" x14ac:dyDescent="0.25">
      <c r="A783" t="s">
        <v>158</v>
      </c>
      <c r="B783" t="s">
        <v>204</v>
      </c>
      <c r="C783" t="s">
        <v>10</v>
      </c>
      <c r="D783">
        <v>0</v>
      </c>
      <c r="E783">
        <v>443.06</v>
      </c>
      <c r="F783">
        <v>0</v>
      </c>
      <c r="G783">
        <v>-7310.4229999999998</v>
      </c>
      <c r="H783">
        <v>0</v>
      </c>
      <c r="I783">
        <v>2784.9229999999998</v>
      </c>
    </row>
    <row r="784" spans="1:9" x14ac:dyDescent="0.25">
      <c r="A784" t="s">
        <v>158</v>
      </c>
      <c r="B784" t="s">
        <v>205</v>
      </c>
      <c r="C784" t="s">
        <v>25</v>
      </c>
      <c r="D784">
        <v>0</v>
      </c>
      <c r="E784">
        <v>443.06</v>
      </c>
      <c r="F784">
        <v>0</v>
      </c>
      <c r="G784">
        <v>-5981.2550000000001</v>
      </c>
      <c r="H784">
        <v>0</v>
      </c>
      <c r="I784">
        <v>1012.699</v>
      </c>
    </row>
    <row r="785" spans="1:9" x14ac:dyDescent="0.25">
      <c r="A785" t="s">
        <v>158</v>
      </c>
      <c r="B785" t="s">
        <v>205</v>
      </c>
      <c r="C785" t="s">
        <v>10</v>
      </c>
      <c r="D785">
        <v>0</v>
      </c>
      <c r="E785">
        <v>443.06</v>
      </c>
      <c r="F785">
        <v>0</v>
      </c>
      <c r="G785">
        <v>-5981.2550000000001</v>
      </c>
      <c r="H785">
        <v>0</v>
      </c>
      <c r="I785">
        <v>2784.9229999999998</v>
      </c>
    </row>
    <row r="786" spans="1:9" x14ac:dyDescent="0.25">
      <c r="A786" t="s">
        <v>158</v>
      </c>
      <c r="B786" t="s">
        <v>206</v>
      </c>
      <c r="C786" t="s">
        <v>25</v>
      </c>
      <c r="D786">
        <v>0</v>
      </c>
      <c r="E786">
        <v>0</v>
      </c>
      <c r="F786">
        <v>-535.54999999999995</v>
      </c>
      <c r="G786">
        <v>-10603.824000000001</v>
      </c>
      <c r="H786">
        <v>1224.107</v>
      </c>
      <c r="I786">
        <v>0</v>
      </c>
    </row>
    <row r="787" spans="1:9" x14ac:dyDescent="0.25">
      <c r="A787" t="s">
        <v>158</v>
      </c>
      <c r="B787" t="s">
        <v>206</v>
      </c>
      <c r="C787" t="s">
        <v>10</v>
      </c>
      <c r="D787">
        <v>0</v>
      </c>
      <c r="E787">
        <v>0</v>
      </c>
      <c r="F787">
        <v>-535.54999999999995</v>
      </c>
      <c r="G787">
        <v>-10603.824000000001</v>
      </c>
      <c r="H787">
        <v>3366.2930000000001</v>
      </c>
      <c r="I787">
        <v>0</v>
      </c>
    </row>
    <row r="788" spans="1:9" x14ac:dyDescent="0.25">
      <c r="A788" t="s">
        <v>158</v>
      </c>
      <c r="B788" t="s">
        <v>207</v>
      </c>
      <c r="C788" t="s">
        <v>25</v>
      </c>
      <c r="D788">
        <v>0</v>
      </c>
      <c r="E788">
        <v>0</v>
      </c>
      <c r="F788">
        <v>-535.54999999999995</v>
      </c>
      <c r="G788">
        <v>-8675.8559999999998</v>
      </c>
      <c r="H788">
        <v>1224.107</v>
      </c>
      <c r="I788">
        <v>0</v>
      </c>
    </row>
    <row r="789" spans="1:9" x14ac:dyDescent="0.25">
      <c r="A789" t="s">
        <v>158</v>
      </c>
      <c r="B789" t="s">
        <v>207</v>
      </c>
      <c r="C789" t="s">
        <v>10</v>
      </c>
      <c r="D789">
        <v>0</v>
      </c>
      <c r="E789">
        <v>0</v>
      </c>
      <c r="F789">
        <v>-535.54999999999995</v>
      </c>
      <c r="G789">
        <v>-8675.8559999999998</v>
      </c>
      <c r="H789">
        <v>3366.2930000000001</v>
      </c>
      <c r="I789">
        <v>0</v>
      </c>
    </row>
    <row r="790" spans="1:9" x14ac:dyDescent="0.25">
      <c r="A790" t="s">
        <v>158</v>
      </c>
      <c r="B790" t="s">
        <v>208</v>
      </c>
      <c r="C790" t="s">
        <v>25</v>
      </c>
      <c r="D790">
        <v>0</v>
      </c>
      <c r="E790">
        <v>0</v>
      </c>
      <c r="F790">
        <v>535.54999999999995</v>
      </c>
      <c r="G790">
        <v>10603.824000000001</v>
      </c>
      <c r="H790">
        <v>-1224.107</v>
      </c>
      <c r="I790">
        <v>0</v>
      </c>
    </row>
    <row r="791" spans="1:9" x14ac:dyDescent="0.25">
      <c r="A791" t="s">
        <v>158</v>
      </c>
      <c r="B791" t="s">
        <v>208</v>
      </c>
      <c r="C791" t="s">
        <v>10</v>
      </c>
      <c r="D791">
        <v>0</v>
      </c>
      <c r="E791">
        <v>0</v>
      </c>
      <c r="F791">
        <v>535.54999999999995</v>
      </c>
      <c r="G791">
        <v>10603.824000000001</v>
      </c>
      <c r="H791">
        <v>-3366.2930000000001</v>
      </c>
      <c r="I791">
        <v>0</v>
      </c>
    </row>
    <row r="792" spans="1:9" x14ac:dyDescent="0.25">
      <c r="A792" t="s">
        <v>158</v>
      </c>
      <c r="B792" t="s">
        <v>209</v>
      </c>
      <c r="C792" t="s">
        <v>25</v>
      </c>
      <c r="D792">
        <v>0</v>
      </c>
      <c r="E792">
        <v>0</v>
      </c>
      <c r="F792">
        <v>535.54999999999995</v>
      </c>
      <c r="G792">
        <v>8675.8559999999998</v>
      </c>
      <c r="H792">
        <v>-1224.107</v>
      </c>
      <c r="I792">
        <v>0</v>
      </c>
    </row>
    <row r="793" spans="1:9" x14ac:dyDescent="0.25">
      <c r="A793" t="s">
        <v>158</v>
      </c>
      <c r="B793" t="s">
        <v>209</v>
      </c>
      <c r="C793" t="s">
        <v>10</v>
      </c>
      <c r="D793">
        <v>0</v>
      </c>
      <c r="E793">
        <v>0</v>
      </c>
      <c r="F793">
        <v>535.54999999999995</v>
      </c>
      <c r="G793">
        <v>8675.8559999999998</v>
      </c>
      <c r="H793">
        <v>-3366.2930000000001</v>
      </c>
      <c r="I793">
        <v>0</v>
      </c>
    </row>
    <row r="794" spans="1:9" x14ac:dyDescent="0.25">
      <c r="A794" t="s">
        <v>158</v>
      </c>
      <c r="B794" t="s">
        <v>210</v>
      </c>
      <c r="C794" t="s">
        <v>25</v>
      </c>
      <c r="D794">
        <v>0</v>
      </c>
      <c r="E794">
        <v>-132.91999999999999</v>
      </c>
      <c r="F794">
        <v>0</v>
      </c>
      <c r="G794">
        <v>2193.127</v>
      </c>
      <c r="H794">
        <v>0</v>
      </c>
      <c r="I794">
        <v>-303.81</v>
      </c>
    </row>
    <row r="795" spans="1:9" x14ac:dyDescent="0.25">
      <c r="A795" t="s">
        <v>158</v>
      </c>
      <c r="B795" t="s">
        <v>210</v>
      </c>
      <c r="C795" t="s">
        <v>10</v>
      </c>
      <c r="D795">
        <v>0</v>
      </c>
      <c r="E795">
        <v>-132.91999999999999</v>
      </c>
      <c r="F795">
        <v>0</v>
      </c>
      <c r="G795">
        <v>2193.127</v>
      </c>
      <c r="H795">
        <v>0</v>
      </c>
      <c r="I795">
        <v>-835.47699999999998</v>
      </c>
    </row>
    <row r="796" spans="1:9" x14ac:dyDescent="0.25">
      <c r="A796" t="s">
        <v>158</v>
      </c>
      <c r="B796" t="s">
        <v>211</v>
      </c>
      <c r="C796" t="s">
        <v>25</v>
      </c>
      <c r="D796">
        <v>0</v>
      </c>
      <c r="E796">
        <v>-132.91999999999999</v>
      </c>
      <c r="F796">
        <v>0</v>
      </c>
      <c r="G796">
        <v>1794.376</v>
      </c>
      <c r="H796">
        <v>0</v>
      </c>
      <c r="I796">
        <v>-303.81</v>
      </c>
    </row>
    <row r="797" spans="1:9" x14ac:dyDescent="0.25">
      <c r="A797" t="s">
        <v>158</v>
      </c>
      <c r="B797" t="s">
        <v>211</v>
      </c>
      <c r="C797" t="s">
        <v>10</v>
      </c>
      <c r="D797">
        <v>0</v>
      </c>
      <c r="E797">
        <v>-132.91999999999999</v>
      </c>
      <c r="F797">
        <v>0</v>
      </c>
      <c r="G797">
        <v>1794.376</v>
      </c>
      <c r="H797">
        <v>0</v>
      </c>
      <c r="I797">
        <v>-835.47699999999998</v>
      </c>
    </row>
    <row r="798" spans="1:9" x14ac:dyDescent="0.25">
      <c r="A798" t="s">
        <v>158</v>
      </c>
      <c r="B798" t="s">
        <v>212</v>
      </c>
      <c r="C798" t="s">
        <v>25</v>
      </c>
      <c r="D798">
        <v>0</v>
      </c>
      <c r="E798">
        <v>132.91999999999999</v>
      </c>
      <c r="F798">
        <v>0</v>
      </c>
      <c r="G798">
        <v>-2193.127</v>
      </c>
      <c r="H798">
        <v>0</v>
      </c>
      <c r="I798">
        <v>303.81</v>
      </c>
    </row>
    <row r="799" spans="1:9" x14ac:dyDescent="0.25">
      <c r="A799" t="s">
        <v>158</v>
      </c>
      <c r="B799" t="s">
        <v>212</v>
      </c>
      <c r="C799" t="s">
        <v>10</v>
      </c>
      <c r="D799">
        <v>0</v>
      </c>
      <c r="E799">
        <v>132.91999999999999</v>
      </c>
      <c r="F799">
        <v>0</v>
      </c>
      <c r="G799">
        <v>-2193.127</v>
      </c>
      <c r="H799">
        <v>0</v>
      </c>
      <c r="I799">
        <v>835.47699999999998</v>
      </c>
    </row>
    <row r="800" spans="1:9" x14ac:dyDescent="0.25">
      <c r="A800" t="s">
        <v>158</v>
      </c>
      <c r="B800" t="s">
        <v>213</v>
      </c>
      <c r="C800" t="s">
        <v>25</v>
      </c>
      <c r="D800">
        <v>0</v>
      </c>
      <c r="E800">
        <v>132.91999999999999</v>
      </c>
      <c r="F800">
        <v>0</v>
      </c>
      <c r="G800">
        <v>-1794.376</v>
      </c>
      <c r="H800">
        <v>0</v>
      </c>
      <c r="I800">
        <v>303.81</v>
      </c>
    </row>
    <row r="801" spans="1:9" x14ac:dyDescent="0.25">
      <c r="A801" t="s">
        <v>158</v>
      </c>
      <c r="B801" t="s">
        <v>213</v>
      </c>
      <c r="C801" t="s">
        <v>10</v>
      </c>
      <c r="D801">
        <v>0</v>
      </c>
      <c r="E801">
        <v>132.91999999999999</v>
      </c>
      <c r="F801">
        <v>0</v>
      </c>
      <c r="G801">
        <v>-1794.376</v>
      </c>
      <c r="H801">
        <v>0</v>
      </c>
      <c r="I801">
        <v>835.47699999999998</v>
      </c>
    </row>
    <row r="802" spans="1:9" x14ac:dyDescent="0.25">
      <c r="A802" t="s">
        <v>158</v>
      </c>
      <c r="B802" t="s">
        <v>214</v>
      </c>
      <c r="C802" t="s">
        <v>25</v>
      </c>
      <c r="D802">
        <v>0</v>
      </c>
      <c r="E802">
        <v>0</v>
      </c>
      <c r="F802">
        <v>-160.66</v>
      </c>
      <c r="G802">
        <v>-3181.1469999999999</v>
      </c>
      <c r="H802">
        <v>367.23200000000003</v>
      </c>
      <c r="I802">
        <v>0</v>
      </c>
    </row>
    <row r="803" spans="1:9" x14ac:dyDescent="0.25">
      <c r="A803" t="s">
        <v>158</v>
      </c>
      <c r="B803" t="s">
        <v>214</v>
      </c>
      <c r="C803" t="s">
        <v>10</v>
      </c>
      <c r="D803">
        <v>0</v>
      </c>
      <c r="E803">
        <v>0</v>
      </c>
      <c r="F803">
        <v>-160.66</v>
      </c>
      <c r="G803">
        <v>-3181.1469999999999</v>
      </c>
      <c r="H803">
        <v>1009.888</v>
      </c>
      <c r="I803">
        <v>0</v>
      </c>
    </row>
    <row r="804" spans="1:9" x14ac:dyDescent="0.25">
      <c r="A804" t="s">
        <v>158</v>
      </c>
      <c r="B804" t="s">
        <v>215</v>
      </c>
      <c r="C804" t="s">
        <v>25</v>
      </c>
      <c r="D804">
        <v>0</v>
      </c>
      <c r="E804">
        <v>0</v>
      </c>
      <c r="F804">
        <v>-160.66</v>
      </c>
      <c r="G804">
        <v>-2602.7570000000001</v>
      </c>
      <c r="H804">
        <v>367.23200000000003</v>
      </c>
      <c r="I804">
        <v>0</v>
      </c>
    </row>
    <row r="805" spans="1:9" x14ac:dyDescent="0.25">
      <c r="A805" t="s">
        <v>158</v>
      </c>
      <c r="B805" t="s">
        <v>215</v>
      </c>
      <c r="C805" t="s">
        <v>10</v>
      </c>
      <c r="D805">
        <v>0</v>
      </c>
      <c r="E805">
        <v>0</v>
      </c>
      <c r="F805">
        <v>-160.66</v>
      </c>
      <c r="G805">
        <v>-2602.7570000000001</v>
      </c>
      <c r="H805">
        <v>1009.888</v>
      </c>
      <c r="I805">
        <v>0</v>
      </c>
    </row>
    <row r="806" spans="1:9" x14ac:dyDescent="0.25">
      <c r="A806" t="s">
        <v>158</v>
      </c>
      <c r="B806" t="s">
        <v>216</v>
      </c>
      <c r="C806" t="s">
        <v>25</v>
      </c>
      <c r="D806">
        <v>0</v>
      </c>
      <c r="E806">
        <v>0</v>
      </c>
      <c r="F806">
        <v>160.66</v>
      </c>
      <c r="G806">
        <v>3181.1469999999999</v>
      </c>
      <c r="H806">
        <v>-367.23200000000003</v>
      </c>
      <c r="I806">
        <v>0</v>
      </c>
    </row>
    <row r="807" spans="1:9" x14ac:dyDescent="0.25">
      <c r="A807" t="s">
        <v>158</v>
      </c>
      <c r="B807" t="s">
        <v>216</v>
      </c>
      <c r="C807" t="s">
        <v>10</v>
      </c>
      <c r="D807">
        <v>0</v>
      </c>
      <c r="E807">
        <v>0</v>
      </c>
      <c r="F807">
        <v>160.66</v>
      </c>
      <c r="G807">
        <v>3181.1469999999999</v>
      </c>
      <c r="H807">
        <v>-1009.888</v>
      </c>
      <c r="I807">
        <v>0</v>
      </c>
    </row>
    <row r="808" spans="1:9" x14ac:dyDescent="0.25">
      <c r="A808" t="s">
        <v>158</v>
      </c>
      <c r="B808" t="s">
        <v>217</v>
      </c>
      <c r="C808" t="s">
        <v>25</v>
      </c>
      <c r="D808">
        <v>0</v>
      </c>
      <c r="E808">
        <v>0</v>
      </c>
      <c r="F808">
        <v>160.66</v>
      </c>
      <c r="G808">
        <v>2602.7570000000001</v>
      </c>
      <c r="H808">
        <v>-367.23200000000003</v>
      </c>
      <c r="I808">
        <v>0</v>
      </c>
    </row>
    <row r="809" spans="1:9" x14ac:dyDescent="0.25">
      <c r="A809" t="s">
        <v>158</v>
      </c>
      <c r="B809" t="s">
        <v>217</v>
      </c>
      <c r="C809" t="s">
        <v>10</v>
      </c>
      <c r="D809">
        <v>0</v>
      </c>
      <c r="E809">
        <v>0</v>
      </c>
      <c r="F809">
        <v>160.66</v>
      </c>
      <c r="G809">
        <v>2602.7570000000001</v>
      </c>
      <c r="H809">
        <v>-1009.888</v>
      </c>
      <c r="I809">
        <v>0</v>
      </c>
    </row>
    <row r="810" spans="1:9" x14ac:dyDescent="0.25">
      <c r="A810" t="s">
        <v>158</v>
      </c>
      <c r="B810" t="s">
        <v>218</v>
      </c>
      <c r="C810" t="s">
        <v>25</v>
      </c>
      <c r="D810">
        <v>0</v>
      </c>
      <c r="E810">
        <v>-132.91999999999999</v>
      </c>
      <c r="F810">
        <v>0</v>
      </c>
      <c r="G810">
        <v>2193.127</v>
      </c>
      <c r="H810">
        <v>0</v>
      </c>
      <c r="I810">
        <v>-303.81</v>
      </c>
    </row>
    <row r="811" spans="1:9" x14ac:dyDescent="0.25">
      <c r="A811" t="s">
        <v>158</v>
      </c>
      <c r="B811" t="s">
        <v>218</v>
      </c>
      <c r="C811" t="s">
        <v>10</v>
      </c>
      <c r="D811">
        <v>0</v>
      </c>
      <c r="E811">
        <v>-132.91999999999999</v>
      </c>
      <c r="F811">
        <v>0</v>
      </c>
      <c r="G811">
        <v>2193.127</v>
      </c>
      <c r="H811">
        <v>0</v>
      </c>
      <c r="I811">
        <v>-835.47699999999998</v>
      </c>
    </row>
    <row r="812" spans="1:9" x14ac:dyDescent="0.25">
      <c r="A812" t="s">
        <v>158</v>
      </c>
      <c r="B812" t="s">
        <v>219</v>
      </c>
      <c r="C812" t="s">
        <v>25</v>
      </c>
      <c r="D812">
        <v>0</v>
      </c>
      <c r="E812">
        <v>-132.91999999999999</v>
      </c>
      <c r="F812">
        <v>0</v>
      </c>
      <c r="G812">
        <v>1794.376</v>
      </c>
      <c r="H812">
        <v>0</v>
      </c>
      <c r="I812">
        <v>-303.81</v>
      </c>
    </row>
    <row r="813" spans="1:9" x14ac:dyDescent="0.25">
      <c r="A813" t="s">
        <v>158</v>
      </c>
      <c r="B813" t="s">
        <v>219</v>
      </c>
      <c r="C813" t="s">
        <v>10</v>
      </c>
      <c r="D813">
        <v>0</v>
      </c>
      <c r="E813">
        <v>-132.91999999999999</v>
      </c>
      <c r="F813">
        <v>0</v>
      </c>
      <c r="G813">
        <v>1794.376</v>
      </c>
      <c r="H813">
        <v>0</v>
      </c>
      <c r="I813">
        <v>-835.47699999999998</v>
      </c>
    </row>
    <row r="814" spans="1:9" x14ac:dyDescent="0.25">
      <c r="A814" t="s">
        <v>158</v>
      </c>
      <c r="B814" t="s">
        <v>220</v>
      </c>
      <c r="C814" t="s">
        <v>25</v>
      </c>
      <c r="D814">
        <v>0</v>
      </c>
      <c r="E814">
        <v>132.91999999999999</v>
      </c>
      <c r="F814">
        <v>0</v>
      </c>
      <c r="G814">
        <v>-2193.127</v>
      </c>
      <c r="H814">
        <v>0</v>
      </c>
      <c r="I814">
        <v>303.81</v>
      </c>
    </row>
    <row r="815" spans="1:9" x14ac:dyDescent="0.25">
      <c r="A815" t="s">
        <v>158</v>
      </c>
      <c r="B815" t="s">
        <v>220</v>
      </c>
      <c r="C815" t="s">
        <v>10</v>
      </c>
      <c r="D815">
        <v>0</v>
      </c>
      <c r="E815">
        <v>132.91999999999999</v>
      </c>
      <c r="F815">
        <v>0</v>
      </c>
      <c r="G815">
        <v>-2193.127</v>
      </c>
      <c r="H815">
        <v>0</v>
      </c>
      <c r="I815">
        <v>835.47699999999998</v>
      </c>
    </row>
    <row r="816" spans="1:9" x14ac:dyDescent="0.25">
      <c r="A816" t="s">
        <v>158</v>
      </c>
      <c r="B816" t="s">
        <v>221</v>
      </c>
      <c r="C816" t="s">
        <v>25</v>
      </c>
      <c r="D816">
        <v>0</v>
      </c>
      <c r="E816">
        <v>132.91999999999999</v>
      </c>
      <c r="F816">
        <v>0</v>
      </c>
      <c r="G816">
        <v>-1794.376</v>
      </c>
      <c r="H816">
        <v>0</v>
      </c>
      <c r="I816">
        <v>303.81</v>
      </c>
    </row>
    <row r="817" spans="1:9" x14ac:dyDescent="0.25">
      <c r="A817" t="s">
        <v>158</v>
      </c>
      <c r="B817" t="s">
        <v>221</v>
      </c>
      <c r="C817" t="s">
        <v>10</v>
      </c>
      <c r="D817">
        <v>0</v>
      </c>
      <c r="E817">
        <v>132.91999999999999</v>
      </c>
      <c r="F817">
        <v>0</v>
      </c>
      <c r="G817">
        <v>-1794.376</v>
      </c>
      <c r="H817">
        <v>0</v>
      </c>
      <c r="I817">
        <v>835.47699999999998</v>
      </c>
    </row>
    <row r="818" spans="1:9" x14ac:dyDescent="0.25">
      <c r="A818" t="s">
        <v>158</v>
      </c>
      <c r="B818" t="s">
        <v>222</v>
      </c>
      <c r="C818" t="s">
        <v>25</v>
      </c>
      <c r="D818">
        <v>0</v>
      </c>
      <c r="E818">
        <v>0</v>
      </c>
      <c r="F818">
        <v>-160.66</v>
      </c>
      <c r="G818">
        <v>-3181.1469999999999</v>
      </c>
      <c r="H818">
        <v>367.23200000000003</v>
      </c>
      <c r="I818">
        <v>0</v>
      </c>
    </row>
    <row r="819" spans="1:9" x14ac:dyDescent="0.25">
      <c r="A819" t="s">
        <v>158</v>
      </c>
      <c r="B819" t="s">
        <v>222</v>
      </c>
      <c r="C819" t="s">
        <v>10</v>
      </c>
      <c r="D819">
        <v>0</v>
      </c>
      <c r="E819">
        <v>0</v>
      </c>
      <c r="F819">
        <v>-160.66</v>
      </c>
      <c r="G819">
        <v>-3181.1469999999999</v>
      </c>
      <c r="H819">
        <v>1009.888</v>
      </c>
      <c r="I819">
        <v>0</v>
      </c>
    </row>
    <row r="820" spans="1:9" x14ac:dyDescent="0.25">
      <c r="A820" t="s">
        <v>158</v>
      </c>
      <c r="B820" t="s">
        <v>223</v>
      </c>
      <c r="C820" t="s">
        <v>25</v>
      </c>
      <c r="D820">
        <v>0</v>
      </c>
      <c r="E820">
        <v>0</v>
      </c>
      <c r="F820">
        <v>-160.66</v>
      </c>
      <c r="G820">
        <v>-2602.7570000000001</v>
      </c>
      <c r="H820">
        <v>367.23200000000003</v>
      </c>
      <c r="I820">
        <v>0</v>
      </c>
    </row>
    <row r="821" spans="1:9" x14ac:dyDescent="0.25">
      <c r="A821" t="s">
        <v>158</v>
      </c>
      <c r="B821" t="s">
        <v>223</v>
      </c>
      <c r="C821" t="s">
        <v>10</v>
      </c>
      <c r="D821">
        <v>0</v>
      </c>
      <c r="E821">
        <v>0</v>
      </c>
      <c r="F821">
        <v>-160.66</v>
      </c>
      <c r="G821">
        <v>-2602.7570000000001</v>
      </c>
      <c r="H821">
        <v>1009.888</v>
      </c>
      <c r="I821">
        <v>0</v>
      </c>
    </row>
    <row r="822" spans="1:9" x14ac:dyDescent="0.25">
      <c r="A822" t="s">
        <v>158</v>
      </c>
      <c r="B822" t="s">
        <v>224</v>
      </c>
      <c r="C822" t="s">
        <v>25</v>
      </c>
      <c r="D822">
        <v>0</v>
      </c>
      <c r="E822">
        <v>0</v>
      </c>
      <c r="F822">
        <v>160.66</v>
      </c>
      <c r="G822">
        <v>3181.1469999999999</v>
      </c>
      <c r="H822">
        <v>-367.23200000000003</v>
      </c>
      <c r="I822">
        <v>0</v>
      </c>
    </row>
    <row r="823" spans="1:9" x14ac:dyDescent="0.25">
      <c r="A823" t="s">
        <v>158</v>
      </c>
      <c r="B823" t="s">
        <v>224</v>
      </c>
      <c r="C823" t="s">
        <v>10</v>
      </c>
      <c r="D823">
        <v>0</v>
      </c>
      <c r="E823">
        <v>0</v>
      </c>
      <c r="F823">
        <v>160.66</v>
      </c>
      <c r="G823">
        <v>3181.1469999999999</v>
      </c>
      <c r="H823">
        <v>-1009.888</v>
      </c>
      <c r="I823">
        <v>0</v>
      </c>
    </row>
    <row r="824" spans="1:9" x14ac:dyDescent="0.25">
      <c r="A824" t="s">
        <v>158</v>
      </c>
      <c r="B824" t="s">
        <v>225</v>
      </c>
      <c r="C824" t="s">
        <v>25</v>
      </c>
      <c r="D824">
        <v>0</v>
      </c>
      <c r="E824">
        <v>0</v>
      </c>
      <c r="F824">
        <v>160.66</v>
      </c>
      <c r="G824">
        <v>2602.7570000000001</v>
      </c>
      <c r="H824">
        <v>-367.23200000000003</v>
      </c>
      <c r="I824">
        <v>0</v>
      </c>
    </row>
    <row r="825" spans="1:9" x14ac:dyDescent="0.25">
      <c r="A825" t="s">
        <v>158</v>
      </c>
      <c r="B825" t="s">
        <v>225</v>
      </c>
      <c r="C825" t="s">
        <v>10</v>
      </c>
      <c r="D825">
        <v>0</v>
      </c>
      <c r="E825">
        <v>0</v>
      </c>
      <c r="F825">
        <v>160.66</v>
      </c>
      <c r="G825">
        <v>2602.7570000000001</v>
      </c>
      <c r="H825">
        <v>-1009.888</v>
      </c>
      <c r="I825">
        <v>0</v>
      </c>
    </row>
    <row r="826" spans="1:9" x14ac:dyDescent="0.25">
      <c r="A826" t="s">
        <v>158</v>
      </c>
      <c r="B826" t="s">
        <v>327</v>
      </c>
      <c r="C826" t="s">
        <v>25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</row>
    <row r="827" spans="1:9" x14ac:dyDescent="0.25">
      <c r="A827" t="s">
        <v>158</v>
      </c>
      <c r="B827" t="s">
        <v>327</v>
      </c>
      <c r="C827" t="s">
        <v>10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</row>
    <row r="828" spans="1:9" x14ac:dyDescent="0.25">
      <c r="A828" t="s">
        <v>158</v>
      </c>
      <c r="B828" t="s">
        <v>328</v>
      </c>
      <c r="C828" t="s">
        <v>25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</row>
    <row r="829" spans="1:9" x14ac:dyDescent="0.25">
      <c r="A829" t="s">
        <v>158</v>
      </c>
      <c r="B829" t="s">
        <v>328</v>
      </c>
      <c r="C829" t="s">
        <v>10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</row>
    <row r="830" spans="1:9" x14ac:dyDescent="0.25">
      <c r="A830" t="s">
        <v>24</v>
      </c>
      <c r="B830" t="s">
        <v>9</v>
      </c>
      <c r="C830" t="s">
        <v>25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</row>
    <row r="831" spans="1:9" x14ac:dyDescent="0.25">
      <c r="A831" t="s">
        <v>24</v>
      </c>
      <c r="B831" t="s">
        <v>9</v>
      </c>
      <c r="C831" t="s">
        <v>10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</row>
    <row r="832" spans="1:9" x14ac:dyDescent="0.25">
      <c r="A832" t="s">
        <v>24</v>
      </c>
      <c r="B832" t="s">
        <v>26</v>
      </c>
      <c r="C832" t="s">
        <v>25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</row>
    <row r="833" spans="1:9" x14ac:dyDescent="0.25">
      <c r="A833" t="s">
        <v>24</v>
      </c>
      <c r="B833" t="s">
        <v>26</v>
      </c>
      <c r="C833" t="s">
        <v>10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</row>
    <row r="834" spans="1:9" x14ac:dyDescent="0.25">
      <c r="A834" t="s">
        <v>24</v>
      </c>
      <c r="B834" t="s">
        <v>20</v>
      </c>
      <c r="C834" t="s">
        <v>25</v>
      </c>
      <c r="D834">
        <v>0</v>
      </c>
      <c r="E834">
        <v>-406.89</v>
      </c>
      <c r="F834">
        <v>0</v>
      </c>
      <c r="G834">
        <v>6713.6530000000002</v>
      </c>
      <c r="H834">
        <v>0</v>
      </c>
      <c r="I834">
        <v>-1989.231</v>
      </c>
    </row>
    <row r="835" spans="1:9" x14ac:dyDescent="0.25">
      <c r="A835" t="s">
        <v>24</v>
      </c>
      <c r="B835" t="s">
        <v>20</v>
      </c>
      <c r="C835" t="s">
        <v>10</v>
      </c>
      <c r="D835">
        <v>0</v>
      </c>
      <c r="E835">
        <v>-406.89</v>
      </c>
      <c r="F835">
        <v>0</v>
      </c>
      <c r="G835">
        <v>6713.6530000000002</v>
      </c>
      <c r="H835">
        <v>0</v>
      </c>
      <c r="I835">
        <v>-3616.7829999999999</v>
      </c>
    </row>
    <row r="836" spans="1:9" x14ac:dyDescent="0.25">
      <c r="A836" t="s">
        <v>24</v>
      </c>
      <c r="B836" t="s">
        <v>21</v>
      </c>
      <c r="C836" t="s">
        <v>25</v>
      </c>
      <c r="D836">
        <v>0</v>
      </c>
      <c r="E836">
        <v>-406.89</v>
      </c>
      <c r="F836">
        <v>0</v>
      </c>
      <c r="G836">
        <v>5492.9889999999996</v>
      </c>
      <c r="H836">
        <v>0</v>
      </c>
      <c r="I836">
        <v>-1989.231</v>
      </c>
    </row>
    <row r="837" spans="1:9" x14ac:dyDescent="0.25">
      <c r="A837" t="s">
        <v>24</v>
      </c>
      <c r="B837" t="s">
        <v>21</v>
      </c>
      <c r="C837" t="s">
        <v>10</v>
      </c>
      <c r="D837">
        <v>0</v>
      </c>
      <c r="E837">
        <v>-406.89</v>
      </c>
      <c r="F837">
        <v>0</v>
      </c>
      <c r="G837">
        <v>5492.9889999999996</v>
      </c>
      <c r="H837">
        <v>0</v>
      </c>
      <c r="I837">
        <v>-3616.7829999999999</v>
      </c>
    </row>
    <row r="838" spans="1:9" x14ac:dyDescent="0.25">
      <c r="A838" t="s">
        <v>24</v>
      </c>
      <c r="B838" t="s">
        <v>22</v>
      </c>
      <c r="C838" t="s">
        <v>25</v>
      </c>
      <c r="D838">
        <v>0</v>
      </c>
      <c r="E838">
        <v>0</v>
      </c>
      <c r="F838">
        <v>-491.83</v>
      </c>
      <c r="G838">
        <v>-9738.2049999999999</v>
      </c>
      <c r="H838">
        <v>2404.4949999999999</v>
      </c>
      <c r="I838">
        <v>0</v>
      </c>
    </row>
    <row r="839" spans="1:9" x14ac:dyDescent="0.25">
      <c r="A839" t="s">
        <v>24</v>
      </c>
      <c r="B839" t="s">
        <v>22</v>
      </c>
      <c r="C839" t="s">
        <v>10</v>
      </c>
      <c r="D839">
        <v>0</v>
      </c>
      <c r="E839">
        <v>0</v>
      </c>
      <c r="F839">
        <v>-491.83</v>
      </c>
      <c r="G839">
        <v>-9738.2049999999999</v>
      </c>
      <c r="H839">
        <v>4371.8090000000002</v>
      </c>
      <c r="I839">
        <v>0</v>
      </c>
    </row>
    <row r="840" spans="1:9" x14ac:dyDescent="0.25">
      <c r="A840" t="s">
        <v>24</v>
      </c>
      <c r="B840" t="s">
        <v>23</v>
      </c>
      <c r="C840" t="s">
        <v>25</v>
      </c>
      <c r="D840">
        <v>0</v>
      </c>
      <c r="E840">
        <v>0</v>
      </c>
      <c r="F840">
        <v>-491.83</v>
      </c>
      <c r="G840">
        <v>-7967.6229999999996</v>
      </c>
      <c r="H840">
        <v>2404.4949999999999</v>
      </c>
      <c r="I840">
        <v>0</v>
      </c>
    </row>
    <row r="841" spans="1:9" x14ac:dyDescent="0.25">
      <c r="A841" t="s">
        <v>24</v>
      </c>
      <c r="B841" t="s">
        <v>23</v>
      </c>
      <c r="C841" t="s">
        <v>10</v>
      </c>
      <c r="D841">
        <v>0</v>
      </c>
      <c r="E841">
        <v>0</v>
      </c>
      <c r="F841">
        <v>-491.83</v>
      </c>
      <c r="G841">
        <v>-7967.6229999999996</v>
      </c>
      <c r="H841">
        <v>4371.8090000000002</v>
      </c>
      <c r="I841">
        <v>0</v>
      </c>
    </row>
    <row r="842" spans="1:9" x14ac:dyDescent="0.25">
      <c r="A842" t="s">
        <v>24</v>
      </c>
      <c r="B842" t="s">
        <v>321</v>
      </c>
      <c r="C842" t="s">
        <v>25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</row>
    <row r="843" spans="1:9" x14ac:dyDescent="0.25">
      <c r="A843" t="s">
        <v>24</v>
      </c>
      <c r="B843" t="s">
        <v>321</v>
      </c>
      <c r="C843" t="s">
        <v>10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</row>
    <row r="844" spans="1:9" x14ac:dyDescent="0.25">
      <c r="A844" t="s">
        <v>24</v>
      </c>
      <c r="B844" t="s">
        <v>322</v>
      </c>
      <c r="C844" t="s">
        <v>25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</row>
    <row r="845" spans="1:9" x14ac:dyDescent="0.25">
      <c r="A845" t="s">
        <v>24</v>
      </c>
      <c r="B845" t="s">
        <v>322</v>
      </c>
      <c r="C845" t="s">
        <v>10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</row>
    <row r="846" spans="1:9" x14ac:dyDescent="0.25">
      <c r="A846" t="s">
        <v>24</v>
      </c>
      <c r="B846" t="s">
        <v>323</v>
      </c>
      <c r="C846" t="s">
        <v>25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</row>
    <row r="847" spans="1:9" x14ac:dyDescent="0.25">
      <c r="A847" t="s">
        <v>24</v>
      </c>
      <c r="B847" t="s">
        <v>323</v>
      </c>
      <c r="C847" t="s">
        <v>10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</row>
    <row r="848" spans="1:9" x14ac:dyDescent="0.25">
      <c r="A848" t="s">
        <v>24</v>
      </c>
      <c r="B848" t="s">
        <v>324</v>
      </c>
      <c r="C848" t="s">
        <v>25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</row>
    <row r="849" spans="1:9" x14ac:dyDescent="0.25">
      <c r="A849" t="s">
        <v>24</v>
      </c>
      <c r="B849" t="s">
        <v>324</v>
      </c>
      <c r="C849" t="s">
        <v>10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</row>
    <row r="850" spans="1:9" x14ac:dyDescent="0.25">
      <c r="A850" t="s">
        <v>24</v>
      </c>
      <c r="B850" t="s">
        <v>325</v>
      </c>
      <c r="C850" t="s">
        <v>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</row>
    <row r="851" spans="1:9" x14ac:dyDescent="0.25">
      <c r="A851" t="s">
        <v>24</v>
      </c>
      <c r="B851" t="s">
        <v>325</v>
      </c>
      <c r="C851" t="s">
        <v>10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</row>
    <row r="852" spans="1:9" x14ac:dyDescent="0.25">
      <c r="A852" t="s">
        <v>24</v>
      </c>
      <c r="B852" t="s">
        <v>326</v>
      </c>
      <c r="C852" t="s">
        <v>25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</row>
    <row r="853" spans="1:9" x14ac:dyDescent="0.25">
      <c r="A853" t="s">
        <v>24</v>
      </c>
      <c r="B853" t="s">
        <v>326</v>
      </c>
      <c r="C853" t="s">
        <v>10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</row>
    <row r="854" spans="1:9" x14ac:dyDescent="0.25">
      <c r="A854" t="s">
        <v>24</v>
      </c>
      <c r="B854" t="s">
        <v>27</v>
      </c>
      <c r="C854" t="s">
        <v>25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</row>
    <row r="855" spans="1:9" x14ac:dyDescent="0.25">
      <c r="A855" t="s">
        <v>24</v>
      </c>
      <c r="B855" t="s">
        <v>27</v>
      </c>
      <c r="C855" t="s">
        <v>10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</row>
    <row r="856" spans="1:9" x14ac:dyDescent="0.25">
      <c r="A856" t="s">
        <v>24</v>
      </c>
      <c r="B856" t="s">
        <v>28</v>
      </c>
      <c r="C856" t="s">
        <v>25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</row>
    <row r="857" spans="1:9" x14ac:dyDescent="0.25">
      <c r="A857" t="s">
        <v>24</v>
      </c>
      <c r="B857" t="s">
        <v>28</v>
      </c>
      <c r="C857" t="s">
        <v>10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</row>
    <row r="858" spans="1:9" x14ac:dyDescent="0.25">
      <c r="A858" t="s">
        <v>24</v>
      </c>
      <c r="B858" t="s">
        <v>29</v>
      </c>
      <c r="C858" t="s">
        <v>25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</row>
    <row r="859" spans="1:9" x14ac:dyDescent="0.25">
      <c r="A859" t="s">
        <v>24</v>
      </c>
      <c r="B859" t="s">
        <v>29</v>
      </c>
      <c r="C859" t="s">
        <v>10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</row>
    <row r="860" spans="1:9" x14ac:dyDescent="0.25">
      <c r="A860" t="s">
        <v>24</v>
      </c>
      <c r="B860" t="s">
        <v>30</v>
      </c>
      <c r="C860" t="s">
        <v>25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</row>
    <row r="861" spans="1:9" x14ac:dyDescent="0.25">
      <c r="A861" t="s">
        <v>24</v>
      </c>
      <c r="B861" t="s">
        <v>30</v>
      </c>
      <c r="C861" t="s">
        <v>10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</row>
    <row r="862" spans="1:9" x14ac:dyDescent="0.25">
      <c r="A862" t="s">
        <v>24</v>
      </c>
      <c r="B862" t="s">
        <v>11</v>
      </c>
      <c r="C862" t="s">
        <v>25</v>
      </c>
      <c r="D862">
        <v>0</v>
      </c>
      <c r="E862">
        <v>191.7</v>
      </c>
      <c r="F862">
        <v>0</v>
      </c>
      <c r="G862">
        <v>3312.6089999999999</v>
      </c>
      <c r="H862">
        <v>0</v>
      </c>
      <c r="I862">
        <v>1018.086</v>
      </c>
    </row>
    <row r="863" spans="1:9" x14ac:dyDescent="0.25">
      <c r="A863" t="s">
        <v>24</v>
      </c>
      <c r="B863" t="s">
        <v>11</v>
      </c>
      <c r="C863" t="s">
        <v>10</v>
      </c>
      <c r="D863">
        <v>0</v>
      </c>
      <c r="E863">
        <v>191.7</v>
      </c>
      <c r="F863">
        <v>0</v>
      </c>
      <c r="G863">
        <v>3312.6089999999999</v>
      </c>
      <c r="H863">
        <v>0</v>
      </c>
      <c r="I863">
        <v>1689.4649999999999</v>
      </c>
    </row>
    <row r="864" spans="1:9" x14ac:dyDescent="0.25">
      <c r="A864" t="s">
        <v>24</v>
      </c>
      <c r="B864" t="s">
        <v>12</v>
      </c>
      <c r="C864" t="s">
        <v>25</v>
      </c>
      <c r="D864">
        <v>0</v>
      </c>
      <c r="E864">
        <v>0</v>
      </c>
      <c r="F864">
        <v>503.47</v>
      </c>
      <c r="G864">
        <v>10086.433000000001</v>
      </c>
      <c r="H864">
        <v>2556.8760000000002</v>
      </c>
      <c r="I864">
        <v>0</v>
      </c>
    </row>
    <row r="865" spans="1:9" x14ac:dyDescent="0.25">
      <c r="A865" t="s">
        <v>24</v>
      </c>
      <c r="B865" t="s">
        <v>12</v>
      </c>
      <c r="C865" t="s">
        <v>10</v>
      </c>
      <c r="D865">
        <v>0</v>
      </c>
      <c r="E865">
        <v>0</v>
      </c>
      <c r="F865">
        <v>503.47</v>
      </c>
      <c r="G865">
        <v>10086.433000000001</v>
      </c>
      <c r="H865">
        <v>4515.5739999999996</v>
      </c>
      <c r="I865">
        <v>0</v>
      </c>
    </row>
    <row r="866" spans="1:9" x14ac:dyDescent="0.25">
      <c r="A866" t="s">
        <v>24</v>
      </c>
      <c r="B866" t="s">
        <v>13</v>
      </c>
      <c r="C866" t="s">
        <v>25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25">
      <c r="A867" t="s">
        <v>24</v>
      </c>
      <c r="B867" t="s">
        <v>13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25">
      <c r="A868" t="s">
        <v>24</v>
      </c>
      <c r="B868" t="s">
        <v>31</v>
      </c>
      <c r="C868" t="s">
        <v>25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25">
      <c r="A869" t="s">
        <v>24</v>
      </c>
      <c r="B869" t="s">
        <v>31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25">
      <c r="A870" t="s">
        <v>24</v>
      </c>
      <c r="B870" t="s">
        <v>32</v>
      </c>
      <c r="C870" t="s">
        <v>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25">
      <c r="A871" t="s">
        <v>24</v>
      </c>
      <c r="B871" t="s">
        <v>32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25">
      <c r="A872" t="s">
        <v>24</v>
      </c>
      <c r="B872" t="s">
        <v>33</v>
      </c>
      <c r="C872" t="s">
        <v>25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x14ac:dyDescent="0.25">
      <c r="A873" t="s">
        <v>24</v>
      </c>
      <c r="B873" t="s">
        <v>33</v>
      </c>
      <c r="C873" t="s">
        <v>10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x14ac:dyDescent="0.25">
      <c r="A874" t="s">
        <v>24</v>
      </c>
      <c r="B874" t="s">
        <v>34</v>
      </c>
      <c r="C874" t="s">
        <v>25</v>
      </c>
      <c r="D874">
        <v>0</v>
      </c>
      <c r="E874">
        <v>-406.89</v>
      </c>
      <c r="F874">
        <v>0</v>
      </c>
      <c r="G874">
        <v>6713.6530000000002</v>
      </c>
      <c r="H874">
        <v>0</v>
      </c>
      <c r="I874">
        <v>-1989.231</v>
      </c>
    </row>
    <row r="875" spans="1:9" x14ac:dyDescent="0.25">
      <c r="A875" t="s">
        <v>24</v>
      </c>
      <c r="B875" t="s">
        <v>34</v>
      </c>
      <c r="C875" t="s">
        <v>10</v>
      </c>
      <c r="D875">
        <v>0</v>
      </c>
      <c r="E875">
        <v>-406.89</v>
      </c>
      <c r="F875">
        <v>0</v>
      </c>
      <c r="G875">
        <v>6713.6530000000002</v>
      </c>
      <c r="H875">
        <v>0</v>
      </c>
      <c r="I875">
        <v>-3616.7829999999999</v>
      </c>
    </row>
    <row r="876" spans="1:9" x14ac:dyDescent="0.25">
      <c r="A876" t="s">
        <v>24</v>
      </c>
      <c r="B876" t="s">
        <v>35</v>
      </c>
      <c r="C876" t="s">
        <v>25</v>
      </c>
      <c r="D876">
        <v>0</v>
      </c>
      <c r="E876">
        <v>-406.89</v>
      </c>
      <c r="F876">
        <v>0</v>
      </c>
      <c r="G876">
        <v>5492.9889999999996</v>
      </c>
      <c r="H876">
        <v>0</v>
      </c>
      <c r="I876">
        <v>-1989.231</v>
      </c>
    </row>
    <row r="877" spans="1:9" x14ac:dyDescent="0.25">
      <c r="A877" t="s">
        <v>24</v>
      </c>
      <c r="B877" t="s">
        <v>35</v>
      </c>
      <c r="C877" t="s">
        <v>10</v>
      </c>
      <c r="D877">
        <v>0</v>
      </c>
      <c r="E877">
        <v>-406.89</v>
      </c>
      <c r="F877">
        <v>0</v>
      </c>
      <c r="G877">
        <v>5492.9889999999996</v>
      </c>
      <c r="H877">
        <v>0</v>
      </c>
      <c r="I877">
        <v>-3616.7829999999999</v>
      </c>
    </row>
    <row r="878" spans="1:9" x14ac:dyDescent="0.25">
      <c r="A878" t="s">
        <v>24</v>
      </c>
      <c r="B878" t="s">
        <v>36</v>
      </c>
      <c r="C878" t="s">
        <v>25</v>
      </c>
      <c r="D878">
        <v>0</v>
      </c>
      <c r="E878">
        <v>406.89</v>
      </c>
      <c r="F878">
        <v>0</v>
      </c>
      <c r="G878">
        <v>-6713.6530000000002</v>
      </c>
      <c r="H878">
        <v>0</v>
      </c>
      <c r="I878">
        <v>1989.231</v>
      </c>
    </row>
    <row r="879" spans="1:9" x14ac:dyDescent="0.25">
      <c r="A879" t="s">
        <v>24</v>
      </c>
      <c r="B879" t="s">
        <v>36</v>
      </c>
      <c r="C879" t="s">
        <v>10</v>
      </c>
      <c r="D879">
        <v>0</v>
      </c>
      <c r="E879">
        <v>406.89</v>
      </c>
      <c r="F879">
        <v>0</v>
      </c>
      <c r="G879">
        <v>-6713.6530000000002</v>
      </c>
      <c r="H879">
        <v>0</v>
      </c>
      <c r="I879">
        <v>3616.7829999999999</v>
      </c>
    </row>
    <row r="880" spans="1:9" x14ac:dyDescent="0.25">
      <c r="A880" t="s">
        <v>24</v>
      </c>
      <c r="B880" t="s">
        <v>37</v>
      </c>
      <c r="C880" t="s">
        <v>25</v>
      </c>
      <c r="D880">
        <v>0</v>
      </c>
      <c r="E880">
        <v>406.89</v>
      </c>
      <c r="F880">
        <v>0</v>
      </c>
      <c r="G880">
        <v>-5492.9889999999996</v>
      </c>
      <c r="H880">
        <v>0</v>
      </c>
      <c r="I880">
        <v>1989.231</v>
      </c>
    </row>
    <row r="881" spans="1:9" x14ac:dyDescent="0.25">
      <c r="A881" t="s">
        <v>24</v>
      </c>
      <c r="B881" t="s">
        <v>37</v>
      </c>
      <c r="C881" t="s">
        <v>10</v>
      </c>
      <c r="D881">
        <v>0</v>
      </c>
      <c r="E881">
        <v>406.89</v>
      </c>
      <c r="F881">
        <v>0</v>
      </c>
      <c r="G881">
        <v>-5492.9889999999996</v>
      </c>
      <c r="H881">
        <v>0</v>
      </c>
      <c r="I881">
        <v>3616.7829999999999</v>
      </c>
    </row>
    <row r="882" spans="1:9" x14ac:dyDescent="0.25">
      <c r="A882" t="s">
        <v>24</v>
      </c>
      <c r="B882" t="s">
        <v>38</v>
      </c>
      <c r="C882" t="s">
        <v>25</v>
      </c>
      <c r="D882">
        <v>0</v>
      </c>
      <c r="E882">
        <v>0</v>
      </c>
      <c r="F882">
        <v>-491.83</v>
      </c>
      <c r="G882">
        <v>-9738.2049999999999</v>
      </c>
      <c r="H882">
        <v>2404.4949999999999</v>
      </c>
      <c r="I882">
        <v>0</v>
      </c>
    </row>
    <row r="883" spans="1:9" x14ac:dyDescent="0.25">
      <c r="A883" t="s">
        <v>24</v>
      </c>
      <c r="B883" t="s">
        <v>38</v>
      </c>
      <c r="C883" t="s">
        <v>10</v>
      </c>
      <c r="D883">
        <v>0</v>
      </c>
      <c r="E883">
        <v>0</v>
      </c>
      <c r="F883">
        <v>-491.83</v>
      </c>
      <c r="G883">
        <v>-9738.2049999999999</v>
      </c>
      <c r="H883">
        <v>4371.8090000000002</v>
      </c>
      <c r="I883">
        <v>0</v>
      </c>
    </row>
    <row r="884" spans="1:9" x14ac:dyDescent="0.25">
      <c r="A884" t="s">
        <v>24</v>
      </c>
      <c r="B884" t="s">
        <v>39</v>
      </c>
      <c r="C884" t="s">
        <v>25</v>
      </c>
      <c r="D884">
        <v>0</v>
      </c>
      <c r="E884">
        <v>0</v>
      </c>
      <c r="F884">
        <v>-491.83</v>
      </c>
      <c r="G884">
        <v>-7967.6229999999996</v>
      </c>
      <c r="H884">
        <v>2404.4949999999999</v>
      </c>
      <c r="I884">
        <v>0</v>
      </c>
    </row>
    <row r="885" spans="1:9" x14ac:dyDescent="0.25">
      <c r="A885" t="s">
        <v>24</v>
      </c>
      <c r="B885" t="s">
        <v>39</v>
      </c>
      <c r="C885" t="s">
        <v>10</v>
      </c>
      <c r="D885">
        <v>0</v>
      </c>
      <c r="E885">
        <v>0</v>
      </c>
      <c r="F885">
        <v>-491.83</v>
      </c>
      <c r="G885">
        <v>-7967.6229999999996</v>
      </c>
      <c r="H885">
        <v>4371.8090000000002</v>
      </c>
      <c r="I885">
        <v>0</v>
      </c>
    </row>
    <row r="886" spans="1:9" x14ac:dyDescent="0.25">
      <c r="A886" t="s">
        <v>24</v>
      </c>
      <c r="B886" t="s">
        <v>40</v>
      </c>
      <c r="C886" t="s">
        <v>25</v>
      </c>
      <c r="D886">
        <v>0</v>
      </c>
      <c r="E886">
        <v>0</v>
      </c>
      <c r="F886">
        <v>491.83</v>
      </c>
      <c r="G886">
        <v>9738.2049999999999</v>
      </c>
      <c r="H886">
        <v>-2404.4949999999999</v>
      </c>
      <c r="I886">
        <v>0</v>
      </c>
    </row>
    <row r="887" spans="1:9" x14ac:dyDescent="0.25">
      <c r="A887" t="s">
        <v>24</v>
      </c>
      <c r="B887" t="s">
        <v>40</v>
      </c>
      <c r="C887" t="s">
        <v>10</v>
      </c>
      <c r="D887">
        <v>0</v>
      </c>
      <c r="E887">
        <v>0</v>
      </c>
      <c r="F887">
        <v>491.83</v>
      </c>
      <c r="G887">
        <v>9738.2049999999999</v>
      </c>
      <c r="H887">
        <v>-4371.8090000000002</v>
      </c>
      <c r="I887">
        <v>0</v>
      </c>
    </row>
    <row r="888" spans="1:9" x14ac:dyDescent="0.25">
      <c r="A888" t="s">
        <v>24</v>
      </c>
      <c r="B888" t="s">
        <v>41</v>
      </c>
      <c r="C888" t="s">
        <v>25</v>
      </c>
      <c r="D888">
        <v>0</v>
      </c>
      <c r="E888">
        <v>0</v>
      </c>
      <c r="F888">
        <v>491.83</v>
      </c>
      <c r="G888">
        <v>7967.6229999999996</v>
      </c>
      <c r="H888">
        <v>-2404.4949999999999</v>
      </c>
      <c r="I888">
        <v>0</v>
      </c>
    </row>
    <row r="889" spans="1:9" x14ac:dyDescent="0.25">
      <c r="A889" t="s">
        <v>24</v>
      </c>
      <c r="B889" t="s">
        <v>41</v>
      </c>
      <c r="C889" t="s">
        <v>10</v>
      </c>
      <c r="D889">
        <v>0</v>
      </c>
      <c r="E889">
        <v>0</v>
      </c>
      <c r="F889">
        <v>491.83</v>
      </c>
      <c r="G889">
        <v>7967.6229999999996</v>
      </c>
      <c r="H889">
        <v>-4371.8090000000002</v>
      </c>
      <c r="I889">
        <v>0</v>
      </c>
    </row>
    <row r="890" spans="1:9" x14ac:dyDescent="0.25">
      <c r="A890" t="s">
        <v>24</v>
      </c>
      <c r="B890" t="s">
        <v>42</v>
      </c>
      <c r="C890" t="s">
        <v>25</v>
      </c>
      <c r="D890">
        <v>0</v>
      </c>
      <c r="E890">
        <v>-406.89</v>
      </c>
      <c r="F890">
        <v>0</v>
      </c>
      <c r="G890">
        <v>6713.6530000000002</v>
      </c>
      <c r="H890">
        <v>0</v>
      </c>
      <c r="I890">
        <v>-1989.231</v>
      </c>
    </row>
    <row r="891" spans="1:9" x14ac:dyDescent="0.25">
      <c r="A891" t="s">
        <v>24</v>
      </c>
      <c r="B891" t="s">
        <v>42</v>
      </c>
      <c r="C891" t="s">
        <v>10</v>
      </c>
      <c r="D891">
        <v>0</v>
      </c>
      <c r="E891">
        <v>-406.89</v>
      </c>
      <c r="F891">
        <v>0</v>
      </c>
      <c r="G891">
        <v>6713.6530000000002</v>
      </c>
      <c r="H891">
        <v>0</v>
      </c>
      <c r="I891">
        <v>-3616.7829999999999</v>
      </c>
    </row>
    <row r="892" spans="1:9" x14ac:dyDescent="0.25">
      <c r="A892" t="s">
        <v>24</v>
      </c>
      <c r="B892" t="s">
        <v>43</v>
      </c>
      <c r="C892" t="s">
        <v>25</v>
      </c>
      <c r="D892">
        <v>0</v>
      </c>
      <c r="E892">
        <v>-406.89</v>
      </c>
      <c r="F892">
        <v>0</v>
      </c>
      <c r="G892">
        <v>5492.9889999999996</v>
      </c>
      <c r="H892">
        <v>0</v>
      </c>
      <c r="I892">
        <v>-1989.231</v>
      </c>
    </row>
    <row r="893" spans="1:9" x14ac:dyDescent="0.25">
      <c r="A893" t="s">
        <v>24</v>
      </c>
      <c r="B893" t="s">
        <v>43</v>
      </c>
      <c r="C893" t="s">
        <v>10</v>
      </c>
      <c r="D893">
        <v>0</v>
      </c>
      <c r="E893">
        <v>-406.89</v>
      </c>
      <c r="F893">
        <v>0</v>
      </c>
      <c r="G893">
        <v>5492.9889999999996</v>
      </c>
      <c r="H893">
        <v>0</v>
      </c>
      <c r="I893">
        <v>-3616.7829999999999</v>
      </c>
    </row>
    <row r="894" spans="1:9" x14ac:dyDescent="0.25">
      <c r="A894" t="s">
        <v>24</v>
      </c>
      <c r="B894" t="s">
        <v>44</v>
      </c>
      <c r="C894" t="s">
        <v>25</v>
      </c>
      <c r="D894">
        <v>0</v>
      </c>
      <c r="E894">
        <v>406.89</v>
      </c>
      <c r="F894">
        <v>0</v>
      </c>
      <c r="G894">
        <v>-6713.6530000000002</v>
      </c>
      <c r="H894">
        <v>0</v>
      </c>
      <c r="I894">
        <v>1989.231</v>
      </c>
    </row>
    <row r="895" spans="1:9" x14ac:dyDescent="0.25">
      <c r="A895" t="s">
        <v>24</v>
      </c>
      <c r="B895" t="s">
        <v>44</v>
      </c>
      <c r="C895" t="s">
        <v>10</v>
      </c>
      <c r="D895">
        <v>0</v>
      </c>
      <c r="E895">
        <v>406.89</v>
      </c>
      <c r="F895">
        <v>0</v>
      </c>
      <c r="G895">
        <v>-6713.6530000000002</v>
      </c>
      <c r="H895">
        <v>0</v>
      </c>
      <c r="I895">
        <v>3616.7829999999999</v>
      </c>
    </row>
    <row r="896" spans="1:9" x14ac:dyDescent="0.25">
      <c r="A896" t="s">
        <v>24</v>
      </c>
      <c r="B896" t="s">
        <v>45</v>
      </c>
      <c r="C896" t="s">
        <v>25</v>
      </c>
      <c r="D896">
        <v>0</v>
      </c>
      <c r="E896">
        <v>406.89</v>
      </c>
      <c r="F896">
        <v>0</v>
      </c>
      <c r="G896">
        <v>-5492.9889999999996</v>
      </c>
      <c r="H896">
        <v>0</v>
      </c>
      <c r="I896">
        <v>1989.231</v>
      </c>
    </row>
    <row r="897" spans="1:9" x14ac:dyDescent="0.25">
      <c r="A897" t="s">
        <v>24</v>
      </c>
      <c r="B897" t="s">
        <v>45</v>
      </c>
      <c r="C897" t="s">
        <v>10</v>
      </c>
      <c r="D897">
        <v>0</v>
      </c>
      <c r="E897">
        <v>406.89</v>
      </c>
      <c r="F897">
        <v>0</v>
      </c>
      <c r="G897">
        <v>-5492.9889999999996</v>
      </c>
      <c r="H897">
        <v>0</v>
      </c>
      <c r="I897">
        <v>3616.7829999999999</v>
      </c>
    </row>
    <row r="898" spans="1:9" x14ac:dyDescent="0.25">
      <c r="A898" t="s">
        <v>24</v>
      </c>
      <c r="B898" t="s">
        <v>46</v>
      </c>
      <c r="C898" t="s">
        <v>25</v>
      </c>
      <c r="D898">
        <v>0</v>
      </c>
      <c r="E898">
        <v>0</v>
      </c>
      <c r="F898">
        <v>-491.83</v>
      </c>
      <c r="G898">
        <v>-9738.2049999999999</v>
      </c>
      <c r="H898">
        <v>2404.4949999999999</v>
      </c>
      <c r="I898">
        <v>0</v>
      </c>
    </row>
    <row r="899" spans="1:9" x14ac:dyDescent="0.25">
      <c r="A899" t="s">
        <v>24</v>
      </c>
      <c r="B899" t="s">
        <v>46</v>
      </c>
      <c r="C899" t="s">
        <v>10</v>
      </c>
      <c r="D899">
        <v>0</v>
      </c>
      <c r="E899">
        <v>0</v>
      </c>
      <c r="F899">
        <v>-491.83</v>
      </c>
      <c r="G899">
        <v>-9738.2049999999999</v>
      </c>
      <c r="H899">
        <v>4371.8090000000002</v>
      </c>
      <c r="I899">
        <v>0</v>
      </c>
    </row>
    <row r="900" spans="1:9" x14ac:dyDescent="0.25">
      <c r="A900" t="s">
        <v>24</v>
      </c>
      <c r="B900" t="s">
        <v>47</v>
      </c>
      <c r="C900" t="s">
        <v>25</v>
      </c>
      <c r="D900">
        <v>0</v>
      </c>
      <c r="E900">
        <v>0</v>
      </c>
      <c r="F900">
        <v>-491.83</v>
      </c>
      <c r="G900">
        <v>-7967.6229999999996</v>
      </c>
      <c r="H900">
        <v>2404.4949999999999</v>
      </c>
      <c r="I900">
        <v>0</v>
      </c>
    </row>
    <row r="901" spans="1:9" x14ac:dyDescent="0.25">
      <c r="A901" t="s">
        <v>24</v>
      </c>
      <c r="B901" t="s">
        <v>47</v>
      </c>
      <c r="C901" t="s">
        <v>10</v>
      </c>
      <c r="D901">
        <v>0</v>
      </c>
      <c r="E901">
        <v>0</v>
      </c>
      <c r="F901">
        <v>-491.83</v>
      </c>
      <c r="G901">
        <v>-7967.6229999999996</v>
      </c>
      <c r="H901">
        <v>4371.8090000000002</v>
      </c>
      <c r="I901">
        <v>0</v>
      </c>
    </row>
    <row r="902" spans="1:9" x14ac:dyDescent="0.25">
      <c r="A902" t="s">
        <v>24</v>
      </c>
      <c r="B902" t="s">
        <v>48</v>
      </c>
      <c r="C902" t="s">
        <v>25</v>
      </c>
      <c r="D902">
        <v>0</v>
      </c>
      <c r="E902">
        <v>0</v>
      </c>
      <c r="F902">
        <v>491.83</v>
      </c>
      <c r="G902">
        <v>9738.2049999999999</v>
      </c>
      <c r="H902">
        <v>-2404.4949999999999</v>
      </c>
      <c r="I902">
        <v>0</v>
      </c>
    </row>
    <row r="903" spans="1:9" x14ac:dyDescent="0.25">
      <c r="A903" t="s">
        <v>24</v>
      </c>
      <c r="B903" t="s">
        <v>48</v>
      </c>
      <c r="C903" t="s">
        <v>10</v>
      </c>
      <c r="D903">
        <v>0</v>
      </c>
      <c r="E903">
        <v>0</v>
      </c>
      <c r="F903">
        <v>491.83</v>
      </c>
      <c r="G903">
        <v>9738.2049999999999</v>
      </c>
      <c r="H903">
        <v>-4371.8090000000002</v>
      </c>
      <c r="I903">
        <v>0</v>
      </c>
    </row>
    <row r="904" spans="1:9" x14ac:dyDescent="0.25">
      <c r="A904" t="s">
        <v>24</v>
      </c>
      <c r="B904" t="s">
        <v>49</v>
      </c>
      <c r="C904" t="s">
        <v>25</v>
      </c>
      <c r="D904">
        <v>0</v>
      </c>
      <c r="E904">
        <v>0</v>
      </c>
      <c r="F904">
        <v>491.83</v>
      </c>
      <c r="G904">
        <v>7967.6229999999996</v>
      </c>
      <c r="H904">
        <v>-2404.4949999999999</v>
      </c>
      <c r="I904">
        <v>0</v>
      </c>
    </row>
    <row r="905" spans="1:9" x14ac:dyDescent="0.25">
      <c r="A905" t="s">
        <v>24</v>
      </c>
      <c r="B905" t="s">
        <v>49</v>
      </c>
      <c r="C905" t="s">
        <v>10</v>
      </c>
      <c r="D905">
        <v>0</v>
      </c>
      <c r="E905">
        <v>0</v>
      </c>
      <c r="F905">
        <v>491.83</v>
      </c>
      <c r="G905">
        <v>7967.6229999999996</v>
      </c>
      <c r="H905">
        <v>-4371.8090000000002</v>
      </c>
      <c r="I905">
        <v>0</v>
      </c>
    </row>
    <row r="906" spans="1:9" x14ac:dyDescent="0.25">
      <c r="A906" t="s">
        <v>24</v>
      </c>
      <c r="B906" t="s">
        <v>50</v>
      </c>
      <c r="C906" t="s">
        <v>25</v>
      </c>
      <c r="D906">
        <v>0</v>
      </c>
      <c r="E906">
        <v>-122.07</v>
      </c>
      <c r="F906">
        <v>0</v>
      </c>
      <c r="G906">
        <v>2014.096</v>
      </c>
      <c r="H906">
        <v>0</v>
      </c>
      <c r="I906">
        <v>-596.76900000000001</v>
      </c>
    </row>
    <row r="907" spans="1:9" x14ac:dyDescent="0.25">
      <c r="A907" t="s">
        <v>24</v>
      </c>
      <c r="B907" t="s">
        <v>50</v>
      </c>
      <c r="C907" t="s">
        <v>10</v>
      </c>
      <c r="D907">
        <v>0</v>
      </c>
      <c r="E907">
        <v>-122.07</v>
      </c>
      <c r="F907">
        <v>0</v>
      </c>
      <c r="G907">
        <v>2014.096</v>
      </c>
      <c r="H907">
        <v>0</v>
      </c>
      <c r="I907">
        <v>-1085.0350000000001</v>
      </c>
    </row>
    <row r="908" spans="1:9" x14ac:dyDescent="0.25">
      <c r="A908" t="s">
        <v>24</v>
      </c>
      <c r="B908" t="s">
        <v>51</v>
      </c>
      <c r="C908" t="s">
        <v>25</v>
      </c>
      <c r="D908">
        <v>0</v>
      </c>
      <c r="E908">
        <v>-122.07</v>
      </c>
      <c r="F908">
        <v>0</v>
      </c>
      <c r="G908">
        <v>1647.8969999999999</v>
      </c>
      <c r="H908">
        <v>0</v>
      </c>
      <c r="I908">
        <v>-596.76900000000001</v>
      </c>
    </row>
    <row r="909" spans="1:9" x14ac:dyDescent="0.25">
      <c r="A909" t="s">
        <v>24</v>
      </c>
      <c r="B909" t="s">
        <v>51</v>
      </c>
      <c r="C909" t="s">
        <v>10</v>
      </c>
      <c r="D909">
        <v>0</v>
      </c>
      <c r="E909">
        <v>-122.07</v>
      </c>
      <c r="F909">
        <v>0</v>
      </c>
      <c r="G909">
        <v>1647.8969999999999</v>
      </c>
      <c r="H909">
        <v>0</v>
      </c>
      <c r="I909">
        <v>-1085.0350000000001</v>
      </c>
    </row>
    <row r="910" spans="1:9" x14ac:dyDescent="0.25">
      <c r="A910" t="s">
        <v>24</v>
      </c>
      <c r="B910" t="s">
        <v>52</v>
      </c>
      <c r="C910" t="s">
        <v>25</v>
      </c>
      <c r="D910">
        <v>0</v>
      </c>
      <c r="E910">
        <v>122.07</v>
      </c>
      <c r="F910">
        <v>0</v>
      </c>
      <c r="G910">
        <v>-2014.096</v>
      </c>
      <c r="H910">
        <v>0</v>
      </c>
      <c r="I910">
        <v>596.76900000000001</v>
      </c>
    </row>
    <row r="911" spans="1:9" x14ac:dyDescent="0.25">
      <c r="A911" t="s">
        <v>24</v>
      </c>
      <c r="B911" t="s">
        <v>52</v>
      </c>
      <c r="C911" t="s">
        <v>10</v>
      </c>
      <c r="D911">
        <v>0</v>
      </c>
      <c r="E911">
        <v>122.07</v>
      </c>
      <c r="F911">
        <v>0</v>
      </c>
      <c r="G911">
        <v>-2014.096</v>
      </c>
      <c r="H911">
        <v>0</v>
      </c>
      <c r="I911">
        <v>1085.0350000000001</v>
      </c>
    </row>
    <row r="912" spans="1:9" x14ac:dyDescent="0.25">
      <c r="A912" t="s">
        <v>24</v>
      </c>
      <c r="B912" t="s">
        <v>53</v>
      </c>
      <c r="C912" t="s">
        <v>25</v>
      </c>
      <c r="D912">
        <v>0</v>
      </c>
      <c r="E912">
        <v>122.07</v>
      </c>
      <c r="F912">
        <v>0</v>
      </c>
      <c r="G912">
        <v>-1647.8969999999999</v>
      </c>
      <c r="H912">
        <v>0</v>
      </c>
      <c r="I912">
        <v>596.76900000000001</v>
      </c>
    </row>
    <row r="913" spans="1:9" x14ac:dyDescent="0.25">
      <c r="A913" t="s">
        <v>24</v>
      </c>
      <c r="B913" t="s">
        <v>53</v>
      </c>
      <c r="C913" t="s">
        <v>10</v>
      </c>
      <c r="D913">
        <v>0</v>
      </c>
      <c r="E913">
        <v>122.07</v>
      </c>
      <c r="F913">
        <v>0</v>
      </c>
      <c r="G913">
        <v>-1647.8969999999999</v>
      </c>
      <c r="H913">
        <v>0</v>
      </c>
      <c r="I913">
        <v>1085.0350000000001</v>
      </c>
    </row>
    <row r="914" spans="1:9" x14ac:dyDescent="0.25">
      <c r="A914" t="s">
        <v>24</v>
      </c>
      <c r="B914" t="s">
        <v>54</v>
      </c>
      <c r="C914" t="s">
        <v>25</v>
      </c>
      <c r="D914">
        <v>0</v>
      </c>
      <c r="E914">
        <v>0</v>
      </c>
      <c r="F914">
        <v>-147.55000000000001</v>
      </c>
      <c r="G914">
        <v>-2921.462</v>
      </c>
      <c r="H914">
        <v>721.34900000000005</v>
      </c>
      <c r="I914">
        <v>0</v>
      </c>
    </row>
    <row r="915" spans="1:9" x14ac:dyDescent="0.25">
      <c r="A915" t="s">
        <v>24</v>
      </c>
      <c r="B915" t="s">
        <v>54</v>
      </c>
      <c r="C915" t="s">
        <v>10</v>
      </c>
      <c r="D915">
        <v>0</v>
      </c>
      <c r="E915">
        <v>0</v>
      </c>
      <c r="F915">
        <v>-147.55000000000001</v>
      </c>
      <c r="G915">
        <v>-2921.462</v>
      </c>
      <c r="H915">
        <v>1311.5429999999999</v>
      </c>
      <c r="I915">
        <v>0</v>
      </c>
    </row>
    <row r="916" spans="1:9" x14ac:dyDescent="0.25">
      <c r="A916" t="s">
        <v>24</v>
      </c>
      <c r="B916" t="s">
        <v>55</v>
      </c>
      <c r="C916" t="s">
        <v>25</v>
      </c>
      <c r="D916">
        <v>0</v>
      </c>
      <c r="E916">
        <v>0</v>
      </c>
      <c r="F916">
        <v>-147.55000000000001</v>
      </c>
      <c r="G916">
        <v>-2390.2869999999998</v>
      </c>
      <c r="H916">
        <v>721.34900000000005</v>
      </c>
      <c r="I916">
        <v>0</v>
      </c>
    </row>
    <row r="917" spans="1:9" x14ac:dyDescent="0.25">
      <c r="A917" t="s">
        <v>24</v>
      </c>
      <c r="B917" t="s">
        <v>55</v>
      </c>
      <c r="C917" t="s">
        <v>10</v>
      </c>
      <c r="D917">
        <v>0</v>
      </c>
      <c r="E917">
        <v>0</v>
      </c>
      <c r="F917">
        <v>-147.55000000000001</v>
      </c>
      <c r="G917">
        <v>-2390.2869999999998</v>
      </c>
      <c r="H917">
        <v>1311.5429999999999</v>
      </c>
      <c r="I917">
        <v>0</v>
      </c>
    </row>
    <row r="918" spans="1:9" x14ac:dyDescent="0.25">
      <c r="A918" t="s">
        <v>24</v>
      </c>
      <c r="B918" t="s">
        <v>56</v>
      </c>
      <c r="C918" t="s">
        <v>25</v>
      </c>
      <c r="D918">
        <v>0</v>
      </c>
      <c r="E918">
        <v>0</v>
      </c>
      <c r="F918">
        <v>147.55000000000001</v>
      </c>
      <c r="G918">
        <v>2921.462</v>
      </c>
      <c r="H918">
        <v>-721.34900000000005</v>
      </c>
      <c r="I918">
        <v>0</v>
      </c>
    </row>
    <row r="919" spans="1:9" x14ac:dyDescent="0.25">
      <c r="A919" t="s">
        <v>24</v>
      </c>
      <c r="B919" t="s">
        <v>56</v>
      </c>
      <c r="C919" t="s">
        <v>10</v>
      </c>
      <c r="D919">
        <v>0</v>
      </c>
      <c r="E919">
        <v>0</v>
      </c>
      <c r="F919">
        <v>147.55000000000001</v>
      </c>
      <c r="G919">
        <v>2921.462</v>
      </c>
      <c r="H919">
        <v>-1311.5429999999999</v>
      </c>
      <c r="I919">
        <v>0</v>
      </c>
    </row>
    <row r="920" spans="1:9" x14ac:dyDescent="0.25">
      <c r="A920" t="s">
        <v>24</v>
      </c>
      <c r="B920" t="s">
        <v>57</v>
      </c>
      <c r="C920" t="s">
        <v>25</v>
      </c>
      <c r="D920">
        <v>0</v>
      </c>
      <c r="E920">
        <v>0</v>
      </c>
      <c r="F920">
        <v>147.55000000000001</v>
      </c>
      <c r="G920">
        <v>2390.2869999999998</v>
      </c>
      <c r="H920">
        <v>-721.34900000000005</v>
      </c>
      <c r="I920">
        <v>0</v>
      </c>
    </row>
    <row r="921" spans="1:9" x14ac:dyDescent="0.25">
      <c r="A921" t="s">
        <v>24</v>
      </c>
      <c r="B921" t="s">
        <v>57</v>
      </c>
      <c r="C921" t="s">
        <v>10</v>
      </c>
      <c r="D921">
        <v>0</v>
      </c>
      <c r="E921">
        <v>0</v>
      </c>
      <c r="F921">
        <v>147.55000000000001</v>
      </c>
      <c r="G921">
        <v>2390.2869999999998</v>
      </c>
      <c r="H921">
        <v>-1311.5429999999999</v>
      </c>
      <c r="I921">
        <v>0</v>
      </c>
    </row>
    <row r="922" spans="1:9" x14ac:dyDescent="0.25">
      <c r="A922" t="s">
        <v>24</v>
      </c>
      <c r="B922" t="s">
        <v>58</v>
      </c>
      <c r="C922" t="s">
        <v>25</v>
      </c>
      <c r="D922">
        <v>0</v>
      </c>
      <c r="E922">
        <v>-122.07</v>
      </c>
      <c r="F922">
        <v>0</v>
      </c>
      <c r="G922">
        <v>2014.096</v>
      </c>
      <c r="H922">
        <v>0</v>
      </c>
      <c r="I922">
        <v>-596.76900000000001</v>
      </c>
    </row>
    <row r="923" spans="1:9" x14ac:dyDescent="0.25">
      <c r="A923" t="s">
        <v>24</v>
      </c>
      <c r="B923" t="s">
        <v>58</v>
      </c>
      <c r="C923" t="s">
        <v>10</v>
      </c>
      <c r="D923">
        <v>0</v>
      </c>
      <c r="E923">
        <v>-122.07</v>
      </c>
      <c r="F923">
        <v>0</v>
      </c>
      <c r="G923">
        <v>2014.096</v>
      </c>
      <c r="H923">
        <v>0</v>
      </c>
      <c r="I923">
        <v>-1085.0350000000001</v>
      </c>
    </row>
    <row r="924" spans="1:9" x14ac:dyDescent="0.25">
      <c r="A924" t="s">
        <v>24</v>
      </c>
      <c r="B924" t="s">
        <v>59</v>
      </c>
      <c r="C924" t="s">
        <v>25</v>
      </c>
      <c r="D924">
        <v>0</v>
      </c>
      <c r="E924">
        <v>-122.07</v>
      </c>
      <c r="F924">
        <v>0</v>
      </c>
      <c r="G924">
        <v>1647.8969999999999</v>
      </c>
      <c r="H924">
        <v>0</v>
      </c>
      <c r="I924">
        <v>-596.76900000000001</v>
      </c>
    </row>
    <row r="925" spans="1:9" x14ac:dyDescent="0.25">
      <c r="A925" t="s">
        <v>24</v>
      </c>
      <c r="B925" t="s">
        <v>59</v>
      </c>
      <c r="C925" t="s">
        <v>10</v>
      </c>
      <c r="D925">
        <v>0</v>
      </c>
      <c r="E925">
        <v>-122.07</v>
      </c>
      <c r="F925">
        <v>0</v>
      </c>
      <c r="G925">
        <v>1647.8969999999999</v>
      </c>
      <c r="H925">
        <v>0</v>
      </c>
      <c r="I925">
        <v>-1085.0350000000001</v>
      </c>
    </row>
    <row r="926" spans="1:9" x14ac:dyDescent="0.25">
      <c r="A926" t="s">
        <v>24</v>
      </c>
      <c r="B926" t="s">
        <v>60</v>
      </c>
      <c r="C926" t="s">
        <v>25</v>
      </c>
      <c r="D926">
        <v>0</v>
      </c>
      <c r="E926">
        <v>122.07</v>
      </c>
      <c r="F926">
        <v>0</v>
      </c>
      <c r="G926">
        <v>-2014.096</v>
      </c>
      <c r="H926">
        <v>0</v>
      </c>
      <c r="I926">
        <v>596.76900000000001</v>
      </c>
    </row>
    <row r="927" spans="1:9" x14ac:dyDescent="0.25">
      <c r="A927" t="s">
        <v>24</v>
      </c>
      <c r="B927" t="s">
        <v>60</v>
      </c>
      <c r="C927" t="s">
        <v>10</v>
      </c>
      <c r="D927">
        <v>0</v>
      </c>
      <c r="E927">
        <v>122.07</v>
      </c>
      <c r="F927">
        <v>0</v>
      </c>
      <c r="G927">
        <v>-2014.096</v>
      </c>
      <c r="H927">
        <v>0</v>
      </c>
      <c r="I927">
        <v>1085.0350000000001</v>
      </c>
    </row>
    <row r="928" spans="1:9" x14ac:dyDescent="0.25">
      <c r="A928" t="s">
        <v>24</v>
      </c>
      <c r="B928" t="s">
        <v>61</v>
      </c>
      <c r="C928" t="s">
        <v>25</v>
      </c>
      <c r="D928">
        <v>0</v>
      </c>
      <c r="E928">
        <v>122.07</v>
      </c>
      <c r="F928">
        <v>0</v>
      </c>
      <c r="G928">
        <v>-1647.8969999999999</v>
      </c>
      <c r="H928">
        <v>0</v>
      </c>
      <c r="I928">
        <v>596.76900000000001</v>
      </c>
    </row>
    <row r="929" spans="1:9" x14ac:dyDescent="0.25">
      <c r="A929" t="s">
        <v>24</v>
      </c>
      <c r="B929" t="s">
        <v>61</v>
      </c>
      <c r="C929" t="s">
        <v>10</v>
      </c>
      <c r="D929">
        <v>0</v>
      </c>
      <c r="E929">
        <v>122.07</v>
      </c>
      <c r="F929">
        <v>0</v>
      </c>
      <c r="G929">
        <v>-1647.8969999999999</v>
      </c>
      <c r="H929">
        <v>0</v>
      </c>
      <c r="I929">
        <v>1085.0350000000001</v>
      </c>
    </row>
    <row r="930" spans="1:9" x14ac:dyDescent="0.25">
      <c r="A930" t="s">
        <v>24</v>
      </c>
      <c r="B930" t="s">
        <v>62</v>
      </c>
      <c r="C930" t="s">
        <v>25</v>
      </c>
      <c r="D930">
        <v>0</v>
      </c>
      <c r="E930">
        <v>0</v>
      </c>
      <c r="F930">
        <v>-147.55000000000001</v>
      </c>
      <c r="G930">
        <v>-2921.462</v>
      </c>
      <c r="H930">
        <v>721.34900000000005</v>
      </c>
      <c r="I930">
        <v>0</v>
      </c>
    </row>
    <row r="931" spans="1:9" x14ac:dyDescent="0.25">
      <c r="A931" t="s">
        <v>24</v>
      </c>
      <c r="B931" t="s">
        <v>62</v>
      </c>
      <c r="C931" t="s">
        <v>10</v>
      </c>
      <c r="D931">
        <v>0</v>
      </c>
      <c r="E931">
        <v>0</v>
      </c>
      <c r="F931">
        <v>-147.55000000000001</v>
      </c>
      <c r="G931">
        <v>-2921.462</v>
      </c>
      <c r="H931">
        <v>1311.5429999999999</v>
      </c>
      <c r="I931">
        <v>0</v>
      </c>
    </row>
    <row r="932" spans="1:9" x14ac:dyDescent="0.25">
      <c r="A932" t="s">
        <v>24</v>
      </c>
      <c r="B932" t="s">
        <v>63</v>
      </c>
      <c r="C932" t="s">
        <v>25</v>
      </c>
      <c r="D932">
        <v>0</v>
      </c>
      <c r="E932">
        <v>0</v>
      </c>
      <c r="F932">
        <v>-147.55000000000001</v>
      </c>
      <c r="G932">
        <v>-2390.2869999999998</v>
      </c>
      <c r="H932">
        <v>721.34900000000005</v>
      </c>
      <c r="I932">
        <v>0</v>
      </c>
    </row>
    <row r="933" spans="1:9" x14ac:dyDescent="0.25">
      <c r="A933" t="s">
        <v>24</v>
      </c>
      <c r="B933" t="s">
        <v>63</v>
      </c>
      <c r="C933" t="s">
        <v>10</v>
      </c>
      <c r="D933">
        <v>0</v>
      </c>
      <c r="E933">
        <v>0</v>
      </c>
      <c r="F933">
        <v>-147.55000000000001</v>
      </c>
      <c r="G933">
        <v>-2390.2869999999998</v>
      </c>
      <c r="H933">
        <v>1311.5429999999999</v>
      </c>
      <c r="I933">
        <v>0</v>
      </c>
    </row>
    <row r="934" spans="1:9" x14ac:dyDescent="0.25">
      <c r="A934" t="s">
        <v>24</v>
      </c>
      <c r="B934" t="s">
        <v>64</v>
      </c>
      <c r="C934" t="s">
        <v>25</v>
      </c>
      <c r="D934">
        <v>0</v>
      </c>
      <c r="E934">
        <v>0</v>
      </c>
      <c r="F934">
        <v>147.55000000000001</v>
      </c>
      <c r="G934">
        <v>2921.462</v>
      </c>
      <c r="H934">
        <v>-721.34900000000005</v>
      </c>
      <c r="I934">
        <v>0</v>
      </c>
    </row>
    <row r="935" spans="1:9" x14ac:dyDescent="0.25">
      <c r="A935" t="s">
        <v>24</v>
      </c>
      <c r="B935" t="s">
        <v>64</v>
      </c>
      <c r="C935" t="s">
        <v>10</v>
      </c>
      <c r="D935">
        <v>0</v>
      </c>
      <c r="E935">
        <v>0</v>
      </c>
      <c r="F935">
        <v>147.55000000000001</v>
      </c>
      <c r="G935">
        <v>2921.462</v>
      </c>
      <c r="H935">
        <v>-1311.5429999999999</v>
      </c>
      <c r="I935">
        <v>0</v>
      </c>
    </row>
    <row r="936" spans="1:9" x14ac:dyDescent="0.25">
      <c r="A936" t="s">
        <v>24</v>
      </c>
      <c r="B936" t="s">
        <v>65</v>
      </c>
      <c r="C936" t="s">
        <v>25</v>
      </c>
      <c r="D936">
        <v>0</v>
      </c>
      <c r="E936">
        <v>0</v>
      </c>
      <c r="F936">
        <v>147.55000000000001</v>
      </c>
      <c r="G936">
        <v>2390.2869999999998</v>
      </c>
      <c r="H936">
        <v>-721.34900000000005</v>
      </c>
      <c r="I936">
        <v>0</v>
      </c>
    </row>
    <row r="937" spans="1:9" x14ac:dyDescent="0.25">
      <c r="A937" t="s">
        <v>24</v>
      </c>
      <c r="B937" t="s">
        <v>65</v>
      </c>
      <c r="C937" t="s">
        <v>10</v>
      </c>
      <c r="D937">
        <v>0</v>
      </c>
      <c r="E937">
        <v>0</v>
      </c>
      <c r="F937">
        <v>147.55000000000001</v>
      </c>
      <c r="G937">
        <v>2390.2869999999998</v>
      </c>
      <c r="H937">
        <v>-1311.5429999999999</v>
      </c>
      <c r="I937">
        <v>0</v>
      </c>
    </row>
    <row r="938" spans="1:9" x14ac:dyDescent="0.25">
      <c r="A938" t="s">
        <v>24</v>
      </c>
      <c r="B938" t="s">
        <v>66</v>
      </c>
      <c r="C938" t="s">
        <v>25</v>
      </c>
      <c r="D938">
        <v>0</v>
      </c>
      <c r="E938">
        <v>-406.89</v>
      </c>
      <c r="F938">
        <v>0</v>
      </c>
      <c r="G938">
        <v>6713.6530000000002</v>
      </c>
      <c r="H938">
        <v>0</v>
      </c>
      <c r="I938">
        <v>-1989.231</v>
      </c>
    </row>
    <row r="939" spans="1:9" x14ac:dyDescent="0.25">
      <c r="A939" t="s">
        <v>24</v>
      </c>
      <c r="B939" t="s">
        <v>66</v>
      </c>
      <c r="C939" t="s">
        <v>10</v>
      </c>
      <c r="D939">
        <v>0</v>
      </c>
      <c r="E939">
        <v>-406.89</v>
      </c>
      <c r="F939">
        <v>0</v>
      </c>
      <c r="G939">
        <v>6713.6530000000002</v>
      </c>
      <c r="H939">
        <v>0</v>
      </c>
      <c r="I939">
        <v>-3616.7829999999999</v>
      </c>
    </row>
    <row r="940" spans="1:9" x14ac:dyDescent="0.25">
      <c r="A940" t="s">
        <v>24</v>
      </c>
      <c r="B940" t="s">
        <v>67</v>
      </c>
      <c r="C940" t="s">
        <v>25</v>
      </c>
      <c r="D940">
        <v>0</v>
      </c>
      <c r="E940">
        <v>-406.89</v>
      </c>
      <c r="F940">
        <v>0</v>
      </c>
      <c r="G940">
        <v>5492.9889999999996</v>
      </c>
      <c r="H940">
        <v>0</v>
      </c>
      <c r="I940">
        <v>-1989.231</v>
      </c>
    </row>
    <row r="941" spans="1:9" x14ac:dyDescent="0.25">
      <c r="A941" t="s">
        <v>24</v>
      </c>
      <c r="B941" t="s">
        <v>67</v>
      </c>
      <c r="C941" t="s">
        <v>10</v>
      </c>
      <c r="D941">
        <v>0</v>
      </c>
      <c r="E941">
        <v>-406.89</v>
      </c>
      <c r="F941">
        <v>0</v>
      </c>
      <c r="G941">
        <v>5492.9889999999996</v>
      </c>
      <c r="H941">
        <v>0</v>
      </c>
      <c r="I941">
        <v>-3616.7829999999999</v>
      </c>
    </row>
    <row r="942" spans="1:9" x14ac:dyDescent="0.25">
      <c r="A942" t="s">
        <v>24</v>
      </c>
      <c r="B942" t="s">
        <v>68</v>
      </c>
      <c r="C942" t="s">
        <v>25</v>
      </c>
      <c r="D942">
        <v>0</v>
      </c>
      <c r="E942">
        <v>406.89</v>
      </c>
      <c r="F942">
        <v>0</v>
      </c>
      <c r="G942">
        <v>-6713.6530000000002</v>
      </c>
      <c r="H942">
        <v>0</v>
      </c>
      <c r="I942">
        <v>1989.231</v>
      </c>
    </row>
    <row r="943" spans="1:9" x14ac:dyDescent="0.25">
      <c r="A943" t="s">
        <v>24</v>
      </c>
      <c r="B943" t="s">
        <v>68</v>
      </c>
      <c r="C943" t="s">
        <v>10</v>
      </c>
      <c r="D943">
        <v>0</v>
      </c>
      <c r="E943">
        <v>406.89</v>
      </c>
      <c r="F943">
        <v>0</v>
      </c>
      <c r="G943">
        <v>-6713.6530000000002</v>
      </c>
      <c r="H943">
        <v>0</v>
      </c>
      <c r="I943">
        <v>3616.7829999999999</v>
      </c>
    </row>
    <row r="944" spans="1:9" x14ac:dyDescent="0.25">
      <c r="A944" t="s">
        <v>24</v>
      </c>
      <c r="B944" t="s">
        <v>69</v>
      </c>
      <c r="C944" t="s">
        <v>25</v>
      </c>
      <c r="D944">
        <v>0</v>
      </c>
      <c r="E944">
        <v>406.89</v>
      </c>
      <c r="F944">
        <v>0</v>
      </c>
      <c r="G944">
        <v>-5492.9889999999996</v>
      </c>
      <c r="H944">
        <v>0</v>
      </c>
      <c r="I944">
        <v>1989.231</v>
      </c>
    </row>
    <row r="945" spans="1:9" x14ac:dyDescent="0.25">
      <c r="A945" t="s">
        <v>24</v>
      </c>
      <c r="B945" t="s">
        <v>69</v>
      </c>
      <c r="C945" t="s">
        <v>10</v>
      </c>
      <c r="D945">
        <v>0</v>
      </c>
      <c r="E945">
        <v>406.89</v>
      </c>
      <c r="F945">
        <v>0</v>
      </c>
      <c r="G945">
        <v>-5492.9889999999996</v>
      </c>
      <c r="H945">
        <v>0</v>
      </c>
      <c r="I945">
        <v>3616.7829999999999</v>
      </c>
    </row>
    <row r="946" spans="1:9" x14ac:dyDescent="0.25">
      <c r="A946" t="s">
        <v>24</v>
      </c>
      <c r="B946" t="s">
        <v>70</v>
      </c>
      <c r="C946" t="s">
        <v>25</v>
      </c>
      <c r="D946">
        <v>0</v>
      </c>
      <c r="E946">
        <v>0</v>
      </c>
      <c r="F946">
        <v>-491.83</v>
      </c>
      <c r="G946">
        <v>-9738.2049999999999</v>
      </c>
      <c r="H946">
        <v>2404.4949999999999</v>
      </c>
      <c r="I946">
        <v>0</v>
      </c>
    </row>
    <row r="947" spans="1:9" x14ac:dyDescent="0.25">
      <c r="A947" t="s">
        <v>24</v>
      </c>
      <c r="B947" t="s">
        <v>70</v>
      </c>
      <c r="C947" t="s">
        <v>10</v>
      </c>
      <c r="D947">
        <v>0</v>
      </c>
      <c r="E947">
        <v>0</v>
      </c>
      <c r="F947">
        <v>-491.83</v>
      </c>
      <c r="G947">
        <v>-9738.2049999999999</v>
      </c>
      <c r="H947">
        <v>4371.8090000000002</v>
      </c>
      <c r="I947">
        <v>0</v>
      </c>
    </row>
    <row r="948" spans="1:9" x14ac:dyDescent="0.25">
      <c r="A948" t="s">
        <v>24</v>
      </c>
      <c r="B948" t="s">
        <v>71</v>
      </c>
      <c r="C948" t="s">
        <v>25</v>
      </c>
      <c r="D948">
        <v>0</v>
      </c>
      <c r="E948">
        <v>0</v>
      </c>
      <c r="F948">
        <v>-491.83</v>
      </c>
      <c r="G948">
        <v>-7967.6229999999996</v>
      </c>
      <c r="H948">
        <v>2404.4949999999999</v>
      </c>
      <c r="I948">
        <v>0</v>
      </c>
    </row>
    <row r="949" spans="1:9" x14ac:dyDescent="0.25">
      <c r="A949" t="s">
        <v>24</v>
      </c>
      <c r="B949" t="s">
        <v>71</v>
      </c>
      <c r="C949" t="s">
        <v>10</v>
      </c>
      <c r="D949">
        <v>0</v>
      </c>
      <c r="E949">
        <v>0</v>
      </c>
      <c r="F949">
        <v>-491.83</v>
      </c>
      <c r="G949">
        <v>-7967.6229999999996</v>
      </c>
      <c r="H949">
        <v>4371.8090000000002</v>
      </c>
      <c r="I949">
        <v>0</v>
      </c>
    </row>
    <row r="950" spans="1:9" x14ac:dyDescent="0.25">
      <c r="A950" t="s">
        <v>24</v>
      </c>
      <c r="B950" t="s">
        <v>72</v>
      </c>
      <c r="C950" t="s">
        <v>25</v>
      </c>
      <c r="D950">
        <v>0</v>
      </c>
      <c r="E950">
        <v>0</v>
      </c>
      <c r="F950">
        <v>491.83</v>
      </c>
      <c r="G950">
        <v>9738.2049999999999</v>
      </c>
      <c r="H950">
        <v>-2404.4949999999999</v>
      </c>
      <c r="I950">
        <v>0</v>
      </c>
    </row>
    <row r="951" spans="1:9" x14ac:dyDescent="0.25">
      <c r="A951" t="s">
        <v>24</v>
      </c>
      <c r="B951" t="s">
        <v>72</v>
      </c>
      <c r="C951" t="s">
        <v>10</v>
      </c>
      <c r="D951">
        <v>0</v>
      </c>
      <c r="E951">
        <v>0</v>
      </c>
      <c r="F951">
        <v>491.83</v>
      </c>
      <c r="G951">
        <v>9738.2049999999999</v>
      </c>
      <c r="H951">
        <v>-4371.8090000000002</v>
      </c>
      <c r="I951">
        <v>0</v>
      </c>
    </row>
    <row r="952" spans="1:9" x14ac:dyDescent="0.25">
      <c r="A952" t="s">
        <v>24</v>
      </c>
      <c r="B952" t="s">
        <v>73</v>
      </c>
      <c r="C952" t="s">
        <v>25</v>
      </c>
      <c r="D952">
        <v>0</v>
      </c>
      <c r="E952">
        <v>0</v>
      </c>
      <c r="F952">
        <v>491.83</v>
      </c>
      <c r="G952">
        <v>7967.6229999999996</v>
      </c>
      <c r="H952">
        <v>-2404.4949999999999</v>
      </c>
      <c r="I952">
        <v>0</v>
      </c>
    </row>
    <row r="953" spans="1:9" x14ac:dyDescent="0.25">
      <c r="A953" t="s">
        <v>24</v>
      </c>
      <c r="B953" t="s">
        <v>73</v>
      </c>
      <c r="C953" t="s">
        <v>10</v>
      </c>
      <c r="D953">
        <v>0</v>
      </c>
      <c r="E953">
        <v>0</v>
      </c>
      <c r="F953">
        <v>491.83</v>
      </c>
      <c r="G953">
        <v>7967.6229999999996</v>
      </c>
      <c r="H953">
        <v>-4371.8090000000002</v>
      </c>
      <c r="I953">
        <v>0</v>
      </c>
    </row>
    <row r="954" spans="1:9" x14ac:dyDescent="0.25">
      <c r="A954" t="s">
        <v>24</v>
      </c>
      <c r="B954" t="s">
        <v>74</v>
      </c>
      <c r="C954" t="s">
        <v>25</v>
      </c>
      <c r="D954">
        <v>0</v>
      </c>
      <c r="E954">
        <v>-406.89</v>
      </c>
      <c r="F954">
        <v>0</v>
      </c>
      <c r="G954">
        <v>6713.6530000000002</v>
      </c>
      <c r="H954">
        <v>0</v>
      </c>
      <c r="I954">
        <v>-1989.231</v>
      </c>
    </row>
    <row r="955" spans="1:9" x14ac:dyDescent="0.25">
      <c r="A955" t="s">
        <v>24</v>
      </c>
      <c r="B955" t="s">
        <v>74</v>
      </c>
      <c r="C955" t="s">
        <v>10</v>
      </c>
      <c r="D955">
        <v>0</v>
      </c>
      <c r="E955">
        <v>-406.89</v>
      </c>
      <c r="F955">
        <v>0</v>
      </c>
      <c r="G955">
        <v>6713.6530000000002</v>
      </c>
      <c r="H955">
        <v>0</v>
      </c>
      <c r="I955">
        <v>-3616.7829999999999</v>
      </c>
    </row>
    <row r="956" spans="1:9" x14ac:dyDescent="0.25">
      <c r="A956" t="s">
        <v>24</v>
      </c>
      <c r="B956" t="s">
        <v>75</v>
      </c>
      <c r="C956" t="s">
        <v>25</v>
      </c>
      <c r="D956">
        <v>0</v>
      </c>
      <c r="E956">
        <v>-406.89</v>
      </c>
      <c r="F956">
        <v>0</v>
      </c>
      <c r="G956">
        <v>5492.9889999999996</v>
      </c>
      <c r="H956">
        <v>0</v>
      </c>
      <c r="I956">
        <v>-1989.231</v>
      </c>
    </row>
    <row r="957" spans="1:9" x14ac:dyDescent="0.25">
      <c r="A957" t="s">
        <v>24</v>
      </c>
      <c r="B957" t="s">
        <v>75</v>
      </c>
      <c r="C957" t="s">
        <v>10</v>
      </c>
      <c r="D957">
        <v>0</v>
      </c>
      <c r="E957">
        <v>-406.89</v>
      </c>
      <c r="F957">
        <v>0</v>
      </c>
      <c r="G957">
        <v>5492.9889999999996</v>
      </c>
      <c r="H957">
        <v>0</v>
      </c>
      <c r="I957">
        <v>-3616.7829999999999</v>
      </c>
    </row>
    <row r="958" spans="1:9" x14ac:dyDescent="0.25">
      <c r="A958" t="s">
        <v>24</v>
      </c>
      <c r="B958" t="s">
        <v>76</v>
      </c>
      <c r="C958" t="s">
        <v>25</v>
      </c>
      <c r="D958">
        <v>0</v>
      </c>
      <c r="E958">
        <v>406.89</v>
      </c>
      <c r="F958">
        <v>0</v>
      </c>
      <c r="G958">
        <v>-6713.6530000000002</v>
      </c>
      <c r="H958">
        <v>0</v>
      </c>
      <c r="I958">
        <v>1989.231</v>
      </c>
    </row>
    <row r="959" spans="1:9" x14ac:dyDescent="0.25">
      <c r="A959" t="s">
        <v>24</v>
      </c>
      <c r="B959" t="s">
        <v>76</v>
      </c>
      <c r="C959" t="s">
        <v>10</v>
      </c>
      <c r="D959">
        <v>0</v>
      </c>
      <c r="E959">
        <v>406.89</v>
      </c>
      <c r="F959">
        <v>0</v>
      </c>
      <c r="G959">
        <v>-6713.6530000000002</v>
      </c>
      <c r="H959">
        <v>0</v>
      </c>
      <c r="I959">
        <v>3616.7829999999999</v>
      </c>
    </row>
    <row r="960" spans="1:9" x14ac:dyDescent="0.25">
      <c r="A960" t="s">
        <v>24</v>
      </c>
      <c r="B960" t="s">
        <v>77</v>
      </c>
      <c r="C960" t="s">
        <v>25</v>
      </c>
      <c r="D960">
        <v>0</v>
      </c>
      <c r="E960">
        <v>406.89</v>
      </c>
      <c r="F960">
        <v>0</v>
      </c>
      <c r="G960">
        <v>-5492.9889999999996</v>
      </c>
      <c r="H960">
        <v>0</v>
      </c>
      <c r="I960">
        <v>1989.231</v>
      </c>
    </row>
    <row r="961" spans="1:9" x14ac:dyDescent="0.25">
      <c r="A961" t="s">
        <v>24</v>
      </c>
      <c r="B961" t="s">
        <v>77</v>
      </c>
      <c r="C961" t="s">
        <v>10</v>
      </c>
      <c r="D961">
        <v>0</v>
      </c>
      <c r="E961">
        <v>406.89</v>
      </c>
      <c r="F961">
        <v>0</v>
      </c>
      <c r="G961">
        <v>-5492.9889999999996</v>
      </c>
      <c r="H961">
        <v>0</v>
      </c>
      <c r="I961">
        <v>3616.7829999999999</v>
      </c>
    </row>
    <row r="962" spans="1:9" x14ac:dyDescent="0.25">
      <c r="A962" t="s">
        <v>24</v>
      </c>
      <c r="B962" t="s">
        <v>78</v>
      </c>
      <c r="C962" t="s">
        <v>25</v>
      </c>
      <c r="D962">
        <v>0</v>
      </c>
      <c r="E962">
        <v>0</v>
      </c>
      <c r="F962">
        <v>-491.83</v>
      </c>
      <c r="G962">
        <v>-9738.2049999999999</v>
      </c>
      <c r="H962">
        <v>2404.4949999999999</v>
      </c>
      <c r="I962">
        <v>0</v>
      </c>
    </row>
    <row r="963" spans="1:9" x14ac:dyDescent="0.25">
      <c r="A963" t="s">
        <v>24</v>
      </c>
      <c r="B963" t="s">
        <v>78</v>
      </c>
      <c r="C963" t="s">
        <v>10</v>
      </c>
      <c r="D963">
        <v>0</v>
      </c>
      <c r="E963">
        <v>0</v>
      </c>
      <c r="F963">
        <v>-491.83</v>
      </c>
      <c r="G963">
        <v>-9738.2049999999999</v>
      </c>
      <c r="H963">
        <v>4371.8090000000002</v>
      </c>
      <c r="I963">
        <v>0</v>
      </c>
    </row>
    <row r="964" spans="1:9" x14ac:dyDescent="0.25">
      <c r="A964" t="s">
        <v>24</v>
      </c>
      <c r="B964" t="s">
        <v>79</v>
      </c>
      <c r="C964" t="s">
        <v>25</v>
      </c>
      <c r="D964">
        <v>0</v>
      </c>
      <c r="E964">
        <v>0</v>
      </c>
      <c r="F964">
        <v>-491.83</v>
      </c>
      <c r="G964">
        <v>-7967.6229999999996</v>
      </c>
      <c r="H964">
        <v>2404.4949999999999</v>
      </c>
      <c r="I964">
        <v>0</v>
      </c>
    </row>
    <row r="965" spans="1:9" x14ac:dyDescent="0.25">
      <c r="A965" t="s">
        <v>24</v>
      </c>
      <c r="B965" t="s">
        <v>79</v>
      </c>
      <c r="C965" t="s">
        <v>10</v>
      </c>
      <c r="D965">
        <v>0</v>
      </c>
      <c r="E965">
        <v>0</v>
      </c>
      <c r="F965">
        <v>-491.83</v>
      </c>
      <c r="G965">
        <v>-7967.6229999999996</v>
      </c>
      <c r="H965">
        <v>4371.8090000000002</v>
      </c>
      <c r="I965">
        <v>0</v>
      </c>
    </row>
    <row r="966" spans="1:9" x14ac:dyDescent="0.25">
      <c r="A966" t="s">
        <v>24</v>
      </c>
      <c r="B966" t="s">
        <v>80</v>
      </c>
      <c r="C966" t="s">
        <v>25</v>
      </c>
      <c r="D966">
        <v>0</v>
      </c>
      <c r="E966">
        <v>0</v>
      </c>
      <c r="F966">
        <v>491.83</v>
      </c>
      <c r="G966">
        <v>9738.2049999999999</v>
      </c>
      <c r="H966">
        <v>-2404.4949999999999</v>
      </c>
      <c r="I966">
        <v>0</v>
      </c>
    </row>
    <row r="967" spans="1:9" x14ac:dyDescent="0.25">
      <c r="A967" t="s">
        <v>24</v>
      </c>
      <c r="B967" t="s">
        <v>80</v>
      </c>
      <c r="C967" t="s">
        <v>10</v>
      </c>
      <c r="D967">
        <v>0</v>
      </c>
      <c r="E967">
        <v>0</v>
      </c>
      <c r="F967">
        <v>491.83</v>
      </c>
      <c r="G967">
        <v>9738.2049999999999</v>
      </c>
      <c r="H967">
        <v>-4371.8090000000002</v>
      </c>
      <c r="I967">
        <v>0</v>
      </c>
    </row>
    <row r="968" spans="1:9" x14ac:dyDescent="0.25">
      <c r="A968" t="s">
        <v>24</v>
      </c>
      <c r="B968" t="s">
        <v>81</v>
      </c>
      <c r="C968" t="s">
        <v>25</v>
      </c>
      <c r="D968">
        <v>0</v>
      </c>
      <c r="E968">
        <v>0</v>
      </c>
      <c r="F968">
        <v>491.83</v>
      </c>
      <c r="G968">
        <v>7967.6229999999996</v>
      </c>
      <c r="H968">
        <v>-2404.4949999999999</v>
      </c>
      <c r="I968">
        <v>0</v>
      </c>
    </row>
    <row r="969" spans="1:9" x14ac:dyDescent="0.25">
      <c r="A969" t="s">
        <v>24</v>
      </c>
      <c r="B969" t="s">
        <v>81</v>
      </c>
      <c r="C969" t="s">
        <v>10</v>
      </c>
      <c r="D969">
        <v>0</v>
      </c>
      <c r="E969">
        <v>0</v>
      </c>
      <c r="F969">
        <v>491.83</v>
      </c>
      <c r="G969">
        <v>7967.6229999999996</v>
      </c>
      <c r="H969">
        <v>-4371.8090000000002</v>
      </c>
      <c r="I969">
        <v>0</v>
      </c>
    </row>
    <row r="970" spans="1:9" x14ac:dyDescent="0.25">
      <c r="A970" t="s">
        <v>24</v>
      </c>
      <c r="B970" t="s">
        <v>82</v>
      </c>
      <c r="C970" t="s">
        <v>25</v>
      </c>
      <c r="D970">
        <v>0</v>
      </c>
      <c r="E970">
        <v>-122.07</v>
      </c>
      <c r="F970">
        <v>0</v>
      </c>
      <c r="G970">
        <v>2014.096</v>
      </c>
      <c r="H970">
        <v>0</v>
      </c>
      <c r="I970">
        <v>-596.76900000000001</v>
      </c>
    </row>
    <row r="971" spans="1:9" x14ac:dyDescent="0.25">
      <c r="A971" t="s">
        <v>24</v>
      </c>
      <c r="B971" t="s">
        <v>82</v>
      </c>
      <c r="C971" t="s">
        <v>10</v>
      </c>
      <c r="D971">
        <v>0</v>
      </c>
      <c r="E971">
        <v>-122.07</v>
      </c>
      <c r="F971">
        <v>0</v>
      </c>
      <c r="G971">
        <v>2014.096</v>
      </c>
      <c r="H971">
        <v>0</v>
      </c>
      <c r="I971">
        <v>-1085.0350000000001</v>
      </c>
    </row>
    <row r="972" spans="1:9" x14ac:dyDescent="0.25">
      <c r="A972" t="s">
        <v>24</v>
      </c>
      <c r="B972" t="s">
        <v>83</v>
      </c>
      <c r="C972" t="s">
        <v>25</v>
      </c>
      <c r="D972">
        <v>0</v>
      </c>
      <c r="E972">
        <v>-122.07</v>
      </c>
      <c r="F972">
        <v>0</v>
      </c>
      <c r="G972">
        <v>1647.8969999999999</v>
      </c>
      <c r="H972">
        <v>0</v>
      </c>
      <c r="I972">
        <v>-596.76900000000001</v>
      </c>
    </row>
    <row r="973" spans="1:9" x14ac:dyDescent="0.25">
      <c r="A973" t="s">
        <v>24</v>
      </c>
      <c r="B973" t="s">
        <v>83</v>
      </c>
      <c r="C973" t="s">
        <v>10</v>
      </c>
      <c r="D973">
        <v>0</v>
      </c>
      <c r="E973">
        <v>-122.07</v>
      </c>
      <c r="F973">
        <v>0</v>
      </c>
      <c r="G973">
        <v>1647.8969999999999</v>
      </c>
      <c r="H973">
        <v>0</v>
      </c>
      <c r="I973">
        <v>-1085.0350000000001</v>
      </c>
    </row>
    <row r="974" spans="1:9" x14ac:dyDescent="0.25">
      <c r="A974" t="s">
        <v>24</v>
      </c>
      <c r="B974" t="s">
        <v>84</v>
      </c>
      <c r="C974" t="s">
        <v>25</v>
      </c>
      <c r="D974">
        <v>0</v>
      </c>
      <c r="E974">
        <v>122.07</v>
      </c>
      <c r="F974">
        <v>0</v>
      </c>
      <c r="G974">
        <v>-2014.096</v>
      </c>
      <c r="H974">
        <v>0</v>
      </c>
      <c r="I974">
        <v>596.76900000000001</v>
      </c>
    </row>
    <row r="975" spans="1:9" x14ac:dyDescent="0.25">
      <c r="A975" t="s">
        <v>24</v>
      </c>
      <c r="B975" t="s">
        <v>84</v>
      </c>
      <c r="C975" t="s">
        <v>10</v>
      </c>
      <c r="D975">
        <v>0</v>
      </c>
      <c r="E975">
        <v>122.07</v>
      </c>
      <c r="F975">
        <v>0</v>
      </c>
      <c r="G975">
        <v>-2014.096</v>
      </c>
      <c r="H975">
        <v>0</v>
      </c>
      <c r="I975">
        <v>1085.0350000000001</v>
      </c>
    </row>
    <row r="976" spans="1:9" x14ac:dyDescent="0.25">
      <c r="A976" t="s">
        <v>24</v>
      </c>
      <c r="B976" t="s">
        <v>85</v>
      </c>
      <c r="C976" t="s">
        <v>25</v>
      </c>
      <c r="D976">
        <v>0</v>
      </c>
      <c r="E976">
        <v>122.07</v>
      </c>
      <c r="F976">
        <v>0</v>
      </c>
      <c r="G976">
        <v>-1647.8969999999999</v>
      </c>
      <c r="H976">
        <v>0</v>
      </c>
      <c r="I976">
        <v>596.76900000000001</v>
      </c>
    </row>
    <row r="977" spans="1:9" x14ac:dyDescent="0.25">
      <c r="A977" t="s">
        <v>24</v>
      </c>
      <c r="B977" t="s">
        <v>85</v>
      </c>
      <c r="C977" t="s">
        <v>10</v>
      </c>
      <c r="D977">
        <v>0</v>
      </c>
      <c r="E977">
        <v>122.07</v>
      </c>
      <c r="F977">
        <v>0</v>
      </c>
      <c r="G977">
        <v>-1647.8969999999999</v>
      </c>
      <c r="H977">
        <v>0</v>
      </c>
      <c r="I977">
        <v>1085.0350000000001</v>
      </c>
    </row>
    <row r="978" spans="1:9" x14ac:dyDescent="0.25">
      <c r="A978" t="s">
        <v>24</v>
      </c>
      <c r="B978" t="s">
        <v>86</v>
      </c>
      <c r="C978" t="s">
        <v>25</v>
      </c>
      <c r="D978">
        <v>0</v>
      </c>
      <c r="E978">
        <v>0</v>
      </c>
      <c r="F978">
        <v>-147.55000000000001</v>
      </c>
      <c r="G978">
        <v>-2921.462</v>
      </c>
      <c r="H978">
        <v>721.34900000000005</v>
      </c>
      <c r="I978">
        <v>0</v>
      </c>
    </row>
    <row r="979" spans="1:9" x14ac:dyDescent="0.25">
      <c r="A979" t="s">
        <v>24</v>
      </c>
      <c r="B979" t="s">
        <v>86</v>
      </c>
      <c r="C979" t="s">
        <v>10</v>
      </c>
      <c r="D979">
        <v>0</v>
      </c>
      <c r="E979">
        <v>0</v>
      </c>
      <c r="F979">
        <v>-147.55000000000001</v>
      </c>
      <c r="G979">
        <v>-2921.462</v>
      </c>
      <c r="H979">
        <v>1311.5429999999999</v>
      </c>
      <c r="I979">
        <v>0</v>
      </c>
    </row>
    <row r="980" spans="1:9" x14ac:dyDescent="0.25">
      <c r="A980" t="s">
        <v>24</v>
      </c>
      <c r="B980" t="s">
        <v>87</v>
      </c>
      <c r="C980" t="s">
        <v>25</v>
      </c>
      <c r="D980">
        <v>0</v>
      </c>
      <c r="E980">
        <v>0</v>
      </c>
      <c r="F980">
        <v>-147.55000000000001</v>
      </c>
      <c r="G980">
        <v>-2390.2869999999998</v>
      </c>
      <c r="H980">
        <v>721.34900000000005</v>
      </c>
      <c r="I980">
        <v>0</v>
      </c>
    </row>
    <row r="981" spans="1:9" x14ac:dyDescent="0.25">
      <c r="A981" t="s">
        <v>24</v>
      </c>
      <c r="B981" t="s">
        <v>87</v>
      </c>
      <c r="C981" t="s">
        <v>10</v>
      </c>
      <c r="D981">
        <v>0</v>
      </c>
      <c r="E981">
        <v>0</v>
      </c>
      <c r="F981">
        <v>-147.55000000000001</v>
      </c>
      <c r="G981">
        <v>-2390.2869999999998</v>
      </c>
      <c r="H981">
        <v>1311.5429999999999</v>
      </c>
      <c r="I981">
        <v>0</v>
      </c>
    </row>
    <row r="982" spans="1:9" x14ac:dyDescent="0.25">
      <c r="A982" t="s">
        <v>24</v>
      </c>
      <c r="B982" t="s">
        <v>88</v>
      </c>
      <c r="C982" t="s">
        <v>25</v>
      </c>
      <c r="D982">
        <v>0</v>
      </c>
      <c r="E982">
        <v>0</v>
      </c>
      <c r="F982">
        <v>147.55000000000001</v>
      </c>
      <c r="G982">
        <v>2921.462</v>
      </c>
      <c r="H982">
        <v>-721.34900000000005</v>
      </c>
      <c r="I982">
        <v>0</v>
      </c>
    </row>
    <row r="983" spans="1:9" x14ac:dyDescent="0.25">
      <c r="A983" t="s">
        <v>24</v>
      </c>
      <c r="B983" t="s">
        <v>88</v>
      </c>
      <c r="C983" t="s">
        <v>10</v>
      </c>
      <c r="D983">
        <v>0</v>
      </c>
      <c r="E983">
        <v>0</v>
      </c>
      <c r="F983">
        <v>147.55000000000001</v>
      </c>
      <c r="G983">
        <v>2921.462</v>
      </c>
      <c r="H983">
        <v>-1311.5429999999999</v>
      </c>
      <c r="I983">
        <v>0</v>
      </c>
    </row>
    <row r="984" spans="1:9" x14ac:dyDescent="0.25">
      <c r="A984" t="s">
        <v>24</v>
      </c>
      <c r="B984" t="s">
        <v>89</v>
      </c>
      <c r="C984" t="s">
        <v>25</v>
      </c>
      <c r="D984">
        <v>0</v>
      </c>
      <c r="E984">
        <v>0</v>
      </c>
      <c r="F984">
        <v>147.55000000000001</v>
      </c>
      <c r="G984">
        <v>2390.2869999999998</v>
      </c>
      <c r="H984">
        <v>-721.34900000000005</v>
      </c>
      <c r="I984">
        <v>0</v>
      </c>
    </row>
    <row r="985" spans="1:9" x14ac:dyDescent="0.25">
      <c r="A985" t="s">
        <v>24</v>
      </c>
      <c r="B985" t="s">
        <v>89</v>
      </c>
      <c r="C985" t="s">
        <v>10</v>
      </c>
      <c r="D985">
        <v>0</v>
      </c>
      <c r="E985">
        <v>0</v>
      </c>
      <c r="F985">
        <v>147.55000000000001</v>
      </c>
      <c r="G985">
        <v>2390.2869999999998</v>
      </c>
      <c r="H985">
        <v>-1311.5429999999999</v>
      </c>
      <c r="I985">
        <v>0</v>
      </c>
    </row>
    <row r="986" spans="1:9" x14ac:dyDescent="0.25">
      <c r="A986" t="s">
        <v>24</v>
      </c>
      <c r="B986" t="s">
        <v>90</v>
      </c>
      <c r="C986" t="s">
        <v>25</v>
      </c>
      <c r="D986">
        <v>0</v>
      </c>
      <c r="E986">
        <v>-122.07</v>
      </c>
      <c r="F986">
        <v>0</v>
      </c>
      <c r="G986">
        <v>2014.096</v>
      </c>
      <c r="H986">
        <v>0</v>
      </c>
      <c r="I986">
        <v>-596.76900000000001</v>
      </c>
    </row>
    <row r="987" spans="1:9" x14ac:dyDescent="0.25">
      <c r="A987" t="s">
        <v>24</v>
      </c>
      <c r="B987" t="s">
        <v>90</v>
      </c>
      <c r="C987" t="s">
        <v>10</v>
      </c>
      <c r="D987">
        <v>0</v>
      </c>
      <c r="E987">
        <v>-122.07</v>
      </c>
      <c r="F987">
        <v>0</v>
      </c>
      <c r="G987">
        <v>2014.096</v>
      </c>
      <c r="H987">
        <v>0</v>
      </c>
      <c r="I987">
        <v>-1085.0350000000001</v>
      </c>
    </row>
    <row r="988" spans="1:9" x14ac:dyDescent="0.25">
      <c r="A988" t="s">
        <v>24</v>
      </c>
      <c r="B988" t="s">
        <v>91</v>
      </c>
      <c r="C988" t="s">
        <v>25</v>
      </c>
      <c r="D988">
        <v>0</v>
      </c>
      <c r="E988">
        <v>-122.07</v>
      </c>
      <c r="F988">
        <v>0</v>
      </c>
      <c r="G988">
        <v>1647.8969999999999</v>
      </c>
      <c r="H988">
        <v>0</v>
      </c>
      <c r="I988">
        <v>-596.76900000000001</v>
      </c>
    </row>
    <row r="989" spans="1:9" x14ac:dyDescent="0.25">
      <c r="A989" t="s">
        <v>24</v>
      </c>
      <c r="B989" t="s">
        <v>91</v>
      </c>
      <c r="C989" t="s">
        <v>10</v>
      </c>
      <c r="D989">
        <v>0</v>
      </c>
      <c r="E989">
        <v>-122.07</v>
      </c>
      <c r="F989">
        <v>0</v>
      </c>
      <c r="G989">
        <v>1647.8969999999999</v>
      </c>
      <c r="H989">
        <v>0</v>
      </c>
      <c r="I989">
        <v>-1085.0350000000001</v>
      </c>
    </row>
    <row r="990" spans="1:9" x14ac:dyDescent="0.25">
      <c r="A990" t="s">
        <v>24</v>
      </c>
      <c r="B990" t="s">
        <v>92</v>
      </c>
      <c r="C990" t="s">
        <v>25</v>
      </c>
      <c r="D990">
        <v>0</v>
      </c>
      <c r="E990">
        <v>122.07</v>
      </c>
      <c r="F990">
        <v>0</v>
      </c>
      <c r="G990">
        <v>-2014.096</v>
      </c>
      <c r="H990">
        <v>0</v>
      </c>
      <c r="I990">
        <v>596.76900000000001</v>
      </c>
    </row>
    <row r="991" spans="1:9" x14ac:dyDescent="0.25">
      <c r="A991" t="s">
        <v>24</v>
      </c>
      <c r="B991" t="s">
        <v>92</v>
      </c>
      <c r="C991" t="s">
        <v>10</v>
      </c>
      <c r="D991">
        <v>0</v>
      </c>
      <c r="E991">
        <v>122.07</v>
      </c>
      <c r="F991">
        <v>0</v>
      </c>
      <c r="G991">
        <v>-2014.096</v>
      </c>
      <c r="H991">
        <v>0</v>
      </c>
      <c r="I991">
        <v>1085.0350000000001</v>
      </c>
    </row>
    <row r="992" spans="1:9" x14ac:dyDescent="0.25">
      <c r="A992" t="s">
        <v>24</v>
      </c>
      <c r="B992" t="s">
        <v>93</v>
      </c>
      <c r="C992" t="s">
        <v>25</v>
      </c>
      <c r="D992">
        <v>0</v>
      </c>
      <c r="E992">
        <v>122.07</v>
      </c>
      <c r="F992">
        <v>0</v>
      </c>
      <c r="G992">
        <v>-1647.8969999999999</v>
      </c>
      <c r="H992">
        <v>0</v>
      </c>
      <c r="I992">
        <v>596.76900000000001</v>
      </c>
    </row>
    <row r="993" spans="1:9" x14ac:dyDescent="0.25">
      <c r="A993" t="s">
        <v>24</v>
      </c>
      <c r="B993" t="s">
        <v>93</v>
      </c>
      <c r="C993" t="s">
        <v>10</v>
      </c>
      <c r="D993">
        <v>0</v>
      </c>
      <c r="E993">
        <v>122.07</v>
      </c>
      <c r="F993">
        <v>0</v>
      </c>
      <c r="G993">
        <v>-1647.8969999999999</v>
      </c>
      <c r="H993">
        <v>0</v>
      </c>
      <c r="I993">
        <v>1085.0350000000001</v>
      </c>
    </row>
    <row r="994" spans="1:9" x14ac:dyDescent="0.25">
      <c r="A994" t="s">
        <v>24</v>
      </c>
      <c r="B994" t="s">
        <v>94</v>
      </c>
      <c r="C994" t="s">
        <v>25</v>
      </c>
      <c r="D994">
        <v>0</v>
      </c>
      <c r="E994">
        <v>0</v>
      </c>
      <c r="F994">
        <v>-147.55000000000001</v>
      </c>
      <c r="G994">
        <v>-2921.462</v>
      </c>
      <c r="H994">
        <v>721.34900000000005</v>
      </c>
      <c r="I994">
        <v>0</v>
      </c>
    </row>
    <row r="995" spans="1:9" x14ac:dyDescent="0.25">
      <c r="A995" t="s">
        <v>24</v>
      </c>
      <c r="B995" t="s">
        <v>94</v>
      </c>
      <c r="C995" t="s">
        <v>10</v>
      </c>
      <c r="D995">
        <v>0</v>
      </c>
      <c r="E995">
        <v>0</v>
      </c>
      <c r="F995">
        <v>-147.55000000000001</v>
      </c>
      <c r="G995">
        <v>-2921.462</v>
      </c>
      <c r="H995">
        <v>1311.5429999999999</v>
      </c>
      <c r="I995">
        <v>0</v>
      </c>
    </row>
    <row r="996" spans="1:9" x14ac:dyDescent="0.25">
      <c r="A996" t="s">
        <v>24</v>
      </c>
      <c r="B996" t="s">
        <v>95</v>
      </c>
      <c r="C996" t="s">
        <v>25</v>
      </c>
      <c r="D996">
        <v>0</v>
      </c>
      <c r="E996">
        <v>0</v>
      </c>
      <c r="F996">
        <v>-147.55000000000001</v>
      </c>
      <c r="G996">
        <v>-2390.2869999999998</v>
      </c>
      <c r="H996">
        <v>721.34900000000005</v>
      </c>
      <c r="I996">
        <v>0</v>
      </c>
    </row>
    <row r="997" spans="1:9" x14ac:dyDescent="0.25">
      <c r="A997" t="s">
        <v>24</v>
      </c>
      <c r="B997" t="s">
        <v>95</v>
      </c>
      <c r="C997" t="s">
        <v>10</v>
      </c>
      <c r="D997">
        <v>0</v>
      </c>
      <c r="E997">
        <v>0</v>
      </c>
      <c r="F997">
        <v>-147.55000000000001</v>
      </c>
      <c r="G997">
        <v>-2390.2869999999998</v>
      </c>
      <c r="H997">
        <v>1311.5429999999999</v>
      </c>
      <c r="I997">
        <v>0</v>
      </c>
    </row>
    <row r="998" spans="1:9" x14ac:dyDescent="0.25">
      <c r="A998" t="s">
        <v>24</v>
      </c>
      <c r="B998" t="s">
        <v>96</v>
      </c>
      <c r="C998" t="s">
        <v>25</v>
      </c>
      <c r="D998">
        <v>0</v>
      </c>
      <c r="E998">
        <v>0</v>
      </c>
      <c r="F998">
        <v>147.55000000000001</v>
      </c>
      <c r="G998">
        <v>2921.462</v>
      </c>
      <c r="H998">
        <v>-721.34900000000005</v>
      </c>
      <c r="I998">
        <v>0</v>
      </c>
    </row>
    <row r="999" spans="1:9" x14ac:dyDescent="0.25">
      <c r="A999" t="s">
        <v>24</v>
      </c>
      <c r="B999" t="s">
        <v>96</v>
      </c>
      <c r="C999" t="s">
        <v>10</v>
      </c>
      <c r="D999">
        <v>0</v>
      </c>
      <c r="E999">
        <v>0</v>
      </c>
      <c r="F999">
        <v>147.55000000000001</v>
      </c>
      <c r="G999">
        <v>2921.462</v>
      </c>
      <c r="H999">
        <v>-1311.5429999999999</v>
      </c>
      <c r="I999">
        <v>0</v>
      </c>
    </row>
    <row r="1000" spans="1:9" x14ac:dyDescent="0.25">
      <c r="A1000" t="s">
        <v>24</v>
      </c>
      <c r="B1000" t="s">
        <v>97</v>
      </c>
      <c r="C1000" t="s">
        <v>25</v>
      </c>
      <c r="D1000">
        <v>0</v>
      </c>
      <c r="E1000">
        <v>0</v>
      </c>
      <c r="F1000">
        <v>147.55000000000001</v>
      </c>
      <c r="G1000">
        <v>2390.2869999999998</v>
      </c>
      <c r="H1000">
        <v>-721.34900000000005</v>
      </c>
      <c r="I1000">
        <v>0</v>
      </c>
    </row>
    <row r="1001" spans="1:9" x14ac:dyDescent="0.25">
      <c r="A1001" t="s">
        <v>24</v>
      </c>
      <c r="B1001" t="s">
        <v>97</v>
      </c>
      <c r="C1001" t="s">
        <v>10</v>
      </c>
      <c r="D1001">
        <v>0</v>
      </c>
      <c r="E1001">
        <v>0</v>
      </c>
      <c r="F1001">
        <v>147.55000000000001</v>
      </c>
      <c r="G1001">
        <v>2390.2869999999998</v>
      </c>
      <c r="H1001">
        <v>-1311.5429999999999</v>
      </c>
      <c r="I1001">
        <v>0</v>
      </c>
    </row>
    <row r="1002" spans="1:9" x14ac:dyDescent="0.25">
      <c r="A1002" t="s">
        <v>24</v>
      </c>
      <c r="B1002" t="s">
        <v>14</v>
      </c>
      <c r="C1002" t="s">
        <v>25</v>
      </c>
      <c r="D1002">
        <v>0</v>
      </c>
      <c r="E1002">
        <v>239.45</v>
      </c>
      <c r="F1002">
        <v>0</v>
      </c>
      <c r="G1002">
        <v>4137.8370000000004</v>
      </c>
      <c r="H1002">
        <v>0</v>
      </c>
      <c r="I1002">
        <v>1271.7080000000001</v>
      </c>
    </row>
    <row r="1003" spans="1:9" x14ac:dyDescent="0.25">
      <c r="A1003" t="s">
        <v>24</v>
      </c>
      <c r="B1003" t="s">
        <v>14</v>
      </c>
      <c r="C1003" t="s">
        <v>10</v>
      </c>
      <c r="D1003">
        <v>0</v>
      </c>
      <c r="E1003">
        <v>239.45</v>
      </c>
      <c r="F1003">
        <v>0</v>
      </c>
      <c r="G1003">
        <v>4137.8370000000004</v>
      </c>
      <c r="H1003">
        <v>0</v>
      </c>
      <c r="I1003">
        <v>2110.34</v>
      </c>
    </row>
    <row r="1004" spans="1:9" x14ac:dyDescent="0.25">
      <c r="A1004" t="s">
        <v>24</v>
      </c>
      <c r="B1004" t="s">
        <v>98</v>
      </c>
      <c r="C1004" t="s">
        <v>25</v>
      </c>
      <c r="D1004">
        <v>0</v>
      </c>
      <c r="E1004">
        <v>-239.45</v>
      </c>
      <c r="F1004">
        <v>0</v>
      </c>
      <c r="G1004">
        <v>-4137.8370000000004</v>
      </c>
      <c r="H1004">
        <v>0</v>
      </c>
      <c r="I1004">
        <v>-1271.7080000000001</v>
      </c>
    </row>
    <row r="1005" spans="1:9" x14ac:dyDescent="0.25">
      <c r="A1005" t="s">
        <v>24</v>
      </c>
      <c r="B1005" t="s">
        <v>98</v>
      </c>
      <c r="C1005" t="s">
        <v>10</v>
      </c>
      <c r="D1005">
        <v>0</v>
      </c>
      <c r="E1005">
        <v>-239.45</v>
      </c>
      <c r="F1005">
        <v>0</v>
      </c>
      <c r="G1005">
        <v>-4137.8370000000004</v>
      </c>
      <c r="H1005">
        <v>0</v>
      </c>
      <c r="I1005">
        <v>-2110.34</v>
      </c>
    </row>
    <row r="1006" spans="1:9" x14ac:dyDescent="0.25">
      <c r="A1006" t="s">
        <v>24</v>
      </c>
      <c r="B1006" t="s">
        <v>15</v>
      </c>
      <c r="C1006" t="s">
        <v>25</v>
      </c>
      <c r="D1006">
        <v>0</v>
      </c>
      <c r="E1006">
        <v>0</v>
      </c>
      <c r="F1006">
        <v>604.76</v>
      </c>
      <c r="G1006">
        <v>12115.743</v>
      </c>
      <c r="H1006">
        <v>3071.299</v>
      </c>
      <c r="I1006">
        <v>0</v>
      </c>
    </row>
    <row r="1007" spans="1:9" x14ac:dyDescent="0.25">
      <c r="A1007" t="s">
        <v>24</v>
      </c>
      <c r="B1007" t="s">
        <v>15</v>
      </c>
      <c r="C1007" t="s">
        <v>10</v>
      </c>
      <c r="D1007">
        <v>0</v>
      </c>
      <c r="E1007">
        <v>0</v>
      </c>
      <c r="F1007">
        <v>604.76</v>
      </c>
      <c r="G1007">
        <v>12115.743</v>
      </c>
      <c r="H1007">
        <v>5424.0720000000001</v>
      </c>
      <c r="I1007">
        <v>0</v>
      </c>
    </row>
    <row r="1008" spans="1:9" x14ac:dyDescent="0.25">
      <c r="A1008" t="s">
        <v>24</v>
      </c>
      <c r="B1008" t="s">
        <v>99</v>
      </c>
      <c r="C1008" t="s">
        <v>25</v>
      </c>
      <c r="D1008">
        <v>0</v>
      </c>
      <c r="E1008">
        <v>0</v>
      </c>
      <c r="F1008">
        <v>-604.76</v>
      </c>
      <c r="G1008">
        <v>-12115.743</v>
      </c>
      <c r="H1008">
        <v>-3071.299</v>
      </c>
      <c r="I1008">
        <v>0</v>
      </c>
    </row>
    <row r="1009" spans="1:9" x14ac:dyDescent="0.25">
      <c r="A1009" t="s">
        <v>24</v>
      </c>
      <c r="B1009" t="s">
        <v>99</v>
      </c>
      <c r="C1009" t="s">
        <v>10</v>
      </c>
      <c r="D1009">
        <v>0</v>
      </c>
      <c r="E1009">
        <v>0</v>
      </c>
      <c r="F1009">
        <v>-604.76</v>
      </c>
      <c r="G1009">
        <v>-12115.743</v>
      </c>
      <c r="H1009">
        <v>-5424.0720000000001</v>
      </c>
      <c r="I1009">
        <v>0</v>
      </c>
    </row>
    <row r="1010" spans="1:9" x14ac:dyDescent="0.25">
      <c r="A1010" t="s">
        <v>24</v>
      </c>
      <c r="B1010" t="s">
        <v>100</v>
      </c>
      <c r="C1010" t="s">
        <v>25</v>
      </c>
      <c r="D1010">
        <v>0</v>
      </c>
      <c r="E1010">
        <v>239.45</v>
      </c>
      <c r="F1010">
        <v>0</v>
      </c>
      <c r="G1010">
        <v>4137.8370000000004</v>
      </c>
      <c r="H1010">
        <v>0</v>
      </c>
      <c r="I1010">
        <v>1271.7080000000001</v>
      </c>
    </row>
    <row r="1011" spans="1:9" x14ac:dyDescent="0.25">
      <c r="A1011" t="s">
        <v>24</v>
      </c>
      <c r="B1011" t="s">
        <v>100</v>
      </c>
      <c r="C1011" t="s">
        <v>10</v>
      </c>
      <c r="D1011">
        <v>0</v>
      </c>
      <c r="E1011">
        <v>239.45</v>
      </c>
      <c r="F1011">
        <v>0</v>
      </c>
      <c r="G1011">
        <v>4137.8370000000004</v>
      </c>
      <c r="H1011">
        <v>0</v>
      </c>
      <c r="I1011">
        <v>2110.34</v>
      </c>
    </row>
    <row r="1012" spans="1:9" x14ac:dyDescent="0.25">
      <c r="A1012" t="s">
        <v>24</v>
      </c>
      <c r="B1012" t="s">
        <v>101</v>
      </c>
      <c r="C1012" t="s">
        <v>25</v>
      </c>
      <c r="D1012">
        <v>0</v>
      </c>
      <c r="E1012">
        <v>-239.45</v>
      </c>
      <c r="F1012">
        <v>0</v>
      </c>
      <c r="G1012">
        <v>-4137.8370000000004</v>
      </c>
      <c r="H1012">
        <v>0</v>
      </c>
      <c r="I1012">
        <v>-1271.7080000000001</v>
      </c>
    </row>
    <row r="1013" spans="1:9" x14ac:dyDescent="0.25">
      <c r="A1013" t="s">
        <v>24</v>
      </c>
      <c r="B1013" t="s">
        <v>101</v>
      </c>
      <c r="C1013" t="s">
        <v>10</v>
      </c>
      <c r="D1013">
        <v>0</v>
      </c>
      <c r="E1013">
        <v>-239.45</v>
      </c>
      <c r="F1013">
        <v>0</v>
      </c>
      <c r="G1013">
        <v>-4137.8370000000004</v>
      </c>
      <c r="H1013">
        <v>0</v>
      </c>
      <c r="I1013">
        <v>-2110.34</v>
      </c>
    </row>
    <row r="1014" spans="1:9" x14ac:dyDescent="0.25">
      <c r="A1014" t="s">
        <v>24</v>
      </c>
      <c r="B1014" t="s">
        <v>102</v>
      </c>
      <c r="C1014" t="s">
        <v>25</v>
      </c>
      <c r="D1014">
        <v>0</v>
      </c>
      <c r="E1014">
        <v>239.45</v>
      </c>
      <c r="F1014">
        <v>0</v>
      </c>
      <c r="G1014">
        <v>4137.8370000000004</v>
      </c>
      <c r="H1014">
        <v>0</v>
      </c>
      <c r="I1014">
        <v>1271.7080000000001</v>
      </c>
    </row>
    <row r="1015" spans="1:9" x14ac:dyDescent="0.25">
      <c r="A1015" t="s">
        <v>24</v>
      </c>
      <c r="B1015" t="s">
        <v>102</v>
      </c>
      <c r="C1015" t="s">
        <v>10</v>
      </c>
      <c r="D1015">
        <v>0</v>
      </c>
      <c r="E1015">
        <v>239.45</v>
      </c>
      <c r="F1015">
        <v>0</v>
      </c>
      <c r="G1015">
        <v>4137.8370000000004</v>
      </c>
      <c r="H1015">
        <v>0</v>
      </c>
      <c r="I1015">
        <v>2110.34</v>
      </c>
    </row>
    <row r="1016" spans="1:9" x14ac:dyDescent="0.25">
      <c r="A1016" t="s">
        <v>24</v>
      </c>
      <c r="B1016" t="s">
        <v>103</v>
      </c>
      <c r="C1016" t="s">
        <v>25</v>
      </c>
      <c r="D1016">
        <v>0</v>
      </c>
      <c r="E1016">
        <v>-239.45</v>
      </c>
      <c r="F1016">
        <v>0</v>
      </c>
      <c r="G1016">
        <v>-4137.8370000000004</v>
      </c>
      <c r="H1016">
        <v>0</v>
      </c>
      <c r="I1016">
        <v>-1271.7080000000001</v>
      </c>
    </row>
    <row r="1017" spans="1:9" x14ac:dyDescent="0.25">
      <c r="A1017" t="s">
        <v>24</v>
      </c>
      <c r="B1017" t="s">
        <v>103</v>
      </c>
      <c r="C1017" t="s">
        <v>10</v>
      </c>
      <c r="D1017">
        <v>0</v>
      </c>
      <c r="E1017">
        <v>-239.45</v>
      </c>
      <c r="F1017">
        <v>0</v>
      </c>
      <c r="G1017">
        <v>-4137.8370000000004</v>
      </c>
      <c r="H1017">
        <v>0</v>
      </c>
      <c r="I1017">
        <v>-2110.34</v>
      </c>
    </row>
    <row r="1018" spans="1:9" x14ac:dyDescent="0.25">
      <c r="A1018" t="s">
        <v>24</v>
      </c>
      <c r="B1018" t="s">
        <v>104</v>
      </c>
      <c r="C1018" t="s">
        <v>25</v>
      </c>
      <c r="D1018">
        <v>0</v>
      </c>
      <c r="E1018">
        <v>0</v>
      </c>
      <c r="F1018">
        <v>604.76</v>
      </c>
      <c r="G1018">
        <v>12115.743</v>
      </c>
      <c r="H1018">
        <v>3071.299</v>
      </c>
      <c r="I1018">
        <v>0</v>
      </c>
    </row>
    <row r="1019" spans="1:9" x14ac:dyDescent="0.25">
      <c r="A1019" t="s">
        <v>24</v>
      </c>
      <c r="B1019" t="s">
        <v>104</v>
      </c>
      <c r="C1019" t="s">
        <v>10</v>
      </c>
      <c r="D1019">
        <v>0</v>
      </c>
      <c r="E1019">
        <v>0</v>
      </c>
      <c r="F1019">
        <v>604.76</v>
      </c>
      <c r="G1019">
        <v>12115.743</v>
      </c>
      <c r="H1019">
        <v>5424.0720000000001</v>
      </c>
      <c r="I1019">
        <v>0</v>
      </c>
    </row>
    <row r="1020" spans="1:9" x14ac:dyDescent="0.25">
      <c r="A1020" t="s">
        <v>24</v>
      </c>
      <c r="B1020" t="s">
        <v>105</v>
      </c>
      <c r="C1020" t="s">
        <v>25</v>
      </c>
      <c r="D1020">
        <v>0</v>
      </c>
      <c r="E1020">
        <v>0</v>
      </c>
      <c r="F1020">
        <v>-604.76</v>
      </c>
      <c r="G1020">
        <v>-12115.743</v>
      </c>
      <c r="H1020">
        <v>-3071.299</v>
      </c>
      <c r="I1020">
        <v>0</v>
      </c>
    </row>
    <row r="1021" spans="1:9" x14ac:dyDescent="0.25">
      <c r="A1021" t="s">
        <v>24</v>
      </c>
      <c r="B1021" t="s">
        <v>105</v>
      </c>
      <c r="C1021" t="s">
        <v>10</v>
      </c>
      <c r="D1021">
        <v>0</v>
      </c>
      <c r="E1021">
        <v>0</v>
      </c>
      <c r="F1021">
        <v>-604.76</v>
      </c>
      <c r="G1021">
        <v>-12115.743</v>
      </c>
      <c r="H1021">
        <v>-5424.0720000000001</v>
      </c>
      <c r="I1021">
        <v>0</v>
      </c>
    </row>
    <row r="1022" spans="1:9" x14ac:dyDescent="0.25">
      <c r="A1022" t="s">
        <v>24</v>
      </c>
      <c r="B1022" t="s">
        <v>106</v>
      </c>
      <c r="C1022" t="s">
        <v>25</v>
      </c>
      <c r="D1022">
        <v>0</v>
      </c>
      <c r="E1022">
        <v>0</v>
      </c>
      <c r="F1022">
        <v>604.76</v>
      </c>
      <c r="G1022">
        <v>12115.743</v>
      </c>
      <c r="H1022">
        <v>3071.299</v>
      </c>
      <c r="I1022">
        <v>0</v>
      </c>
    </row>
    <row r="1023" spans="1:9" x14ac:dyDescent="0.25">
      <c r="A1023" t="s">
        <v>24</v>
      </c>
      <c r="B1023" t="s">
        <v>106</v>
      </c>
      <c r="C1023" t="s">
        <v>10</v>
      </c>
      <c r="D1023">
        <v>0</v>
      </c>
      <c r="E1023">
        <v>0</v>
      </c>
      <c r="F1023">
        <v>604.76</v>
      </c>
      <c r="G1023">
        <v>12115.743</v>
      </c>
      <c r="H1023">
        <v>5424.0720000000001</v>
      </c>
      <c r="I1023">
        <v>0</v>
      </c>
    </row>
    <row r="1024" spans="1:9" x14ac:dyDescent="0.25">
      <c r="A1024" t="s">
        <v>24</v>
      </c>
      <c r="B1024" t="s">
        <v>107</v>
      </c>
      <c r="C1024" t="s">
        <v>25</v>
      </c>
      <c r="D1024">
        <v>0</v>
      </c>
      <c r="E1024">
        <v>0</v>
      </c>
      <c r="F1024">
        <v>-604.76</v>
      </c>
      <c r="G1024">
        <v>-12115.743</v>
      </c>
      <c r="H1024">
        <v>-3071.299</v>
      </c>
      <c r="I1024">
        <v>0</v>
      </c>
    </row>
    <row r="1025" spans="1:9" x14ac:dyDescent="0.25">
      <c r="A1025" t="s">
        <v>24</v>
      </c>
      <c r="B1025" t="s">
        <v>107</v>
      </c>
      <c r="C1025" t="s">
        <v>10</v>
      </c>
      <c r="D1025">
        <v>0</v>
      </c>
      <c r="E1025">
        <v>0</v>
      </c>
      <c r="F1025">
        <v>-604.76</v>
      </c>
      <c r="G1025">
        <v>-12115.743</v>
      </c>
      <c r="H1025">
        <v>-5424.0720000000001</v>
      </c>
      <c r="I1025">
        <v>0</v>
      </c>
    </row>
    <row r="1026" spans="1:9" x14ac:dyDescent="0.25">
      <c r="A1026" t="s">
        <v>24</v>
      </c>
      <c r="B1026" t="s">
        <v>108</v>
      </c>
      <c r="C1026" t="s">
        <v>25</v>
      </c>
      <c r="D1026">
        <v>0</v>
      </c>
      <c r="E1026">
        <v>71.84</v>
      </c>
      <c r="F1026">
        <v>0</v>
      </c>
      <c r="G1026">
        <v>1241.3510000000001</v>
      </c>
      <c r="H1026">
        <v>0</v>
      </c>
      <c r="I1026">
        <v>381.512</v>
      </c>
    </row>
    <row r="1027" spans="1:9" x14ac:dyDescent="0.25">
      <c r="A1027" t="s">
        <v>24</v>
      </c>
      <c r="B1027" t="s">
        <v>108</v>
      </c>
      <c r="C1027" t="s">
        <v>10</v>
      </c>
      <c r="D1027">
        <v>0</v>
      </c>
      <c r="E1027">
        <v>71.84</v>
      </c>
      <c r="F1027">
        <v>0</v>
      </c>
      <c r="G1027">
        <v>1241.3510000000001</v>
      </c>
      <c r="H1027">
        <v>0</v>
      </c>
      <c r="I1027">
        <v>633.10199999999998</v>
      </c>
    </row>
    <row r="1028" spans="1:9" x14ac:dyDescent="0.25">
      <c r="A1028" t="s">
        <v>24</v>
      </c>
      <c r="B1028" t="s">
        <v>109</v>
      </c>
      <c r="C1028" t="s">
        <v>25</v>
      </c>
      <c r="D1028">
        <v>0</v>
      </c>
      <c r="E1028">
        <v>-71.84</v>
      </c>
      <c r="F1028">
        <v>0</v>
      </c>
      <c r="G1028">
        <v>-1241.3510000000001</v>
      </c>
      <c r="H1028">
        <v>0</v>
      </c>
      <c r="I1028">
        <v>-381.512</v>
      </c>
    </row>
    <row r="1029" spans="1:9" x14ac:dyDescent="0.25">
      <c r="A1029" t="s">
        <v>24</v>
      </c>
      <c r="B1029" t="s">
        <v>109</v>
      </c>
      <c r="C1029" t="s">
        <v>10</v>
      </c>
      <c r="D1029">
        <v>0</v>
      </c>
      <c r="E1029">
        <v>-71.84</v>
      </c>
      <c r="F1029">
        <v>0</v>
      </c>
      <c r="G1029">
        <v>-1241.3510000000001</v>
      </c>
      <c r="H1029">
        <v>0</v>
      </c>
      <c r="I1029">
        <v>-633.10199999999998</v>
      </c>
    </row>
    <row r="1030" spans="1:9" x14ac:dyDescent="0.25">
      <c r="A1030" t="s">
        <v>24</v>
      </c>
      <c r="B1030" t="s">
        <v>110</v>
      </c>
      <c r="C1030" t="s">
        <v>25</v>
      </c>
      <c r="D1030">
        <v>0</v>
      </c>
      <c r="E1030">
        <v>71.84</v>
      </c>
      <c r="F1030">
        <v>0</v>
      </c>
      <c r="G1030">
        <v>1241.3510000000001</v>
      </c>
      <c r="H1030">
        <v>0</v>
      </c>
      <c r="I1030">
        <v>381.512</v>
      </c>
    </row>
    <row r="1031" spans="1:9" x14ac:dyDescent="0.25">
      <c r="A1031" t="s">
        <v>24</v>
      </c>
      <c r="B1031" t="s">
        <v>110</v>
      </c>
      <c r="C1031" t="s">
        <v>10</v>
      </c>
      <c r="D1031">
        <v>0</v>
      </c>
      <c r="E1031">
        <v>71.84</v>
      </c>
      <c r="F1031">
        <v>0</v>
      </c>
      <c r="G1031">
        <v>1241.3510000000001</v>
      </c>
      <c r="H1031">
        <v>0</v>
      </c>
      <c r="I1031">
        <v>633.10199999999998</v>
      </c>
    </row>
    <row r="1032" spans="1:9" x14ac:dyDescent="0.25">
      <c r="A1032" t="s">
        <v>24</v>
      </c>
      <c r="B1032" t="s">
        <v>111</v>
      </c>
      <c r="C1032" t="s">
        <v>25</v>
      </c>
      <c r="D1032">
        <v>0</v>
      </c>
      <c r="E1032">
        <v>-71.84</v>
      </c>
      <c r="F1032">
        <v>0</v>
      </c>
      <c r="G1032">
        <v>-1241.3510000000001</v>
      </c>
      <c r="H1032">
        <v>0</v>
      </c>
      <c r="I1032">
        <v>-381.512</v>
      </c>
    </row>
    <row r="1033" spans="1:9" x14ac:dyDescent="0.25">
      <c r="A1033" t="s">
        <v>24</v>
      </c>
      <c r="B1033" t="s">
        <v>111</v>
      </c>
      <c r="C1033" t="s">
        <v>10</v>
      </c>
      <c r="D1033">
        <v>0</v>
      </c>
      <c r="E1033">
        <v>-71.84</v>
      </c>
      <c r="F1033">
        <v>0</v>
      </c>
      <c r="G1033">
        <v>-1241.3510000000001</v>
      </c>
      <c r="H1033">
        <v>0</v>
      </c>
      <c r="I1033">
        <v>-633.10199999999998</v>
      </c>
    </row>
    <row r="1034" spans="1:9" x14ac:dyDescent="0.25">
      <c r="A1034" t="s">
        <v>24</v>
      </c>
      <c r="B1034" t="s">
        <v>112</v>
      </c>
      <c r="C1034" t="s">
        <v>25</v>
      </c>
      <c r="D1034">
        <v>0</v>
      </c>
      <c r="E1034">
        <v>0</v>
      </c>
      <c r="F1034">
        <v>181.43</v>
      </c>
      <c r="G1034">
        <v>3634.723</v>
      </c>
      <c r="H1034">
        <v>921.39</v>
      </c>
      <c r="I1034">
        <v>0</v>
      </c>
    </row>
    <row r="1035" spans="1:9" x14ac:dyDescent="0.25">
      <c r="A1035" t="s">
        <v>24</v>
      </c>
      <c r="B1035" t="s">
        <v>112</v>
      </c>
      <c r="C1035" t="s">
        <v>10</v>
      </c>
      <c r="D1035">
        <v>0</v>
      </c>
      <c r="E1035">
        <v>0</v>
      </c>
      <c r="F1035">
        <v>181.43</v>
      </c>
      <c r="G1035">
        <v>3634.723</v>
      </c>
      <c r="H1035">
        <v>1627.222</v>
      </c>
      <c r="I1035">
        <v>0</v>
      </c>
    </row>
    <row r="1036" spans="1:9" x14ac:dyDescent="0.25">
      <c r="A1036" t="s">
        <v>24</v>
      </c>
      <c r="B1036" t="s">
        <v>113</v>
      </c>
      <c r="C1036" t="s">
        <v>25</v>
      </c>
      <c r="D1036">
        <v>0</v>
      </c>
      <c r="E1036">
        <v>0</v>
      </c>
      <c r="F1036">
        <v>-181.43</v>
      </c>
      <c r="G1036">
        <v>-3634.723</v>
      </c>
      <c r="H1036">
        <v>-921.39</v>
      </c>
      <c r="I1036">
        <v>0</v>
      </c>
    </row>
    <row r="1037" spans="1:9" x14ac:dyDescent="0.25">
      <c r="A1037" t="s">
        <v>24</v>
      </c>
      <c r="B1037" t="s">
        <v>113</v>
      </c>
      <c r="C1037" t="s">
        <v>10</v>
      </c>
      <c r="D1037">
        <v>0</v>
      </c>
      <c r="E1037">
        <v>0</v>
      </c>
      <c r="F1037">
        <v>-181.43</v>
      </c>
      <c r="G1037">
        <v>-3634.723</v>
      </c>
      <c r="H1037">
        <v>-1627.222</v>
      </c>
      <c r="I1037">
        <v>0</v>
      </c>
    </row>
    <row r="1038" spans="1:9" x14ac:dyDescent="0.25">
      <c r="A1038" t="s">
        <v>24</v>
      </c>
      <c r="B1038" t="s">
        <v>114</v>
      </c>
      <c r="C1038" t="s">
        <v>25</v>
      </c>
      <c r="D1038">
        <v>0</v>
      </c>
      <c r="E1038">
        <v>0</v>
      </c>
      <c r="F1038">
        <v>181.43</v>
      </c>
      <c r="G1038">
        <v>3634.723</v>
      </c>
      <c r="H1038">
        <v>921.39</v>
      </c>
      <c r="I1038">
        <v>0</v>
      </c>
    </row>
    <row r="1039" spans="1:9" x14ac:dyDescent="0.25">
      <c r="A1039" t="s">
        <v>24</v>
      </c>
      <c r="B1039" t="s">
        <v>114</v>
      </c>
      <c r="C1039" t="s">
        <v>10</v>
      </c>
      <c r="D1039">
        <v>0</v>
      </c>
      <c r="E1039">
        <v>0</v>
      </c>
      <c r="F1039">
        <v>181.43</v>
      </c>
      <c r="G1039">
        <v>3634.723</v>
      </c>
      <c r="H1039">
        <v>1627.222</v>
      </c>
      <c r="I1039">
        <v>0</v>
      </c>
    </row>
    <row r="1040" spans="1:9" x14ac:dyDescent="0.25">
      <c r="A1040" t="s">
        <v>24</v>
      </c>
      <c r="B1040" t="s">
        <v>115</v>
      </c>
      <c r="C1040" t="s">
        <v>25</v>
      </c>
      <c r="D1040">
        <v>0</v>
      </c>
      <c r="E1040">
        <v>0</v>
      </c>
      <c r="F1040">
        <v>-181.43</v>
      </c>
      <c r="G1040">
        <v>-3634.723</v>
      </c>
      <c r="H1040">
        <v>-921.39</v>
      </c>
      <c r="I1040">
        <v>0</v>
      </c>
    </row>
    <row r="1041" spans="1:9" x14ac:dyDescent="0.25">
      <c r="A1041" t="s">
        <v>24</v>
      </c>
      <c r="B1041" t="s">
        <v>115</v>
      </c>
      <c r="C1041" t="s">
        <v>10</v>
      </c>
      <c r="D1041">
        <v>0</v>
      </c>
      <c r="E1041">
        <v>0</v>
      </c>
      <c r="F1041">
        <v>-181.43</v>
      </c>
      <c r="G1041">
        <v>-3634.723</v>
      </c>
      <c r="H1041">
        <v>-1627.222</v>
      </c>
      <c r="I1041">
        <v>0</v>
      </c>
    </row>
    <row r="1042" spans="1:9" x14ac:dyDescent="0.25">
      <c r="A1042" t="s">
        <v>24</v>
      </c>
      <c r="B1042" t="s">
        <v>116</v>
      </c>
      <c r="C1042" t="s">
        <v>25</v>
      </c>
      <c r="D1042">
        <v>0</v>
      </c>
      <c r="E1042">
        <v>239.45</v>
      </c>
      <c r="F1042">
        <v>0</v>
      </c>
      <c r="G1042">
        <v>4137.8370000000004</v>
      </c>
      <c r="H1042">
        <v>0</v>
      </c>
      <c r="I1042">
        <v>1271.7080000000001</v>
      </c>
    </row>
    <row r="1043" spans="1:9" x14ac:dyDescent="0.25">
      <c r="A1043" t="s">
        <v>24</v>
      </c>
      <c r="B1043" t="s">
        <v>116</v>
      </c>
      <c r="C1043" t="s">
        <v>10</v>
      </c>
      <c r="D1043">
        <v>0</v>
      </c>
      <c r="E1043">
        <v>239.45</v>
      </c>
      <c r="F1043">
        <v>0</v>
      </c>
      <c r="G1043">
        <v>4137.8370000000004</v>
      </c>
      <c r="H1043">
        <v>0</v>
      </c>
      <c r="I1043">
        <v>2110.34</v>
      </c>
    </row>
    <row r="1044" spans="1:9" x14ac:dyDescent="0.25">
      <c r="A1044" t="s">
        <v>24</v>
      </c>
      <c r="B1044" t="s">
        <v>117</v>
      </c>
      <c r="C1044" t="s">
        <v>25</v>
      </c>
      <c r="D1044">
        <v>0</v>
      </c>
      <c r="E1044">
        <v>-239.45</v>
      </c>
      <c r="F1044">
        <v>0</v>
      </c>
      <c r="G1044">
        <v>-4137.8370000000004</v>
      </c>
      <c r="H1044">
        <v>0</v>
      </c>
      <c r="I1044">
        <v>-1271.7080000000001</v>
      </c>
    </row>
    <row r="1045" spans="1:9" x14ac:dyDescent="0.25">
      <c r="A1045" t="s">
        <v>24</v>
      </c>
      <c r="B1045" t="s">
        <v>117</v>
      </c>
      <c r="C1045" t="s">
        <v>10</v>
      </c>
      <c r="D1045">
        <v>0</v>
      </c>
      <c r="E1045">
        <v>-239.45</v>
      </c>
      <c r="F1045">
        <v>0</v>
      </c>
      <c r="G1045">
        <v>-4137.8370000000004</v>
      </c>
      <c r="H1045">
        <v>0</v>
      </c>
      <c r="I1045">
        <v>-2110.34</v>
      </c>
    </row>
    <row r="1046" spans="1:9" x14ac:dyDescent="0.25">
      <c r="A1046" t="s">
        <v>24</v>
      </c>
      <c r="B1046" t="s">
        <v>118</v>
      </c>
      <c r="C1046" t="s">
        <v>25</v>
      </c>
      <c r="D1046">
        <v>0</v>
      </c>
      <c r="E1046">
        <v>239.45</v>
      </c>
      <c r="F1046">
        <v>0</v>
      </c>
      <c r="G1046">
        <v>4137.8370000000004</v>
      </c>
      <c r="H1046">
        <v>0</v>
      </c>
      <c r="I1046">
        <v>1271.7080000000001</v>
      </c>
    </row>
    <row r="1047" spans="1:9" x14ac:dyDescent="0.25">
      <c r="A1047" t="s">
        <v>24</v>
      </c>
      <c r="B1047" t="s">
        <v>118</v>
      </c>
      <c r="C1047" t="s">
        <v>10</v>
      </c>
      <c r="D1047">
        <v>0</v>
      </c>
      <c r="E1047">
        <v>239.45</v>
      </c>
      <c r="F1047">
        <v>0</v>
      </c>
      <c r="G1047">
        <v>4137.8370000000004</v>
      </c>
      <c r="H1047">
        <v>0</v>
      </c>
      <c r="I1047">
        <v>2110.34</v>
      </c>
    </row>
    <row r="1048" spans="1:9" x14ac:dyDescent="0.25">
      <c r="A1048" t="s">
        <v>24</v>
      </c>
      <c r="B1048" t="s">
        <v>119</v>
      </c>
      <c r="C1048" t="s">
        <v>25</v>
      </c>
      <c r="D1048">
        <v>0</v>
      </c>
      <c r="E1048">
        <v>-239.45</v>
      </c>
      <c r="F1048">
        <v>0</v>
      </c>
      <c r="G1048">
        <v>-4137.8370000000004</v>
      </c>
      <c r="H1048">
        <v>0</v>
      </c>
      <c r="I1048">
        <v>-1271.7080000000001</v>
      </c>
    </row>
    <row r="1049" spans="1:9" x14ac:dyDescent="0.25">
      <c r="A1049" t="s">
        <v>24</v>
      </c>
      <c r="B1049" t="s">
        <v>119</v>
      </c>
      <c r="C1049" t="s">
        <v>10</v>
      </c>
      <c r="D1049">
        <v>0</v>
      </c>
      <c r="E1049">
        <v>-239.45</v>
      </c>
      <c r="F1049">
        <v>0</v>
      </c>
      <c r="G1049">
        <v>-4137.8370000000004</v>
      </c>
      <c r="H1049">
        <v>0</v>
      </c>
      <c r="I1049">
        <v>-2110.34</v>
      </c>
    </row>
    <row r="1050" spans="1:9" x14ac:dyDescent="0.25">
      <c r="A1050" t="s">
        <v>24</v>
      </c>
      <c r="B1050" t="s">
        <v>120</v>
      </c>
      <c r="C1050" t="s">
        <v>25</v>
      </c>
      <c r="D1050">
        <v>0</v>
      </c>
      <c r="E1050">
        <v>0</v>
      </c>
      <c r="F1050">
        <v>604.76</v>
      </c>
      <c r="G1050">
        <v>12115.743</v>
      </c>
      <c r="H1050">
        <v>3071.299</v>
      </c>
      <c r="I1050">
        <v>0</v>
      </c>
    </row>
    <row r="1051" spans="1:9" x14ac:dyDescent="0.25">
      <c r="A1051" t="s">
        <v>24</v>
      </c>
      <c r="B1051" t="s">
        <v>120</v>
      </c>
      <c r="C1051" t="s">
        <v>10</v>
      </c>
      <c r="D1051">
        <v>0</v>
      </c>
      <c r="E1051">
        <v>0</v>
      </c>
      <c r="F1051">
        <v>604.76</v>
      </c>
      <c r="G1051">
        <v>12115.743</v>
      </c>
      <c r="H1051">
        <v>5424.0720000000001</v>
      </c>
      <c r="I1051">
        <v>0</v>
      </c>
    </row>
    <row r="1052" spans="1:9" x14ac:dyDescent="0.25">
      <c r="A1052" t="s">
        <v>24</v>
      </c>
      <c r="B1052" t="s">
        <v>121</v>
      </c>
      <c r="C1052" t="s">
        <v>25</v>
      </c>
      <c r="D1052">
        <v>0</v>
      </c>
      <c r="E1052">
        <v>0</v>
      </c>
      <c r="F1052">
        <v>-604.76</v>
      </c>
      <c r="G1052">
        <v>-12115.743</v>
      </c>
      <c r="H1052">
        <v>-3071.299</v>
      </c>
      <c r="I1052">
        <v>0</v>
      </c>
    </row>
    <row r="1053" spans="1:9" x14ac:dyDescent="0.25">
      <c r="A1053" t="s">
        <v>24</v>
      </c>
      <c r="B1053" t="s">
        <v>121</v>
      </c>
      <c r="C1053" t="s">
        <v>10</v>
      </c>
      <c r="D1053">
        <v>0</v>
      </c>
      <c r="E1053">
        <v>0</v>
      </c>
      <c r="F1053">
        <v>-604.76</v>
      </c>
      <c r="G1053">
        <v>-12115.743</v>
      </c>
      <c r="H1053">
        <v>-5424.0720000000001</v>
      </c>
      <c r="I1053">
        <v>0</v>
      </c>
    </row>
    <row r="1054" spans="1:9" x14ac:dyDescent="0.25">
      <c r="A1054" t="s">
        <v>24</v>
      </c>
      <c r="B1054" t="s">
        <v>122</v>
      </c>
      <c r="C1054" t="s">
        <v>25</v>
      </c>
      <c r="D1054">
        <v>0</v>
      </c>
      <c r="E1054">
        <v>0</v>
      </c>
      <c r="F1054">
        <v>604.76</v>
      </c>
      <c r="G1054">
        <v>12115.743</v>
      </c>
      <c r="H1054">
        <v>3071.299</v>
      </c>
      <c r="I1054">
        <v>0</v>
      </c>
    </row>
    <row r="1055" spans="1:9" x14ac:dyDescent="0.25">
      <c r="A1055" t="s">
        <v>24</v>
      </c>
      <c r="B1055" t="s">
        <v>122</v>
      </c>
      <c r="C1055" t="s">
        <v>10</v>
      </c>
      <c r="D1055">
        <v>0</v>
      </c>
      <c r="E1055">
        <v>0</v>
      </c>
      <c r="F1055">
        <v>604.76</v>
      </c>
      <c r="G1055">
        <v>12115.743</v>
      </c>
      <c r="H1055">
        <v>5424.0720000000001</v>
      </c>
      <c r="I1055">
        <v>0</v>
      </c>
    </row>
    <row r="1056" spans="1:9" x14ac:dyDescent="0.25">
      <c r="A1056" t="s">
        <v>24</v>
      </c>
      <c r="B1056" t="s">
        <v>123</v>
      </c>
      <c r="C1056" t="s">
        <v>25</v>
      </c>
      <c r="D1056">
        <v>0</v>
      </c>
      <c r="E1056">
        <v>0</v>
      </c>
      <c r="F1056">
        <v>-604.76</v>
      </c>
      <c r="G1056">
        <v>-12115.743</v>
      </c>
      <c r="H1056">
        <v>-3071.299</v>
      </c>
      <c r="I1056">
        <v>0</v>
      </c>
    </row>
    <row r="1057" spans="1:9" x14ac:dyDescent="0.25">
      <c r="A1057" t="s">
        <v>24</v>
      </c>
      <c r="B1057" t="s">
        <v>123</v>
      </c>
      <c r="C1057" t="s">
        <v>10</v>
      </c>
      <c r="D1057">
        <v>0</v>
      </c>
      <c r="E1057">
        <v>0</v>
      </c>
      <c r="F1057">
        <v>-604.76</v>
      </c>
      <c r="G1057">
        <v>-12115.743</v>
      </c>
      <c r="H1057">
        <v>-5424.0720000000001</v>
      </c>
      <c r="I1057">
        <v>0</v>
      </c>
    </row>
    <row r="1058" spans="1:9" x14ac:dyDescent="0.25">
      <c r="A1058" t="s">
        <v>24</v>
      </c>
      <c r="B1058" t="s">
        <v>124</v>
      </c>
      <c r="C1058" t="s">
        <v>25</v>
      </c>
      <c r="D1058">
        <v>0</v>
      </c>
      <c r="E1058">
        <v>71.84</v>
      </c>
      <c r="F1058">
        <v>0</v>
      </c>
      <c r="G1058">
        <v>1241.3510000000001</v>
      </c>
      <c r="H1058">
        <v>0</v>
      </c>
      <c r="I1058">
        <v>381.512</v>
      </c>
    </row>
    <row r="1059" spans="1:9" x14ac:dyDescent="0.25">
      <c r="A1059" t="s">
        <v>24</v>
      </c>
      <c r="B1059" t="s">
        <v>124</v>
      </c>
      <c r="C1059" t="s">
        <v>10</v>
      </c>
      <c r="D1059">
        <v>0</v>
      </c>
      <c r="E1059">
        <v>71.84</v>
      </c>
      <c r="F1059">
        <v>0</v>
      </c>
      <c r="G1059">
        <v>1241.3510000000001</v>
      </c>
      <c r="H1059">
        <v>0</v>
      </c>
      <c r="I1059">
        <v>633.10199999999998</v>
      </c>
    </row>
    <row r="1060" spans="1:9" x14ac:dyDescent="0.25">
      <c r="A1060" t="s">
        <v>24</v>
      </c>
      <c r="B1060" t="s">
        <v>125</v>
      </c>
      <c r="C1060" t="s">
        <v>25</v>
      </c>
      <c r="D1060">
        <v>0</v>
      </c>
      <c r="E1060">
        <v>-71.84</v>
      </c>
      <c r="F1060">
        <v>0</v>
      </c>
      <c r="G1060">
        <v>-1241.3510000000001</v>
      </c>
      <c r="H1060">
        <v>0</v>
      </c>
      <c r="I1060">
        <v>-381.512</v>
      </c>
    </row>
    <row r="1061" spans="1:9" x14ac:dyDescent="0.25">
      <c r="A1061" t="s">
        <v>24</v>
      </c>
      <c r="B1061" t="s">
        <v>125</v>
      </c>
      <c r="C1061" t="s">
        <v>10</v>
      </c>
      <c r="D1061">
        <v>0</v>
      </c>
      <c r="E1061">
        <v>-71.84</v>
      </c>
      <c r="F1061">
        <v>0</v>
      </c>
      <c r="G1061">
        <v>-1241.3510000000001</v>
      </c>
      <c r="H1061">
        <v>0</v>
      </c>
      <c r="I1061">
        <v>-633.10199999999998</v>
      </c>
    </row>
    <row r="1062" spans="1:9" x14ac:dyDescent="0.25">
      <c r="A1062" t="s">
        <v>24</v>
      </c>
      <c r="B1062" t="s">
        <v>126</v>
      </c>
      <c r="C1062" t="s">
        <v>25</v>
      </c>
      <c r="D1062">
        <v>0</v>
      </c>
      <c r="E1062">
        <v>71.84</v>
      </c>
      <c r="F1062">
        <v>0</v>
      </c>
      <c r="G1062">
        <v>1241.3510000000001</v>
      </c>
      <c r="H1062">
        <v>0</v>
      </c>
      <c r="I1062">
        <v>381.512</v>
      </c>
    </row>
    <row r="1063" spans="1:9" x14ac:dyDescent="0.25">
      <c r="A1063" t="s">
        <v>24</v>
      </c>
      <c r="B1063" t="s">
        <v>126</v>
      </c>
      <c r="C1063" t="s">
        <v>10</v>
      </c>
      <c r="D1063">
        <v>0</v>
      </c>
      <c r="E1063">
        <v>71.84</v>
      </c>
      <c r="F1063">
        <v>0</v>
      </c>
      <c r="G1063">
        <v>1241.3510000000001</v>
      </c>
      <c r="H1063">
        <v>0</v>
      </c>
      <c r="I1063">
        <v>633.10199999999998</v>
      </c>
    </row>
    <row r="1064" spans="1:9" x14ac:dyDescent="0.25">
      <c r="A1064" t="s">
        <v>24</v>
      </c>
      <c r="B1064" t="s">
        <v>127</v>
      </c>
      <c r="C1064" t="s">
        <v>25</v>
      </c>
      <c r="D1064">
        <v>0</v>
      </c>
      <c r="E1064">
        <v>-71.84</v>
      </c>
      <c r="F1064">
        <v>0</v>
      </c>
      <c r="G1064">
        <v>-1241.3510000000001</v>
      </c>
      <c r="H1064">
        <v>0</v>
      </c>
      <c r="I1064">
        <v>-381.512</v>
      </c>
    </row>
    <row r="1065" spans="1:9" x14ac:dyDescent="0.25">
      <c r="A1065" t="s">
        <v>24</v>
      </c>
      <c r="B1065" t="s">
        <v>127</v>
      </c>
      <c r="C1065" t="s">
        <v>10</v>
      </c>
      <c r="D1065">
        <v>0</v>
      </c>
      <c r="E1065">
        <v>-71.84</v>
      </c>
      <c r="F1065">
        <v>0</v>
      </c>
      <c r="G1065">
        <v>-1241.3510000000001</v>
      </c>
      <c r="H1065">
        <v>0</v>
      </c>
      <c r="I1065">
        <v>-633.10199999999998</v>
      </c>
    </row>
    <row r="1066" spans="1:9" x14ac:dyDescent="0.25">
      <c r="A1066" t="s">
        <v>24</v>
      </c>
      <c r="B1066" t="s">
        <v>128</v>
      </c>
      <c r="C1066" t="s">
        <v>25</v>
      </c>
      <c r="D1066">
        <v>0</v>
      </c>
      <c r="E1066">
        <v>0</v>
      </c>
      <c r="F1066">
        <v>181.43</v>
      </c>
      <c r="G1066">
        <v>3634.723</v>
      </c>
      <c r="H1066">
        <v>921.39</v>
      </c>
      <c r="I1066">
        <v>0</v>
      </c>
    </row>
    <row r="1067" spans="1:9" x14ac:dyDescent="0.25">
      <c r="A1067" t="s">
        <v>24</v>
      </c>
      <c r="B1067" t="s">
        <v>128</v>
      </c>
      <c r="C1067" t="s">
        <v>10</v>
      </c>
      <c r="D1067">
        <v>0</v>
      </c>
      <c r="E1067">
        <v>0</v>
      </c>
      <c r="F1067">
        <v>181.43</v>
      </c>
      <c r="G1067">
        <v>3634.723</v>
      </c>
      <c r="H1067">
        <v>1627.222</v>
      </c>
      <c r="I1067">
        <v>0</v>
      </c>
    </row>
    <row r="1068" spans="1:9" x14ac:dyDescent="0.25">
      <c r="A1068" t="s">
        <v>24</v>
      </c>
      <c r="B1068" t="s">
        <v>129</v>
      </c>
      <c r="C1068" t="s">
        <v>25</v>
      </c>
      <c r="D1068">
        <v>0</v>
      </c>
      <c r="E1068">
        <v>0</v>
      </c>
      <c r="F1068">
        <v>-181.43</v>
      </c>
      <c r="G1068">
        <v>-3634.723</v>
      </c>
      <c r="H1068">
        <v>-921.39</v>
      </c>
      <c r="I1068">
        <v>0</v>
      </c>
    </row>
    <row r="1069" spans="1:9" x14ac:dyDescent="0.25">
      <c r="A1069" t="s">
        <v>24</v>
      </c>
      <c r="B1069" t="s">
        <v>129</v>
      </c>
      <c r="C1069" t="s">
        <v>10</v>
      </c>
      <c r="D1069">
        <v>0</v>
      </c>
      <c r="E1069">
        <v>0</v>
      </c>
      <c r="F1069">
        <v>-181.43</v>
      </c>
      <c r="G1069">
        <v>-3634.723</v>
      </c>
      <c r="H1069">
        <v>-1627.222</v>
      </c>
      <c r="I1069">
        <v>0</v>
      </c>
    </row>
    <row r="1070" spans="1:9" x14ac:dyDescent="0.25">
      <c r="A1070" t="s">
        <v>24</v>
      </c>
      <c r="B1070" t="s">
        <v>130</v>
      </c>
      <c r="C1070" t="s">
        <v>25</v>
      </c>
      <c r="D1070">
        <v>0</v>
      </c>
      <c r="E1070">
        <v>0</v>
      </c>
      <c r="F1070">
        <v>181.43</v>
      </c>
      <c r="G1070">
        <v>3634.723</v>
      </c>
      <c r="H1070">
        <v>921.39</v>
      </c>
      <c r="I1070">
        <v>0</v>
      </c>
    </row>
    <row r="1071" spans="1:9" x14ac:dyDescent="0.25">
      <c r="A1071" t="s">
        <v>24</v>
      </c>
      <c r="B1071" t="s">
        <v>130</v>
      </c>
      <c r="C1071" t="s">
        <v>10</v>
      </c>
      <c r="D1071">
        <v>0</v>
      </c>
      <c r="E1071">
        <v>0</v>
      </c>
      <c r="F1071">
        <v>181.43</v>
      </c>
      <c r="G1071">
        <v>3634.723</v>
      </c>
      <c r="H1071">
        <v>1627.222</v>
      </c>
      <c r="I1071">
        <v>0</v>
      </c>
    </row>
    <row r="1072" spans="1:9" x14ac:dyDescent="0.25">
      <c r="A1072" t="s">
        <v>24</v>
      </c>
      <c r="B1072" t="s">
        <v>131</v>
      </c>
      <c r="C1072" t="s">
        <v>25</v>
      </c>
      <c r="D1072">
        <v>0</v>
      </c>
      <c r="E1072">
        <v>0</v>
      </c>
      <c r="F1072">
        <v>-181.43</v>
      </c>
      <c r="G1072">
        <v>-3634.723</v>
      </c>
      <c r="H1072">
        <v>-921.39</v>
      </c>
      <c r="I1072">
        <v>0</v>
      </c>
    </row>
    <row r="1073" spans="1:9" x14ac:dyDescent="0.25">
      <c r="A1073" t="s">
        <v>24</v>
      </c>
      <c r="B1073" t="s">
        <v>131</v>
      </c>
      <c r="C1073" t="s">
        <v>10</v>
      </c>
      <c r="D1073">
        <v>0</v>
      </c>
      <c r="E1073">
        <v>0</v>
      </c>
      <c r="F1073">
        <v>-181.43</v>
      </c>
      <c r="G1073">
        <v>-3634.723</v>
      </c>
      <c r="H1073">
        <v>-1627.222</v>
      </c>
      <c r="I1073">
        <v>0</v>
      </c>
    </row>
    <row r="1074" spans="1:9" x14ac:dyDescent="0.25">
      <c r="A1074" t="s">
        <v>24</v>
      </c>
      <c r="B1074" t="s">
        <v>132</v>
      </c>
      <c r="C1074" t="s">
        <v>25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</row>
    <row r="1075" spans="1:9" x14ac:dyDescent="0.25">
      <c r="A1075" t="s">
        <v>24</v>
      </c>
      <c r="B1075" t="s">
        <v>132</v>
      </c>
      <c r="C1075" t="s">
        <v>10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</row>
    <row r="1076" spans="1:9" x14ac:dyDescent="0.25">
      <c r="A1076" t="s">
        <v>24</v>
      </c>
      <c r="B1076" t="s">
        <v>133</v>
      </c>
      <c r="C1076" t="s">
        <v>25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</row>
    <row r="1077" spans="1:9" x14ac:dyDescent="0.25">
      <c r="A1077" t="s">
        <v>24</v>
      </c>
      <c r="B1077" t="s">
        <v>133</v>
      </c>
      <c r="C1077" t="s">
        <v>10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</row>
    <row r="1078" spans="1:9" x14ac:dyDescent="0.25">
      <c r="A1078" t="s">
        <v>24</v>
      </c>
      <c r="B1078" t="s">
        <v>134</v>
      </c>
      <c r="C1078" t="s">
        <v>25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</row>
    <row r="1079" spans="1:9" x14ac:dyDescent="0.25">
      <c r="A1079" t="s">
        <v>24</v>
      </c>
      <c r="B1079" t="s">
        <v>134</v>
      </c>
      <c r="C1079" t="s">
        <v>10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</row>
    <row r="1080" spans="1:9" x14ac:dyDescent="0.25">
      <c r="A1080" t="s">
        <v>24</v>
      </c>
      <c r="B1080" t="s">
        <v>135</v>
      </c>
      <c r="C1080" t="s">
        <v>25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</row>
    <row r="1081" spans="1:9" x14ac:dyDescent="0.25">
      <c r="A1081" t="s">
        <v>24</v>
      </c>
      <c r="B1081" t="s">
        <v>135</v>
      </c>
      <c r="C1081" t="s">
        <v>10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</row>
    <row r="1082" spans="1:9" x14ac:dyDescent="0.25">
      <c r="A1082" t="s">
        <v>24</v>
      </c>
      <c r="B1082" t="s">
        <v>136</v>
      </c>
      <c r="C1082" t="s">
        <v>25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</row>
    <row r="1083" spans="1:9" x14ac:dyDescent="0.25">
      <c r="A1083" t="s">
        <v>24</v>
      </c>
      <c r="B1083" t="s">
        <v>136</v>
      </c>
      <c r="C1083" t="s">
        <v>10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</row>
    <row r="1084" spans="1:9" x14ac:dyDescent="0.25">
      <c r="A1084" t="s">
        <v>24</v>
      </c>
      <c r="B1084" t="s">
        <v>137</v>
      </c>
      <c r="C1084" t="s">
        <v>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</row>
    <row r="1085" spans="1:9" x14ac:dyDescent="0.25">
      <c r="A1085" t="s">
        <v>24</v>
      </c>
      <c r="B1085" t="s">
        <v>137</v>
      </c>
      <c r="C1085" t="s">
        <v>10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</row>
    <row r="1086" spans="1:9" x14ac:dyDescent="0.25">
      <c r="A1086" t="s">
        <v>24</v>
      </c>
      <c r="B1086" t="s">
        <v>138</v>
      </c>
      <c r="C1086" t="s">
        <v>25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</row>
    <row r="1087" spans="1:9" x14ac:dyDescent="0.25">
      <c r="A1087" t="s">
        <v>24</v>
      </c>
      <c r="B1087" t="s">
        <v>138</v>
      </c>
      <c r="C1087" t="s">
        <v>10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</row>
    <row r="1088" spans="1:9" x14ac:dyDescent="0.25">
      <c r="A1088" t="s">
        <v>24</v>
      </c>
      <c r="B1088" t="s">
        <v>139</v>
      </c>
      <c r="C1088" t="s">
        <v>25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</row>
    <row r="1089" spans="1:9" x14ac:dyDescent="0.25">
      <c r="A1089" t="s">
        <v>24</v>
      </c>
      <c r="B1089" t="s">
        <v>139</v>
      </c>
      <c r="C1089" t="s">
        <v>10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</row>
    <row r="1090" spans="1:9" x14ac:dyDescent="0.25">
      <c r="A1090" t="s">
        <v>24</v>
      </c>
      <c r="B1090" t="s">
        <v>140</v>
      </c>
      <c r="C1090" t="s">
        <v>25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</row>
    <row r="1091" spans="1:9" x14ac:dyDescent="0.25">
      <c r="A1091" t="s">
        <v>24</v>
      </c>
      <c r="B1091" t="s">
        <v>140</v>
      </c>
      <c r="C1091" t="s">
        <v>10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</row>
    <row r="1092" spans="1:9" x14ac:dyDescent="0.25">
      <c r="A1092" t="s">
        <v>24</v>
      </c>
      <c r="B1092" t="s">
        <v>141</v>
      </c>
      <c r="C1092" t="s">
        <v>25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</row>
    <row r="1093" spans="1:9" x14ac:dyDescent="0.25">
      <c r="A1093" t="s">
        <v>24</v>
      </c>
      <c r="B1093" t="s">
        <v>141</v>
      </c>
      <c r="C1093" t="s">
        <v>10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</row>
    <row r="1094" spans="1:9" x14ac:dyDescent="0.25">
      <c r="A1094" t="s">
        <v>24</v>
      </c>
      <c r="B1094" t="s">
        <v>142</v>
      </c>
      <c r="C1094" t="s">
        <v>25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</row>
    <row r="1095" spans="1:9" x14ac:dyDescent="0.25">
      <c r="A1095" t="s">
        <v>24</v>
      </c>
      <c r="B1095" t="s">
        <v>142</v>
      </c>
      <c r="C1095" t="s">
        <v>10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</row>
    <row r="1096" spans="1:9" x14ac:dyDescent="0.25">
      <c r="A1096" t="s">
        <v>24</v>
      </c>
      <c r="B1096" t="s">
        <v>143</v>
      </c>
      <c r="C1096" t="s">
        <v>25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</row>
    <row r="1097" spans="1:9" x14ac:dyDescent="0.25">
      <c r="A1097" t="s">
        <v>24</v>
      </c>
      <c r="B1097" t="s">
        <v>143</v>
      </c>
      <c r="C1097" t="s">
        <v>10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</row>
    <row r="1098" spans="1:9" x14ac:dyDescent="0.25">
      <c r="A1098" t="s">
        <v>24</v>
      </c>
      <c r="B1098" t="s">
        <v>144</v>
      </c>
      <c r="C1098" t="s">
        <v>25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</row>
    <row r="1099" spans="1:9" x14ac:dyDescent="0.25">
      <c r="A1099" t="s">
        <v>24</v>
      </c>
      <c r="B1099" t="s">
        <v>144</v>
      </c>
      <c r="C1099" t="s">
        <v>10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</row>
    <row r="1100" spans="1:9" x14ac:dyDescent="0.25">
      <c r="A1100" t="s">
        <v>24</v>
      </c>
      <c r="B1100" t="s">
        <v>145</v>
      </c>
      <c r="C1100" t="s">
        <v>25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</row>
    <row r="1101" spans="1:9" x14ac:dyDescent="0.25">
      <c r="A1101" t="s">
        <v>24</v>
      </c>
      <c r="B1101" t="s">
        <v>145</v>
      </c>
      <c r="C1101" t="s">
        <v>10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</row>
    <row r="1102" spans="1:9" x14ac:dyDescent="0.25">
      <c r="A1102" t="s">
        <v>24</v>
      </c>
      <c r="B1102" t="s">
        <v>146</v>
      </c>
      <c r="C1102" t="s">
        <v>25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</row>
    <row r="1103" spans="1:9" x14ac:dyDescent="0.25">
      <c r="A1103" t="s">
        <v>24</v>
      </c>
      <c r="B1103" t="s">
        <v>146</v>
      </c>
      <c r="C1103" t="s">
        <v>10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</row>
    <row r="1104" spans="1:9" x14ac:dyDescent="0.25">
      <c r="A1104" t="s">
        <v>24</v>
      </c>
      <c r="B1104" t="s">
        <v>147</v>
      </c>
      <c r="C1104" t="s">
        <v>25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</row>
    <row r="1105" spans="1:9" x14ac:dyDescent="0.25">
      <c r="A1105" t="s">
        <v>24</v>
      </c>
      <c r="B1105" t="s">
        <v>147</v>
      </c>
      <c r="C1105" t="s">
        <v>10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</row>
    <row r="1106" spans="1:9" x14ac:dyDescent="0.25">
      <c r="A1106" t="s">
        <v>24</v>
      </c>
      <c r="B1106" t="s">
        <v>159</v>
      </c>
      <c r="C1106" t="s">
        <v>25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</row>
    <row r="1107" spans="1:9" x14ac:dyDescent="0.25">
      <c r="A1107" t="s">
        <v>24</v>
      </c>
      <c r="B1107" t="s">
        <v>159</v>
      </c>
      <c r="C1107" t="s">
        <v>10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</row>
    <row r="1108" spans="1:9" x14ac:dyDescent="0.25">
      <c r="A1108" t="s">
        <v>24</v>
      </c>
      <c r="B1108" t="s">
        <v>160</v>
      </c>
      <c r="C1108" t="s">
        <v>25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</row>
    <row r="1109" spans="1:9" x14ac:dyDescent="0.25">
      <c r="A1109" t="s">
        <v>24</v>
      </c>
      <c r="B1109" t="s">
        <v>160</v>
      </c>
      <c r="C1109" t="s">
        <v>10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</row>
    <row r="1110" spans="1:9" x14ac:dyDescent="0.25">
      <c r="A1110" t="s">
        <v>24</v>
      </c>
      <c r="B1110" t="s">
        <v>161</v>
      </c>
      <c r="C1110" t="s">
        <v>25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</row>
    <row r="1111" spans="1:9" x14ac:dyDescent="0.25">
      <c r="A1111" t="s">
        <v>24</v>
      </c>
      <c r="B1111" t="s">
        <v>161</v>
      </c>
      <c r="C1111" t="s">
        <v>10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</row>
    <row r="1112" spans="1:9" x14ac:dyDescent="0.25">
      <c r="A1112" t="s">
        <v>24</v>
      </c>
      <c r="B1112" t="s">
        <v>162</v>
      </c>
      <c r="C1112" t="s">
        <v>25</v>
      </c>
      <c r="D1112">
        <v>0</v>
      </c>
      <c r="E1112">
        <v>-569.64</v>
      </c>
      <c r="F1112">
        <v>0</v>
      </c>
      <c r="G1112">
        <v>9399.1149999999998</v>
      </c>
      <c r="H1112">
        <v>0</v>
      </c>
      <c r="I1112">
        <v>-2784.9229999999998</v>
      </c>
    </row>
    <row r="1113" spans="1:9" x14ac:dyDescent="0.25">
      <c r="A1113" t="s">
        <v>24</v>
      </c>
      <c r="B1113" t="s">
        <v>162</v>
      </c>
      <c r="C1113" t="s">
        <v>10</v>
      </c>
      <c r="D1113">
        <v>0</v>
      </c>
      <c r="E1113">
        <v>-569.64</v>
      </c>
      <c r="F1113">
        <v>0</v>
      </c>
      <c r="G1113">
        <v>9399.1149999999998</v>
      </c>
      <c r="H1113">
        <v>0</v>
      </c>
      <c r="I1113">
        <v>-5063.4960000000001</v>
      </c>
    </row>
    <row r="1114" spans="1:9" x14ac:dyDescent="0.25">
      <c r="A1114" t="s">
        <v>24</v>
      </c>
      <c r="B1114" t="s">
        <v>163</v>
      </c>
      <c r="C1114" t="s">
        <v>25</v>
      </c>
      <c r="D1114">
        <v>0</v>
      </c>
      <c r="E1114">
        <v>-569.64</v>
      </c>
      <c r="F1114">
        <v>0</v>
      </c>
      <c r="G1114">
        <v>7690.1850000000004</v>
      </c>
      <c r="H1114">
        <v>0</v>
      </c>
      <c r="I1114">
        <v>-2784.9229999999998</v>
      </c>
    </row>
    <row r="1115" spans="1:9" x14ac:dyDescent="0.25">
      <c r="A1115" t="s">
        <v>24</v>
      </c>
      <c r="B1115" t="s">
        <v>163</v>
      </c>
      <c r="C1115" t="s">
        <v>10</v>
      </c>
      <c r="D1115">
        <v>0</v>
      </c>
      <c r="E1115">
        <v>-569.64</v>
      </c>
      <c r="F1115">
        <v>0</v>
      </c>
      <c r="G1115">
        <v>7690.1850000000004</v>
      </c>
      <c r="H1115">
        <v>0</v>
      </c>
      <c r="I1115">
        <v>-5063.4960000000001</v>
      </c>
    </row>
    <row r="1116" spans="1:9" x14ac:dyDescent="0.25">
      <c r="A1116" t="s">
        <v>24</v>
      </c>
      <c r="B1116" t="s">
        <v>164</v>
      </c>
      <c r="C1116" t="s">
        <v>25</v>
      </c>
      <c r="D1116">
        <v>0</v>
      </c>
      <c r="E1116">
        <v>569.64</v>
      </c>
      <c r="F1116">
        <v>0</v>
      </c>
      <c r="G1116">
        <v>-9399.1149999999998</v>
      </c>
      <c r="H1116">
        <v>0</v>
      </c>
      <c r="I1116">
        <v>2784.9229999999998</v>
      </c>
    </row>
    <row r="1117" spans="1:9" x14ac:dyDescent="0.25">
      <c r="A1117" t="s">
        <v>24</v>
      </c>
      <c r="B1117" t="s">
        <v>164</v>
      </c>
      <c r="C1117" t="s">
        <v>10</v>
      </c>
      <c r="D1117">
        <v>0</v>
      </c>
      <c r="E1117">
        <v>569.64</v>
      </c>
      <c r="F1117">
        <v>0</v>
      </c>
      <c r="G1117">
        <v>-9399.1149999999998</v>
      </c>
      <c r="H1117">
        <v>0</v>
      </c>
      <c r="I1117">
        <v>5063.4960000000001</v>
      </c>
    </row>
    <row r="1118" spans="1:9" x14ac:dyDescent="0.25">
      <c r="A1118" t="s">
        <v>24</v>
      </c>
      <c r="B1118" t="s">
        <v>165</v>
      </c>
      <c r="C1118" t="s">
        <v>25</v>
      </c>
      <c r="D1118">
        <v>0</v>
      </c>
      <c r="E1118">
        <v>569.64</v>
      </c>
      <c r="F1118">
        <v>0</v>
      </c>
      <c r="G1118">
        <v>-7690.1850000000004</v>
      </c>
      <c r="H1118">
        <v>0</v>
      </c>
      <c r="I1118">
        <v>2784.9229999999998</v>
      </c>
    </row>
    <row r="1119" spans="1:9" x14ac:dyDescent="0.25">
      <c r="A1119" t="s">
        <v>24</v>
      </c>
      <c r="B1119" t="s">
        <v>165</v>
      </c>
      <c r="C1119" t="s">
        <v>10</v>
      </c>
      <c r="D1119">
        <v>0</v>
      </c>
      <c r="E1119">
        <v>569.64</v>
      </c>
      <c r="F1119">
        <v>0</v>
      </c>
      <c r="G1119">
        <v>-7690.1850000000004</v>
      </c>
      <c r="H1119">
        <v>0</v>
      </c>
      <c r="I1119">
        <v>5063.4960000000001</v>
      </c>
    </row>
    <row r="1120" spans="1:9" x14ac:dyDescent="0.25">
      <c r="A1120" t="s">
        <v>24</v>
      </c>
      <c r="B1120" t="s">
        <v>166</v>
      </c>
      <c r="C1120" t="s">
        <v>25</v>
      </c>
      <c r="D1120">
        <v>0</v>
      </c>
      <c r="E1120">
        <v>0</v>
      </c>
      <c r="F1120">
        <v>-688.56</v>
      </c>
      <c r="G1120">
        <v>-13633.487999999999</v>
      </c>
      <c r="H1120">
        <v>3366.2930000000001</v>
      </c>
      <c r="I1120">
        <v>0</v>
      </c>
    </row>
    <row r="1121" spans="1:9" x14ac:dyDescent="0.25">
      <c r="A1121" t="s">
        <v>24</v>
      </c>
      <c r="B1121" t="s">
        <v>166</v>
      </c>
      <c r="C1121" t="s">
        <v>10</v>
      </c>
      <c r="D1121">
        <v>0</v>
      </c>
      <c r="E1121">
        <v>0</v>
      </c>
      <c r="F1121">
        <v>-688.56</v>
      </c>
      <c r="G1121">
        <v>-13633.487999999999</v>
      </c>
      <c r="H1121">
        <v>6120.5330000000004</v>
      </c>
      <c r="I1121">
        <v>0</v>
      </c>
    </row>
    <row r="1122" spans="1:9" x14ac:dyDescent="0.25">
      <c r="A1122" t="s">
        <v>24</v>
      </c>
      <c r="B1122" t="s">
        <v>167</v>
      </c>
      <c r="C1122" t="s">
        <v>25</v>
      </c>
      <c r="D1122">
        <v>0</v>
      </c>
      <c r="E1122">
        <v>0</v>
      </c>
      <c r="F1122">
        <v>-688.56</v>
      </c>
      <c r="G1122">
        <v>-11154.672</v>
      </c>
      <c r="H1122">
        <v>3366.2930000000001</v>
      </c>
      <c r="I1122">
        <v>0</v>
      </c>
    </row>
    <row r="1123" spans="1:9" x14ac:dyDescent="0.25">
      <c r="A1123" t="s">
        <v>24</v>
      </c>
      <c r="B1123" t="s">
        <v>167</v>
      </c>
      <c r="C1123" t="s">
        <v>10</v>
      </c>
      <c r="D1123">
        <v>0</v>
      </c>
      <c r="E1123">
        <v>0</v>
      </c>
      <c r="F1123">
        <v>-688.56</v>
      </c>
      <c r="G1123">
        <v>-11154.672</v>
      </c>
      <c r="H1123">
        <v>6120.5330000000004</v>
      </c>
      <c r="I1123">
        <v>0</v>
      </c>
    </row>
    <row r="1124" spans="1:9" x14ac:dyDescent="0.25">
      <c r="A1124" t="s">
        <v>24</v>
      </c>
      <c r="B1124" t="s">
        <v>168</v>
      </c>
      <c r="C1124" t="s">
        <v>25</v>
      </c>
      <c r="D1124">
        <v>0</v>
      </c>
      <c r="E1124">
        <v>0</v>
      </c>
      <c r="F1124">
        <v>688.56</v>
      </c>
      <c r="G1124">
        <v>13633.487999999999</v>
      </c>
      <c r="H1124">
        <v>-3366.2930000000001</v>
      </c>
      <c r="I1124">
        <v>0</v>
      </c>
    </row>
    <row r="1125" spans="1:9" x14ac:dyDescent="0.25">
      <c r="A1125" t="s">
        <v>24</v>
      </c>
      <c r="B1125" t="s">
        <v>168</v>
      </c>
      <c r="C1125" t="s">
        <v>10</v>
      </c>
      <c r="D1125">
        <v>0</v>
      </c>
      <c r="E1125">
        <v>0</v>
      </c>
      <c r="F1125">
        <v>688.56</v>
      </c>
      <c r="G1125">
        <v>13633.487999999999</v>
      </c>
      <c r="H1125">
        <v>-6120.5330000000004</v>
      </c>
      <c r="I1125">
        <v>0</v>
      </c>
    </row>
    <row r="1126" spans="1:9" x14ac:dyDescent="0.25">
      <c r="A1126" t="s">
        <v>24</v>
      </c>
      <c r="B1126" t="s">
        <v>169</v>
      </c>
      <c r="C1126" t="s">
        <v>25</v>
      </c>
      <c r="D1126">
        <v>0</v>
      </c>
      <c r="E1126">
        <v>0</v>
      </c>
      <c r="F1126">
        <v>688.56</v>
      </c>
      <c r="G1126">
        <v>11154.672</v>
      </c>
      <c r="H1126">
        <v>-3366.2930000000001</v>
      </c>
      <c r="I1126">
        <v>0</v>
      </c>
    </row>
    <row r="1127" spans="1:9" x14ac:dyDescent="0.25">
      <c r="A1127" t="s">
        <v>24</v>
      </c>
      <c r="B1127" t="s">
        <v>169</v>
      </c>
      <c r="C1127" t="s">
        <v>10</v>
      </c>
      <c r="D1127">
        <v>0</v>
      </c>
      <c r="E1127">
        <v>0</v>
      </c>
      <c r="F1127">
        <v>688.56</v>
      </c>
      <c r="G1127">
        <v>11154.672</v>
      </c>
      <c r="H1127">
        <v>-6120.5330000000004</v>
      </c>
      <c r="I1127">
        <v>0</v>
      </c>
    </row>
    <row r="1128" spans="1:9" x14ac:dyDescent="0.25">
      <c r="A1128" t="s">
        <v>24</v>
      </c>
      <c r="B1128" t="s">
        <v>170</v>
      </c>
      <c r="C1128" t="s">
        <v>25</v>
      </c>
      <c r="D1128">
        <v>0</v>
      </c>
      <c r="E1128">
        <v>-569.64</v>
      </c>
      <c r="F1128">
        <v>0</v>
      </c>
      <c r="G1128">
        <v>9399.1149999999998</v>
      </c>
      <c r="H1128">
        <v>0</v>
      </c>
      <c r="I1128">
        <v>-2784.9229999999998</v>
      </c>
    </row>
    <row r="1129" spans="1:9" x14ac:dyDescent="0.25">
      <c r="A1129" t="s">
        <v>24</v>
      </c>
      <c r="B1129" t="s">
        <v>170</v>
      </c>
      <c r="C1129" t="s">
        <v>10</v>
      </c>
      <c r="D1129">
        <v>0</v>
      </c>
      <c r="E1129">
        <v>-569.64</v>
      </c>
      <c r="F1129">
        <v>0</v>
      </c>
      <c r="G1129">
        <v>9399.1149999999998</v>
      </c>
      <c r="H1129">
        <v>0</v>
      </c>
      <c r="I1129">
        <v>-5063.4960000000001</v>
      </c>
    </row>
    <row r="1130" spans="1:9" x14ac:dyDescent="0.25">
      <c r="A1130" t="s">
        <v>24</v>
      </c>
      <c r="B1130" t="s">
        <v>171</v>
      </c>
      <c r="C1130" t="s">
        <v>25</v>
      </c>
      <c r="D1130">
        <v>0</v>
      </c>
      <c r="E1130">
        <v>-569.64</v>
      </c>
      <c r="F1130">
        <v>0</v>
      </c>
      <c r="G1130">
        <v>7690.1850000000004</v>
      </c>
      <c r="H1130">
        <v>0</v>
      </c>
      <c r="I1130">
        <v>-2784.9229999999998</v>
      </c>
    </row>
    <row r="1131" spans="1:9" x14ac:dyDescent="0.25">
      <c r="A1131" t="s">
        <v>24</v>
      </c>
      <c r="B1131" t="s">
        <v>171</v>
      </c>
      <c r="C1131" t="s">
        <v>10</v>
      </c>
      <c r="D1131">
        <v>0</v>
      </c>
      <c r="E1131">
        <v>-569.64</v>
      </c>
      <c r="F1131">
        <v>0</v>
      </c>
      <c r="G1131">
        <v>7690.1850000000004</v>
      </c>
      <c r="H1131">
        <v>0</v>
      </c>
      <c r="I1131">
        <v>-5063.4960000000001</v>
      </c>
    </row>
    <row r="1132" spans="1:9" x14ac:dyDescent="0.25">
      <c r="A1132" t="s">
        <v>24</v>
      </c>
      <c r="B1132" t="s">
        <v>172</v>
      </c>
      <c r="C1132" t="s">
        <v>25</v>
      </c>
      <c r="D1132">
        <v>0</v>
      </c>
      <c r="E1132">
        <v>569.64</v>
      </c>
      <c r="F1132">
        <v>0</v>
      </c>
      <c r="G1132">
        <v>-9399.1149999999998</v>
      </c>
      <c r="H1132">
        <v>0</v>
      </c>
      <c r="I1132">
        <v>2784.9229999999998</v>
      </c>
    </row>
    <row r="1133" spans="1:9" x14ac:dyDescent="0.25">
      <c r="A1133" t="s">
        <v>24</v>
      </c>
      <c r="B1133" t="s">
        <v>172</v>
      </c>
      <c r="C1133" t="s">
        <v>10</v>
      </c>
      <c r="D1133">
        <v>0</v>
      </c>
      <c r="E1133">
        <v>569.64</v>
      </c>
      <c r="F1133">
        <v>0</v>
      </c>
      <c r="G1133">
        <v>-9399.1149999999998</v>
      </c>
      <c r="H1133">
        <v>0</v>
      </c>
      <c r="I1133">
        <v>5063.4960000000001</v>
      </c>
    </row>
    <row r="1134" spans="1:9" x14ac:dyDescent="0.25">
      <c r="A1134" t="s">
        <v>24</v>
      </c>
      <c r="B1134" t="s">
        <v>173</v>
      </c>
      <c r="C1134" t="s">
        <v>25</v>
      </c>
      <c r="D1134">
        <v>0</v>
      </c>
      <c r="E1134">
        <v>569.64</v>
      </c>
      <c r="F1134">
        <v>0</v>
      </c>
      <c r="G1134">
        <v>-7690.1850000000004</v>
      </c>
      <c r="H1134">
        <v>0</v>
      </c>
      <c r="I1134">
        <v>2784.9229999999998</v>
      </c>
    </row>
    <row r="1135" spans="1:9" x14ac:dyDescent="0.25">
      <c r="A1135" t="s">
        <v>24</v>
      </c>
      <c r="B1135" t="s">
        <v>173</v>
      </c>
      <c r="C1135" t="s">
        <v>10</v>
      </c>
      <c r="D1135">
        <v>0</v>
      </c>
      <c r="E1135">
        <v>569.64</v>
      </c>
      <c r="F1135">
        <v>0</v>
      </c>
      <c r="G1135">
        <v>-7690.1850000000004</v>
      </c>
      <c r="H1135">
        <v>0</v>
      </c>
      <c r="I1135">
        <v>5063.4960000000001</v>
      </c>
    </row>
    <row r="1136" spans="1:9" x14ac:dyDescent="0.25">
      <c r="A1136" t="s">
        <v>24</v>
      </c>
      <c r="B1136" t="s">
        <v>174</v>
      </c>
      <c r="C1136" t="s">
        <v>25</v>
      </c>
      <c r="D1136">
        <v>0</v>
      </c>
      <c r="E1136">
        <v>0</v>
      </c>
      <c r="F1136">
        <v>-688.56</v>
      </c>
      <c r="G1136">
        <v>-13633.487999999999</v>
      </c>
      <c r="H1136">
        <v>3366.2930000000001</v>
      </c>
      <c r="I1136">
        <v>0</v>
      </c>
    </row>
    <row r="1137" spans="1:9" x14ac:dyDescent="0.25">
      <c r="A1137" t="s">
        <v>24</v>
      </c>
      <c r="B1137" t="s">
        <v>174</v>
      </c>
      <c r="C1137" t="s">
        <v>10</v>
      </c>
      <c r="D1137">
        <v>0</v>
      </c>
      <c r="E1137">
        <v>0</v>
      </c>
      <c r="F1137">
        <v>-688.56</v>
      </c>
      <c r="G1137">
        <v>-13633.487999999999</v>
      </c>
      <c r="H1137">
        <v>6120.5330000000004</v>
      </c>
      <c r="I1137">
        <v>0</v>
      </c>
    </row>
    <row r="1138" spans="1:9" x14ac:dyDescent="0.25">
      <c r="A1138" t="s">
        <v>24</v>
      </c>
      <c r="B1138" t="s">
        <v>175</v>
      </c>
      <c r="C1138" t="s">
        <v>25</v>
      </c>
      <c r="D1138">
        <v>0</v>
      </c>
      <c r="E1138">
        <v>0</v>
      </c>
      <c r="F1138">
        <v>-688.56</v>
      </c>
      <c r="G1138">
        <v>-11154.672</v>
      </c>
      <c r="H1138">
        <v>3366.2930000000001</v>
      </c>
      <c r="I1138">
        <v>0</v>
      </c>
    </row>
    <row r="1139" spans="1:9" x14ac:dyDescent="0.25">
      <c r="A1139" t="s">
        <v>24</v>
      </c>
      <c r="B1139" t="s">
        <v>175</v>
      </c>
      <c r="C1139" t="s">
        <v>10</v>
      </c>
      <c r="D1139">
        <v>0</v>
      </c>
      <c r="E1139">
        <v>0</v>
      </c>
      <c r="F1139">
        <v>-688.56</v>
      </c>
      <c r="G1139">
        <v>-11154.672</v>
      </c>
      <c r="H1139">
        <v>6120.5330000000004</v>
      </c>
      <c r="I1139">
        <v>0</v>
      </c>
    </row>
    <row r="1140" spans="1:9" x14ac:dyDescent="0.25">
      <c r="A1140" t="s">
        <v>24</v>
      </c>
      <c r="B1140" t="s">
        <v>176</v>
      </c>
      <c r="C1140" t="s">
        <v>25</v>
      </c>
      <c r="D1140">
        <v>0</v>
      </c>
      <c r="E1140">
        <v>0</v>
      </c>
      <c r="F1140">
        <v>688.56</v>
      </c>
      <c r="G1140">
        <v>13633.487999999999</v>
      </c>
      <c r="H1140">
        <v>-3366.2930000000001</v>
      </c>
      <c r="I1140">
        <v>0</v>
      </c>
    </row>
    <row r="1141" spans="1:9" x14ac:dyDescent="0.25">
      <c r="A1141" t="s">
        <v>24</v>
      </c>
      <c r="B1141" t="s">
        <v>176</v>
      </c>
      <c r="C1141" t="s">
        <v>10</v>
      </c>
      <c r="D1141">
        <v>0</v>
      </c>
      <c r="E1141">
        <v>0</v>
      </c>
      <c r="F1141">
        <v>688.56</v>
      </c>
      <c r="G1141">
        <v>13633.487999999999</v>
      </c>
      <c r="H1141">
        <v>-6120.5330000000004</v>
      </c>
      <c r="I1141">
        <v>0</v>
      </c>
    </row>
    <row r="1142" spans="1:9" x14ac:dyDescent="0.25">
      <c r="A1142" t="s">
        <v>24</v>
      </c>
      <c r="B1142" t="s">
        <v>177</v>
      </c>
      <c r="C1142" t="s">
        <v>25</v>
      </c>
      <c r="D1142">
        <v>0</v>
      </c>
      <c r="E1142">
        <v>0</v>
      </c>
      <c r="F1142">
        <v>688.56</v>
      </c>
      <c r="G1142">
        <v>11154.672</v>
      </c>
      <c r="H1142">
        <v>-3366.2930000000001</v>
      </c>
      <c r="I1142">
        <v>0</v>
      </c>
    </row>
    <row r="1143" spans="1:9" x14ac:dyDescent="0.25">
      <c r="A1143" t="s">
        <v>24</v>
      </c>
      <c r="B1143" t="s">
        <v>177</v>
      </c>
      <c r="C1143" t="s">
        <v>10</v>
      </c>
      <c r="D1143">
        <v>0</v>
      </c>
      <c r="E1143">
        <v>0</v>
      </c>
      <c r="F1143">
        <v>688.56</v>
      </c>
      <c r="G1143">
        <v>11154.672</v>
      </c>
      <c r="H1143">
        <v>-6120.5330000000004</v>
      </c>
      <c r="I1143">
        <v>0</v>
      </c>
    </row>
    <row r="1144" spans="1:9" x14ac:dyDescent="0.25">
      <c r="A1144" t="s">
        <v>24</v>
      </c>
      <c r="B1144" t="s">
        <v>178</v>
      </c>
      <c r="C1144" t="s">
        <v>25</v>
      </c>
      <c r="D1144">
        <v>0</v>
      </c>
      <c r="E1144">
        <v>-170.89</v>
      </c>
      <c r="F1144">
        <v>0</v>
      </c>
      <c r="G1144">
        <v>2819.7339999999999</v>
      </c>
      <c r="H1144">
        <v>0</v>
      </c>
      <c r="I1144">
        <v>-835.47699999999998</v>
      </c>
    </row>
    <row r="1145" spans="1:9" x14ac:dyDescent="0.25">
      <c r="A1145" t="s">
        <v>24</v>
      </c>
      <c r="B1145" t="s">
        <v>178</v>
      </c>
      <c r="C1145" t="s">
        <v>10</v>
      </c>
      <c r="D1145">
        <v>0</v>
      </c>
      <c r="E1145">
        <v>-170.89</v>
      </c>
      <c r="F1145">
        <v>0</v>
      </c>
      <c r="G1145">
        <v>2819.7339999999999</v>
      </c>
      <c r="H1145">
        <v>0</v>
      </c>
      <c r="I1145">
        <v>-1519.049</v>
      </c>
    </row>
    <row r="1146" spans="1:9" x14ac:dyDescent="0.25">
      <c r="A1146" t="s">
        <v>24</v>
      </c>
      <c r="B1146" t="s">
        <v>179</v>
      </c>
      <c r="C1146" t="s">
        <v>25</v>
      </c>
      <c r="D1146">
        <v>0</v>
      </c>
      <c r="E1146">
        <v>-170.89</v>
      </c>
      <c r="F1146">
        <v>0</v>
      </c>
      <c r="G1146">
        <v>2307.0549999999998</v>
      </c>
      <c r="H1146">
        <v>0</v>
      </c>
      <c r="I1146">
        <v>-835.47699999999998</v>
      </c>
    </row>
    <row r="1147" spans="1:9" x14ac:dyDescent="0.25">
      <c r="A1147" t="s">
        <v>24</v>
      </c>
      <c r="B1147" t="s">
        <v>179</v>
      </c>
      <c r="C1147" t="s">
        <v>10</v>
      </c>
      <c r="D1147">
        <v>0</v>
      </c>
      <c r="E1147">
        <v>-170.89</v>
      </c>
      <c r="F1147">
        <v>0</v>
      </c>
      <c r="G1147">
        <v>2307.0549999999998</v>
      </c>
      <c r="H1147">
        <v>0</v>
      </c>
      <c r="I1147">
        <v>-1519.049</v>
      </c>
    </row>
    <row r="1148" spans="1:9" x14ac:dyDescent="0.25">
      <c r="A1148" t="s">
        <v>24</v>
      </c>
      <c r="B1148" t="s">
        <v>180</v>
      </c>
      <c r="C1148" t="s">
        <v>25</v>
      </c>
      <c r="D1148">
        <v>0</v>
      </c>
      <c r="E1148">
        <v>170.89</v>
      </c>
      <c r="F1148">
        <v>0</v>
      </c>
      <c r="G1148">
        <v>-2819.7339999999999</v>
      </c>
      <c r="H1148">
        <v>0</v>
      </c>
      <c r="I1148">
        <v>835.47699999999998</v>
      </c>
    </row>
    <row r="1149" spans="1:9" x14ac:dyDescent="0.25">
      <c r="A1149" t="s">
        <v>24</v>
      </c>
      <c r="B1149" t="s">
        <v>180</v>
      </c>
      <c r="C1149" t="s">
        <v>10</v>
      </c>
      <c r="D1149">
        <v>0</v>
      </c>
      <c r="E1149">
        <v>170.89</v>
      </c>
      <c r="F1149">
        <v>0</v>
      </c>
      <c r="G1149">
        <v>-2819.7339999999999</v>
      </c>
      <c r="H1149">
        <v>0</v>
      </c>
      <c r="I1149">
        <v>1519.049</v>
      </c>
    </row>
    <row r="1150" spans="1:9" x14ac:dyDescent="0.25">
      <c r="A1150" t="s">
        <v>24</v>
      </c>
      <c r="B1150" t="s">
        <v>181</v>
      </c>
      <c r="C1150" t="s">
        <v>25</v>
      </c>
      <c r="D1150">
        <v>0</v>
      </c>
      <c r="E1150">
        <v>170.89</v>
      </c>
      <c r="F1150">
        <v>0</v>
      </c>
      <c r="G1150">
        <v>-2307.0549999999998</v>
      </c>
      <c r="H1150">
        <v>0</v>
      </c>
      <c r="I1150">
        <v>835.47699999999998</v>
      </c>
    </row>
    <row r="1151" spans="1:9" x14ac:dyDescent="0.25">
      <c r="A1151" t="s">
        <v>24</v>
      </c>
      <c r="B1151" t="s">
        <v>181</v>
      </c>
      <c r="C1151" t="s">
        <v>10</v>
      </c>
      <c r="D1151">
        <v>0</v>
      </c>
      <c r="E1151">
        <v>170.89</v>
      </c>
      <c r="F1151">
        <v>0</v>
      </c>
      <c r="G1151">
        <v>-2307.0549999999998</v>
      </c>
      <c r="H1151">
        <v>0</v>
      </c>
      <c r="I1151">
        <v>1519.049</v>
      </c>
    </row>
    <row r="1152" spans="1:9" x14ac:dyDescent="0.25">
      <c r="A1152" t="s">
        <v>24</v>
      </c>
      <c r="B1152" t="s">
        <v>182</v>
      </c>
      <c r="C1152" t="s">
        <v>25</v>
      </c>
      <c r="D1152">
        <v>0</v>
      </c>
      <c r="E1152">
        <v>0</v>
      </c>
      <c r="F1152">
        <v>-206.57</v>
      </c>
      <c r="G1152">
        <v>-4090.0459999999998</v>
      </c>
      <c r="H1152">
        <v>1009.888</v>
      </c>
      <c r="I1152">
        <v>0</v>
      </c>
    </row>
    <row r="1153" spans="1:9" x14ac:dyDescent="0.25">
      <c r="A1153" t="s">
        <v>24</v>
      </c>
      <c r="B1153" t="s">
        <v>182</v>
      </c>
      <c r="C1153" t="s">
        <v>10</v>
      </c>
      <c r="D1153">
        <v>0</v>
      </c>
      <c r="E1153">
        <v>0</v>
      </c>
      <c r="F1153">
        <v>-206.57</v>
      </c>
      <c r="G1153">
        <v>-4090.0459999999998</v>
      </c>
      <c r="H1153">
        <v>1836.16</v>
      </c>
      <c r="I1153">
        <v>0</v>
      </c>
    </row>
    <row r="1154" spans="1:9" x14ac:dyDescent="0.25">
      <c r="A1154" t="s">
        <v>24</v>
      </c>
      <c r="B1154" t="s">
        <v>183</v>
      </c>
      <c r="C1154" t="s">
        <v>25</v>
      </c>
      <c r="D1154">
        <v>0</v>
      </c>
      <c r="E1154">
        <v>0</v>
      </c>
      <c r="F1154">
        <v>-206.57</v>
      </c>
      <c r="G1154">
        <v>-3346.4009999999998</v>
      </c>
      <c r="H1154">
        <v>1009.888</v>
      </c>
      <c r="I1154">
        <v>0</v>
      </c>
    </row>
    <row r="1155" spans="1:9" x14ac:dyDescent="0.25">
      <c r="A1155" t="s">
        <v>24</v>
      </c>
      <c r="B1155" t="s">
        <v>183</v>
      </c>
      <c r="C1155" t="s">
        <v>10</v>
      </c>
      <c r="D1155">
        <v>0</v>
      </c>
      <c r="E1155">
        <v>0</v>
      </c>
      <c r="F1155">
        <v>-206.57</v>
      </c>
      <c r="G1155">
        <v>-3346.4009999999998</v>
      </c>
      <c r="H1155">
        <v>1836.16</v>
      </c>
      <c r="I1155">
        <v>0</v>
      </c>
    </row>
    <row r="1156" spans="1:9" x14ac:dyDescent="0.25">
      <c r="A1156" t="s">
        <v>24</v>
      </c>
      <c r="B1156" t="s">
        <v>184</v>
      </c>
      <c r="C1156" t="s">
        <v>25</v>
      </c>
      <c r="D1156">
        <v>0</v>
      </c>
      <c r="E1156">
        <v>0</v>
      </c>
      <c r="F1156">
        <v>206.57</v>
      </c>
      <c r="G1156">
        <v>4090.0459999999998</v>
      </c>
      <c r="H1156">
        <v>-1009.888</v>
      </c>
      <c r="I1156">
        <v>0</v>
      </c>
    </row>
    <row r="1157" spans="1:9" x14ac:dyDescent="0.25">
      <c r="A1157" t="s">
        <v>24</v>
      </c>
      <c r="B1157" t="s">
        <v>184</v>
      </c>
      <c r="C1157" t="s">
        <v>10</v>
      </c>
      <c r="D1157">
        <v>0</v>
      </c>
      <c r="E1157">
        <v>0</v>
      </c>
      <c r="F1157">
        <v>206.57</v>
      </c>
      <c r="G1157">
        <v>4090.0459999999998</v>
      </c>
      <c r="H1157">
        <v>-1836.16</v>
      </c>
      <c r="I1157">
        <v>0</v>
      </c>
    </row>
    <row r="1158" spans="1:9" x14ac:dyDescent="0.25">
      <c r="A1158" t="s">
        <v>24</v>
      </c>
      <c r="B1158" t="s">
        <v>185</v>
      </c>
      <c r="C1158" t="s">
        <v>25</v>
      </c>
      <c r="D1158">
        <v>0</v>
      </c>
      <c r="E1158">
        <v>0</v>
      </c>
      <c r="F1158">
        <v>206.57</v>
      </c>
      <c r="G1158">
        <v>3346.4009999999998</v>
      </c>
      <c r="H1158">
        <v>-1009.888</v>
      </c>
      <c r="I1158">
        <v>0</v>
      </c>
    </row>
    <row r="1159" spans="1:9" x14ac:dyDescent="0.25">
      <c r="A1159" t="s">
        <v>24</v>
      </c>
      <c r="B1159" t="s">
        <v>185</v>
      </c>
      <c r="C1159" t="s">
        <v>10</v>
      </c>
      <c r="D1159">
        <v>0</v>
      </c>
      <c r="E1159">
        <v>0</v>
      </c>
      <c r="F1159">
        <v>206.57</v>
      </c>
      <c r="G1159">
        <v>3346.4009999999998</v>
      </c>
      <c r="H1159">
        <v>-1836.16</v>
      </c>
      <c r="I1159">
        <v>0</v>
      </c>
    </row>
    <row r="1160" spans="1:9" x14ac:dyDescent="0.25">
      <c r="A1160" t="s">
        <v>24</v>
      </c>
      <c r="B1160" t="s">
        <v>186</v>
      </c>
      <c r="C1160" t="s">
        <v>25</v>
      </c>
      <c r="D1160">
        <v>0</v>
      </c>
      <c r="E1160">
        <v>-170.89</v>
      </c>
      <c r="F1160">
        <v>0</v>
      </c>
      <c r="G1160">
        <v>2819.7339999999999</v>
      </c>
      <c r="H1160">
        <v>0</v>
      </c>
      <c r="I1160">
        <v>-835.47699999999998</v>
      </c>
    </row>
    <row r="1161" spans="1:9" x14ac:dyDescent="0.25">
      <c r="A1161" t="s">
        <v>24</v>
      </c>
      <c r="B1161" t="s">
        <v>186</v>
      </c>
      <c r="C1161" t="s">
        <v>10</v>
      </c>
      <c r="D1161">
        <v>0</v>
      </c>
      <c r="E1161">
        <v>-170.89</v>
      </c>
      <c r="F1161">
        <v>0</v>
      </c>
      <c r="G1161">
        <v>2819.7339999999999</v>
      </c>
      <c r="H1161">
        <v>0</v>
      </c>
      <c r="I1161">
        <v>-1519.049</v>
      </c>
    </row>
    <row r="1162" spans="1:9" x14ac:dyDescent="0.25">
      <c r="A1162" t="s">
        <v>24</v>
      </c>
      <c r="B1162" t="s">
        <v>187</v>
      </c>
      <c r="C1162" t="s">
        <v>25</v>
      </c>
      <c r="D1162">
        <v>0</v>
      </c>
      <c r="E1162">
        <v>-170.89</v>
      </c>
      <c r="F1162">
        <v>0</v>
      </c>
      <c r="G1162">
        <v>2307.0549999999998</v>
      </c>
      <c r="H1162">
        <v>0</v>
      </c>
      <c r="I1162">
        <v>-835.47699999999998</v>
      </c>
    </row>
    <row r="1163" spans="1:9" x14ac:dyDescent="0.25">
      <c r="A1163" t="s">
        <v>24</v>
      </c>
      <c r="B1163" t="s">
        <v>187</v>
      </c>
      <c r="C1163" t="s">
        <v>10</v>
      </c>
      <c r="D1163">
        <v>0</v>
      </c>
      <c r="E1163">
        <v>-170.89</v>
      </c>
      <c r="F1163">
        <v>0</v>
      </c>
      <c r="G1163">
        <v>2307.0549999999998</v>
      </c>
      <c r="H1163">
        <v>0</v>
      </c>
      <c r="I1163">
        <v>-1519.049</v>
      </c>
    </row>
    <row r="1164" spans="1:9" x14ac:dyDescent="0.25">
      <c r="A1164" t="s">
        <v>24</v>
      </c>
      <c r="B1164" t="s">
        <v>188</v>
      </c>
      <c r="C1164" t="s">
        <v>25</v>
      </c>
      <c r="D1164">
        <v>0</v>
      </c>
      <c r="E1164">
        <v>170.89</v>
      </c>
      <c r="F1164">
        <v>0</v>
      </c>
      <c r="G1164">
        <v>-2819.7339999999999</v>
      </c>
      <c r="H1164">
        <v>0</v>
      </c>
      <c r="I1164">
        <v>835.47699999999998</v>
      </c>
    </row>
    <row r="1165" spans="1:9" x14ac:dyDescent="0.25">
      <c r="A1165" t="s">
        <v>24</v>
      </c>
      <c r="B1165" t="s">
        <v>188</v>
      </c>
      <c r="C1165" t="s">
        <v>10</v>
      </c>
      <c r="D1165">
        <v>0</v>
      </c>
      <c r="E1165">
        <v>170.89</v>
      </c>
      <c r="F1165">
        <v>0</v>
      </c>
      <c r="G1165">
        <v>-2819.7339999999999</v>
      </c>
      <c r="H1165">
        <v>0</v>
      </c>
      <c r="I1165">
        <v>1519.049</v>
      </c>
    </row>
    <row r="1166" spans="1:9" x14ac:dyDescent="0.25">
      <c r="A1166" t="s">
        <v>24</v>
      </c>
      <c r="B1166" t="s">
        <v>189</v>
      </c>
      <c r="C1166" t="s">
        <v>25</v>
      </c>
      <c r="D1166">
        <v>0</v>
      </c>
      <c r="E1166">
        <v>170.89</v>
      </c>
      <c r="F1166">
        <v>0</v>
      </c>
      <c r="G1166">
        <v>-2307.0549999999998</v>
      </c>
      <c r="H1166">
        <v>0</v>
      </c>
      <c r="I1166">
        <v>835.47699999999998</v>
      </c>
    </row>
    <row r="1167" spans="1:9" x14ac:dyDescent="0.25">
      <c r="A1167" t="s">
        <v>24</v>
      </c>
      <c r="B1167" t="s">
        <v>189</v>
      </c>
      <c r="C1167" t="s">
        <v>10</v>
      </c>
      <c r="D1167">
        <v>0</v>
      </c>
      <c r="E1167">
        <v>170.89</v>
      </c>
      <c r="F1167">
        <v>0</v>
      </c>
      <c r="G1167">
        <v>-2307.0549999999998</v>
      </c>
      <c r="H1167">
        <v>0</v>
      </c>
      <c r="I1167">
        <v>1519.049</v>
      </c>
    </row>
    <row r="1168" spans="1:9" x14ac:dyDescent="0.25">
      <c r="A1168" t="s">
        <v>24</v>
      </c>
      <c r="B1168" t="s">
        <v>190</v>
      </c>
      <c r="C1168" t="s">
        <v>25</v>
      </c>
      <c r="D1168">
        <v>0</v>
      </c>
      <c r="E1168">
        <v>0</v>
      </c>
      <c r="F1168">
        <v>-206.57</v>
      </c>
      <c r="G1168">
        <v>-4090.0459999999998</v>
      </c>
      <c r="H1168">
        <v>1009.888</v>
      </c>
      <c r="I1168">
        <v>0</v>
      </c>
    </row>
    <row r="1169" spans="1:9" x14ac:dyDescent="0.25">
      <c r="A1169" t="s">
        <v>24</v>
      </c>
      <c r="B1169" t="s">
        <v>190</v>
      </c>
      <c r="C1169" t="s">
        <v>10</v>
      </c>
      <c r="D1169">
        <v>0</v>
      </c>
      <c r="E1169">
        <v>0</v>
      </c>
      <c r="F1169">
        <v>-206.57</v>
      </c>
      <c r="G1169">
        <v>-4090.0459999999998</v>
      </c>
      <c r="H1169">
        <v>1836.16</v>
      </c>
      <c r="I1169">
        <v>0</v>
      </c>
    </row>
    <row r="1170" spans="1:9" x14ac:dyDescent="0.25">
      <c r="A1170" t="s">
        <v>24</v>
      </c>
      <c r="B1170" t="s">
        <v>191</v>
      </c>
      <c r="C1170" t="s">
        <v>25</v>
      </c>
      <c r="D1170">
        <v>0</v>
      </c>
      <c r="E1170">
        <v>0</v>
      </c>
      <c r="F1170">
        <v>-206.57</v>
      </c>
      <c r="G1170">
        <v>-3346.4009999999998</v>
      </c>
      <c r="H1170">
        <v>1009.888</v>
      </c>
      <c r="I1170">
        <v>0</v>
      </c>
    </row>
    <row r="1171" spans="1:9" x14ac:dyDescent="0.25">
      <c r="A1171" t="s">
        <v>24</v>
      </c>
      <c r="B1171" t="s">
        <v>191</v>
      </c>
      <c r="C1171" t="s">
        <v>10</v>
      </c>
      <c r="D1171">
        <v>0</v>
      </c>
      <c r="E1171">
        <v>0</v>
      </c>
      <c r="F1171">
        <v>-206.57</v>
      </c>
      <c r="G1171">
        <v>-3346.4009999999998</v>
      </c>
      <c r="H1171">
        <v>1836.16</v>
      </c>
      <c r="I1171">
        <v>0</v>
      </c>
    </row>
    <row r="1172" spans="1:9" x14ac:dyDescent="0.25">
      <c r="A1172" t="s">
        <v>24</v>
      </c>
      <c r="B1172" t="s">
        <v>192</v>
      </c>
      <c r="C1172" t="s">
        <v>25</v>
      </c>
      <c r="D1172">
        <v>0</v>
      </c>
      <c r="E1172">
        <v>0</v>
      </c>
      <c r="F1172">
        <v>206.57</v>
      </c>
      <c r="G1172">
        <v>4090.0459999999998</v>
      </c>
      <c r="H1172">
        <v>-1009.888</v>
      </c>
      <c r="I1172">
        <v>0</v>
      </c>
    </row>
    <row r="1173" spans="1:9" x14ac:dyDescent="0.25">
      <c r="A1173" t="s">
        <v>24</v>
      </c>
      <c r="B1173" t="s">
        <v>192</v>
      </c>
      <c r="C1173" t="s">
        <v>10</v>
      </c>
      <c r="D1173">
        <v>0</v>
      </c>
      <c r="E1173">
        <v>0</v>
      </c>
      <c r="F1173">
        <v>206.57</v>
      </c>
      <c r="G1173">
        <v>4090.0459999999998</v>
      </c>
      <c r="H1173">
        <v>-1836.16</v>
      </c>
      <c r="I1173">
        <v>0</v>
      </c>
    </row>
    <row r="1174" spans="1:9" x14ac:dyDescent="0.25">
      <c r="A1174" t="s">
        <v>24</v>
      </c>
      <c r="B1174" t="s">
        <v>193</v>
      </c>
      <c r="C1174" t="s">
        <v>25</v>
      </c>
      <c r="D1174">
        <v>0</v>
      </c>
      <c r="E1174">
        <v>0</v>
      </c>
      <c r="F1174">
        <v>206.57</v>
      </c>
      <c r="G1174">
        <v>3346.4009999999998</v>
      </c>
      <c r="H1174">
        <v>-1009.888</v>
      </c>
      <c r="I1174">
        <v>0</v>
      </c>
    </row>
    <row r="1175" spans="1:9" x14ac:dyDescent="0.25">
      <c r="A1175" t="s">
        <v>24</v>
      </c>
      <c r="B1175" t="s">
        <v>193</v>
      </c>
      <c r="C1175" t="s">
        <v>10</v>
      </c>
      <c r="D1175">
        <v>0</v>
      </c>
      <c r="E1175">
        <v>0</v>
      </c>
      <c r="F1175">
        <v>206.57</v>
      </c>
      <c r="G1175">
        <v>3346.4009999999998</v>
      </c>
      <c r="H1175">
        <v>-1836.16</v>
      </c>
      <c r="I1175">
        <v>0</v>
      </c>
    </row>
    <row r="1176" spans="1:9" x14ac:dyDescent="0.25">
      <c r="A1176" t="s">
        <v>24</v>
      </c>
      <c r="B1176" t="s">
        <v>194</v>
      </c>
      <c r="C1176" t="s">
        <v>25</v>
      </c>
      <c r="D1176">
        <v>0</v>
      </c>
      <c r="E1176">
        <v>-569.64</v>
      </c>
      <c r="F1176">
        <v>0</v>
      </c>
      <c r="G1176">
        <v>9399.1149999999998</v>
      </c>
      <c r="H1176">
        <v>0</v>
      </c>
      <c r="I1176">
        <v>-2784.9229999999998</v>
      </c>
    </row>
    <row r="1177" spans="1:9" x14ac:dyDescent="0.25">
      <c r="A1177" t="s">
        <v>24</v>
      </c>
      <c r="B1177" t="s">
        <v>194</v>
      </c>
      <c r="C1177" t="s">
        <v>10</v>
      </c>
      <c r="D1177">
        <v>0</v>
      </c>
      <c r="E1177">
        <v>-569.64</v>
      </c>
      <c r="F1177">
        <v>0</v>
      </c>
      <c r="G1177">
        <v>9399.1149999999998</v>
      </c>
      <c r="H1177">
        <v>0</v>
      </c>
      <c r="I1177">
        <v>-5063.4960000000001</v>
      </c>
    </row>
    <row r="1178" spans="1:9" x14ac:dyDescent="0.25">
      <c r="A1178" t="s">
        <v>24</v>
      </c>
      <c r="B1178" t="s">
        <v>195</v>
      </c>
      <c r="C1178" t="s">
        <v>25</v>
      </c>
      <c r="D1178">
        <v>0</v>
      </c>
      <c r="E1178">
        <v>-569.64</v>
      </c>
      <c r="F1178">
        <v>0</v>
      </c>
      <c r="G1178">
        <v>7690.1850000000004</v>
      </c>
      <c r="H1178">
        <v>0</v>
      </c>
      <c r="I1178">
        <v>-2784.9229999999998</v>
      </c>
    </row>
    <row r="1179" spans="1:9" x14ac:dyDescent="0.25">
      <c r="A1179" t="s">
        <v>24</v>
      </c>
      <c r="B1179" t="s">
        <v>195</v>
      </c>
      <c r="C1179" t="s">
        <v>10</v>
      </c>
      <c r="D1179">
        <v>0</v>
      </c>
      <c r="E1179">
        <v>-569.64</v>
      </c>
      <c r="F1179">
        <v>0</v>
      </c>
      <c r="G1179">
        <v>7690.1850000000004</v>
      </c>
      <c r="H1179">
        <v>0</v>
      </c>
      <c r="I1179">
        <v>-5063.4960000000001</v>
      </c>
    </row>
    <row r="1180" spans="1:9" x14ac:dyDescent="0.25">
      <c r="A1180" t="s">
        <v>24</v>
      </c>
      <c r="B1180" t="s">
        <v>196</v>
      </c>
      <c r="C1180" t="s">
        <v>25</v>
      </c>
      <c r="D1180">
        <v>0</v>
      </c>
      <c r="E1180">
        <v>569.64</v>
      </c>
      <c r="F1180">
        <v>0</v>
      </c>
      <c r="G1180">
        <v>-9399.1149999999998</v>
      </c>
      <c r="H1180">
        <v>0</v>
      </c>
      <c r="I1180">
        <v>2784.9229999999998</v>
      </c>
    </row>
    <row r="1181" spans="1:9" x14ac:dyDescent="0.25">
      <c r="A1181" t="s">
        <v>24</v>
      </c>
      <c r="B1181" t="s">
        <v>196</v>
      </c>
      <c r="C1181" t="s">
        <v>10</v>
      </c>
      <c r="D1181">
        <v>0</v>
      </c>
      <c r="E1181">
        <v>569.64</v>
      </c>
      <c r="F1181">
        <v>0</v>
      </c>
      <c r="G1181">
        <v>-9399.1149999999998</v>
      </c>
      <c r="H1181">
        <v>0</v>
      </c>
      <c r="I1181">
        <v>5063.4960000000001</v>
      </c>
    </row>
    <row r="1182" spans="1:9" x14ac:dyDescent="0.25">
      <c r="A1182" t="s">
        <v>24</v>
      </c>
      <c r="B1182" t="s">
        <v>197</v>
      </c>
      <c r="C1182" t="s">
        <v>25</v>
      </c>
      <c r="D1182">
        <v>0</v>
      </c>
      <c r="E1182">
        <v>569.64</v>
      </c>
      <c r="F1182">
        <v>0</v>
      </c>
      <c r="G1182">
        <v>-7690.1850000000004</v>
      </c>
      <c r="H1182">
        <v>0</v>
      </c>
      <c r="I1182">
        <v>2784.9229999999998</v>
      </c>
    </row>
    <row r="1183" spans="1:9" x14ac:dyDescent="0.25">
      <c r="A1183" t="s">
        <v>24</v>
      </c>
      <c r="B1183" t="s">
        <v>197</v>
      </c>
      <c r="C1183" t="s">
        <v>10</v>
      </c>
      <c r="D1183">
        <v>0</v>
      </c>
      <c r="E1183">
        <v>569.64</v>
      </c>
      <c r="F1183">
        <v>0</v>
      </c>
      <c r="G1183">
        <v>-7690.1850000000004</v>
      </c>
      <c r="H1183">
        <v>0</v>
      </c>
      <c r="I1183">
        <v>5063.4960000000001</v>
      </c>
    </row>
    <row r="1184" spans="1:9" x14ac:dyDescent="0.25">
      <c r="A1184" t="s">
        <v>24</v>
      </c>
      <c r="B1184" t="s">
        <v>198</v>
      </c>
      <c r="C1184" t="s">
        <v>25</v>
      </c>
      <c r="D1184">
        <v>0</v>
      </c>
      <c r="E1184">
        <v>0</v>
      </c>
      <c r="F1184">
        <v>-688.56</v>
      </c>
      <c r="G1184">
        <v>-13633.487999999999</v>
      </c>
      <c r="H1184">
        <v>3366.2930000000001</v>
      </c>
      <c r="I1184">
        <v>0</v>
      </c>
    </row>
    <row r="1185" spans="1:9" x14ac:dyDescent="0.25">
      <c r="A1185" t="s">
        <v>24</v>
      </c>
      <c r="B1185" t="s">
        <v>198</v>
      </c>
      <c r="C1185" t="s">
        <v>10</v>
      </c>
      <c r="D1185">
        <v>0</v>
      </c>
      <c r="E1185">
        <v>0</v>
      </c>
      <c r="F1185">
        <v>-688.56</v>
      </c>
      <c r="G1185">
        <v>-13633.487999999999</v>
      </c>
      <c r="H1185">
        <v>6120.5330000000004</v>
      </c>
      <c r="I1185">
        <v>0</v>
      </c>
    </row>
    <row r="1186" spans="1:9" x14ac:dyDescent="0.25">
      <c r="A1186" t="s">
        <v>24</v>
      </c>
      <c r="B1186" t="s">
        <v>199</v>
      </c>
      <c r="C1186" t="s">
        <v>25</v>
      </c>
      <c r="D1186">
        <v>0</v>
      </c>
      <c r="E1186">
        <v>0</v>
      </c>
      <c r="F1186">
        <v>-688.56</v>
      </c>
      <c r="G1186">
        <v>-11154.672</v>
      </c>
      <c r="H1186">
        <v>3366.2930000000001</v>
      </c>
      <c r="I1186">
        <v>0</v>
      </c>
    </row>
    <row r="1187" spans="1:9" x14ac:dyDescent="0.25">
      <c r="A1187" t="s">
        <v>24</v>
      </c>
      <c r="B1187" t="s">
        <v>199</v>
      </c>
      <c r="C1187" t="s">
        <v>10</v>
      </c>
      <c r="D1187">
        <v>0</v>
      </c>
      <c r="E1187">
        <v>0</v>
      </c>
      <c r="F1187">
        <v>-688.56</v>
      </c>
      <c r="G1187">
        <v>-11154.672</v>
      </c>
      <c r="H1187">
        <v>6120.5330000000004</v>
      </c>
      <c r="I1187">
        <v>0</v>
      </c>
    </row>
    <row r="1188" spans="1:9" x14ac:dyDescent="0.25">
      <c r="A1188" t="s">
        <v>24</v>
      </c>
      <c r="B1188" t="s">
        <v>200</v>
      </c>
      <c r="C1188" t="s">
        <v>25</v>
      </c>
      <c r="D1188">
        <v>0</v>
      </c>
      <c r="E1188">
        <v>0</v>
      </c>
      <c r="F1188">
        <v>688.56</v>
      </c>
      <c r="G1188">
        <v>13633.487999999999</v>
      </c>
      <c r="H1188">
        <v>-3366.2930000000001</v>
      </c>
      <c r="I1188">
        <v>0</v>
      </c>
    </row>
    <row r="1189" spans="1:9" x14ac:dyDescent="0.25">
      <c r="A1189" t="s">
        <v>24</v>
      </c>
      <c r="B1189" t="s">
        <v>200</v>
      </c>
      <c r="C1189" t="s">
        <v>10</v>
      </c>
      <c r="D1189">
        <v>0</v>
      </c>
      <c r="E1189">
        <v>0</v>
      </c>
      <c r="F1189">
        <v>688.56</v>
      </c>
      <c r="G1189">
        <v>13633.487999999999</v>
      </c>
      <c r="H1189">
        <v>-6120.5330000000004</v>
      </c>
      <c r="I1189">
        <v>0</v>
      </c>
    </row>
    <row r="1190" spans="1:9" x14ac:dyDescent="0.25">
      <c r="A1190" t="s">
        <v>24</v>
      </c>
      <c r="B1190" t="s">
        <v>201</v>
      </c>
      <c r="C1190" t="s">
        <v>25</v>
      </c>
      <c r="D1190">
        <v>0</v>
      </c>
      <c r="E1190">
        <v>0</v>
      </c>
      <c r="F1190">
        <v>688.56</v>
      </c>
      <c r="G1190">
        <v>11154.672</v>
      </c>
      <c r="H1190">
        <v>-3366.2930000000001</v>
      </c>
      <c r="I1190">
        <v>0</v>
      </c>
    </row>
    <row r="1191" spans="1:9" x14ac:dyDescent="0.25">
      <c r="A1191" t="s">
        <v>24</v>
      </c>
      <c r="B1191" t="s">
        <v>201</v>
      </c>
      <c r="C1191" t="s">
        <v>10</v>
      </c>
      <c r="D1191">
        <v>0</v>
      </c>
      <c r="E1191">
        <v>0</v>
      </c>
      <c r="F1191">
        <v>688.56</v>
      </c>
      <c r="G1191">
        <v>11154.672</v>
      </c>
      <c r="H1191">
        <v>-6120.5330000000004</v>
      </c>
      <c r="I1191">
        <v>0</v>
      </c>
    </row>
    <row r="1192" spans="1:9" x14ac:dyDescent="0.25">
      <c r="A1192" t="s">
        <v>24</v>
      </c>
      <c r="B1192" t="s">
        <v>202</v>
      </c>
      <c r="C1192" t="s">
        <v>25</v>
      </c>
      <c r="D1192">
        <v>0</v>
      </c>
      <c r="E1192">
        <v>-569.64</v>
      </c>
      <c r="F1192">
        <v>0</v>
      </c>
      <c r="G1192">
        <v>9399.1149999999998</v>
      </c>
      <c r="H1192">
        <v>0</v>
      </c>
      <c r="I1192">
        <v>-2784.9229999999998</v>
      </c>
    </row>
    <row r="1193" spans="1:9" x14ac:dyDescent="0.25">
      <c r="A1193" t="s">
        <v>24</v>
      </c>
      <c r="B1193" t="s">
        <v>202</v>
      </c>
      <c r="C1193" t="s">
        <v>10</v>
      </c>
      <c r="D1193">
        <v>0</v>
      </c>
      <c r="E1193">
        <v>-569.64</v>
      </c>
      <c r="F1193">
        <v>0</v>
      </c>
      <c r="G1193">
        <v>9399.1149999999998</v>
      </c>
      <c r="H1193">
        <v>0</v>
      </c>
      <c r="I1193">
        <v>-5063.4960000000001</v>
      </c>
    </row>
    <row r="1194" spans="1:9" x14ac:dyDescent="0.25">
      <c r="A1194" t="s">
        <v>24</v>
      </c>
      <c r="B1194" t="s">
        <v>203</v>
      </c>
      <c r="C1194" t="s">
        <v>25</v>
      </c>
      <c r="D1194">
        <v>0</v>
      </c>
      <c r="E1194">
        <v>-569.64</v>
      </c>
      <c r="F1194">
        <v>0</v>
      </c>
      <c r="G1194">
        <v>7690.1850000000004</v>
      </c>
      <c r="H1194">
        <v>0</v>
      </c>
      <c r="I1194">
        <v>-2784.9229999999998</v>
      </c>
    </row>
    <row r="1195" spans="1:9" x14ac:dyDescent="0.25">
      <c r="A1195" t="s">
        <v>24</v>
      </c>
      <c r="B1195" t="s">
        <v>203</v>
      </c>
      <c r="C1195" t="s">
        <v>10</v>
      </c>
      <c r="D1195">
        <v>0</v>
      </c>
      <c r="E1195">
        <v>-569.64</v>
      </c>
      <c r="F1195">
        <v>0</v>
      </c>
      <c r="G1195">
        <v>7690.1850000000004</v>
      </c>
      <c r="H1195">
        <v>0</v>
      </c>
      <c r="I1195">
        <v>-5063.4960000000001</v>
      </c>
    </row>
    <row r="1196" spans="1:9" x14ac:dyDescent="0.25">
      <c r="A1196" t="s">
        <v>24</v>
      </c>
      <c r="B1196" t="s">
        <v>204</v>
      </c>
      <c r="C1196" t="s">
        <v>25</v>
      </c>
      <c r="D1196">
        <v>0</v>
      </c>
      <c r="E1196">
        <v>569.64</v>
      </c>
      <c r="F1196">
        <v>0</v>
      </c>
      <c r="G1196">
        <v>-9399.1149999999998</v>
      </c>
      <c r="H1196">
        <v>0</v>
      </c>
      <c r="I1196">
        <v>2784.9229999999998</v>
      </c>
    </row>
    <row r="1197" spans="1:9" x14ac:dyDescent="0.25">
      <c r="A1197" t="s">
        <v>24</v>
      </c>
      <c r="B1197" t="s">
        <v>204</v>
      </c>
      <c r="C1197" t="s">
        <v>10</v>
      </c>
      <c r="D1197">
        <v>0</v>
      </c>
      <c r="E1197">
        <v>569.64</v>
      </c>
      <c r="F1197">
        <v>0</v>
      </c>
      <c r="G1197">
        <v>-9399.1149999999998</v>
      </c>
      <c r="H1197">
        <v>0</v>
      </c>
      <c r="I1197">
        <v>5063.4960000000001</v>
      </c>
    </row>
    <row r="1198" spans="1:9" x14ac:dyDescent="0.25">
      <c r="A1198" t="s">
        <v>24</v>
      </c>
      <c r="B1198" t="s">
        <v>205</v>
      </c>
      <c r="C1198" t="s">
        <v>25</v>
      </c>
      <c r="D1198">
        <v>0</v>
      </c>
      <c r="E1198">
        <v>569.64</v>
      </c>
      <c r="F1198">
        <v>0</v>
      </c>
      <c r="G1198">
        <v>-7690.1850000000004</v>
      </c>
      <c r="H1198">
        <v>0</v>
      </c>
      <c r="I1198">
        <v>2784.9229999999998</v>
      </c>
    </row>
    <row r="1199" spans="1:9" x14ac:dyDescent="0.25">
      <c r="A1199" t="s">
        <v>24</v>
      </c>
      <c r="B1199" t="s">
        <v>205</v>
      </c>
      <c r="C1199" t="s">
        <v>10</v>
      </c>
      <c r="D1199">
        <v>0</v>
      </c>
      <c r="E1199">
        <v>569.64</v>
      </c>
      <c r="F1199">
        <v>0</v>
      </c>
      <c r="G1199">
        <v>-7690.1850000000004</v>
      </c>
      <c r="H1199">
        <v>0</v>
      </c>
      <c r="I1199">
        <v>5063.4960000000001</v>
      </c>
    </row>
    <row r="1200" spans="1:9" x14ac:dyDescent="0.25">
      <c r="A1200" t="s">
        <v>24</v>
      </c>
      <c r="B1200" t="s">
        <v>206</v>
      </c>
      <c r="C1200" t="s">
        <v>25</v>
      </c>
      <c r="D1200">
        <v>0</v>
      </c>
      <c r="E1200">
        <v>0</v>
      </c>
      <c r="F1200">
        <v>-688.56</v>
      </c>
      <c r="G1200">
        <v>-13633.487999999999</v>
      </c>
      <c r="H1200">
        <v>3366.2930000000001</v>
      </c>
      <c r="I1200">
        <v>0</v>
      </c>
    </row>
    <row r="1201" spans="1:9" x14ac:dyDescent="0.25">
      <c r="A1201" t="s">
        <v>24</v>
      </c>
      <c r="B1201" t="s">
        <v>206</v>
      </c>
      <c r="C1201" t="s">
        <v>10</v>
      </c>
      <c r="D1201">
        <v>0</v>
      </c>
      <c r="E1201">
        <v>0</v>
      </c>
      <c r="F1201">
        <v>-688.56</v>
      </c>
      <c r="G1201">
        <v>-13633.487999999999</v>
      </c>
      <c r="H1201">
        <v>6120.5330000000004</v>
      </c>
      <c r="I1201">
        <v>0</v>
      </c>
    </row>
    <row r="1202" spans="1:9" x14ac:dyDescent="0.25">
      <c r="A1202" t="s">
        <v>24</v>
      </c>
      <c r="B1202" t="s">
        <v>207</v>
      </c>
      <c r="C1202" t="s">
        <v>25</v>
      </c>
      <c r="D1202">
        <v>0</v>
      </c>
      <c r="E1202">
        <v>0</v>
      </c>
      <c r="F1202">
        <v>-688.56</v>
      </c>
      <c r="G1202">
        <v>-11154.672</v>
      </c>
      <c r="H1202">
        <v>3366.2930000000001</v>
      </c>
      <c r="I1202">
        <v>0</v>
      </c>
    </row>
    <row r="1203" spans="1:9" x14ac:dyDescent="0.25">
      <c r="A1203" t="s">
        <v>24</v>
      </c>
      <c r="B1203" t="s">
        <v>207</v>
      </c>
      <c r="C1203" t="s">
        <v>10</v>
      </c>
      <c r="D1203">
        <v>0</v>
      </c>
      <c r="E1203">
        <v>0</v>
      </c>
      <c r="F1203">
        <v>-688.56</v>
      </c>
      <c r="G1203">
        <v>-11154.672</v>
      </c>
      <c r="H1203">
        <v>6120.5330000000004</v>
      </c>
      <c r="I1203">
        <v>0</v>
      </c>
    </row>
    <row r="1204" spans="1:9" x14ac:dyDescent="0.25">
      <c r="A1204" t="s">
        <v>24</v>
      </c>
      <c r="B1204" t="s">
        <v>208</v>
      </c>
      <c r="C1204" t="s">
        <v>25</v>
      </c>
      <c r="D1204">
        <v>0</v>
      </c>
      <c r="E1204">
        <v>0</v>
      </c>
      <c r="F1204">
        <v>688.56</v>
      </c>
      <c r="G1204">
        <v>13633.487999999999</v>
      </c>
      <c r="H1204">
        <v>-3366.2930000000001</v>
      </c>
      <c r="I1204">
        <v>0</v>
      </c>
    </row>
    <row r="1205" spans="1:9" x14ac:dyDescent="0.25">
      <c r="A1205" t="s">
        <v>24</v>
      </c>
      <c r="B1205" t="s">
        <v>208</v>
      </c>
      <c r="C1205" t="s">
        <v>10</v>
      </c>
      <c r="D1205">
        <v>0</v>
      </c>
      <c r="E1205">
        <v>0</v>
      </c>
      <c r="F1205">
        <v>688.56</v>
      </c>
      <c r="G1205">
        <v>13633.487999999999</v>
      </c>
      <c r="H1205">
        <v>-6120.5330000000004</v>
      </c>
      <c r="I1205">
        <v>0</v>
      </c>
    </row>
    <row r="1206" spans="1:9" x14ac:dyDescent="0.25">
      <c r="A1206" t="s">
        <v>24</v>
      </c>
      <c r="B1206" t="s">
        <v>209</v>
      </c>
      <c r="C1206" t="s">
        <v>25</v>
      </c>
      <c r="D1206">
        <v>0</v>
      </c>
      <c r="E1206">
        <v>0</v>
      </c>
      <c r="F1206">
        <v>688.56</v>
      </c>
      <c r="G1206">
        <v>11154.672</v>
      </c>
      <c r="H1206">
        <v>-3366.2930000000001</v>
      </c>
      <c r="I1206">
        <v>0</v>
      </c>
    </row>
    <row r="1207" spans="1:9" x14ac:dyDescent="0.25">
      <c r="A1207" t="s">
        <v>24</v>
      </c>
      <c r="B1207" t="s">
        <v>209</v>
      </c>
      <c r="C1207" t="s">
        <v>10</v>
      </c>
      <c r="D1207">
        <v>0</v>
      </c>
      <c r="E1207">
        <v>0</v>
      </c>
      <c r="F1207">
        <v>688.56</v>
      </c>
      <c r="G1207">
        <v>11154.672</v>
      </c>
      <c r="H1207">
        <v>-6120.5330000000004</v>
      </c>
      <c r="I1207">
        <v>0</v>
      </c>
    </row>
    <row r="1208" spans="1:9" x14ac:dyDescent="0.25">
      <c r="A1208" t="s">
        <v>24</v>
      </c>
      <c r="B1208" t="s">
        <v>210</v>
      </c>
      <c r="C1208" t="s">
        <v>25</v>
      </c>
      <c r="D1208">
        <v>0</v>
      </c>
      <c r="E1208">
        <v>-170.89</v>
      </c>
      <c r="F1208">
        <v>0</v>
      </c>
      <c r="G1208">
        <v>2819.7339999999999</v>
      </c>
      <c r="H1208">
        <v>0</v>
      </c>
      <c r="I1208">
        <v>-835.47699999999998</v>
      </c>
    </row>
    <row r="1209" spans="1:9" x14ac:dyDescent="0.25">
      <c r="A1209" t="s">
        <v>24</v>
      </c>
      <c r="B1209" t="s">
        <v>210</v>
      </c>
      <c r="C1209" t="s">
        <v>10</v>
      </c>
      <c r="D1209">
        <v>0</v>
      </c>
      <c r="E1209">
        <v>-170.89</v>
      </c>
      <c r="F1209">
        <v>0</v>
      </c>
      <c r="G1209">
        <v>2819.7339999999999</v>
      </c>
      <c r="H1209">
        <v>0</v>
      </c>
      <c r="I1209">
        <v>-1519.049</v>
      </c>
    </row>
    <row r="1210" spans="1:9" x14ac:dyDescent="0.25">
      <c r="A1210" t="s">
        <v>24</v>
      </c>
      <c r="B1210" t="s">
        <v>211</v>
      </c>
      <c r="C1210" t="s">
        <v>25</v>
      </c>
      <c r="D1210">
        <v>0</v>
      </c>
      <c r="E1210">
        <v>-170.89</v>
      </c>
      <c r="F1210">
        <v>0</v>
      </c>
      <c r="G1210">
        <v>2307.0549999999998</v>
      </c>
      <c r="H1210">
        <v>0</v>
      </c>
      <c r="I1210">
        <v>-835.47699999999998</v>
      </c>
    </row>
    <row r="1211" spans="1:9" x14ac:dyDescent="0.25">
      <c r="A1211" t="s">
        <v>24</v>
      </c>
      <c r="B1211" t="s">
        <v>211</v>
      </c>
      <c r="C1211" t="s">
        <v>10</v>
      </c>
      <c r="D1211">
        <v>0</v>
      </c>
      <c r="E1211">
        <v>-170.89</v>
      </c>
      <c r="F1211">
        <v>0</v>
      </c>
      <c r="G1211">
        <v>2307.0549999999998</v>
      </c>
      <c r="H1211">
        <v>0</v>
      </c>
      <c r="I1211">
        <v>-1519.049</v>
      </c>
    </row>
    <row r="1212" spans="1:9" x14ac:dyDescent="0.25">
      <c r="A1212" t="s">
        <v>24</v>
      </c>
      <c r="B1212" t="s">
        <v>212</v>
      </c>
      <c r="C1212" t="s">
        <v>25</v>
      </c>
      <c r="D1212">
        <v>0</v>
      </c>
      <c r="E1212">
        <v>170.89</v>
      </c>
      <c r="F1212">
        <v>0</v>
      </c>
      <c r="G1212">
        <v>-2819.7339999999999</v>
      </c>
      <c r="H1212">
        <v>0</v>
      </c>
      <c r="I1212">
        <v>835.47699999999998</v>
      </c>
    </row>
    <row r="1213" spans="1:9" x14ac:dyDescent="0.25">
      <c r="A1213" t="s">
        <v>24</v>
      </c>
      <c r="B1213" t="s">
        <v>212</v>
      </c>
      <c r="C1213" t="s">
        <v>10</v>
      </c>
      <c r="D1213">
        <v>0</v>
      </c>
      <c r="E1213">
        <v>170.89</v>
      </c>
      <c r="F1213">
        <v>0</v>
      </c>
      <c r="G1213">
        <v>-2819.7339999999999</v>
      </c>
      <c r="H1213">
        <v>0</v>
      </c>
      <c r="I1213">
        <v>1519.049</v>
      </c>
    </row>
    <row r="1214" spans="1:9" x14ac:dyDescent="0.25">
      <c r="A1214" t="s">
        <v>24</v>
      </c>
      <c r="B1214" t="s">
        <v>213</v>
      </c>
      <c r="C1214" t="s">
        <v>25</v>
      </c>
      <c r="D1214">
        <v>0</v>
      </c>
      <c r="E1214">
        <v>170.89</v>
      </c>
      <c r="F1214">
        <v>0</v>
      </c>
      <c r="G1214">
        <v>-2307.0549999999998</v>
      </c>
      <c r="H1214">
        <v>0</v>
      </c>
      <c r="I1214">
        <v>835.47699999999998</v>
      </c>
    </row>
    <row r="1215" spans="1:9" x14ac:dyDescent="0.25">
      <c r="A1215" t="s">
        <v>24</v>
      </c>
      <c r="B1215" t="s">
        <v>213</v>
      </c>
      <c r="C1215" t="s">
        <v>10</v>
      </c>
      <c r="D1215">
        <v>0</v>
      </c>
      <c r="E1215">
        <v>170.89</v>
      </c>
      <c r="F1215">
        <v>0</v>
      </c>
      <c r="G1215">
        <v>-2307.0549999999998</v>
      </c>
      <c r="H1215">
        <v>0</v>
      </c>
      <c r="I1215">
        <v>1519.049</v>
      </c>
    </row>
    <row r="1216" spans="1:9" x14ac:dyDescent="0.25">
      <c r="A1216" t="s">
        <v>24</v>
      </c>
      <c r="B1216" t="s">
        <v>214</v>
      </c>
      <c r="C1216" t="s">
        <v>25</v>
      </c>
      <c r="D1216">
        <v>0</v>
      </c>
      <c r="E1216">
        <v>0</v>
      </c>
      <c r="F1216">
        <v>-206.57</v>
      </c>
      <c r="G1216">
        <v>-4090.0459999999998</v>
      </c>
      <c r="H1216">
        <v>1009.888</v>
      </c>
      <c r="I1216">
        <v>0</v>
      </c>
    </row>
    <row r="1217" spans="1:9" x14ac:dyDescent="0.25">
      <c r="A1217" t="s">
        <v>24</v>
      </c>
      <c r="B1217" t="s">
        <v>214</v>
      </c>
      <c r="C1217" t="s">
        <v>10</v>
      </c>
      <c r="D1217">
        <v>0</v>
      </c>
      <c r="E1217">
        <v>0</v>
      </c>
      <c r="F1217">
        <v>-206.57</v>
      </c>
      <c r="G1217">
        <v>-4090.0459999999998</v>
      </c>
      <c r="H1217">
        <v>1836.16</v>
      </c>
      <c r="I1217">
        <v>0</v>
      </c>
    </row>
    <row r="1218" spans="1:9" x14ac:dyDescent="0.25">
      <c r="A1218" t="s">
        <v>24</v>
      </c>
      <c r="B1218" t="s">
        <v>215</v>
      </c>
      <c r="C1218" t="s">
        <v>25</v>
      </c>
      <c r="D1218">
        <v>0</v>
      </c>
      <c r="E1218">
        <v>0</v>
      </c>
      <c r="F1218">
        <v>-206.57</v>
      </c>
      <c r="G1218">
        <v>-3346.4009999999998</v>
      </c>
      <c r="H1218">
        <v>1009.888</v>
      </c>
      <c r="I1218">
        <v>0</v>
      </c>
    </row>
    <row r="1219" spans="1:9" x14ac:dyDescent="0.25">
      <c r="A1219" t="s">
        <v>24</v>
      </c>
      <c r="B1219" t="s">
        <v>215</v>
      </c>
      <c r="C1219" t="s">
        <v>10</v>
      </c>
      <c r="D1219">
        <v>0</v>
      </c>
      <c r="E1219">
        <v>0</v>
      </c>
      <c r="F1219">
        <v>-206.57</v>
      </c>
      <c r="G1219">
        <v>-3346.4009999999998</v>
      </c>
      <c r="H1219">
        <v>1836.16</v>
      </c>
      <c r="I1219">
        <v>0</v>
      </c>
    </row>
    <row r="1220" spans="1:9" x14ac:dyDescent="0.25">
      <c r="A1220" t="s">
        <v>24</v>
      </c>
      <c r="B1220" t="s">
        <v>216</v>
      </c>
      <c r="C1220" t="s">
        <v>25</v>
      </c>
      <c r="D1220">
        <v>0</v>
      </c>
      <c r="E1220">
        <v>0</v>
      </c>
      <c r="F1220">
        <v>206.57</v>
      </c>
      <c r="G1220">
        <v>4090.0459999999998</v>
      </c>
      <c r="H1220">
        <v>-1009.888</v>
      </c>
      <c r="I1220">
        <v>0</v>
      </c>
    </row>
    <row r="1221" spans="1:9" x14ac:dyDescent="0.25">
      <c r="A1221" t="s">
        <v>24</v>
      </c>
      <c r="B1221" t="s">
        <v>216</v>
      </c>
      <c r="C1221" t="s">
        <v>10</v>
      </c>
      <c r="D1221">
        <v>0</v>
      </c>
      <c r="E1221">
        <v>0</v>
      </c>
      <c r="F1221">
        <v>206.57</v>
      </c>
      <c r="G1221">
        <v>4090.0459999999998</v>
      </c>
      <c r="H1221">
        <v>-1836.16</v>
      </c>
      <c r="I1221">
        <v>0</v>
      </c>
    </row>
    <row r="1222" spans="1:9" x14ac:dyDescent="0.25">
      <c r="A1222" t="s">
        <v>24</v>
      </c>
      <c r="B1222" t="s">
        <v>217</v>
      </c>
      <c r="C1222" t="s">
        <v>25</v>
      </c>
      <c r="D1222">
        <v>0</v>
      </c>
      <c r="E1222">
        <v>0</v>
      </c>
      <c r="F1222">
        <v>206.57</v>
      </c>
      <c r="G1222">
        <v>3346.4009999999998</v>
      </c>
      <c r="H1222">
        <v>-1009.888</v>
      </c>
      <c r="I1222">
        <v>0</v>
      </c>
    </row>
    <row r="1223" spans="1:9" x14ac:dyDescent="0.25">
      <c r="A1223" t="s">
        <v>24</v>
      </c>
      <c r="B1223" t="s">
        <v>217</v>
      </c>
      <c r="C1223" t="s">
        <v>10</v>
      </c>
      <c r="D1223">
        <v>0</v>
      </c>
      <c r="E1223">
        <v>0</v>
      </c>
      <c r="F1223">
        <v>206.57</v>
      </c>
      <c r="G1223">
        <v>3346.4009999999998</v>
      </c>
      <c r="H1223">
        <v>-1836.16</v>
      </c>
      <c r="I1223">
        <v>0</v>
      </c>
    </row>
    <row r="1224" spans="1:9" x14ac:dyDescent="0.25">
      <c r="A1224" t="s">
        <v>24</v>
      </c>
      <c r="B1224" t="s">
        <v>218</v>
      </c>
      <c r="C1224" t="s">
        <v>25</v>
      </c>
      <c r="D1224">
        <v>0</v>
      </c>
      <c r="E1224">
        <v>-170.89</v>
      </c>
      <c r="F1224">
        <v>0</v>
      </c>
      <c r="G1224">
        <v>2819.7339999999999</v>
      </c>
      <c r="H1224">
        <v>0</v>
      </c>
      <c r="I1224">
        <v>-835.47699999999998</v>
      </c>
    </row>
    <row r="1225" spans="1:9" x14ac:dyDescent="0.25">
      <c r="A1225" t="s">
        <v>24</v>
      </c>
      <c r="B1225" t="s">
        <v>218</v>
      </c>
      <c r="C1225" t="s">
        <v>10</v>
      </c>
      <c r="D1225">
        <v>0</v>
      </c>
      <c r="E1225">
        <v>-170.89</v>
      </c>
      <c r="F1225">
        <v>0</v>
      </c>
      <c r="G1225">
        <v>2819.7339999999999</v>
      </c>
      <c r="H1225">
        <v>0</v>
      </c>
      <c r="I1225">
        <v>-1519.049</v>
      </c>
    </row>
    <row r="1226" spans="1:9" x14ac:dyDescent="0.25">
      <c r="A1226" t="s">
        <v>24</v>
      </c>
      <c r="B1226" t="s">
        <v>219</v>
      </c>
      <c r="C1226" t="s">
        <v>25</v>
      </c>
      <c r="D1226">
        <v>0</v>
      </c>
      <c r="E1226">
        <v>-170.89</v>
      </c>
      <c r="F1226">
        <v>0</v>
      </c>
      <c r="G1226">
        <v>2307.0549999999998</v>
      </c>
      <c r="H1226">
        <v>0</v>
      </c>
      <c r="I1226">
        <v>-835.47699999999998</v>
      </c>
    </row>
    <row r="1227" spans="1:9" x14ac:dyDescent="0.25">
      <c r="A1227" t="s">
        <v>24</v>
      </c>
      <c r="B1227" t="s">
        <v>219</v>
      </c>
      <c r="C1227" t="s">
        <v>10</v>
      </c>
      <c r="D1227">
        <v>0</v>
      </c>
      <c r="E1227">
        <v>-170.89</v>
      </c>
      <c r="F1227">
        <v>0</v>
      </c>
      <c r="G1227">
        <v>2307.0549999999998</v>
      </c>
      <c r="H1227">
        <v>0</v>
      </c>
      <c r="I1227">
        <v>-1519.049</v>
      </c>
    </row>
    <row r="1228" spans="1:9" x14ac:dyDescent="0.25">
      <c r="A1228" t="s">
        <v>24</v>
      </c>
      <c r="B1228" t="s">
        <v>220</v>
      </c>
      <c r="C1228" t="s">
        <v>25</v>
      </c>
      <c r="D1228">
        <v>0</v>
      </c>
      <c r="E1228">
        <v>170.89</v>
      </c>
      <c r="F1228">
        <v>0</v>
      </c>
      <c r="G1228">
        <v>-2819.7339999999999</v>
      </c>
      <c r="H1228">
        <v>0</v>
      </c>
      <c r="I1228">
        <v>835.47699999999998</v>
      </c>
    </row>
    <row r="1229" spans="1:9" x14ac:dyDescent="0.25">
      <c r="A1229" t="s">
        <v>24</v>
      </c>
      <c r="B1229" t="s">
        <v>220</v>
      </c>
      <c r="C1229" t="s">
        <v>10</v>
      </c>
      <c r="D1229">
        <v>0</v>
      </c>
      <c r="E1229">
        <v>170.89</v>
      </c>
      <c r="F1229">
        <v>0</v>
      </c>
      <c r="G1229">
        <v>-2819.7339999999999</v>
      </c>
      <c r="H1229">
        <v>0</v>
      </c>
      <c r="I1229">
        <v>1519.049</v>
      </c>
    </row>
    <row r="1230" spans="1:9" x14ac:dyDescent="0.25">
      <c r="A1230" t="s">
        <v>24</v>
      </c>
      <c r="B1230" t="s">
        <v>221</v>
      </c>
      <c r="C1230" t="s">
        <v>25</v>
      </c>
      <c r="D1230">
        <v>0</v>
      </c>
      <c r="E1230">
        <v>170.89</v>
      </c>
      <c r="F1230">
        <v>0</v>
      </c>
      <c r="G1230">
        <v>-2307.0549999999998</v>
      </c>
      <c r="H1230">
        <v>0</v>
      </c>
      <c r="I1230">
        <v>835.47699999999998</v>
      </c>
    </row>
    <row r="1231" spans="1:9" x14ac:dyDescent="0.25">
      <c r="A1231" t="s">
        <v>24</v>
      </c>
      <c r="B1231" t="s">
        <v>221</v>
      </c>
      <c r="C1231" t="s">
        <v>10</v>
      </c>
      <c r="D1231">
        <v>0</v>
      </c>
      <c r="E1231">
        <v>170.89</v>
      </c>
      <c r="F1231">
        <v>0</v>
      </c>
      <c r="G1231">
        <v>-2307.0549999999998</v>
      </c>
      <c r="H1231">
        <v>0</v>
      </c>
      <c r="I1231">
        <v>1519.049</v>
      </c>
    </row>
    <row r="1232" spans="1:9" x14ac:dyDescent="0.25">
      <c r="A1232" t="s">
        <v>24</v>
      </c>
      <c r="B1232" t="s">
        <v>222</v>
      </c>
      <c r="C1232" t="s">
        <v>25</v>
      </c>
      <c r="D1232">
        <v>0</v>
      </c>
      <c r="E1232">
        <v>0</v>
      </c>
      <c r="F1232">
        <v>-206.57</v>
      </c>
      <c r="G1232">
        <v>-4090.0459999999998</v>
      </c>
      <c r="H1232">
        <v>1009.888</v>
      </c>
      <c r="I1232">
        <v>0</v>
      </c>
    </row>
    <row r="1233" spans="1:9" x14ac:dyDescent="0.25">
      <c r="A1233" t="s">
        <v>24</v>
      </c>
      <c r="B1233" t="s">
        <v>222</v>
      </c>
      <c r="C1233" t="s">
        <v>10</v>
      </c>
      <c r="D1233">
        <v>0</v>
      </c>
      <c r="E1233">
        <v>0</v>
      </c>
      <c r="F1233">
        <v>-206.57</v>
      </c>
      <c r="G1233">
        <v>-4090.0459999999998</v>
      </c>
      <c r="H1233">
        <v>1836.16</v>
      </c>
      <c r="I1233">
        <v>0</v>
      </c>
    </row>
    <row r="1234" spans="1:9" x14ac:dyDescent="0.25">
      <c r="A1234" t="s">
        <v>24</v>
      </c>
      <c r="B1234" t="s">
        <v>223</v>
      </c>
      <c r="C1234" t="s">
        <v>25</v>
      </c>
      <c r="D1234">
        <v>0</v>
      </c>
      <c r="E1234">
        <v>0</v>
      </c>
      <c r="F1234">
        <v>-206.57</v>
      </c>
      <c r="G1234">
        <v>-3346.4009999999998</v>
      </c>
      <c r="H1234">
        <v>1009.888</v>
      </c>
      <c r="I1234">
        <v>0</v>
      </c>
    </row>
    <row r="1235" spans="1:9" x14ac:dyDescent="0.25">
      <c r="A1235" t="s">
        <v>24</v>
      </c>
      <c r="B1235" t="s">
        <v>223</v>
      </c>
      <c r="C1235" t="s">
        <v>10</v>
      </c>
      <c r="D1235">
        <v>0</v>
      </c>
      <c r="E1235">
        <v>0</v>
      </c>
      <c r="F1235">
        <v>-206.57</v>
      </c>
      <c r="G1235">
        <v>-3346.4009999999998</v>
      </c>
      <c r="H1235">
        <v>1836.16</v>
      </c>
      <c r="I1235">
        <v>0</v>
      </c>
    </row>
    <row r="1236" spans="1:9" x14ac:dyDescent="0.25">
      <c r="A1236" t="s">
        <v>24</v>
      </c>
      <c r="B1236" t="s">
        <v>224</v>
      </c>
      <c r="C1236" t="s">
        <v>25</v>
      </c>
      <c r="D1236">
        <v>0</v>
      </c>
      <c r="E1236">
        <v>0</v>
      </c>
      <c r="F1236">
        <v>206.57</v>
      </c>
      <c r="G1236">
        <v>4090.0459999999998</v>
      </c>
      <c r="H1236">
        <v>-1009.888</v>
      </c>
      <c r="I1236">
        <v>0</v>
      </c>
    </row>
    <row r="1237" spans="1:9" x14ac:dyDescent="0.25">
      <c r="A1237" t="s">
        <v>24</v>
      </c>
      <c r="B1237" t="s">
        <v>224</v>
      </c>
      <c r="C1237" t="s">
        <v>10</v>
      </c>
      <c r="D1237">
        <v>0</v>
      </c>
      <c r="E1237">
        <v>0</v>
      </c>
      <c r="F1237">
        <v>206.57</v>
      </c>
      <c r="G1237">
        <v>4090.0459999999998</v>
      </c>
      <c r="H1237">
        <v>-1836.16</v>
      </c>
      <c r="I1237">
        <v>0</v>
      </c>
    </row>
    <row r="1238" spans="1:9" x14ac:dyDescent="0.25">
      <c r="A1238" t="s">
        <v>24</v>
      </c>
      <c r="B1238" t="s">
        <v>225</v>
      </c>
      <c r="C1238" t="s">
        <v>25</v>
      </c>
      <c r="D1238">
        <v>0</v>
      </c>
      <c r="E1238">
        <v>0</v>
      </c>
      <c r="F1238">
        <v>206.57</v>
      </c>
      <c r="G1238">
        <v>3346.4009999999998</v>
      </c>
      <c r="H1238">
        <v>-1009.888</v>
      </c>
      <c r="I1238">
        <v>0</v>
      </c>
    </row>
    <row r="1239" spans="1:9" x14ac:dyDescent="0.25">
      <c r="A1239" t="s">
        <v>24</v>
      </c>
      <c r="B1239" t="s">
        <v>225</v>
      </c>
      <c r="C1239" t="s">
        <v>10</v>
      </c>
      <c r="D1239">
        <v>0</v>
      </c>
      <c r="E1239">
        <v>0</v>
      </c>
      <c r="F1239">
        <v>206.57</v>
      </c>
      <c r="G1239">
        <v>3346.4009999999998</v>
      </c>
      <c r="H1239">
        <v>-1836.16</v>
      </c>
      <c r="I1239">
        <v>0</v>
      </c>
    </row>
    <row r="1240" spans="1:9" x14ac:dyDescent="0.25">
      <c r="A1240" t="s">
        <v>24</v>
      </c>
      <c r="B1240" t="s">
        <v>327</v>
      </c>
      <c r="C1240" t="s">
        <v>25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</row>
    <row r="1241" spans="1:9" x14ac:dyDescent="0.25">
      <c r="A1241" t="s">
        <v>24</v>
      </c>
      <c r="B1241" t="s">
        <v>327</v>
      </c>
      <c r="C1241" t="s">
        <v>10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</row>
    <row r="1242" spans="1:9" x14ac:dyDescent="0.25">
      <c r="A1242" t="s">
        <v>24</v>
      </c>
      <c r="B1242" t="s">
        <v>328</v>
      </c>
      <c r="C1242" t="s">
        <v>25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</row>
    <row r="1243" spans="1:9" x14ac:dyDescent="0.25">
      <c r="A1243" t="s">
        <v>24</v>
      </c>
      <c r="B1243" t="s">
        <v>328</v>
      </c>
      <c r="C1243" t="s">
        <v>10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</row>
    <row r="1244" spans="1:9" x14ac:dyDescent="0.25">
      <c r="A1244" t="s">
        <v>16</v>
      </c>
      <c r="B1244" t="s">
        <v>9</v>
      </c>
      <c r="C1244" t="s">
        <v>25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</row>
    <row r="1245" spans="1:9" x14ac:dyDescent="0.25">
      <c r="A1245" t="s">
        <v>16</v>
      </c>
      <c r="B1245" t="s">
        <v>9</v>
      </c>
      <c r="C1245" t="s">
        <v>10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</row>
    <row r="1246" spans="1:9" x14ac:dyDescent="0.25">
      <c r="A1246" t="s">
        <v>16</v>
      </c>
      <c r="B1246" t="s">
        <v>26</v>
      </c>
      <c r="C1246" t="s">
        <v>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</row>
    <row r="1247" spans="1:9" x14ac:dyDescent="0.25">
      <c r="A1247" t="s">
        <v>16</v>
      </c>
      <c r="B1247" t="s">
        <v>26</v>
      </c>
      <c r="C1247" t="s">
        <v>10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</row>
    <row r="1248" spans="1:9" x14ac:dyDescent="0.25">
      <c r="A1248" t="s">
        <v>16</v>
      </c>
      <c r="B1248" t="s">
        <v>20</v>
      </c>
      <c r="C1248" t="s">
        <v>25</v>
      </c>
      <c r="D1248">
        <v>0</v>
      </c>
      <c r="E1248">
        <v>-452.1</v>
      </c>
      <c r="F1248">
        <v>0</v>
      </c>
      <c r="G1248">
        <v>7459.6149999999998</v>
      </c>
      <c r="H1248">
        <v>0</v>
      </c>
      <c r="I1248">
        <v>-3616.7829999999999</v>
      </c>
    </row>
    <row r="1249" spans="1:9" x14ac:dyDescent="0.25">
      <c r="A1249" t="s">
        <v>16</v>
      </c>
      <c r="B1249" t="s">
        <v>20</v>
      </c>
      <c r="C1249" t="s">
        <v>10</v>
      </c>
      <c r="D1249">
        <v>0</v>
      </c>
      <c r="E1249">
        <v>-452.1</v>
      </c>
      <c r="F1249">
        <v>0</v>
      </c>
      <c r="G1249">
        <v>7459.6149999999998</v>
      </c>
      <c r="H1249">
        <v>0</v>
      </c>
      <c r="I1249">
        <v>-5425.174</v>
      </c>
    </row>
    <row r="1250" spans="1:9" x14ac:dyDescent="0.25">
      <c r="A1250" t="s">
        <v>16</v>
      </c>
      <c r="B1250" t="s">
        <v>21</v>
      </c>
      <c r="C1250" t="s">
        <v>25</v>
      </c>
      <c r="D1250">
        <v>0</v>
      </c>
      <c r="E1250">
        <v>-452.1</v>
      </c>
      <c r="F1250">
        <v>0</v>
      </c>
      <c r="G1250">
        <v>6103.3209999999999</v>
      </c>
      <c r="H1250">
        <v>0</v>
      </c>
      <c r="I1250">
        <v>-3616.7829999999999</v>
      </c>
    </row>
    <row r="1251" spans="1:9" x14ac:dyDescent="0.25">
      <c r="A1251" t="s">
        <v>16</v>
      </c>
      <c r="B1251" t="s">
        <v>21</v>
      </c>
      <c r="C1251" t="s">
        <v>10</v>
      </c>
      <c r="D1251">
        <v>0</v>
      </c>
      <c r="E1251">
        <v>-452.1</v>
      </c>
      <c r="F1251">
        <v>0</v>
      </c>
      <c r="G1251">
        <v>6103.3209999999999</v>
      </c>
      <c r="H1251">
        <v>0</v>
      </c>
      <c r="I1251">
        <v>-5425.174</v>
      </c>
    </row>
    <row r="1252" spans="1:9" x14ac:dyDescent="0.25">
      <c r="A1252" t="s">
        <v>16</v>
      </c>
      <c r="B1252" t="s">
        <v>22</v>
      </c>
      <c r="C1252" t="s">
        <v>25</v>
      </c>
      <c r="D1252">
        <v>0</v>
      </c>
      <c r="E1252">
        <v>0</v>
      </c>
      <c r="F1252">
        <v>-546.48</v>
      </c>
      <c r="G1252">
        <v>-10820.227999999999</v>
      </c>
      <c r="H1252">
        <v>4371.8090000000002</v>
      </c>
      <c r="I1252">
        <v>0</v>
      </c>
    </row>
    <row r="1253" spans="1:9" x14ac:dyDescent="0.25">
      <c r="A1253" t="s">
        <v>16</v>
      </c>
      <c r="B1253" t="s">
        <v>22</v>
      </c>
      <c r="C1253" t="s">
        <v>10</v>
      </c>
      <c r="D1253">
        <v>0</v>
      </c>
      <c r="E1253">
        <v>0</v>
      </c>
      <c r="F1253">
        <v>-546.48</v>
      </c>
      <c r="G1253">
        <v>-10820.227999999999</v>
      </c>
      <c r="H1253">
        <v>6557.7139999999999</v>
      </c>
      <c r="I1253">
        <v>0</v>
      </c>
    </row>
    <row r="1254" spans="1:9" x14ac:dyDescent="0.25">
      <c r="A1254" t="s">
        <v>16</v>
      </c>
      <c r="B1254" t="s">
        <v>23</v>
      </c>
      <c r="C1254" t="s">
        <v>25</v>
      </c>
      <c r="D1254">
        <v>0</v>
      </c>
      <c r="E1254">
        <v>0</v>
      </c>
      <c r="F1254">
        <v>-546.48</v>
      </c>
      <c r="G1254">
        <v>-8852.9140000000007</v>
      </c>
      <c r="H1254">
        <v>4371.8090000000002</v>
      </c>
      <c r="I1254">
        <v>0</v>
      </c>
    </row>
    <row r="1255" spans="1:9" x14ac:dyDescent="0.25">
      <c r="A1255" t="s">
        <v>16</v>
      </c>
      <c r="B1255" t="s">
        <v>23</v>
      </c>
      <c r="C1255" t="s">
        <v>10</v>
      </c>
      <c r="D1255">
        <v>0</v>
      </c>
      <c r="E1255">
        <v>0</v>
      </c>
      <c r="F1255">
        <v>-546.48</v>
      </c>
      <c r="G1255">
        <v>-8852.9140000000007</v>
      </c>
      <c r="H1255">
        <v>6557.7139999999999</v>
      </c>
      <c r="I1255">
        <v>0</v>
      </c>
    </row>
    <row r="1256" spans="1:9" x14ac:dyDescent="0.25">
      <c r="A1256" t="s">
        <v>16</v>
      </c>
      <c r="B1256" t="s">
        <v>321</v>
      </c>
      <c r="C1256" t="s">
        <v>25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</row>
    <row r="1257" spans="1:9" x14ac:dyDescent="0.25">
      <c r="A1257" t="s">
        <v>16</v>
      </c>
      <c r="B1257" t="s">
        <v>321</v>
      </c>
      <c r="C1257" t="s">
        <v>10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</row>
    <row r="1258" spans="1:9" x14ac:dyDescent="0.25">
      <c r="A1258" t="s">
        <v>16</v>
      </c>
      <c r="B1258" t="s">
        <v>322</v>
      </c>
      <c r="C1258" t="s">
        <v>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</row>
    <row r="1259" spans="1:9" x14ac:dyDescent="0.25">
      <c r="A1259" t="s">
        <v>16</v>
      </c>
      <c r="B1259" t="s">
        <v>322</v>
      </c>
      <c r="C1259" t="s">
        <v>10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</row>
    <row r="1260" spans="1:9" x14ac:dyDescent="0.25">
      <c r="A1260" t="s">
        <v>16</v>
      </c>
      <c r="B1260" t="s">
        <v>323</v>
      </c>
      <c r="C1260" t="s">
        <v>25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</row>
    <row r="1261" spans="1:9" x14ac:dyDescent="0.25">
      <c r="A1261" t="s">
        <v>16</v>
      </c>
      <c r="B1261" t="s">
        <v>323</v>
      </c>
      <c r="C1261" t="s">
        <v>10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</row>
    <row r="1262" spans="1:9" x14ac:dyDescent="0.25">
      <c r="A1262" t="s">
        <v>16</v>
      </c>
      <c r="B1262" t="s">
        <v>324</v>
      </c>
      <c r="C1262" t="s">
        <v>25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</row>
    <row r="1263" spans="1:9" x14ac:dyDescent="0.25">
      <c r="A1263" t="s">
        <v>16</v>
      </c>
      <c r="B1263" t="s">
        <v>324</v>
      </c>
      <c r="C1263" t="s">
        <v>10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</row>
    <row r="1264" spans="1:9" x14ac:dyDescent="0.25">
      <c r="A1264" t="s">
        <v>16</v>
      </c>
      <c r="B1264" t="s">
        <v>325</v>
      </c>
      <c r="C1264" t="s">
        <v>25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</row>
    <row r="1265" spans="1:9" x14ac:dyDescent="0.25">
      <c r="A1265" t="s">
        <v>16</v>
      </c>
      <c r="B1265" t="s">
        <v>325</v>
      </c>
      <c r="C1265" t="s">
        <v>10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</row>
    <row r="1266" spans="1:9" x14ac:dyDescent="0.25">
      <c r="A1266" t="s">
        <v>16</v>
      </c>
      <c r="B1266" t="s">
        <v>326</v>
      </c>
      <c r="C1266" t="s">
        <v>25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</row>
    <row r="1267" spans="1:9" x14ac:dyDescent="0.25">
      <c r="A1267" t="s">
        <v>16</v>
      </c>
      <c r="B1267" t="s">
        <v>326</v>
      </c>
      <c r="C1267" t="s">
        <v>10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</row>
    <row r="1268" spans="1:9" x14ac:dyDescent="0.25">
      <c r="A1268" t="s">
        <v>16</v>
      </c>
      <c r="B1268" t="s">
        <v>27</v>
      </c>
      <c r="C1268" t="s">
        <v>25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</row>
    <row r="1269" spans="1:9" x14ac:dyDescent="0.25">
      <c r="A1269" t="s">
        <v>16</v>
      </c>
      <c r="B1269" t="s">
        <v>27</v>
      </c>
      <c r="C1269" t="s">
        <v>10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</row>
    <row r="1270" spans="1:9" x14ac:dyDescent="0.25">
      <c r="A1270" t="s">
        <v>16</v>
      </c>
      <c r="B1270" t="s">
        <v>28</v>
      </c>
      <c r="C1270" t="s">
        <v>25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</row>
    <row r="1271" spans="1:9" x14ac:dyDescent="0.25">
      <c r="A1271" t="s">
        <v>16</v>
      </c>
      <c r="B1271" t="s">
        <v>28</v>
      </c>
      <c r="C1271" t="s">
        <v>10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</row>
    <row r="1272" spans="1:9" x14ac:dyDescent="0.25">
      <c r="A1272" t="s">
        <v>16</v>
      </c>
      <c r="B1272" t="s">
        <v>29</v>
      </c>
      <c r="C1272" t="s">
        <v>25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</row>
    <row r="1273" spans="1:9" x14ac:dyDescent="0.25">
      <c r="A1273" t="s">
        <v>16</v>
      </c>
      <c r="B1273" t="s">
        <v>29</v>
      </c>
      <c r="C1273" t="s">
        <v>10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</row>
    <row r="1274" spans="1:9" x14ac:dyDescent="0.25">
      <c r="A1274" t="s">
        <v>16</v>
      </c>
      <c r="B1274" t="s">
        <v>30</v>
      </c>
      <c r="C1274" t="s">
        <v>25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</row>
    <row r="1275" spans="1:9" x14ac:dyDescent="0.25">
      <c r="A1275" t="s">
        <v>16</v>
      </c>
      <c r="B1275" t="s">
        <v>30</v>
      </c>
      <c r="C1275" t="s">
        <v>10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</row>
    <row r="1276" spans="1:9" x14ac:dyDescent="0.25">
      <c r="A1276" t="s">
        <v>16</v>
      </c>
      <c r="B1276" t="s">
        <v>11</v>
      </c>
      <c r="C1276" t="s">
        <v>25</v>
      </c>
      <c r="D1276">
        <v>0</v>
      </c>
      <c r="E1276">
        <v>224.31</v>
      </c>
      <c r="F1276">
        <v>0</v>
      </c>
      <c r="G1276">
        <v>3927.569</v>
      </c>
      <c r="H1276">
        <v>0</v>
      </c>
      <c r="I1276">
        <v>1689.4649999999999</v>
      </c>
    </row>
    <row r="1277" spans="1:9" x14ac:dyDescent="0.25">
      <c r="A1277" t="s">
        <v>16</v>
      </c>
      <c r="B1277" t="s">
        <v>11</v>
      </c>
      <c r="C1277" t="s">
        <v>10</v>
      </c>
      <c r="D1277">
        <v>0</v>
      </c>
      <c r="E1277">
        <v>224.31</v>
      </c>
      <c r="F1277">
        <v>0</v>
      </c>
      <c r="G1277">
        <v>3927.569</v>
      </c>
      <c r="H1277">
        <v>0</v>
      </c>
      <c r="I1277">
        <v>2469.7930000000001</v>
      </c>
    </row>
    <row r="1278" spans="1:9" x14ac:dyDescent="0.25">
      <c r="A1278" t="s">
        <v>16</v>
      </c>
      <c r="B1278" t="s">
        <v>12</v>
      </c>
      <c r="C1278" t="s">
        <v>25</v>
      </c>
      <c r="D1278">
        <v>0</v>
      </c>
      <c r="E1278">
        <v>0</v>
      </c>
      <c r="F1278">
        <v>558.86</v>
      </c>
      <c r="G1278">
        <v>11266.933000000001</v>
      </c>
      <c r="H1278">
        <v>4515.5739999999996</v>
      </c>
      <c r="I1278">
        <v>0</v>
      </c>
    </row>
    <row r="1279" spans="1:9" x14ac:dyDescent="0.25">
      <c r="A1279" t="s">
        <v>16</v>
      </c>
      <c r="B1279" t="s">
        <v>12</v>
      </c>
      <c r="C1279" t="s">
        <v>10</v>
      </c>
      <c r="D1279">
        <v>0</v>
      </c>
      <c r="E1279">
        <v>0</v>
      </c>
      <c r="F1279">
        <v>558.86</v>
      </c>
      <c r="G1279">
        <v>11266.933000000001</v>
      </c>
      <c r="H1279">
        <v>6679.3779999999997</v>
      </c>
      <c r="I1279">
        <v>0</v>
      </c>
    </row>
    <row r="1280" spans="1:9" x14ac:dyDescent="0.25">
      <c r="A1280" t="s">
        <v>16</v>
      </c>
      <c r="B1280" t="s">
        <v>13</v>
      </c>
      <c r="C1280" t="s">
        <v>25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</row>
    <row r="1281" spans="1:9" x14ac:dyDescent="0.25">
      <c r="A1281" t="s">
        <v>16</v>
      </c>
      <c r="B1281" t="s">
        <v>13</v>
      </c>
      <c r="C1281" t="s">
        <v>10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</row>
    <row r="1282" spans="1:9" x14ac:dyDescent="0.25">
      <c r="A1282" t="s">
        <v>16</v>
      </c>
      <c r="B1282" t="s">
        <v>31</v>
      </c>
      <c r="C1282" t="s">
        <v>25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</row>
    <row r="1283" spans="1:9" x14ac:dyDescent="0.25">
      <c r="A1283" t="s">
        <v>16</v>
      </c>
      <c r="B1283" t="s">
        <v>31</v>
      </c>
      <c r="C1283" t="s">
        <v>10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</row>
    <row r="1284" spans="1:9" x14ac:dyDescent="0.25">
      <c r="A1284" t="s">
        <v>16</v>
      </c>
      <c r="B1284" t="s">
        <v>32</v>
      </c>
      <c r="C1284" t="s">
        <v>25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</row>
    <row r="1285" spans="1:9" x14ac:dyDescent="0.25">
      <c r="A1285" t="s">
        <v>16</v>
      </c>
      <c r="B1285" t="s">
        <v>32</v>
      </c>
      <c r="C1285" t="s">
        <v>10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</row>
    <row r="1286" spans="1:9" x14ac:dyDescent="0.25">
      <c r="A1286" t="s">
        <v>16</v>
      </c>
      <c r="B1286" t="s">
        <v>33</v>
      </c>
      <c r="C1286" t="s">
        <v>25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</row>
    <row r="1287" spans="1:9" x14ac:dyDescent="0.25">
      <c r="A1287" t="s">
        <v>16</v>
      </c>
      <c r="B1287" t="s">
        <v>33</v>
      </c>
      <c r="C1287" t="s">
        <v>10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</row>
    <row r="1288" spans="1:9" x14ac:dyDescent="0.25">
      <c r="A1288" t="s">
        <v>16</v>
      </c>
      <c r="B1288" t="s">
        <v>34</v>
      </c>
      <c r="C1288" t="s">
        <v>25</v>
      </c>
      <c r="D1288">
        <v>0</v>
      </c>
      <c r="E1288">
        <v>-452.1</v>
      </c>
      <c r="F1288">
        <v>0</v>
      </c>
      <c r="G1288">
        <v>7459.6149999999998</v>
      </c>
      <c r="H1288">
        <v>0</v>
      </c>
      <c r="I1288">
        <v>-3616.7829999999999</v>
      </c>
    </row>
    <row r="1289" spans="1:9" x14ac:dyDescent="0.25">
      <c r="A1289" t="s">
        <v>16</v>
      </c>
      <c r="B1289" t="s">
        <v>34</v>
      </c>
      <c r="C1289" t="s">
        <v>10</v>
      </c>
      <c r="D1289">
        <v>0</v>
      </c>
      <c r="E1289">
        <v>-452.1</v>
      </c>
      <c r="F1289">
        <v>0</v>
      </c>
      <c r="G1289">
        <v>7459.6149999999998</v>
      </c>
      <c r="H1289">
        <v>0</v>
      </c>
      <c r="I1289">
        <v>-5425.174</v>
      </c>
    </row>
    <row r="1290" spans="1:9" x14ac:dyDescent="0.25">
      <c r="A1290" t="s">
        <v>16</v>
      </c>
      <c r="B1290" t="s">
        <v>35</v>
      </c>
      <c r="C1290" t="s">
        <v>25</v>
      </c>
      <c r="D1290">
        <v>0</v>
      </c>
      <c r="E1290">
        <v>-452.1</v>
      </c>
      <c r="F1290">
        <v>0</v>
      </c>
      <c r="G1290">
        <v>6103.3209999999999</v>
      </c>
      <c r="H1290">
        <v>0</v>
      </c>
      <c r="I1290">
        <v>-3616.7829999999999</v>
      </c>
    </row>
    <row r="1291" spans="1:9" x14ac:dyDescent="0.25">
      <c r="A1291" t="s">
        <v>16</v>
      </c>
      <c r="B1291" t="s">
        <v>35</v>
      </c>
      <c r="C1291" t="s">
        <v>10</v>
      </c>
      <c r="D1291">
        <v>0</v>
      </c>
      <c r="E1291">
        <v>-452.1</v>
      </c>
      <c r="F1291">
        <v>0</v>
      </c>
      <c r="G1291">
        <v>6103.3209999999999</v>
      </c>
      <c r="H1291">
        <v>0</v>
      </c>
      <c r="I1291">
        <v>-5425.174</v>
      </c>
    </row>
    <row r="1292" spans="1:9" x14ac:dyDescent="0.25">
      <c r="A1292" t="s">
        <v>16</v>
      </c>
      <c r="B1292" t="s">
        <v>36</v>
      </c>
      <c r="C1292" t="s">
        <v>25</v>
      </c>
      <c r="D1292">
        <v>0</v>
      </c>
      <c r="E1292">
        <v>452.1</v>
      </c>
      <c r="F1292">
        <v>0</v>
      </c>
      <c r="G1292">
        <v>-7459.6149999999998</v>
      </c>
      <c r="H1292">
        <v>0</v>
      </c>
      <c r="I1292">
        <v>3616.7829999999999</v>
      </c>
    </row>
    <row r="1293" spans="1:9" x14ac:dyDescent="0.25">
      <c r="A1293" t="s">
        <v>16</v>
      </c>
      <c r="B1293" t="s">
        <v>36</v>
      </c>
      <c r="C1293" t="s">
        <v>10</v>
      </c>
      <c r="D1293">
        <v>0</v>
      </c>
      <c r="E1293">
        <v>452.1</v>
      </c>
      <c r="F1293">
        <v>0</v>
      </c>
      <c r="G1293">
        <v>-7459.6149999999998</v>
      </c>
      <c r="H1293">
        <v>0</v>
      </c>
      <c r="I1293">
        <v>5425.174</v>
      </c>
    </row>
    <row r="1294" spans="1:9" x14ac:dyDescent="0.25">
      <c r="A1294" t="s">
        <v>16</v>
      </c>
      <c r="B1294" t="s">
        <v>37</v>
      </c>
      <c r="C1294" t="s">
        <v>25</v>
      </c>
      <c r="D1294">
        <v>0</v>
      </c>
      <c r="E1294">
        <v>452.1</v>
      </c>
      <c r="F1294">
        <v>0</v>
      </c>
      <c r="G1294">
        <v>-6103.3209999999999</v>
      </c>
      <c r="H1294">
        <v>0</v>
      </c>
      <c r="I1294">
        <v>3616.7829999999999</v>
      </c>
    </row>
    <row r="1295" spans="1:9" x14ac:dyDescent="0.25">
      <c r="A1295" t="s">
        <v>16</v>
      </c>
      <c r="B1295" t="s">
        <v>37</v>
      </c>
      <c r="C1295" t="s">
        <v>10</v>
      </c>
      <c r="D1295">
        <v>0</v>
      </c>
      <c r="E1295">
        <v>452.1</v>
      </c>
      <c r="F1295">
        <v>0</v>
      </c>
      <c r="G1295">
        <v>-6103.3209999999999</v>
      </c>
      <c r="H1295">
        <v>0</v>
      </c>
      <c r="I1295">
        <v>5425.174</v>
      </c>
    </row>
    <row r="1296" spans="1:9" x14ac:dyDescent="0.25">
      <c r="A1296" t="s">
        <v>16</v>
      </c>
      <c r="B1296" t="s">
        <v>38</v>
      </c>
      <c r="C1296" t="s">
        <v>25</v>
      </c>
      <c r="D1296">
        <v>0</v>
      </c>
      <c r="E1296">
        <v>0</v>
      </c>
      <c r="F1296">
        <v>-546.48</v>
      </c>
      <c r="G1296">
        <v>-10820.227999999999</v>
      </c>
      <c r="H1296">
        <v>4371.8090000000002</v>
      </c>
      <c r="I1296">
        <v>0</v>
      </c>
    </row>
    <row r="1297" spans="1:9" x14ac:dyDescent="0.25">
      <c r="A1297" t="s">
        <v>16</v>
      </c>
      <c r="B1297" t="s">
        <v>38</v>
      </c>
      <c r="C1297" t="s">
        <v>10</v>
      </c>
      <c r="D1297">
        <v>0</v>
      </c>
      <c r="E1297">
        <v>0</v>
      </c>
      <c r="F1297">
        <v>-546.48</v>
      </c>
      <c r="G1297">
        <v>-10820.227999999999</v>
      </c>
      <c r="H1297">
        <v>6557.7139999999999</v>
      </c>
      <c r="I1297">
        <v>0</v>
      </c>
    </row>
    <row r="1298" spans="1:9" x14ac:dyDescent="0.25">
      <c r="A1298" t="s">
        <v>16</v>
      </c>
      <c r="B1298" t="s">
        <v>39</v>
      </c>
      <c r="C1298" t="s">
        <v>25</v>
      </c>
      <c r="D1298">
        <v>0</v>
      </c>
      <c r="E1298">
        <v>0</v>
      </c>
      <c r="F1298">
        <v>-546.48</v>
      </c>
      <c r="G1298">
        <v>-8852.9140000000007</v>
      </c>
      <c r="H1298">
        <v>4371.8090000000002</v>
      </c>
      <c r="I1298">
        <v>0</v>
      </c>
    </row>
    <row r="1299" spans="1:9" x14ac:dyDescent="0.25">
      <c r="A1299" t="s">
        <v>16</v>
      </c>
      <c r="B1299" t="s">
        <v>39</v>
      </c>
      <c r="C1299" t="s">
        <v>10</v>
      </c>
      <c r="D1299">
        <v>0</v>
      </c>
      <c r="E1299">
        <v>0</v>
      </c>
      <c r="F1299">
        <v>-546.48</v>
      </c>
      <c r="G1299">
        <v>-8852.9140000000007</v>
      </c>
      <c r="H1299">
        <v>6557.7139999999999</v>
      </c>
      <c r="I1299">
        <v>0</v>
      </c>
    </row>
    <row r="1300" spans="1:9" x14ac:dyDescent="0.25">
      <c r="A1300" t="s">
        <v>16</v>
      </c>
      <c r="B1300" t="s">
        <v>40</v>
      </c>
      <c r="C1300" t="s">
        <v>25</v>
      </c>
      <c r="D1300">
        <v>0</v>
      </c>
      <c r="E1300">
        <v>0</v>
      </c>
      <c r="F1300">
        <v>546.48</v>
      </c>
      <c r="G1300">
        <v>10820.227999999999</v>
      </c>
      <c r="H1300">
        <v>-4371.8090000000002</v>
      </c>
      <c r="I1300">
        <v>0</v>
      </c>
    </row>
    <row r="1301" spans="1:9" x14ac:dyDescent="0.25">
      <c r="A1301" t="s">
        <v>16</v>
      </c>
      <c r="B1301" t="s">
        <v>40</v>
      </c>
      <c r="C1301" t="s">
        <v>10</v>
      </c>
      <c r="D1301">
        <v>0</v>
      </c>
      <c r="E1301">
        <v>0</v>
      </c>
      <c r="F1301">
        <v>546.48</v>
      </c>
      <c r="G1301">
        <v>10820.227999999999</v>
      </c>
      <c r="H1301">
        <v>-6557.7139999999999</v>
      </c>
      <c r="I1301">
        <v>0</v>
      </c>
    </row>
    <row r="1302" spans="1:9" x14ac:dyDescent="0.25">
      <c r="A1302" t="s">
        <v>16</v>
      </c>
      <c r="B1302" t="s">
        <v>41</v>
      </c>
      <c r="C1302" t="s">
        <v>25</v>
      </c>
      <c r="D1302">
        <v>0</v>
      </c>
      <c r="E1302">
        <v>0</v>
      </c>
      <c r="F1302">
        <v>546.48</v>
      </c>
      <c r="G1302">
        <v>8852.9140000000007</v>
      </c>
      <c r="H1302">
        <v>-4371.8090000000002</v>
      </c>
      <c r="I1302">
        <v>0</v>
      </c>
    </row>
    <row r="1303" spans="1:9" x14ac:dyDescent="0.25">
      <c r="A1303" t="s">
        <v>16</v>
      </c>
      <c r="B1303" t="s">
        <v>41</v>
      </c>
      <c r="C1303" t="s">
        <v>10</v>
      </c>
      <c r="D1303">
        <v>0</v>
      </c>
      <c r="E1303">
        <v>0</v>
      </c>
      <c r="F1303">
        <v>546.48</v>
      </c>
      <c r="G1303">
        <v>8852.9140000000007</v>
      </c>
      <c r="H1303">
        <v>-6557.7139999999999</v>
      </c>
      <c r="I1303">
        <v>0</v>
      </c>
    </row>
    <row r="1304" spans="1:9" x14ac:dyDescent="0.25">
      <c r="A1304" t="s">
        <v>16</v>
      </c>
      <c r="B1304" t="s">
        <v>42</v>
      </c>
      <c r="C1304" t="s">
        <v>25</v>
      </c>
      <c r="D1304">
        <v>0</v>
      </c>
      <c r="E1304">
        <v>-452.1</v>
      </c>
      <c r="F1304">
        <v>0</v>
      </c>
      <c r="G1304">
        <v>7459.6149999999998</v>
      </c>
      <c r="H1304">
        <v>0</v>
      </c>
      <c r="I1304">
        <v>-3616.7829999999999</v>
      </c>
    </row>
    <row r="1305" spans="1:9" x14ac:dyDescent="0.25">
      <c r="A1305" t="s">
        <v>16</v>
      </c>
      <c r="B1305" t="s">
        <v>42</v>
      </c>
      <c r="C1305" t="s">
        <v>10</v>
      </c>
      <c r="D1305">
        <v>0</v>
      </c>
      <c r="E1305">
        <v>-452.1</v>
      </c>
      <c r="F1305">
        <v>0</v>
      </c>
      <c r="G1305">
        <v>7459.6149999999998</v>
      </c>
      <c r="H1305">
        <v>0</v>
      </c>
      <c r="I1305">
        <v>-5425.174</v>
      </c>
    </row>
    <row r="1306" spans="1:9" x14ac:dyDescent="0.25">
      <c r="A1306" t="s">
        <v>16</v>
      </c>
      <c r="B1306" t="s">
        <v>43</v>
      </c>
      <c r="C1306" t="s">
        <v>25</v>
      </c>
      <c r="D1306">
        <v>0</v>
      </c>
      <c r="E1306">
        <v>-452.1</v>
      </c>
      <c r="F1306">
        <v>0</v>
      </c>
      <c r="G1306">
        <v>6103.3209999999999</v>
      </c>
      <c r="H1306">
        <v>0</v>
      </c>
      <c r="I1306">
        <v>-3616.7829999999999</v>
      </c>
    </row>
    <row r="1307" spans="1:9" x14ac:dyDescent="0.25">
      <c r="A1307" t="s">
        <v>16</v>
      </c>
      <c r="B1307" t="s">
        <v>43</v>
      </c>
      <c r="C1307" t="s">
        <v>10</v>
      </c>
      <c r="D1307">
        <v>0</v>
      </c>
      <c r="E1307">
        <v>-452.1</v>
      </c>
      <c r="F1307">
        <v>0</v>
      </c>
      <c r="G1307">
        <v>6103.3209999999999</v>
      </c>
      <c r="H1307">
        <v>0</v>
      </c>
      <c r="I1307">
        <v>-5425.174</v>
      </c>
    </row>
    <row r="1308" spans="1:9" x14ac:dyDescent="0.25">
      <c r="A1308" t="s">
        <v>16</v>
      </c>
      <c r="B1308" t="s">
        <v>44</v>
      </c>
      <c r="C1308" t="s">
        <v>25</v>
      </c>
      <c r="D1308">
        <v>0</v>
      </c>
      <c r="E1308">
        <v>452.1</v>
      </c>
      <c r="F1308">
        <v>0</v>
      </c>
      <c r="G1308">
        <v>-7459.6149999999998</v>
      </c>
      <c r="H1308">
        <v>0</v>
      </c>
      <c r="I1308">
        <v>3616.7829999999999</v>
      </c>
    </row>
    <row r="1309" spans="1:9" x14ac:dyDescent="0.25">
      <c r="A1309" t="s">
        <v>16</v>
      </c>
      <c r="B1309" t="s">
        <v>44</v>
      </c>
      <c r="C1309" t="s">
        <v>10</v>
      </c>
      <c r="D1309">
        <v>0</v>
      </c>
      <c r="E1309">
        <v>452.1</v>
      </c>
      <c r="F1309">
        <v>0</v>
      </c>
      <c r="G1309">
        <v>-7459.6149999999998</v>
      </c>
      <c r="H1309">
        <v>0</v>
      </c>
      <c r="I1309">
        <v>5425.174</v>
      </c>
    </row>
    <row r="1310" spans="1:9" x14ac:dyDescent="0.25">
      <c r="A1310" t="s">
        <v>16</v>
      </c>
      <c r="B1310" t="s">
        <v>45</v>
      </c>
      <c r="C1310" t="s">
        <v>25</v>
      </c>
      <c r="D1310">
        <v>0</v>
      </c>
      <c r="E1310">
        <v>452.1</v>
      </c>
      <c r="F1310">
        <v>0</v>
      </c>
      <c r="G1310">
        <v>-6103.3209999999999</v>
      </c>
      <c r="H1310">
        <v>0</v>
      </c>
      <c r="I1310">
        <v>3616.7829999999999</v>
      </c>
    </row>
    <row r="1311" spans="1:9" x14ac:dyDescent="0.25">
      <c r="A1311" t="s">
        <v>16</v>
      </c>
      <c r="B1311" t="s">
        <v>45</v>
      </c>
      <c r="C1311" t="s">
        <v>10</v>
      </c>
      <c r="D1311">
        <v>0</v>
      </c>
      <c r="E1311">
        <v>452.1</v>
      </c>
      <c r="F1311">
        <v>0</v>
      </c>
      <c r="G1311">
        <v>-6103.3209999999999</v>
      </c>
      <c r="H1311">
        <v>0</v>
      </c>
      <c r="I1311">
        <v>5425.174</v>
      </c>
    </row>
    <row r="1312" spans="1:9" x14ac:dyDescent="0.25">
      <c r="A1312" t="s">
        <v>16</v>
      </c>
      <c r="B1312" t="s">
        <v>46</v>
      </c>
      <c r="C1312" t="s">
        <v>25</v>
      </c>
      <c r="D1312">
        <v>0</v>
      </c>
      <c r="E1312">
        <v>0</v>
      </c>
      <c r="F1312">
        <v>-546.48</v>
      </c>
      <c r="G1312">
        <v>-10820.227999999999</v>
      </c>
      <c r="H1312">
        <v>4371.8090000000002</v>
      </c>
      <c r="I1312">
        <v>0</v>
      </c>
    </row>
    <row r="1313" spans="1:9" x14ac:dyDescent="0.25">
      <c r="A1313" t="s">
        <v>16</v>
      </c>
      <c r="B1313" t="s">
        <v>46</v>
      </c>
      <c r="C1313" t="s">
        <v>10</v>
      </c>
      <c r="D1313">
        <v>0</v>
      </c>
      <c r="E1313">
        <v>0</v>
      </c>
      <c r="F1313">
        <v>-546.48</v>
      </c>
      <c r="G1313">
        <v>-10820.227999999999</v>
      </c>
      <c r="H1313">
        <v>6557.7139999999999</v>
      </c>
      <c r="I1313">
        <v>0</v>
      </c>
    </row>
    <row r="1314" spans="1:9" x14ac:dyDescent="0.25">
      <c r="A1314" t="s">
        <v>16</v>
      </c>
      <c r="B1314" t="s">
        <v>47</v>
      </c>
      <c r="C1314" t="s">
        <v>25</v>
      </c>
      <c r="D1314">
        <v>0</v>
      </c>
      <c r="E1314">
        <v>0</v>
      </c>
      <c r="F1314">
        <v>-546.48</v>
      </c>
      <c r="G1314">
        <v>-8852.9140000000007</v>
      </c>
      <c r="H1314">
        <v>4371.8090000000002</v>
      </c>
      <c r="I1314">
        <v>0</v>
      </c>
    </row>
    <row r="1315" spans="1:9" x14ac:dyDescent="0.25">
      <c r="A1315" t="s">
        <v>16</v>
      </c>
      <c r="B1315" t="s">
        <v>47</v>
      </c>
      <c r="C1315" t="s">
        <v>10</v>
      </c>
      <c r="D1315">
        <v>0</v>
      </c>
      <c r="E1315">
        <v>0</v>
      </c>
      <c r="F1315">
        <v>-546.48</v>
      </c>
      <c r="G1315">
        <v>-8852.9140000000007</v>
      </c>
      <c r="H1315">
        <v>6557.7139999999999</v>
      </c>
      <c r="I1315">
        <v>0</v>
      </c>
    </row>
    <row r="1316" spans="1:9" x14ac:dyDescent="0.25">
      <c r="A1316" t="s">
        <v>16</v>
      </c>
      <c r="B1316" t="s">
        <v>48</v>
      </c>
      <c r="C1316" t="s">
        <v>25</v>
      </c>
      <c r="D1316">
        <v>0</v>
      </c>
      <c r="E1316">
        <v>0</v>
      </c>
      <c r="F1316">
        <v>546.48</v>
      </c>
      <c r="G1316">
        <v>10820.227999999999</v>
      </c>
      <c r="H1316">
        <v>-4371.8090000000002</v>
      </c>
      <c r="I1316">
        <v>0</v>
      </c>
    </row>
    <row r="1317" spans="1:9" x14ac:dyDescent="0.25">
      <c r="A1317" t="s">
        <v>16</v>
      </c>
      <c r="B1317" t="s">
        <v>48</v>
      </c>
      <c r="C1317" t="s">
        <v>10</v>
      </c>
      <c r="D1317">
        <v>0</v>
      </c>
      <c r="E1317">
        <v>0</v>
      </c>
      <c r="F1317">
        <v>546.48</v>
      </c>
      <c r="G1317">
        <v>10820.227999999999</v>
      </c>
      <c r="H1317">
        <v>-6557.7139999999999</v>
      </c>
      <c r="I1317">
        <v>0</v>
      </c>
    </row>
    <row r="1318" spans="1:9" x14ac:dyDescent="0.25">
      <c r="A1318" t="s">
        <v>16</v>
      </c>
      <c r="B1318" t="s">
        <v>49</v>
      </c>
      <c r="C1318" t="s">
        <v>25</v>
      </c>
      <c r="D1318">
        <v>0</v>
      </c>
      <c r="E1318">
        <v>0</v>
      </c>
      <c r="F1318">
        <v>546.48</v>
      </c>
      <c r="G1318">
        <v>8852.9140000000007</v>
      </c>
      <c r="H1318">
        <v>-4371.8090000000002</v>
      </c>
      <c r="I1318">
        <v>0</v>
      </c>
    </row>
    <row r="1319" spans="1:9" x14ac:dyDescent="0.25">
      <c r="A1319" t="s">
        <v>16</v>
      </c>
      <c r="B1319" t="s">
        <v>49</v>
      </c>
      <c r="C1319" t="s">
        <v>10</v>
      </c>
      <c r="D1319">
        <v>0</v>
      </c>
      <c r="E1319">
        <v>0</v>
      </c>
      <c r="F1319">
        <v>546.48</v>
      </c>
      <c r="G1319">
        <v>8852.9140000000007</v>
      </c>
      <c r="H1319">
        <v>-6557.7139999999999</v>
      </c>
      <c r="I1319">
        <v>0</v>
      </c>
    </row>
    <row r="1320" spans="1:9" x14ac:dyDescent="0.25">
      <c r="A1320" t="s">
        <v>16</v>
      </c>
      <c r="B1320" t="s">
        <v>50</v>
      </c>
      <c r="C1320" t="s">
        <v>25</v>
      </c>
      <c r="D1320">
        <v>0</v>
      </c>
      <c r="E1320">
        <v>-135.63</v>
      </c>
      <c r="F1320">
        <v>0</v>
      </c>
      <c r="G1320">
        <v>2237.884</v>
      </c>
      <c r="H1320">
        <v>0</v>
      </c>
      <c r="I1320">
        <v>-1085.0350000000001</v>
      </c>
    </row>
    <row r="1321" spans="1:9" x14ac:dyDescent="0.25">
      <c r="A1321" t="s">
        <v>16</v>
      </c>
      <c r="B1321" t="s">
        <v>50</v>
      </c>
      <c r="C1321" t="s">
        <v>10</v>
      </c>
      <c r="D1321">
        <v>0</v>
      </c>
      <c r="E1321">
        <v>-135.63</v>
      </c>
      <c r="F1321">
        <v>0</v>
      </c>
      <c r="G1321">
        <v>2237.884</v>
      </c>
      <c r="H1321">
        <v>0</v>
      </c>
      <c r="I1321">
        <v>-1627.5519999999999</v>
      </c>
    </row>
    <row r="1322" spans="1:9" x14ac:dyDescent="0.25">
      <c r="A1322" t="s">
        <v>16</v>
      </c>
      <c r="B1322" t="s">
        <v>51</v>
      </c>
      <c r="C1322" t="s">
        <v>25</v>
      </c>
      <c r="D1322">
        <v>0</v>
      </c>
      <c r="E1322">
        <v>-135.63</v>
      </c>
      <c r="F1322">
        <v>0</v>
      </c>
      <c r="G1322">
        <v>1830.9960000000001</v>
      </c>
      <c r="H1322">
        <v>0</v>
      </c>
      <c r="I1322">
        <v>-1085.0350000000001</v>
      </c>
    </row>
    <row r="1323" spans="1:9" x14ac:dyDescent="0.25">
      <c r="A1323" t="s">
        <v>16</v>
      </c>
      <c r="B1323" t="s">
        <v>51</v>
      </c>
      <c r="C1323" t="s">
        <v>10</v>
      </c>
      <c r="D1323">
        <v>0</v>
      </c>
      <c r="E1323">
        <v>-135.63</v>
      </c>
      <c r="F1323">
        <v>0</v>
      </c>
      <c r="G1323">
        <v>1830.9960000000001</v>
      </c>
      <c r="H1323">
        <v>0</v>
      </c>
      <c r="I1323">
        <v>-1627.5519999999999</v>
      </c>
    </row>
    <row r="1324" spans="1:9" x14ac:dyDescent="0.25">
      <c r="A1324" t="s">
        <v>16</v>
      </c>
      <c r="B1324" t="s">
        <v>52</v>
      </c>
      <c r="C1324" t="s">
        <v>25</v>
      </c>
      <c r="D1324">
        <v>0</v>
      </c>
      <c r="E1324">
        <v>135.63</v>
      </c>
      <c r="F1324">
        <v>0</v>
      </c>
      <c r="G1324">
        <v>-2237.884</v>
      </c>
      <c r="H1324">
        <v>0</v>
      </c>
      <c r="I1324">
        <v>1085.0350000000001</v>
      </c>
    </row>
    <row r="1325" spans="1:9" x14ac:dyDescent="0.25">
      <c r="A1325" t="s">
        <v>16</v>
      </c>
      <c r="B1325" t="s">
        <v>52</v>
      </c>
      <c r="C1325" t="s">
        <v>10</v>
      </c>
      <c r="D1325">
        <v>0</v>
      </c>
      <c r="E1325">
        <v>135.63</v>
      </c>
      <c r="F1325">
        <v>0</v>
      </c>
      <c r="G1325">
        <v>-2237.884</v>
      </c>
      <c r="H1325">
        <v>0</v>
      </c>
      <c r="I1325">
        <v>1627.5519999999999</v>
      </c>
    </row>
    <row r="1326" spans="1:9" x14ac:dyDescent="0.25">
      <c r="A1326" t="s">
        <v>16</v>
      </c>
      <c r="B1326" t="s">
        <v>53</v>
      </c>
      <c r="C1326" t="s">
        <v>25</v>
      </c>
      <c r="D1326">
        <v>0</v>
      </c>
      <c r="E1326">
        <v>135.63</v>
      </c>
      <c r="F1326">
        <v>0</v>
      </c>
      <c r="G1326">
        <v>-1830.9960000000001</v>
      </c>
      <c r="H1326">
        <v>0</v>
      </c>
      <c r="I1326">
        <v>1085.0350000000001</v>
      </c>
    </row>
    <row r="1327" spans="1:9" x14ac:dyDescent="0.25">
      <c r="A1327" t="s">
        <v>16</v>
      </c>
      <c r="B1327" t="s">
        <v>53</v>
      </c>
      <c r="C1327" t="s">
        <v>10</v>
      </c>
      <c r="D1327">
        <v>0</v>
      </c>
      <c r="E1327">
        <v>135.63</v>
      </c>
      <c r="F1327">
        <v>0</v>
      </c>
      <c r="G1327">
        <v>-1830.9960000000001</v>
      </c>
      <c r="H1327">
        <v>0</v>
      </c>
      <c r="I1327">
        <v>1627.5519999999999</v>
      </c>
    </row>
    <row r="1328" spans="1:9" x14ac:dyDescent="0.25">
      <c r="A1328" t="s">
        <v>16</v>
      </c>
      <c r="B1328" t="s">
        <v>54</v>
      </c>
      <c r="C1328" t="s">
        <v>25</v>
      </c>
      <c r="D1328">
        <v>0</v>
      </c>
      <c r="E1328">
        <v>0</v>
      </c>
      <c r="F1328">
        <v>-163.94</v>
      </c>
      <c r="G1328">
        <v>-3246.0680000000002</v>
      </c>
      <c r="H1328">
        <v>1311.5429999999999</v>
      </c>
      <c r="I1328">
        <v>0</v>
      </c>
    </row>
    <row r="1329" spans="1:9" x14ac:dyDescent="0.25">
      <c r="A1329" t="s">
        <v>16</v>
      </c>
      <c r="B1329" t="s">
        <v>54</v>
      </c>
      <c r="C1329" t="s">
        <v>10</v>
      </c>
      <c r="D1329">
        <v>0</v>
      </c>
      <c r="E1329">
        <v>0</v>
      </c>
      <c r="F1329">
        <v>-163.94</v>
      </c>
      <c r="G1329">
        <v>-3246.0680000000002</v>
      </c>
      <c r="H1329">
        <v>1967.3140000000001</v>
      </c>
      <c r="I1329">
        <v>0</v>
      </c>
    </row>
    <row r="1330" spans="1:9" x14ac:dyDescent="0.25">
      <c r="A1330" t="s">
        <v>16</v>
      </c>
      <c r="B1330" t="s">
        <v>55</v>
      </c>
      <c r="C1330" t="s">
        <v>25</v>
      </c>
      <c r="D1330">
        <v>0</v>
      </c>
      <c r="E1330">
        <v>0</v>
      </c>
      <c r="F1330">
        <v>-163.94</v>
      </c>
      <c r="G1330">
        <v>-2655.8739999999998</v>
      </c>
      <c r="H1330">
        <v>1311.5429999999999</v>
      </c>
      <c r="I1330">
        <v>0</v>
      </c>
    </row>
    <row r="1331" spans="1:9" x14ac:dyDescent="0.25">
      <c r="A1331" t="s">
        <v>16</v>
      </c>
      <c r="B1331" t="s">
        <v>55</v>
      </c>
      <c r="C1331" t="s">
        <v>10</v>
      </c>
      <c r="D1331">
        <v>0</v>
      </c>
      <c r="E1331">
        <v>0</v>
      </c>
      <c r="F1331">
        <v>-163.94</v>
      </c>
      <c r="G1331">
        <v>-2655.8739999999998</v>
      </c>
      <c r="H1331">
        <v>1967.3140000000001</v>
      </c>
      <c r="I1331">
        <v>0</v>
      </c>
    </row>
    <row r="1332" spans="1:9" x14ac:dyDescent="0.25">
      <c r="A1332" t="s">
        <v>16</v>
      </c>
      <c r="B1332" t="s">
        <v>56</v>
      </c>
      <c r="C1332" t="s">
        <v>25</v>
      </c>
      <c r="D1332">
        <v>0</v>
      </c>
      <c r="E1332">
        <v>0</v>
      </c>
      <c r="F1332">
        <v>163.94</v>
      </c>
      <c r="G1332">
        <v>3246.0680000000002</v>
      </c>
      <c r="H1332">
        <v>-1311.5429999999999</v>
      </c>
      <c r="I1332">
        <v>0</v>
      </c>
    </row>
    <row r="1333" spans="1:9" x14ac:dyDescent="0.25">
      <c r="A1333" t="s">
        <v>16</v>
      </c>
      <c r="B1333" t="s">
        <v>56</v>
      </c>
      <c r="C1333" t="s">
        <v>10</v>
      </c>
      <c r="D1333">
        <v>0</v>
      </c>
      <c r="E1333">
        <v>0</v>
      </c>
      <c r="F1333">
        <v>163.94</v>
      </c>
      <c r="G1333">
        <v>3246.0680000000002</v>
      </c>
      <c r="H1333">
        <v>-1967.3140000000001</v>
      </c>
      <c r="I1333">
        <v>0</v>
      </c>
    </row>
    <row r="1334" spans="1:9" x14ac:dyDescent="0.25">
      <c r="A1334" t="s">
        <v>16</v>
      </c>
      <c r="B1334" t="s">
        <v>57</v>
      </c>
      <c r="C1334" t="s">
        <v>25</v>
      </c>
      <c r="D1334">
        <v>0</v>
      </c>
      <c r="E1334">
        <v>0</v>
      </c>
      <c r="F1334">
        <v>163.94</v>
      </c>
      <c r="G1334">
        <v>2655.8739999999998</v>
      </c>
      <c r="H1334">
        <v>-1311.5429999999999</v>
      </c>
      <c r="I1334">
        <v>0</v>
      </c>
    </row>
    <row r="1335" spans="1:9" x14ac:dyDescent="0.25">
      <c r="A1335" t="s">
        <v>16</v>
      </c>
      <c r="B1335" t="s">
        <v>57</v>
      </c>
      <c r="C1335" t="s">
        <v>10</v>
      </c>
      <c r="D1335">
        <v>0</v>
      </c>
      <c r="E1335">
        <v>0</v>
      </c>
      <c r="F1335">
        <v>163.94</v>
      </c>
      <c r="G1335">
        <v>2655.8739999999998</v>
      </c>
      <c r="H1335">
        <v>-1967.3140000000001</v>
      </c>
      <c r="I1335">
        <v>0</v>
      </c>
    </row>
    <row r="1336" spans="1:9" x14ac:dyDescent="0.25">
      <c r="A1336" t="s">
        <v>16</v>
      </c>
      <c r="B1336" t="s">
        <v>58</v>
      </c>
      <c r="C1336" t="s">
        <v>25</v>
      </c>
      <c r="D1336">
        <v>0</v>
      </c>
      <c r="E1336">
        <v>-135.63</v>
      </c>
      <c r="F1336">
        <v>0</v>
      </c>
      <c r="G1336">
        <v>2237.884</v>
      </c>
      <c r="H1336">
        <v>0</v>
      </c>
      <c r="I1336">
        <v>-1085.0350000000001</v>
      </c>
    </row>
    <row r="1337" spans="1:9" x14ac:dyDescent="0.25">
      <c r="A1337" t="s">
        <v>16</v>
      </c>
      <c r="B1337" t="s">
        <v>58</v>
      </c>
      <c r="C1337" t="s">
        <v>10</v>
      </c>
      <c r="D1337">
        <v>0</v>
      </c>
      <c r="E1337">
        <v>-135.63</v>
      </c>
      <c r="F1337">
        <v>0</v>
      </c>
      <c r="G1337">
        <v>2237.884</v>
      </c>
      <c r="H1337">
        <v>0</v>
      </c>
      <c r="I1337">
        <v>-1627.5519999999999</v>
      </c>
    </row>
    <row r="1338" spans="1:9" x14ac:dyDescent="0.25">
      <c r="A1338" t="s">
        <v>16</v>
      </c>
      <c r="B1338" t="s">
        <v>59</v>
      </c>
      <c r="C1338" t="s">
        <v>25</v>
      </c>
      <c r="D1338">
        <v>0</v>
      </c>
      <c r="E1338">
        <v>-135.63</v>
      </c>
      <c r="F1338">
        <v>0</v>
      </c>
      <c r="G1338">
        <v>1830.9960000000001</v>
      </c>
      <c r="H1338">
        <v>0</v>
      </c>
      <c r="I1338">
        <v>-1085.0350000000001</v>
      </c>
    </row>
    <row r="1339" spans="1:9" x14ac:dyDescent="0.25">
      <c r="A1339" t="s">
        <v>16</v>
      </c>
      <c r="B1339" t="s">
        <v>59</v>
      </c>
      <c r="C1339" t="s">
        <v>10</v>
      </c>
      <c r="D1339">
        <v>0</v>
      </c>
      <c r="E1339">
        <v>-135.63</v>
      </c>
      <c r="F1339">
        <v>0</v>
      </c>
      <c r="G1339">
        <v>1830.9960000000001</v>
      </c>
      <c r="H1339">
        <v>0</v>
      </c>
      <c r="I1339">
        <v>-1627.5519999999999</v>
      </c>
    </row>
    <row r="1340" spans="1:9" x14ac:dyDescent="0.25">
      <c r="A1340" t="s">
        <v>16</v>
      </c>
      <c r="B1340" t="s">
        <v>60</v>
      </c>
      <c r="C1340" t="s">
        <v>25</v>
      </c>
      <c r="D1340">
        <v>0</v>
      </c>
      <c r="E1340">
        <v>135.63</v>
      </c>
      <c r="F1340">
        <v>0</v>
      </c>
      <c r="G1340">
        <v>-2237.884</v>
      </c>
      <c r="H1340">
        <v>0</v>
      </c>
      <c r="I1340">
        <v>1085.0350000000001</v>
      </c>
    </row>
    <row r="1341" spans="1:9" x14ac:dyDescent="0.25">
      <c r="A1341" t="s">
        <v>16</v>
      </c>
      <c r="B1341" t="s">
        <v>60</v>
      </c>
      <c r="C1341" t="s">
        <v>10</v>
      </c>
      <c r="D1341">
        <v>0</v>
      </c>
      <c r="E1341">
        <v>135.63</v>
      </c>
      <c r="F1341">
        <v>0</v>
      </c>
      <c r="G1341">
        <v>-2237.884</v>
      </c>
      <c r="H1341">
        <v>0</v>
      </c>
      <c r="I1341">
        <v>1627.5519999999999</v>
      </c>
    </row>
    <row r="1342" spans="1:9" x14ac:dyDescent="0.25">
      <c r="A1342" t="s">
        <v>16</v>
      </c>
      <c r="B1342" t="s">
        <v>61</v>
      </c>
      <c r="C1342" t="s">
        <v>25</v>
      </c>
      <c r="D1342">
        <v>0</v>
      </c>
      <c r="E1342">
        <v>135.63</v>
      </c>
      <c r="F1342">
        <v>0</v>
      </c>
      <c r="G1342">
        <v>-1830.9960000000001</v>
      </c>
      <c r="H1342">
        <v>0</v>
      </c>
      <c r="I1342">
        <v>1085.0350000000001</v>
      </c>
    </row>
    <row r="1343" spans="1:9" x14ac:dyDescent="0.25">
      <c r="A1343" t="s">
        <v>16</v>
      </c>
      <c r="B1343" t="s">
        <v>61</v>
      </c>
      <c r="C1343" t="s">
        <v>10</v>
      </c>
      <c r="D1343">
        <v>0</v>
      </c>
      <c r="E1343">
        <v>135.63</v>
      </c>
      <c r="F1343">
        <v>0</v>
      </c>
      <c r="G1343">
        <v>-1830.9960000000001</v>
      </c>
      <c r="H1343">
        <v>0</v>
      </c>
      <c r="I1343">
        <v>1627.5519999999999</v>
      </c>
    </row>
    <row r="1344" spans="1:9" x14ac:dyDescent="0.25">
      <c r="A1344" t="s">
        <v>16</v>
      </c>
      <c r="B1344" t="s">
        <v>62</v>
      </c>
      <c r="C1344" t="s">
        <v>25</v>
      </c>
      <c r="D1344">
        <v>0</v>
      </c>
      <c r="E1344">
        <v>0</v>
      </c>
      <c r="F1344">
        <v>-163.94</v>
      </c>
      <c r="G1344">
        <v>-3246.0680000000002</v>
      </c>
      <c r="H1344">
        <v>1311.5429999999999</v>
      </c>
      <c r="I1344">
        <v>0</v>
      </c>
    </row>
    <row r="1345" spans="1:9" x14ac:dyDescent="0.25">
      <c r="A1345" t="s">
        <v>16</v>
      </c>
      <c r="B1345" t="s">
        <v>62</v>
      </c>
      <c r="C1345" t="s">
        <v>10</v>
      </c>
      <c r="D1345">
        <v>0</v>
      </c>
      <c r="E1345">
        <v>0</v>
      </c>
      <c r="F1345">
        <v>-163.94</v>
      </c>
      <c r="G1345">
        <v>-3246.0680000000002</v>
      </c>
      <c r="H1345">
        <v>1967.3140000000001</v>
      </c>
      <c r="I1345">
        <v>0</v>
      </c>
    </row>
    <row r="1346" spans="1:9" x14ac:dyDescent="0.25">
      <c r="A1346" t="s">
        <v>16</v>
      </c>
      <c r="B1346" t="s">
        <v>63</v>
      </c>
      <c r="C1346" t="s">
        <v>25</v>
      </c>
      <c r="D1346">
        <v>0</v>
      </c>
      <c r="E1346">
        <v>0</v>
      </c>
      <c r="F1346">
        <v>-163.94</v>
      </c>
      <c r="G1346">
        <v>-2655.8739999999998</v>
      </c>
      <c r="H1346">
        <v>1311.5429999999999</v>
      </c>
      <c r="I1346">
        <v>0</v>
      </c>
    </row>
    <row r="1347" spans="1:9" x14ac:dyDescent="0.25">
      <c r="A1347" t="s">
        <v>16</v>
      </c>
      <c r="B1347" t="s">
        <v>63</v>
      </c>
      <c r="C1347" t="s">
        <v>10</v>
      </c>
      <c r="D1347">
        <v>0</v>
      </c>
      <c r="E1347">
        <v>0</v>
      </c>
      <c r="F1347">
        <v>-163.94</v>
      </c>
      <c r="G1347">
        <v>-2655.8739999999998</v>
      </c>
      <c r="H1347">
        <v>1967.3140000000001</v>
      </c>
      <c r="I1347">
        <v>0</v>
      </c>
    </row>
    <row r="1348" spans="1:9" x14ac:dyDescent="0.25">
      <c r="A1348" t="s">
        <v>16</v>
      </c>
      <c r="B1348" t="s">
        <v>64</v>
      </c>
      <c r="C1348" t="s">
        <v>25</v>
      </c>
      <c r="D1348">
        <v>0</v>
      </c>
      <c r="E1348">
        <v>0</v>
      </c>
      <c r="F1348">
        <v>163.94</v>
      </c>
      <c r="G1348">
        <v>3246.0680000000002</v>
      </c>
      <c r="H1348">
        <v>-1311.5429999999999</v>
      </c>
      <c r="I1348">
        <v>0</v>
      </c>
    </row>
    <row r="1349" spans="1:9" x14ac:dyDescent="0.25">
      <c r="A1349" t="s">
        <v>16</v>
      </c>
      <c r="B1349" t="s">
        <v>64</v>
      </c>
      <c r="C1349" t="s">
        <v>10</v>
      </c>
      <c r="D1349">
        <v>0</v>
      </c>
      <c r="E1349">
        <v>0</v>
      </c>
      <c r="F1349">
        <v>163.94</v>
      </c>
      <c r="G1349">
        <v>3246.0680000000002</v>
      </c>
      <c r="H1349">
        <v>-1967.3140000000001</v>
      </c>
      <c r="I1349">
        <v>0</v>
      </c>
    </row>
    <row r="1350" spans="1:9" x14ac:dyDescent="0.25">
      <c r="A1350" t="s">
        <v>16</v>
      </c>
      <c r="B1350" t="s">
        <v>65</v>
      </c>
      <c r="C1350" t="s">
        <v>25</v>
      </c>
      <c r="D1350">
        <v>0</v>
      </c>
      <c r="E1350">
        <v>0</v>
      </c>
      <c r="F1350">
        <v>163.94</v>
      </c>
      <c r="G1350">
        <v>2655.8739999999998</v>
      </c>
      <c r="H1350">
        <v>-1311.5429999999999</v>
      </c>
      <c r="I1350">
        <v>0</v>
      </c>
    </row>
    <row r="1351" spans="1:9" x14ac:dyDescent="0.25">
      <c r="A1351" t="s">
        <v>16</v>
      </c>
      <c r="B1351" t="s">
        <v>65</v>
      </c>
      <c r="C1351" t="s">
        <v>10</v>
      </c>
      <c r="D1351">
        <v>0</v>
      </c>
      <c r="E1351">
        <v>0</v>
      </c>
      <c r="F1351">
        <v>163.94</v>
      </c>
      <c r="G1351">
        <v>2655.8739999999998</v>
      </c>
      <c r="H1351">
        <v>-1967.3140000000001</v>
      </c>
      <c r="I1351">
        <v>0</v>
      </c>
    </row>
    <row r="1352" spans="1:9" x14ac:dyDescent="0.25">
      <c r="A1352" t="s">
        <v>16</v>
      </c>
      <c r="B1352" t="s">
        <v>66</v>
      </c>
      <c r="C1352" t="s">
        <v>25</v>
      </c>
      <c r="D1352">
        <v>0</v>
      </c>
      <c r="E1352">
        <v>-452.1</v>
      </c>
      <c r="F1352">
        <v>0</v>
      </c>
      <c r="G1352">
        <v>7459.6149999999998</v>
      </c>
      <c r="H1352">
        <v>0</v>
      </c>
      <c r="I1352">
        <v>-3616.7829999999999</v>
      </c>
    </row>
    <row r="1353" spans="1:9" x14ac:dyDescent="0.25">
      <c r="A1353" t="s">
        <v>16</v>
      </c>
      <c r="B1353" t="s">
        <v>66</v>
      </c>
      <c r="C1353" t="s">
        <v>10</v>
      </c>
      <c r="D1353">
        <v>0</v>
      </c>
      <c r="E1353">
        <v>-452.1</v>
      </c>
      <c r="F1353">
        <v>0</v>
      </c>
      <c r="G1353">
        <v>7459.6149999999998</v>
      </c>
      <c r="H1353">
        <v>0</v>
      </c>
      <c r="I1353">
        <v>-5425.174</v>
      </c>
    </row>
    <row r="1354" spans="1:9" x14ac:dyDescent="0.25">
      <c r="A1354" t="s">
        <v>16</v>
      </c>
      <c r="B1354" t="s">
        <v>67</v>
      </c>
      <c r="C1354" t="s">
        <v>25</v>
      </c>
      <c r="D1354">
        <v>0</v>
      </c>
      <c r="E1354">
        <v>-452.1</v>
      </c>
      <c r="F1354">
        <v>0</v>
      </c>
      <c r="G1354">
        <v>6103.3209999999999</v>
      </c>
      <c r="H1354">
        <v>0</v>
      </c>
      <c r="I1354">
        <v>-3616.7829999999999</v>
      </c>
    </row>
    <row r="1355" spans="1:9" x14ac:dyDescent="0.25">
      <c r="A1355" t="s">
        <v>16</v>
      </c>
      <c r="B1355" t="s">
        <v>67</v>
      </c>
      <c r="C1355" t="s">
        <v>10</v>
      </c>
      <c r="D1355">
        <v>0</v>
      </c>
      <c r="E1355">
        <v>-452.1</v>
      </c>
      <c r="F1355">
        <v>0</v>
      </c>
      <c r="G1355">
        <v>6103.3209999999999</v>
      </c>
      <c r="H1355">
        <v>0</v>
      </c>
      <c r="I1355">
        <v>-5425.174</v>
      </c>
    </row>
    <row r="1356" spans="1:9" x14ac:dyDescent="0.25">
      <c r="A1356" t="s">
        <v>16</v>
      </c>
      <c r="B1356" t="s">
        <v>68</v>
      </c>
      <c r="C1356" t="s">
        <v>25</v>
      </c>
      <c r="D1356">
        <v>0</v>
      </c>
      <c r="E1356">
        <v>452.1</v>
      </c>
      <c r="F1356">
        <v>0</v>
      </c>
      <c r="G1356">
        <v>-7459.6149999999998</v>
      </c>
      <c r="H1356">
        <v>0</v>
      </c>
      <c r="I1356">
        <v>3616.7829999999999</v>
      </c>
    </row>
    <row r="1357" spans="1:9" x14ac:dyDescent="0.25">
      <c r="A1357" t="s">
        <v>16</v>
      </c>
      <c r="B1357" t="s">
        <v>68</v>
      </c>
      <c r="C1357" t="s">
        <v>10</v>
      </c>
      <c r="D1357">
        <v>0</v>
      </c>
      <c r="E1357">
        <v>452.1</v>
      </c>
      <c r="F1357">
        <v>0</v>
      </c>
      <c r="G1357">
        <v>-7459.6149999999998</v>
      </c>
      <c r="H1357">
        <v>0</v>
      </c>
      <c r="I1357">
        <v>5425.174</v>
      </c>
    </row>
    <row r="1358" spans="1:9" x14ac:dyDescent="0.25">
      <c r="A1358" t="s">
        <v>16</v>
      </c>
      <c r="B1358" t="s">
        <v>69</v>
      </c>
      <c r="C1358" t="s">
        <v>25</v>
      </c>
      <c r="D1358">
        <v>0</v>
      </c>
      <c r="E1358">
        <v>452.1</v>
      </c>
      <c r="F1358">
        <v>0</v>
      </c>
      <c r="G1358">
        <v>-6103.3209999999999</v>
      </c>
      <c r="H1358">
        <v>0</v>
      </c>
      <c r="I1358">
        <v>3616.7829999999999</v>
      </c>
    </row>
    <row r="1359" spans="1:9" x14ac:dyDescent="0.25">
      <c r="A1359" t="s">
        <v>16</v>
      </c>
      <c r="B1359" t="s">
        <v>69</v>
      </c>
      <c r="C1359" t="s">
        <v>10</v>
      </c>
      <c r="D1359">
        <v>0</v>
      </c>
      <c r="E1359">
        <v>452.1</v>
      </c>
      <c r="F1359">
        <v>0</v>
      </c>
      <c r="G1359">
        <v>-6103.3209999999999</v>
      </c>
      <c r="H1359">
        <v>0</v>
      </c>
      <c r="I1359">
        <v>5425.174</v>
      </c>
    </row>
    <row r="1360" spans="1:9" x14ac:dyDescent="0.25">
      <c r="A1360" t="s">
        <v>16</v>
      </c>
      <c r="B1360" t="s">
        <v>70</v>
      </c>
      <c r="C1360" t="s">
        <v>25</v>
      </c>
      <c r="D1360">
        <v>0</v>
      </c>
      <c r="E1360">
        <v>0</v>
      </c>
      <c r="F1360">
        <v>-546.48</v>
      </c>
      <c r="G1360">
        <v>-10820.227999999999</v>
      </c>
      <c r="H1360">
        <v>4371.8090000000002</v>
      </c>
      <c r="I1360">
        <v>0</v>
      </c>
    </row>
    <row r="1361" spans="1:9" x14ac:dyDescent="0.25">
      <c r="A1361" t="s">
        <v>16</v>
      </c>
      <c r="B1361" t="s">
        <v>70</v>
      </c>
      <c r="C1361" t="s">
        <v>10</v>
      </c>
      <c r="D1361">
        <v>0</v>
      </c>
      <c r="E1361">
        <v>0</v>
      </c>
      <c r="F1361">
        <v>-546.48</v>
      </c>
      <c r="G1361">
        <v>-10820.227999999999</v>
      </c>
      <c r="H1361">
        <v>6557.7139999999999</v>
      </c>
      <c r="I1361">
        <v>0</v>
      </c>
    </row>
    <row r="1362" spans="1:9" x14ac:dyDescent="0.25">
      <c r="A1362" t="s">
        <v>16</v>
      </c>
      <c r="B1362" t="s">
        <v>71</v>
      </c>
      <c r="C1362" t="s">
        <v>25</v>
      </c>
      <c r="D1362">
        <v>0</v>
      </c>
      <c r="E1362">
        <v>0</v>
      </c>
      <c r="F1362">
        <v>-546.48</v>
      </c>
      <c r="G1362">
        <v>-8852.9140000000007</v>
      </c>
      <c r="H1362">
        <v>4371.8090000000002</v>
      </c>
      <c r="I1362">
        <v>0</v>
      </c>
    </row>
    <row r="1363" spans="1:9" x14ac:dyDescent="0.25">
      <c r="A1363" t="s">
        <v>16</v>
      </c>
      <c r="B1363" t="s">
        <v>71</v>
      </c>
      <c r="C1363" t="s">
        <v>10</v>
      </c>
      <c r="D1363">
        <v>0</v>
      </c>
      <c r="E1363">
        <v>0</v>
      </c>
      <c r="F1363">
        <v>-546.48</v>
      </c>
      <c r="G1363">
        <v>-8852.9140000000007</v>
      </c>
      <c r="H1363">
        <v>6557.7139999999999</v>
      </c>
      <c r="I1363">
        <v>0</v>
      </c>
    </row>
    <row r="1364" spans="1:9" x14ac:dyDescent="0.25">
      <c r="A1364" t="s">
        <v>16</v>
      </c>
      <c r="B1364" t="s">
        <v>72</v>
      </c>
      <c r="C1364" t="s">
        <v>25</v>
      </c>
      <c r="D1364">
        <v>0</v>
      </c>
      <c r="E1364">
        <v>0</v>
      </c>
      <c r="F1364">
        <v>546.48</v>
      </c>
      <c r="G1364">
        <v>10820.227999999999</v>
      </c>
      <c r="H1364">
        <v>-4371.8090000000002</v>
      </c>
      <c r="I1364">
        <v>0</v>
      </c>
    </row>
    <row r="1365" spans="1:9" x14ac:dyDescent="0.25">
      <c r="A1365" t="s">
        <v>16</v>
      </c>
      <c r="B1365" t="s">
        <v>72</v>
      </c>
      <c r="C1365" t="s">
        <v>10</v>
      </c>
      <c r="D1365">
        <v>0</v>
      </c>
      <c r="E1365">
        <v>0</v>
      </c>
      <c r="F1365">
        <v>546.48</v>
      </c>
      <c r="G1365">
        <v>10820.227999999999</v>
      </c>
      <c r="H1365">
        <v>-6557.7139999999999</v>
      </c>
      <c r="I1365">
        <v>0</v>
      </c>
    </row>
    <row r="1366" spans="1:9" x14ac:dyDescent="0.25">
      <c r="A1366" t="s">
        <v>16</v>
      </c>
      <c r="B1366" t="s">
        <v>73</v>
      </c>
      <c r="C1366" t="s">
        <v>25</v>
      </c>
      <c r="D1366">
        <v>0</v>
      </c>
      <c r="E1366">
        <v>0</v>
      </c>
      <c r="F1366">
        <v>546.48</v>
      </c>
      <c r="G1366">
        <v>8852.9140000000007</v>
      </c>
      <c r="H1366">
        <v>-4371.8090000000002</v>
      </c>
      <c r="I1366">
        <v>0</v>
      </c>
    </row>
    <row r="1367" spans="1:9" x14ac:dyDescent="0.25">
      <c r="A1367" t="s">
        <v>16</v>
      </c>
      <c r="B1367" t="s">
        <v>73</v>
      </c>
      <c r="C1367" t="s">
        <v>10</v>
      </c>
      <c r="D1367">
        <v>0</v>
      </c>
      <c r="E1367">
        <v>0</v>
      </c>
      <c r="F1367">
        <v>546.48</v>
      </c>
      <c r="G1367">
        <v>8852.9140000000007</v>
      </c>
      <c r="H1367">
        <v>-6557.7139999999999</v>
      </c>
      <c r="I1367">
        <v>0</v>
      </c>
    </row>
    <row r="1368" spans="1:9" x14ac:dyDescent="0.25">
      <c r="A1368" t="s">
        <v>16</v>
      </c>
      <c r="B1368" t="s">
        <v>74</v>
      </c>
      <c r="C1368" t="s">
        <v>25</v>
      </c>
      <c r="D1368">
        <v>0</v>
      </c>
      <c r="E1368">
        <v>-452.1</v>
      </c>
      <c r="F1368">
        <v>0</v>
      </c>
      <c r="G1368">
        <v>7459.6149999999998</v>
      </c>
      <c r="H1368">
        <v>0</v>
      </c>
      <c r="I1368">
        <v>-3616.7829999999999</v>
      </c>
    </row>
    <row r="1369" spans="1:9" x14ac:dyDescent="0.25">
      <c r="A1369" t="s">
        <v>16</v>
      </c>
      <c r="B1369" t="s">
        <v>74</v>
      </c>
      <c r="C1369" t="s">
        <v>10</v>
      </c>
      <c r="D1369">
        <v>0</v>
      </c>
      <c r="E1369">
        <v>-452.1</v>
      </c>
      <c r="F1369">
        <v>0</v>
      </c>
      <c r="G1369">
        <v>7459.6149999999998</v>
      </c>
      <c r="H1369">
        <v>0</v>
      </c>
      <c r="I1369">
        <v>-5425.174</v>
      </c>
    </row>
    <row r="1370" spans="1:9" x14ac:dyDescent="0.25">
      <c r="A1370" t="s">
        <v>16</v>
      </c>
      <c r="B1370" t="s">
        <v>75</v>
      </c>
      <c r="C1370" t="s">
        <v>25</v>
      </c>
      <c r="D1370">
        <v>0</v>
      </c>
      <c r="E1370">
        <v>-452.1</v>
      </c>
      <c r="F1370">
        <v>0</v>
      </c>
      <c r="G1370">
        <v>6103.3209999999999</v>
      </c>
      <c r="H1370">
        <v>0</v>
      </c>
      <c r="I1370">
        <v>-3616.7829999999999</v>
      </c>
    </row>
    <row r="1371" spans="1:9" x14ac:dyDescent="0.25">
      <c r="A1371" t="s">
        <v>16</v>
      </c>
      <c r="B1371" t="s">
        <v>75</v>
      </c>
      <c r="C1371" t="s">
        <v>10</v>
      </c>
      <c r="D1371">
        <v>0</v>
      </c>
      <c r="E1371">
        <v>-452.1</v>
      </c>
      <c r="F1371">
        <v>0</v>
      </c>
      <c r="G1371">
        <v>6103.3209999999999</v>
      </c>
      <c r="H1371">
        <v>0</v>
      </c>
      <c r="I1371">
        <v>-5425.174</v>
      </c>
    </row>
    <row r="1372" spans="1:9" x14ac:dyDescent="0.25">
      <c r="A1372" t="s">
        <v>16</v>
      </c>
      <c r="B1372" t="s">
        <v>76</v>
      </c>
      <c r="C1372" t="s">
        <v>25</v>
      </c>
      <c r="D1372">
        <v>0</v>
      </c>
      <c r="E1372">
        <v>452.1</v>
      </c>
      <c r="F1372">
        <v>0</v>
      </c>
      <c r="G1372">
        <v>-7459.6149999999998</v>
      </c>
      <c r="H1372">
        <v>0</v>
      </c>
      <c r="I1372">
        <v>3616.7829999999999</v>
      </c>
    </row>
    <row r="1373" spans="1:9" x14ac:dyDescent="0.25">
      <c r="A1373" t="s">
        <v>16</v>
      </c>
      <c r="B1373" t="s">
        <v>76</v>
      </c>
      <c r="C1373" t="s">
        <v>10</v>
      </c>
      <c r="D1373">
        <v>0</v>
      </c>
      <c r="E1373">
        <v>452.1</v>
      </c>
      <c r="F1373">
        <v>0</v>
      </c>
      <c r="G1373">
        <v>-7459.6149999999998</v>
      </c>
      <c r="H1373">
        <v>0</v>
      </c>
      <c r="I1373">
        <v>5425.174</v>
      </c>
    </row>
    <row r="1374" spans="1:9" x14ac:dyDescent="0.25">
      <c r="A1374" t="s">
        <v>16</v>
      </c>
      <c r="B1374" t="s">
        <v>77</v>
      </c>
      <c r="C1374" t="s">
        <v>25</v>
      </c>
      <c r="D1374">
        <v>0</v>
      </c>
      <c r="E1374">
        <v>452.1</v>
      </c>
      <c r="F1374">
        <v>0</v>
      </c>
      <c r="G1374">
        <v>-6103.3209999999999</v>
      </c>
      <c r="H1374">
        <v>0</v>
      </c>
      <c r="I1374">
        <v>3616.7829999999999</v>
      </c>
    </row>
    <row r="1375" spans="1:9" x14ac:dyDescent="0.25">
      <c r="A1375" t="s">
        <v>16</v>
      </c>
      <c r="B1375" t="s">
        <v>77</v>
      </c>
      <c r="C1375" t="s">
        <v>10</v>
      </c>
      <c r="D1375">
        <v>0</v>
      </c>
      <c r="E1375">
        <v>452.1</v>
      </c>
      <c r="F1375">
        <v>0</v>
      </c>
      <c r="G1375">
        <v>-6103.3209999999999</v>
      </c>
      <c r="H1375">
        <v>0</v>
      </c>
      <c r="I1375">
        <v>5425.174</v>
      </c>
    </row>
    <row r="1376" spans="1:9" x14ac:dyDescent="0.25">
      <c r="A1376" t="s">
        <v>16</v>
      </c>
      <c r="B1376" t="s">
        <v>78</v>
      </c>
      <c r="C1376" t="s">
        <v>25</v>
      </c>
      <c r="D1376">
        <v>0</v>
      </c>
      <c r="E1376">
        <v>0</v>
      </c>
      <c r="F1376">
        <v>-546.48</v>
      </c>
      <c r="G1376">
        <v>-10820.227999999999</v>
      </c>
      <c r="H1376">
        <v>4371.8090000000002</v>
      </c>
      <c r="I1376">
        <v>0</v>
      </c>
    </row>
    <row r="1377" spans="1:9" x14ac:dyDescent="0.25">
      <c r="A1377" t="s">
        <v>16</v>
      </c>
      <c r="B1377" t="s">
        <v>78</v>
      </c>
      <c r="C1377" t="s">
        <v>10</v>
      </c>
      <c r="D1377">
        <v>0</v>
      </c>
      <c r="E1377">
        <v>0</v>
      </c>
      <c r="F1377">
        <v>-546.48</v>
      </c>
      <c r="G1377">
        <v>-10820.227999999999</v>
      </c>
      <c r="H1377">
        <v>6557.7139999999999</v>
      </c>
      <c r="I1377">
        <v>0</v>
      </c>
    </row>
    <row r="1378" spans="1:9" x14ac:dyDescent="0.25">
      <c r="A1378" t="s">
        <v>16</v>
      </c>
      <c r="B1378" t="s">
        <v>79</v>
      </c>
      <c r="C1378" t="s">
        <v>25</v>
      </c>
      <c r="D1378">
        <v>0</v>
      </c>
      <c r="E1378">
        <v>0</v>
      </c>
      <c r="F1378">
        <v>-546.48</v>
      </c>
      <c r="G1378">
        <v>-8852.9140000000007</v>
      </c>
      <c r="H1378">
        <v>4371.8090000000002</v>
      </c>
      <c r="I1378">
        <v>0</v>
      </c>
    </row>
    <row r="1379" spans="1:9" x14ac:dyDescent="0.25">
      <c r="A1379" t="s">
        <v>16</v>
      </c>
      <c r="B1379" t="s">
        <v>79</v>
      </c>
      <c r="C1379" t="s">
        <v>10</v>
      </c>
      <c r="D1379">
        <v>0</v>
      </c>
      <c r="E1379">
        <v>0</v>
      </c>
      <c r="F1379">
        <v>-546.48</v>
      </c>
      <c r="G1379">
        <v>-8852.9140000000007</v>
      </c>
      <c r="H1379">
        <v>6557.7139999999999</v>
      </c>
      <c r="I1379">
        <v>0</v>
      </c>
    </row>
    <row r="1380" spans="1:9" x14ac:dyDescent="0.25">
      <c r="A1380" t="s">
        <v>16</v>
      </c>
      <c r="B1380" t="s">
        <v>80</v>
      </c>
      <c r="C1380" t="s">
        <v>25</v>
      </c>
      <c r="D1380">
        <v>0</v>
      </c>
      <c r="E1380">
        <v>0</v>
      </c>
      <c r="F1380">
        <v>546.48</v>
      </c>
      <c r="G1380">
        <v>10820.227999999999</v>
      </c>
      <c r="H1380">
        <v>-4371.8090000000002</v>
      </c>
      <c r="I1380">
        <v>0</v>
      </c>
    </row>
    <row r="1381" spans="1:9" x14ac:dyDescent="0.25">
      <c r="A1381" t="s">
        <v>16</v>
      </c>
      <c r="B1381" t="s">
        <v>80</v>
      </c>
      <c r="C1381" t="s">
        <v>10</v>
      </c>
      <c r="D1381">
        <v>0</v>
      </c>
      <c r="E1381">
        <v>0</v>
      </c>
      <c r="F1381">
        <v>546.48</v>
      </c>
      <c r="G1381">
        <v>10820.227999999999</v>
      </c>
      <c r="H1381">
        <v>-6557.7139999999999</v>
      </c>
      <c r="I1381">
        <v>0</v>
      </c>
    </row>
    <row r="1382" spans="1:9" x14ac:dyDescent="0.25">
      <c r="A1382" t="s">
        <v>16</v>
      </c>
      <c r="B1382" t="s">
        <v>81</v>
      </c>
      <c r="C1382" t="s">
        <v>25</v>
      </c>
      <c r="D1382">
        <v>0</v>
      </c>
      <c r="E1382">
        <v>0</v>
      </c>
      <c r="F1382">
        <v>546.48</v>
      </c>
      <c r="G1382">
        <v>8852.9140000000007</v>
      </c>
      <c r="H1382">
        <v>-4371.8090000000002</v>
      </c>
      <c r="I1382">
        <v>0</v>
      </c>
    </row>
    <row r="1383" spans="1:9" x14ac:dyDescent="0.25">
      <c r="A1383" t="s">
        <v>16</v>
      </c>
      <c r="B1383" t="s">
        <v>81</v>
      </c>
      <c r="C1383" t="s">
        <v>10</v>
      </c>
      <c r="D1383">
        <v>0</v>
      </c>
      <c r="E1383">
        <v>0</v>
      </c>
      <c r="F1383">
        <v>546.48</v>
      </c>
      <c r="G1383">
        <v>8852.9140000000007</v>
      </c>
      <c r="H1383">
        <v>-6557.7139999999999</v>
      </c>
      <c r="I1383">
        <v>0</v>
      </c>
    </row>
    <row r="1384" spans="1:9" x14ac:dyDescent="0.25">
      <c r="A1384" t="s">
        <v>16</v>
      </c>
      <c r="B1384" t="s">
        <v>82</v>
      </c>
      <c r="C1384" t="s">
        <v>25</v>
      </c>
      <c r="D1384">
        <v>0</v>
      </c>
      <c r="E1384">
        <v>-135.63</v>
      </c>
      <c r="F1384">
        <v>0</v>
      </c>
      <c r="G1384">
        <v>2237.884</v>
      </c>
      <c r="H1384">
        <v>0</v>
      </c>
      <c r="I1384">
        <v>-1085.0350000000001</v>
      </c>
    </row>
    <row r="1385" spans="1:9" x14ac:dyDescent="0.25">
      <c r="A1385" t="s">
        <v>16</v>
      </c>
      <c r="B1385" t="s">
        <v>82</v>
      </c>
      <c r="C1385" t="s">
        <v>10</v>
      </c>
      <c r="D1385">
        <v>0</v>
      </c>
      <c r="E1385">
        <v>-135.63</v>
      </c>
      <c r="F1385">
        <v>0</v>
      </c>
      <c r="G1385">
        <v>2237.884</v>
      </c>
      <c r="H1385">
        <v>0</v>
      </c>
      <c r="I1385">
        <v>-1627.5519999999999</v>
      </c>
    </row>
    <row r="1386" spans="1:9" x14ac:dyDescent="0.25">
      <c r="A1386" t="s">
        <v>16</v>
      </c>
      <c r="B1386" t="s">
        <v>83</v>
      </c>
      <c r="C1386" t="s">
        <v>25</v>
      </c>
      <c r="D1386">
        <v>0</v>
      </c>
      <c r="E1386">
        <v>-135.63</v>
      </c>
      <c r="F1386">
        <v>0</v>
      </c>
      <c r="G1386">
        <v>1830.9960000000001</v>
      </c>
      <c r="H1386">
        <v>0</v>
      </c>
      <c r="I1386">
        <v>-1085.0350000000001</v>
      </c>
    </row>
    <row r="1387" spans="1:9" x14ac:dyDescent="0.25">
      <c r="A1387" t="s">
        <v>16</v>
      </c>
      <c r="B1387" t="s">
        <v>83</v>
      </c>
      <c r="C1387" t="s">
        <v>10</v>
      </c>
      <c r="D1387">
        <v>0</v>
      </c>
      <c r="E1387">
        <v>-135.63</v>
      </c>
      <c r="F1387">
        <v>0</v>
      </c>
      <c r="G1387">
        <v>1830.9960000000001</v>
      </c>
      <c r="H1387">
        <v>0</v>
      </c>
      <c r="I1387">
        <v>-1627.5519999999999</v>
      </c>
    </row>
    <row r="1388" spans="1:9" x14ac:dyDescent="0.25">
      <c r="A1388" t="s">
        <v>16</v>
      </c>
      <c r="B1388" t="s">
        <v>84</v>
      </c>
      <c r="C1388" t="s">
        <v>25</v>
      </c>
      <c r="D1388">
        <v>0</v>
      </c>
      <c r="E1388">
        <v>135.63</v>
      </c>
      <c r="F1388">
        <v>0</v>
      </c>
      <c r="G1388">
        <v>-2237.884</v>
      </c>
      <c r="H1388">
        <v>0</v>
      </c>
      <c r="I1388">
        <v>1085.0350000000001</v>
      </c>
    </row>
    <row r="1389" spans="1:9" x14ac:dyDescent="0.25">
      <c r="A1389" t="s">
        <v>16</v>
      </c>
      <c r="B1389" t="s">
        <v>84</v>
      </c>
      <c r="C1389" t="s">
        <v>10</v>
      </c>
      <c r="D1389">
        <v>0</v>
      </c>
      <c r="E1389">
        <v>135.63</v>
      </c>
      <c r="F1389">
        <v>0</v>
      </c>
      <c r="G1389">
        <v>-2237.884</v>
      </c>
      <c r="H1389">
        <v>0</v>
      </c>
      <c r="I1389">
        <v>1627.5519999999999</v>
      </c>
    </row>
    <row r="1390" spans="1:9" x14ac:dyDescent="0.25">
      <c r="A1390" t="s">
        <v>16</v>
      </c>
      <c r="B1390" t="s">
        <v>85</v>
      </c>
      <c r="C1390" t="s">
        <v>25</v>
      </c>
      <c r="D1390">
        <v>0</v>
      </c>
      <c r="E1390">
        <v>135.63</v>
      </c>
      <c r="F1390">
        <v>0</v>
      </c>
      <c r="G1390">
        <v>-1830.9960000000001</v>
      </c>
      <c r="H1390">
        <v>0</v>
      </c>
      <c r="I1390">
        <v>1085.0350000000001</v>
      </c>
    </row>
    <row r="1391" spans="1:9" x14ac:dyDescent="0.25">
      <c r="A1391" t="s">
        <v>16</v>
      </c>
      <c r="B1391" t="s">
        <v>85</v>
      </c>
      <c r="C1391" t="s">
        <v>10</v>
      </c>
      <c r="D1391">
        <v>0</v>
      </c>
      <c r="E1391">
        <v>135.63</v>
      </c>
      <c r="F1391">
        <v>0</v>
      </c>
      <c r="G1391">
        <v>-1830.9960000000001</v>
      </c>
      <c r="H1391">
        <v>0</v>
      </c>
      <c r="I1391">
        <v>1627.5519999999999</v>
      </c>
    </row>
    <row r="1392" spans="1:9" x14ac:dyDescent="0.25">
      <c r="A1392" t="s">
        <v>16</v>
      </c>
      <c r="B1392" t="s">
        <v>86</v>
      </c>
      <c r="C1392" t="s">
        <v>25</v>
      </c>
      <c r="D1392">
        <v>0</v>
      </c>
      <c r="E1392">
        <v>0</v>
      </c>
      <c r="F1392">
        <v>-163.94</v>
      </c>
      <c r="G1392">
        <v>-3246.0680000000002</v>
      </c>
      <c r="H1392">
        <v>1311.5429999999999</v>
      </c>
      <c r="I1392">
        <v>0</v>
      </c>
    </row>
    <row r="1393" spans="1:9" x14ac:dyDescent="0.25">
      <c r="A1393" t="s">
        <v>16</v>
      </c>
      <c r="B1393" t="s">
        <v>86</v>
      </c>
      <c r="C1393" t="s">
        <v>10</v>
      </c>
      <c r="D1393">
        <v>0</v>
      </c>
      <c r="E1393">
        <v>0</v>
      </c>
      <c r="F1393">
        <v>-163.94</v>
      </c>
      <c r="G1393">
        <v>-3246.0680000000002</v>
      </c>
      <c r="H1393">
        <v>1967.3140000000001</v>
      </c>
      <c r="I1393">
        <v>0</v>
      </c>
    </row>
    <row r="1394" spans="1:9" x14ac:dyDescent="0.25">
      <c r="A1394" t="s">
        <v>16</v>
      </c>
      <c r="B1394" t="s">
        <v>87</v>
      </c>
      <c r="C1394" t="s">
        <v>25</v>
      </c>
      <c r="D1394">
        <v>0</v>
      </c>
      <c r="E1394">
        <v>0</v>
      </c>
      <c r="F1394">
        <v>-163.94</v>
      </c>
      <c r="G1394">
        <v>-2655.8739999999998</v>
      </c>
      <c r="H1394">
        <v>1311.5429999999999</v>
      </c>
      <c r="I1394">
        <v>0</v>
      </c>
    </row>
    <row r="1395" spans="1:9" x14ac:dyDescent="0.25">
      <c r="A1395" t="s">
        <v>16</v>
      </c>
      <c r="B1395" t="s">
        <v>87</v>
      </c>
      <c r="C1395" t="s">
        <v>10</v>
      </c>
      <c r="D1395">
        <v>0</v>
      </c>
      <c r="E1395">
        <v>0</v>
      </c>
      <c r="F1395">
        <v>-163.94</v>
      </c>
      <c r="G1395">
        <v>-2655.8739999999998</v>
      </c>
      <c r="H1395">
        <v>1967.3140000000001</v>
      </c>
      <c r="I1395">
        <v>0</v>
      </c>
    </row>
    <row r="1396" spans="1:9" x14ac:dyDescent="0.25">
      <c r="A1396" t="s">
        <v>16</v>
      </c>
      <c r="B1396" t="s">
        <v>88</v>
      </c>
      <c r="C1396" t="s">
        <v>25</v>
      </c>
      <c r="D1396">
        <v>0</v>
      </c>
      <c r="E1396">
        <v>0</v>
      </c>
      <c r="F1396">
        <v>163.94</v>
      </c>
      <c r="G1396">
        <v>3246.0680000000002</v>
      </c>
      <c r="H1396">
        <v>-1311.5429999999999</v>
      </c>
      <c r="I1396">
        <v>0</v>
      </c>
    </row>
    <row r="1397" spans="1:9" x14ac:dyDescent="0.25">
      <c r="A1397" t="s">
        <v>16</v>
      </c>
      <c r="B1397" t="s">
        <v>88</v>
      </c>
      <c r="C1397" t="s">
        <v>10</v>
      </c>
      <c r="D1397">
        <v>0</v>
      </c>
      <c r="E1397">
        <v>0</v>
      </c>
      <c r="F1397">
        <v>163.94</v>
      </c>
      <c r="G1397">
        <v>3246.0680000000002</v>
      </c>
      <c r="H1397">
        <v>-1967.3140000000001</v>
      </c>
      <c r="I1397">
        <v>0</v>
      </c>
    </row>
    <row r="1398" spans="1:9" x14ac:dyDescent="0.25">
      <c r="A1398" t="s">
        <v>16</v>
      </c>
      <c r="B1398" t="s">
        <v>89</v>
      </c>
      <c r="C1398" t="s">
        <v>25</v>
      </c>
      <c r="D1398">
        <v>0</v>
      </c>
      <c r="E1398">
        <v>0</v>
      </c>
      <c r="F1398">
        <v>163.94</v>
      </c>
      <c r="G1398">
        <v>2655.8739999999998</v>
      </c>
      <c r="H1398">
        <v>-1311.5429999999999</v>
      </c>
      <c r="I1398">
        <v>0</v>
      </c>
    </row>
    <row r="1399" spans="1:9" x14ac:dyDescent="0.25">
      <c r="A1399" t="s">
        <v>16</v>
      </c>
      <c r="B1399" t="s">
        <v>89</v>
      </c>
      <c r="C1399" t="s">
        <v>10</v>
      </c>
      <c r="D1399">
        <v>0</v>
      </c>
      <c r="E1399">
        <v>0</v>
      </c>
      <c r="F1399">
        <v>163.94</v>
      </c>
      <c r="G1399">
        <v>2655.8739999999998</v>
      </c>
      <c r="H1399">
        <v>-1967.3140000000001</v>
      </c>
      <c r="I1399">
        <v>0</v>
      </c>
    </row>
    <row r="1400" spans="1:9" x14ac:dyDescent="0.25">
      <c r="A1400" t="s">
        <v>16</v>
      </c>
      <c r="B1400" t="s">
        <v>90</v>
      </c>
      <c r="C1400" t="s">
        <v>25</v>
      </c>
      <c r="D1400">
        <v>0</v>
      </c>
      <c r="E1400">
        <v>-135.63</v>
      </c>
      <c r="F1400">
        <v>0</v>
      </c>
      <c r="G1400">
        <v>2237.884</v>
      </c>
      <c r="H1400">
        <v>0</v>
      </c>
      <c r="I1400">
        <v>-1085.0350000000001</v>
      </c>
    </row>
    <row r="1401" spans="1:9" x14ac:dyDescent="0.25">
      <c r="A1401" t="s">
        <v>16</v>
      </c>
      <c r="B1401" t="s">
        <v>90</v>
      </c>
      <c r="C1401" t="s">
        <v>10</v>
      </c>
      <c r="D1401">
        <v>0</v>
      </c>
      <c r="E1401">
        <v>-135.63</v>
      </c>
      <c r="F1401">
        <v>0</v>
      </c>
      <c r="G1401">
        <v>2237.884</v>
      </c>
      <c r="H1401">
        <v>0</v>
      </c>
      <c r="I1401">
        <v>-1627.5519999999999</v>
      </c>
    </row>
    <row r="1402" spans="1:9" x14ac:dyDescent="0.25">
      <c r="A1402" t="s">
        <v>16</v>
      </c>
      <c r="B1402" t="s">
        <v>91</v>
      </c>
      <c r="C1402" t="s">
        <v>25</v>
      </c>
      <c r="D1402">
        <v>0</v>
      </c>
      <c r="E1402">
        <v>-135.63</v>
      </c>
      <c r="F1402">
        <v>0</v>
      </c>
      <c r="G1402">
        <v>1830.9960000000001</v>
      </c>
      <c r="H1402">
        <v>0</v>
      </c>
      <c r="I1402">
        <v>-1085.0350000000001</v>
      </c>
    </row>
    <row r="1403" spans="1:9" x14ac:dyDescent="0.25">
      <c r="A1403" t="s">
        <v>16</v>
      </c>
      <c r="B1403" t="s">
        <v>91</v>
      </c>
      <c r="C1403" t="s">
        <v>10</v>
      </c>
      <c r="D1403">
        <v>0</v>
      </c>
      <c r="E1403">
        <v>-135.63</v>
      </c>
      <c r="F1403">
        <v>0</v>
      </c>
      <c r="G1403">
        <v>1830.9960000000001</v>
      </c>
      <c r="H1403">
        <v>0</v>
      </c>
      <c r="I1403">
        <v>-1627.5519999999999</v>
      </c>
    </row>
    <row r="1404" spans="1:9" x14ac:dyDescent="0.25">
      <c r="A1404" t="s">
        <v>16</v>
      </c>
      <c r="B1404" t="s">
        <v>92</v>
      </c>
      <c r="C1404" t="s">
        <v>25</v>
      </c>
      <c r="D1404">
        <v>0</v>
      </c>
      <c r="E1404">
        <v>135.63</v>
      </c>
      <c r="F1404">
        <v>0</v>
      </c>
      <c r="G1404">
        <v>-2237.884</v>
      </c>
      <c r="H1404">
        <v>0</v>
      </c>
      <c r="I1404">
        <v>1085.0350000000001</v>
      </c>
    </row>
    <row r="1405" spans="1:9" x14ac:dyDescent="0.25">
      <c r="A1405" t="s">
        <v>16</v>
      </c>
      <c r="B1405" t="s">
        <v>92</v>
      </c>
      <c r="C1405" t="s">
        <v>10</v>
      </c>
      <c r="D1405">
        <v>0</v>
      </c>
      <c r="E1405">
        <v>135.63</v>
      </c>
      <c r="F1405">
        <v>0</v>
      </c>
      <c r="G1405">
        <v>-2237.884</v>
      </c>
      <c r="H1405">
        <v>0</v>
      </c>
      <c r="I1405">
        <v>1627.5519999999999</v>
      </c>
    </row>
    <row r="1406" spans="1:9" x14ac:dyDescent="0.25">
      <c r="A1406" t="s">
        <v>16</v>
      </c>
      <c r="B1406" t="s">
        <v>93</v>
      </c>
      <c r="C1406" t="s">
        <v>25</v>
      </c>
      <c r="D1406">
        <v>0</v>
      </c>
      <c r="E1406">
        <v>135.63</v>
      </c>
      <c r="F1406">
        <v>0</v>
      </c>
      <c r="G1406">
        <v>-1830.9960000000001</v>
      </c>
      <c r="H1406">
        <v>0</v>
      </c>
      <c r="I1406">
        <v>1085.0350000000001</v>
      </c>
    </row>
    <row r="1407" spans="1:9" x14ac:dyDescent="0.25">
      <c r="A1407" t="s">
        <v>16</v>
      </c>
      <c r="B1407" t="s">
        <v>93</v>
      </c>
      <c r="C1407" t="s">
        <v>10</v>
      </c>
      <c r="D1407">
        <v>0</v>
      </c>
      <c r="E1407">
        <v>135.63</v>
      </c>
      <c r="F1407">
        <v>0</v>
      </c>
      <c r="G1407">
        <v>-1830.9960000000001</v>
      </c>
      <c r="H1407">
        <v>0</v>
      </c>
      <c r="I1407">
        <v>1627.5519999999999</v>
      </c>
    </row>
    <row r="1408" spans="1:9" x14ac:dyDescent="0.25">
      <c r="A1408" t="s">
        <v>16</v>
      </c>
      <c r="B1408" t="s">
        <v>94</v>
      </c>
      <c r="C1408" t="s">
        <v>25</v>
      </c>
      <c r="D1408">
        <v>0</v>
      </c>
      <c r="E1408">
        <v>0</v>
      </c>
      <c r="F1408">
        <v>-163.94</v>
      </c>
      <c r="G1408">
        <v>-3246.0680000000002</v>
      </c>
      <c r="H1408">
        <v>1311.5429999999999</v>
      </c>
      <c r="I1408">
        <v>0</v>
      </c>
    </row>
    <row r="1409" spans="1:9" x14ac:dyDescent="0.25">
      <c r="A1409" t="s">
        <v>16</v>
      </c>
      <c r="B1409" t="s">
        <v>94</v>
      </c>
      <c r="C1409" t="s">
        <v>10</v>
      </c>
      <c r="D1409">
        <v>0</v>
      </c>
      <c r="E1409">
        <v>0</v>
      </c>
      <c r="F1409">
        <v>-163.94</v>
      </c>
      <c r="G1409">
        <v>-3246.0680000000002</v>
      </c>
      <c r="H1409">
        <v>1967.3140000000001</v>
      </c>
      <c r="I1409">
        <v>0</v>
      </c>
    </row>
    <row r="1410" spans="1:9" x14ac:dyDescent="0.25">
      <c r="A1410" t="s">
        <v>16</v>
      </c>
      <c r="B1410" t="s">
        <v>95</v>
      </c>
      <c r="C1410" t="s">
        <v>25</v>
      </c>
      <c r="D1410">
        <v>0</v>
      </c>
      <c r="E1410">
        <v>0</v>
      </c>
      <c r="F1410">
        <v>-163.94</v>
      </c>
      <c r="G1410">
        <v>-2655.8739999999998</v>
      </c>
      <c r="H1410">
        <v>1311.5429999999999</v>
      </c>
      <c r="I1410">
        <v>0</v>
      </c>
    </row>
    <row r="1411" spans="1:9" x14ac:dyDescent="0.25">
      <c r="A1411" t="s">
        <v>16</v>
      </c>
      <c r="B1411" t="s">
        <v>95</v>
      </c>
      <c r="C1411" t="s">
        <v>10</v>
      </c>
      <c r="D1411">
        <v>0</v>
      </c>
      <c r="E1411">
        <v>0</v>
      </c>
      <c r="F1411">
        <v>-163.94</v>
      </c>
      <c r="G1411">
        <v>-2655.8739999999998</v>
      </c>
      <c r="H1411">
        <v>1967.3140000000001</v>
      </c>
      <c r="I1411">
        <v>0</v>
      </c>
    </row>
    <row r="1412" spans="1:9" x14ac:dyDescent="0.25">
      <c r="A1412" t="s">
        <v>16</v>
      </c>
      <c r="B1412" t="s">
        <v>96</v>
      </c>
      <c r="C1412" t="s">
        <v>25</v>
      </c>
      <c r="D1412">
        <v>0</v>
      </c>
      <c r="E1412">
        <v>0</v>
      </c>
      <c r="F1412">
        <v>163.94</v>
      </c>
      <c r="G1412">
        <v>3246.0680000000002</v>
      </c>
      <c r="H1412">
        <v>-1311.5429999999999</v>
      </c>
      <c r="I1412">
        <v>0</v>
      </c>
    </row>
    <row r="1413" spans="1:9" x14ac:dyDescent="0.25">
      <c r="A1413" t="s">
        <v>16</v>
      </c>
      <c r="B1413" t="s">
        <v>96</v>
      </c>
      <c r="C1413" t="s">
        <v>10</v>
      </c>
      <c r="D1413">
        <v>0</v>
      </c>
      <c r="E1413">
        <v>0</v>
      </c>
      <c r="F1413">
        <v>163.94</v>
      </c>
      <c r="G1413">
        <v>3246.0680000000002</v>
      </c>
      <c r="H1413">
        <v>-1967.3140000000001</v>
      </c>
      <c r="I1413">
        <v>0</v>
      </c>
    </row>
    <row r="1414" spans="1:9" x14ac:dyDescent="0.25">
      <c r="A1414" t="s">
        <v>16</v>
      </c>
      <c r="B1414" t="s">
        <v>97</v>
      </c>
      <c r="C1414" t="s">
        <v>25</v>
      </c>
      <c r="D1414">
        <v>0</v>
      </c>
      <c r="E1414">
        <v>0</v>
      </c>
      <c r="F1414">
        <v>163.94</v>
      </c>
      <c r="G1414">
        <v>2655.8739999999998</v>
      </c>
      <c r="H1414">
        <v>-1311.5429999999999</v>
      </c>
      <c r="I1414">
        <v>0</v>
      </c>
    </row>
    <row r="1415" spans="1:9" x14ac:dyDescent="0.25">
      <c r="A1415" t="s">
        <v>16</v>
      </c>
      <c r="B1415" t="s">
        <v>97</v>
      </c>
      <c r="C1415" t="s">
        <v>10</v>
      </c>
      <c r="D1415">
        <v>0</v>
      </c>
      <c r="E1415">
        <v>0</v>
      </c>
      <c r="F1415">
        <v>163.94</v>
      </c>
      <c r="G1415">
        <v>2655.8739999999998</v>
      </c>
      <c r="H1415">
        <v>-1967.3140000000001</v>
      </c>
      <c r="I1415">
        <v>0</v>
      </c>
    </row>
    <row r="1416" spans="1:9" x14ac:dyDescent="0.25">
      <c r="A1416" t="s">
        <v>16</v>
      </c>
      <c r="B1416" t="s">
        <v>14</v>
      </c>
      <c r="C1416" t="s">
        <v>25</v>
      </c>
      <c r="D1416">
        <v>0</v>
      </c>
      <c r="E1416">
        <v>280.18</v>
      </c>
      <c r="F1416">
        <v>0</v>
      </c>
      <c r="G1416">
        <v>4905.9930000000004</v>
      </c>
      <c r="H1416">
        <v>0</v>
      </c>
      <c r="I1416">
        <v>2110.34</v>
      </c>
    </row>
    <row r="1417" spans="1:9" x14ac:dyDescent="0.25">
      <c r="A1417" t="s">
        <v>16</v>
      </c>
      <c r="B1417" t="s">
        <v>14</v>
      </c>
      <c r="C1417" t="s">
        <v>10</v>
      </c>
      <c r="D1417">
        <v>0</v>
      </c>
      <c r="E1417">
        <v>280.18</v>
      </c>
      <c r="F1417">
        <v>0</v>
      </c>
      <c r="G1417">
        <v>4905.9930000000004</v>
      </c>
      <c r="H1417">
        <v>0</v>
      </c>
      <c r="I1417">
        <v>3085.0610000000001</v>
      </c>
    </row>
    <row r="1418" spans="1:9" x14ac:dyDescent="0.25">
      <c r="A1418" t="s">
        <v>16</v>
      </c>
      <c r="B1418" t="s">
        <v>98</v>
      </c>
      <c r="C1418" t="s">
        <v>25</v>
      </c>
      <c r="D1418">
        <v>0</v>
      </c>
      <c r="E1418">
        <v>-280.18</v>
      </c>
      <c r="F1418">
        <v>0</v>
      </c>
      <c r="G1418">
        <v>-4905.9930000000004</v>
      </c>
      <c r="H1418">
        <v>0</v>
      </c>
      <c r="I1418">
        <v>-2110.34</v>
      </c>
    </row>
    <row r="1419" spans="1:9" x14ac:dyDescent="0.25">
      <c r="A1419" t="s">
        <v>16</v>
      </c>
      <c r="B1419" t="s">
        <v>98</v>
      </c>
      <c r="C1419" t="s">
        <v>10</v>
      </c>
      <c r="D1419">
        <v>0</v>
      </c>
      <c r="E1419">
        <v>-280.18</v>
      </c>
      <c r="F1419">
        <v>0</v>
      </c>
      <c r="G1419">
        <v>-4905.9930000000004</v>
      </c>
      <c r="H1419">
        <v>0</v>
      </c>
      <c r="I1419">
        <v>-3085.0610000000001</v>
      </c>
    </row>
    <row r="1420" spans="1:9" x14ac:dyDescent="0.25">
      <c r="A1420" t="s">
        <v>16</v>
      </c>
      <c r="B1420" t="s">
        <v>15</v>
      </c>
      <c r="C1420" t="s">
        <v>25</v>
      </c>
      <c r="D1420">
        <v>0</v>
      </c>
      <c r="E1420">
        <v>0</v>
      </c>
      <c r="F1420">
        <v>671.3</v>
      </c>
      <c r="G1420">
        <v>13533.749</v>
      </c>
      <c r="H1420">
        <v>5424.0720000000001</v>
      </c>
      <c r="I1420">
        <v>0</v>
      </c>
    </row>
    <row r="1421" spans="1:9" x14ac:dyDescent="0.25">
      <c r="A1421" t="s">
        <v>16</v>
      </c>
      <c r="B1421" t="s">
        <v>15</v>
      </c>
      <c r="C1421" t="s">
        <v>10</v>
      </c>
      <c r="D1421">
        <v>0</v>
      </c>
      <c r="E1421">
        <v>0</v>
      </c>
      <c r="F1421">
        <v>671.3</v>
      </c>
      <c r="G1421">
        <v>13533.749</v>
      </c>
      <c r="H1421">
        <v>8023.2150000000001</v>
      </c>
      <c r="I1421">
        <v>0</v>
      </c>
    </row>
    <row r="1422" spans="1:9" x14ac:dyDescent="0.25">
      <c r="A1422" t="s">
        <v>16</v>
      </c>
      <c r="B1422" t="s">
        <v>99</v>
      </c>
      <c r="C1422" t="s">
        <v>25</v>
      </c>
      <c r="D1422">
        <v>0</v>
      </c>
      <c r="E1422">
        <v>0</v>
      </c>
      <c r="F1422">
        <v>-671.3</v>
      </c>
      <c r="G1422">
        <v>-13533.749</v>
      </c>
      <c r="H1422">
        <v>-5424.0720000000001</v>
      </c>
      <c r="I1422">
        <v>0</v>
      </c>
    </row>
    <row r="1423" spans="1:9" x14ac:dyDescent="0.25">
      <c r="A1423" t="s">
        <v>16</v>
      </c>
      <c r="B1423" t="s">
        <v>99</v>
      </c>
      <c r="C1423" t="s">
        <v>10</v>
      </c>
      <c r="D1423">
        <v>0</v>
      </c>
      <c r="E1423">
        <v>0</v>
      </c>
      <c r="F1423">
        <v>-671.3</v>
      </c>
      <c r="G1423">
        <v>-13533.749</v>
      </c>
      <c r="H1423">
        <v>-8023.2150000000001</v>
      </c>
      <c r="I1423">
        <v>0</v>
      </c>
    </row>
    <row r="1424" spans="1:9" x14ac:dyDescent="0.25">
      <c r="A1424" t="s">
        <v>16</v>
      </c>
      <c r="B1424" t="s">
        <v>100</v>
      </c>
      <c r="C1424" t="s">
        <v>25</v>
      </c>
      <c r="D1424">
        <v>0</v>
      </c>
      <c r="E1424">
        <v>280.18</v>
      </c>
      <c r="F1424">
        <v>0</v>
      </c>
      <c r="G1424">
        <v>4905.9930000000004</v>
      </c>
      <c r="H1424">
        <v>0</v>
      </c>
      <c r="I1424">
        <v>2110.34</v>
      </c>
    </row>
    <row r="1425" spans="1:9" x14ac:dyDescent="0.25">
      <c r="A1425" t="s">
        <v>16</v>
      </c>
      <c r="B1425" t="s">
        <v>100</v>
      </c>
      <c r="C1425" t="s">
        <v>10</v>
      </c>
      <c r="D1425">
        <v>0</v>
      </c>
      <c r="E1425">
        <v>280.18</v>
      </c>
      <c r="F1425">
        <v>0</v>
      </c>
      <c r="G1425">
        <v>4905.9930000000004</v>
      </c>
      <c r="H1425">
        <v>0</v>
      </c>
      <c r="I1425">
        <v>3085.0610000000001</v>
      </c>
    </row>
    <row r="1426" spans="1:9" x14ac:dyDescent="0.25">
      <c r="A1426" t="s">
        <v>16</v>
      </c>
      <c r="B1426" t="s">
        <v>101</v>
      </c>
      <c r="C1426" t="s">
        <v>25</v>
      </c>
      <c r="D1426">
        <v>0</v>
      </c>
      <c r="E1426">
        <v>-280.18</v>
      </c>
      <c r="F1426">
        <v>0</v>
      </c>
      <c r="G1426">
        <v>-4905.9930000000004</v>
      </c>
      <c r="H1426">
        <v>0</v>
      </c>
      <c r="I1426">
        <v>-2110.34</v>
      </c>
    </row>
    <row r="1427" spans="1:9" x14ac:dyDescent="0.25">
      <c r="A1427" t="s">
        <v>16</v>
      </c>
      <c r="B1427" t="s">
        <v>101</v>
      </c>
      <c r="C1427" t="s">
        <v>10</v>
      </c>
      <c r="D1427">
        <v>0</v>
      </c>
      <c r="E1427">
        <v>-280.18</v>
      </c>
      <c r="F1427">
        <v>0</v>
      </c>
      <c r="G1427">
        <v>-4905.9930000000004</v>
      </c>
      <c r="H1427">
        <v>0</v>
      </c>
      <c r="I1427">
        <v>-3085.0610000000001</v>
      </c>
    </row>
    <row r="1428" spans="1:9" x14ac:dyDescent="0.25">
      <c r="A1428" t="s">
        <v>16</v>
      </c>
      <c r="B1428" t="s">
        <v>102</v>
      </c>
      <c r="C1428" t="s">
        <v>25</v>
      </c>
      <c r="D1428">
        <v>0</v>
      </c>
      <c r="E1428">
        <v>280.18</v>
      </c>
      <c r="F1428">
        <v>0</v>
      </c>
      <c r="G1428">
        <v>4905.9930000000004</v>
      </c>
      <c r="H1428">
        <v>0</v>
      </c>
      <c r="I1428">
        <v>2110.34</v>
      </c>
    </row>
    <row r="1429" spans="1:9" x14ac:dyDescent="0.25">
      <c r="A1429" t="s">
        <v>16</v>
      </c>
      <c r="B1429" t="s">
        <v>102</v>
      </c>
      <c r="C1429" t="s">
        <v>10</v>
      </c>
      <c r="D1429">
        <v>0</v>
      </c>
      <c r="E1429">
        <v>280.18</v>
      </c>
      <c r="F1429">
        <v>0</v>
      </c>
      <c r="G1429">
        <v>4905.9930000000004</v>
      </c>
      <c r="H1429">
        <v>0</v>
      </c>
      <c r="I1429">
        <v>3085.0610000000001</v>
      </c>
    </row>
    <row r="1430" spans="1:9" x14ac:dyDescent="0.25">
      <c r="A1430" t="s">
        <v>16</v>
      </c>
      <c r="B1430" t="s">
        <v>103</v>
      </c>
      <c r="C1430" t="s">
        <v>25</v>
      </c>
      <c r="D1430">
        <v>0</v>
      </c>
      <c r="E1430">
        <v>-280.18</v>
      </c>
      <c r="F1430">
        <v>0</v>
      </c>
      <c r="G1430">
        <v>-4905.9930000000004</v>
      </c>
      <c r="H1430">
        <v>0</v>
      </c>
      <c r="I1430">
        <v>-2110.34</v>
      </c>
    </row>
    <row r="1431" spans="1:9" x14ac:dyDescent="0.25">
      <c r="A1431" t="s">
        <v>16</v>
      </c>
      <c r="B1431" t="s">
        <v>103</v>
      </c>
      <c r="C1431" t="s">
        <v>10</v>
      </c>
      <c r="D1431">
        <v>0</v>
      </c>
      <c r="E1431">
        <v>-280.18</v>
      </c>
      <c r="F1431">
        <v>0</v>
      </c>
      <c r="G1431">
        <v>-4905.9930000000004</v>
      </c>
      <c r="H1431">
        <v>0</v>
      </c>
      <c r="I1431">
        <v>-3085.0610000000001</v>
      </c>
    </row>
    <row r="1432" spans="1:9" x14ac:dyDescent="0.25">
      <c r="A1432" t="s">
        <v>16</v>
      </c>
      <c r="B1432" t="s">
        <v>104</v>
      </c>
      <c r="C1432" t="s">
        <v>25</v>
      </c>
      <c r="D1432">
        <v>0</v>
      </c>
      <c r="E1432">
        <v>0</v>
      </c>
      <c r="F1432">
        <v>671.3</v>
      </c>
      <c r="G1432">
        <v>13533.749</v>
      </c>
      <c r="H1432">
        <v>5424.0720000000001</v>
      </c>
      <c r="I1432">
        <v>0</v>
      </c>
    </row>
    <row r="1433" spans="1:9" x14ac:dyDescent="0.25">
      <c r="A1433" t="s">
        <v>16</v>
      </c>
      <c r="B1433" t="s">
        <v>104</v>
      </c>
      <c r="C1433" t="s">
        <v>10</v>
      </c>
      <c r="D1433">
        <v>0</v>
      </c>
      <c r="E1433">
        <v>0</v>
      </c>
      <c r="F1433">
        <v>671.3</v>
      </c>
      <c r="G1433">
        <v>13533.749</v>
      </c>
      <c r="H1433">
        <v>8023.2150000000001</v>
      </c>
      <c r="I1433">
        <v>0</v>
      </c>
    </row>
    <row r="1434" spans="1:9" x14ac:dyDescent="0.25">
      <c r="A1434" t="s">
        <v>16</v>
      </c>
      <c r="B1434" t="s">
        <v>105</v>
      </c>
      <c r="C1434" t="s">
        <v>25</v>
      </c>
      <c r="D1434">
        <v>0</v>
      </c>
      <c r="E1434">
        <v>0</v>
      </c>
      <c r="F1434">
        <v>-671.3</v>
      </c>
      <c r="G1434">
        <v>-13533.749</v>
      </c>
      <c r="H1434">
        <v>-5424.0720000000001</v>
      </c>
      <c r="I1434">
        <v>0</v>
      </c>
    </row>
    <row r="1435" spans="1:9" x14ac:dyDescent="0.25">
      <c r="A1435" t="s">
        <v>16</v>
      </c>
      <c r="B1435" t="s">
        <v>105</v>
      </c>
      <c r="C1435" t="s">
        <v>10</v>
      </c>
      <c r="D1435">
        <v>0</v>
      </c>
      <c r="E1435">
        <v>0</v>
      </c>
      <c r="F1435">
        <v>-671.3</v>
      </c>
      <c r="G1435">
        <v>-13533.749</v>
      </c>
      <c r="H1435">
        <v>-8023.2150000000001</v>
      </c>
      <c r="I1435">
        <v>0</v>
      </c>
    </row>
    <row r="1436" spans="1:9" x14ac:dyDescent="0.25">
      <c r="A1436" t="s">
        <v>16</v>
      </c>
      <c r="B1436" t="s">
        <v>106</v>
      </c>
      <c r="C1436" t="s">
        <v>25</v>
      </c>
      <c r="D1436">
        <v>0</v>
      </c>
      <c r="E1436">
        <v>0</v>
      </c>
      <c r="F1436">
        <v>671.3</v>
      </c>
      <c r="G1436">
        <v>13533.749</v>
      </c>
      <c r="H1436">
        <v>5424.0720000000001</v>
      </c>
      <c r="I1436">
        <v>0</v>
      </c>
    </row>
    <row r="1437" spans="1:9" x14ac:dyDescent="0.25">
      <c r="A1437" t="s">
        <v>16</v>
      </c>
      <c r="B1437" t="s">
        <v>106</v>
      </c>
      <c r="C1437" t="s">
        <v>10</v>
      </c>
      <c r="D1437">
        <v>0</v>
      </c>
      <c r="E1437">
        <v>0</v>
      </c>
      <c r="F1437">
        <v>671.3</v>
      </c>
      <c r="G1437">
        <v>13533.749</v>
      </c>
      <c r="H1437">
        <v>8023.2150000000001</v>
      </c>
      <c r="I1437">
        <v>0</v>
      </c>
    </row>
    <row r="1438" spans="1:9" x14ac:dyDescent="0.25">
      <c r="A1438" t="s">
        <v>16</v>
      </c>
      <c r="B1438" t="s">
        <v>107</v>
      </c>
      <c r="C1438" t="s">
        <v>25</v>
      </c>
      <c r="D1438">
        <v>0</v>
      </c>
      <c r="E1438">
        <v>0</v>
      </c>
      <c r="F1438">
        <v>-671.3</v>
      </c>
      <c r="G1438">
        <v>-13533.749</v>
      </c>
      <c r="H1438">
        <v>-5424.0720000000001</v>
      </c>
      <c r="I1438">
        <v>0</v>
      </c>
    </row>
    <row r="1439" spans="1:9" x14ac:dyDescent="0.25">
      <c r="A1439" t="s">
        <v>16</v>
      </c>
      <c r="B1439" t="s">
        <v>107</v>
      </c>
      <c r="C1439" t="s">
        <v>10</v>
      </c>
      <c r="D1439">
        <v>0</v>
      </c>
      <c r="E1439">
        <v>0</v>
      </c>
      <c r="F1439">
        <v>-671.3</v>
      </c>
      <c r="G1439">
        <v>-13533.749</v>
      </c>
      <c r="H1439">
        <v>-8023.2150000000001</v>
      </c>
      <c r="I1439">
        <v>0</v>
      </c>
    </row>
    <row r="1440" spans="1:9" x14ac:dyDescent="0.25">
      <c r="A1440" t="s">
        <v>16</v>
      </c>
      <c r="B1440" t="s">
        <v>108</v>
      </c>
      <c r="C1440" t="s">
        <v>25</v>
      </c>
      <c r="D1440">
        <v>0</v>
      </c>
      <c r="E1440">
        <v>84.06</v>
      </c>
      <c r="F1440">
        <v>0</v>
      </c>
      <c r="G1440">
        <v>1471.798</v>
      </c>
      <c r="H1440">
        <v>0</v>
      </c>
      <c r="I1440">
        <v>633.10199999999998</v>
      </c>
    </row>
    <row r="1441" spans="1:9" x14ac:dyDescent="0.25">
      <c r="A1441" t="s">
        <v>16</v>
      </c>
      <c r="B1441" t="s">
        <v>108</v>
      </c>
      <c r="C1441" t="s">
        <v>10</v>
      </c>
      <c r="D1441">
        <v>0</v>
      </c>
      <c r="E1441">
        <v>84.06</v>
      </c>
      <c r="F1441">
        <v>0</v>
      </c>
      <c r="G1441">
        <v>1471.798</v>
      </c>
      <c r="H1441">
        <v>0</v>
      </c>
      <c r="I1441">
        <v>925.51800000000003</v>
      </c>
    </row>
    <row r="1442" spans="1:9" x14ac:dyDescent="0.25">
      <c r="A1442" t="s">
        <v>16</v>
      </c>
      <c r="B1442" t="s">
        <v>109</v>
      </c>
      <c r="C1442" t="s">
        <v>25</v>
      </c>
      <c r="D1442">
        <v>0</v>
      </c>
      <c r="E1442">
        <v>-84.06</v>
      </c>
      <c r="F1442">
        <v>0</v>
      </c>
      <c r="G1442">
        <v>-1471.798</v>
      </c>
      <c r="H1442">
        <v>0</v>
      </c>
      <c r="I1442">
        <v>-633.10199999999998</v>
      </c>
    </row>
    <row r="1443" spans="1:9" x14ac:dyDescent="0.25">
      <c r="A1443" t="s">
        <v>16</v>
      </c>
      <c r="B1443" t="s">
        <v>109</v>
      </c>
      <c r="C1443" t="s">
        <v>10</v>
      </c>
      <c r="D1443">
        <v>0</v>
      </c>
      <c r="E1443">
        <v>-84.06</v>
      </c>
      <c r="F1443">
        <v>0</v>
      </c>
      <c r="G1443">
        <v>-1471.798</v>
      </c>
      <c r="H1443">
        <v>0</v>
      </c>
      <c r="I1443">
        <v>-925.51800000000003</v>
      </c>
    </row>
    <row r="1444" spans="1:9" x14ac:dyDescent="0.25">
      <c r="A1444" t="s">
        <v>16</v>
      </c>
      <c r="B1444" t="s">
        <v>110</v>
      </c>
      <c r="C1444" t="s">
        <v>25</v>
      </c>
      <c r="D1444">
        <v>0</v>
      </c>
      <c r="E1444">
        <v>84.06</v>
      </c>
      <c r="F1444">
        <v>0</v>
      </c>
      <c r="G1444">
        <v>1471.798</v>
      </c>
      <c r="H1444">
        <v>0</v>
      </c>
      <c r="I1444">
        <v>633.10199999999998</v>
      </c>
    </row>
    <row r="1445" spans="1:9" x14ac:dyDescent="0.25">
      <c r="A1445" t="s">
        <v>16</v>
      </c>
      <c r="B1445" t="s">
        <v>110</v>
      </c>
      <c r="C1445" t="s">
        <v>10</v>
      </c>
      <c r="D1445">
        <v>0</v>
      </c>
      <c r="E1445">
        <v>84.06</v>
      </c>
      <c r="F1445">
        <v>0</v>
      </c>
      <c r="G1445">
        <v>1471.798</v>
      </c>
      <c r="H1445">
        <v>0</v>
      </c>
      <c r="I1445">
        <v>925.51800000000003</v>
      </c>
    </row>
    <row r="1446" spans="1:9" x14ac:dyDescent="0.25">
      <c r="A1446" t="s">
        <v>16</v>
      </c>
      <c r="B1446" t="s">
        <v>111</v>
      </c>
      <c r="C1446" t="s">
        <v>25</v>
      </c>
      <c r="D1446">
        <v>0</v>
      </c>
      <c r="E1446">
        <v>-84.06</v>
      </c>
      <c r="F1446">
        <v>0</v>
      </c>
      <c r="G1446">
        <v>-1471.798</v>
      </c>
      <c r="H1446">
        <v>0</v>
      </c>
      <c r="I1446">
        <v>-633.10199999999998</v>
      </c>
    </row>
    <row r="1447" spans="1:9" x14ac:dyDescent="0.25">
      <c r="A1447" t="s">
        <v>16</v>
      </c>
      <c r="B1447" t="s">
        <v>111</v>
      </c>
      <c r="C1447" t="s">
        <v>10</v>
      </c>
      <c r="D1447">
        <v>0</v>
      </c>
      <c r="E1447">
        <v>-84.06</v>
      </c>
      <c r="F1447">
        <v>0</v>
      </c>
      <c r="G1447">
        <v>-1471.798</v>
      </c>
      <c r="H1447">
        <v>0</v>
      </c>
      <c r="I1447">
        <v>-925.51800000000003</v>
      </c>
    </row>
    <row r="1448" spans="1:9" x14ac:dyDescent="0.25">
      <c r="A1448" t="s">
        <v>16</v>
      </c>
      <c r="B1448" t="s">
        <v>112</v>
      </c>
      <c r="C1448" t="s">
        <v>25</v>
      </c>
      <c r="D1448">
        <v>0</v>
      </c>
      <c r="E1448">
        <v>0</v>
      </c>
      <c r="F1448">
        <v>201.39</v>
      </c>
      <c r="G1448">
        <v>4060.125</v>
      </c>
      <c r="H1448">
        <v>1627.222</v>
      </c>
      <c r="I1448">
        <v>0</v>
      </c>
    </row>
    <row r="1449" spans="1:9" x14ac:dyDescent="0.25">
      <c r="A1449" t="s">
        <v>16</v>
      </c>
      <c r="B1449" t="s">
        <v>112</v>
      </c>
      <c r="C1449" t="s">
        <v>10</v>
      </c>
      <c r="D1449">
        <v>0</v>
      </c>
      <c r="E1449">
        <v>0</v>
      </c>
      <c r="F1449">
        <v>201.39</v>
      </c>
      <c r="G1449">
        <v>4060.125</v>
      </c>
      <c r="H1449">
        <v>2406.9650000000001</v>
      </c>
      <c r="I1449">
        <v>0</v>
      </c>
    </row>
    <row r="1450" spans="1:9" x14ac:dyDescent="0.25">
      <c r="A1450" t="s">
        <v>16</v>
      </c>
      <c r="B1450" t="s">
        <v>113</v>
      </c>
      <c r="C1450" t="s">
        <v>25</v>
      </c>
      <c r="D1450">
        <v>0</v>
      </c>
      <c r="E1450">
        <v>0</v>
      </c>
      <c r="F1450">
        <v>-201.39</v>
      </c>
      <c r="G1450">
        <v>-4060.125</v>
      </c>
      <c r="H1450">
        <v>-1627.222</v>
      </c>
      <c r="I1450">
        <v>0</v>
      </c>
    </row>
    <row r="1451" spans="1:9" x14ac:dyDescent="0.25">
      <c r="A1451" t="s">
        <v>16</v>
      </c>
      <c r="B1451" t="s">
        <v>113</v>
      </c>
      <c r="C1451" t="s">
        <v>10</v>
      </c>
      <c r="D1451">
        <v>0</v>
      </c>
      <c r="E1451">
        <v>0</v>
      </c>
      <c r="F1451">
        <v>-201.39</v>
      </c>
      <c r="G1451">
        <v>-4060.125</v>
      </c>
      <c r="H1451">
        <v>-2406.9650000000001</v>
      </c>
      <c r="I1451">
        <v>0</v>
      </c>
    </row>
    <row r="1452" spans="1:9" x14ac:dyDescent="0.25">
      <c r="A1452" t="s">
        <v>16</v>
      </c>
      <c r="B1452" t="s">
        <v>114</v>
      </c>
      <c r="C1452" t="s">
        <v>25</v>
      </c>
      <c r="D1452">
        <v>0</v>
      </c>
      <c r="E1452">
        <v>0</v>
      </c>
      <c r="F1452">
        <v>201.39</v>
      </c>
      <c r="G1452">
        <v>4060.125</v>
      </c>
      <c r="H1452">
        <v>1627.222</v>
      </c>
      <c r="I1452">
        <v>0</v>
      </c>
    </row>
    <row r="1453" spans="1:9" x14ac:dyDescent="0.25">
      <c r="A1453" t="s">
        <v>16</v>
      </c>
      <c r="B1453" t="s">
        <v>114</v>
      </c>
      <c r="C1453" t="s">
        <v>10</v>
      </c>
      <c r="D1453">
        <v>0</v>
      </c>
      <c r="E1453">
        <v>0</v>
      </c>
      <c r="F1453">
        <v>201.39</v>
      </c>
      <c r="G1453">
        <v>4060.125</v>
      </c>
      <c r="H1453">
        <v>2406.9650000000001</v>
      </c>
      <c r="I1453">
        <v>0</v>
      </c>
    </row>
    <row r="1454" spans="1:9" x14ac:dyDescent="0.25">
      <c r="A1454" t="s">
        <v>16</v>
      </c>
      <c r="B1454" t="s">
        <v>115</v>
      </c>
      <c r="C1454" t="s">
        <v>25</v>
      </c>
      <c r="D1454">
        <v>0</v>
      </c>
      <c r="E1454">
        <v>0</v>
      </c>
      <c r="F1454">
        <v>-201.39</v>
      </c>
      <c r="G1454">
        <v>-4060.125</v>
      </c>
      <c r="H1454">
        <v>-1627.222</v>
      </c>
      <c r="I1454">
        <v>0</v>
      </c>
    </row>
    <row r="1455" spans="1:9" x14ac:dyDescent="0.25">
      <c r="A1455" t="s">
        <v>16</v>
      </c>
      <c r="B1455" t="s">
        <v>115</v>
      </c>
      <c r="C1455" t="s">
        <v>10</v>
      </c>
      <c r="D1455">
        <v>0</v>
      </c>
      <c r="E1455">
        <v>0</v>
      </c>
      <c r="F1455">
        <v>-201.39</v>
      </c>
      <c r="G1455">
        <v>-4060.125</v>
      </c>
      <c r="H1455">
        <v>-2406.9650000000001</v>
      </c>
      <c r="I1455">
        <v>0</v>
      </c>
    </row>
    <row r="1456" spans="1:9" x14ac:dyDescent="0.25">
      <c r="A1456" t="s">
        <v>16</v>
      </c>
      <c r="B1456" t="s">
        <v>116</v>
      </c>
      <c r="C1456" t="s">
        <v>25</v>
      </c>
      <c r="D1456">
        <v>0</v>
      </c>
      <c r="E1456">
        <v>280.18</v>
      </c>
      <c r="F1456">
        <v>0</v>
      </c>
      <c r="G1456">
        <v>4905.9930000000004</v>
      </c>
      <c r="H1456">
        <v>0</v>
      </c>
      <c r="I1456">
        <v>2110.34</v>
      </c>
    </row>
    <row r="1457" spans="1:9" x14ac:dyDescent="0.25">
      <c r="A1457" t="s">
        <v>16</v>
      </c>
      <c r="B1457" t="s">
        <v>116</v>
      </c>
      <c r="C1457" t="s">
        <v>10</v>
      </c>
      <c r="D1457">
        <v>0</v>
      </c>
      <c r="E1457">
        <v>280.18</v>
      </c>
      <c r="F1457">
        <v>0</v>
      </c>
      <c r="G1457">
        <v>4905.9930000000004</v>
      </c>
      <c r="H1457">
        <v>0</v>
      </c>
      <c r="I1457">
        <v>3085.0610000000001</v>
      </c>
    </row>
    <row r="1458" spans="1:9" x14ac:dyDescent="0.25">
      <c r="A1458" t="s">
        <v>16</v>
      </c>
      <c r="B1458" t="s">
        <v>117</v>
      </c>
      <c r="C1458" t="s">
        <v>25</v>
      </c>
      <c r="D1458">
        <v>0</v>
      </c>
      <c r="E1458">
        <v>-280.18</v>
      </c>
      <c r="F1458">
        <v>0</v>
      </c>
      <c r="G1458">
        <v>-4905.9930000000004</v>
      </c>
      <c r="H1458">
        <v>0</v>
      </c>
      <c r="I1458">
        <v>-2110.34</v>
      </c>
    </row>
    <row r="1459" spans="1:9" x14ac:dyDescent="0.25">
      <c r="A1459" t="s">
        <v>16</v>
      </c>
      <c r="B1459" t="s">
        <v>117</v>
      </c>
      <c r="C1459" t="s">
        <v>10</v>
      </c>
      <c r="D1459">
        <v>0</v>
      </c>
      <c r="E1459">
        <v>-280.18</v>
      </c>
      <c r="F1459">
        <v>0</v>
      </c>
      <c r="G1459">
        <v>-4905.9930000000004</v>
      </c>
      <c r="H1459">
        <v>0</v>
      </c>
      <c r="I1459">
        <v>-3085.0610000000001</v>
      </c>
    </row>
    <row r="1460" spans="1:9" x14ac:dyDescent="0.25">
      <c r="A1460" t="s">
        <v>16</v>
      </c>
      <c r="B1460" t="s">
        <v>118</v>
      </c>
      <c r="C1460" t="s">
        <v>25</v>
      </c>
      <c r="D1460">
        <v>0</v>
      </c>
      <c r="E1460">
        <v>280.18</v>
      </c>
      <c r="F1460">
        <v>0</v>
      </c>
      <c r="G1460">
        <v>4905.9930000000004</v>
      </c>
      <c r="H1460">
        <v>0</v>
      </c>
      <c r="I1460">
        <v>2110.34</v>
      </c>
    </row>
    <row r="1461" spans="1:9" x14ac:dyDescent="0.25">
      <c r="A1461" t="s">
        <v>16</v>
      </c>
      <c r="B1461" t="s">
        <v>118</v>
      </c>
      <c r="C1461" t="s">
        <v>10</v>
      </c>
      <c r="D1461">
        <v>0</v>
      </c>
      <c r="E1461">
        <v>280.18</v>
      </c>
      <c r="F1461">
        <v>0</v>
      </c>
      <c r="G1461">
        <v>4905.9930000000004</v>
      </c>
      <c r="H1461">
        <v>0</v>
      </c>
      <c r="I1461">
        <v>3085.0610000000001</v>
      </c>
    </row>
    <row r="1462" spans="1:9" x14ac:dyDescent="0.25">
      <c r="A1462" t="s">
        <v>16</v>
      </c>
      <c r="B1462" t="s">
        <v>119</v>
      </c>
      <c r="C1462" t="s">
        <v>25</v>
      </c>
      <c r="D1462">
        <v>0</v>
      </c>
      <c r="E1462">
        <v>-280.18</v>
      </c>
      <c r="F1462">
        <v>0</v>
      </c>
      <c r="G1462">
        <v>-4905.9930000000004</v>
      </c>
      <c r="H1462">
        <v>0</v>
      </c>
      <c r="I1462">
        <v>-2110.34</v>
      </c>
    </row>
    <row r="1463" spans="1:9" x14ac:dyDescent="0.25">
      <c r="A1463" t="s">
        <v>16</v>
      </c>
      <c r="B1463" t="s">
        <v>119</v>
      </c>
      <c r="C1463" t="s">
        <v>10</v>
      </c>
      <c r="D1463">
        <v>0</v>
      </c>
      <c r="E1463">
        <v>-280.18</v>
      </c>
      <c r="F1463">
        <v>0</v>
      </c>
      <c r="G1463">
        <v>-4905.9930000000004</v>
      </c>
      <c r="H1463">
        <v>0</v>
      </c>
      <c r="I1463">
        <v>-3085.0610000000001</v>
      </c>
    </row>
    <row r="1464" spans="1:9" x14ac:dyDescent="0.25">
      <c r="A1464" t="s">
        <v>16</v>
      </c>
      <c r="B1464" t="s">
        <v>120</v>
      </c>
      <c r="C1464" t="s">
        <v>25</v>
      </c>
      <c r="D1464">
        <v>0</v>
      </c>
      <c r="E1464">
        <v>0</v>
      </c>
      <c r="F1464">
        <v>671.3</v>
      </c>
      <c r="G1464">
        <v>13533.749</v>
      </c>
      <c r="H1464">
        <v>5424.0720000000001</v>
      </c>
      <c r="I1464">
        <v>0</v>
      </c>
    </row>
    <row r="1465" spans="1:9" x14ac:dyDescent="0.25">
      <c r="A1465" t="s">
        <v>16</v>
      </c>
      <c r="B1465" t="s">
        <v>120</v>
      </c>
      <c r="C1465" t="s">
        <v>10</v>
      </c>
      <c r="D1465">
        <v>0</v>
      </c>
      <c r="E1465">
        <v>0</v>
      </c>
      <c r="F1465">
        <v>671.3</v>
      </c>
      <c r="G1465">
        <v>13533.749</v>
      </c>
      <c r="H1465">
        <v>8023.2150000000001</v>
      </c>
      <c r="I1465">
        <v>0</v>
      </c>
    </row>
    <row r="1466" spans="1:9" x14ac:dyDescent="0.25">
      <c r="A1466" t="s">
        <v>16</v>
      </c>
      <c r="B1466" t="s">
        <v>121</v>
      </c>
      <c r="C1466" t="s">
        <v>25</v>
      </c>
      <c r="D1466">
        <v>0</v>
      </c>
      <c r="E1466">
        <v>0</v>
      </c>
      <c r="F1466">
        <v>-671.3</v>
      </c>
      <c r="G1466">
        <v>-13533.749</v>
      </c>
      <c r="H1466">
        <v>-5424.0720000000001</v>
      </c>
      <c r="I1466">
        <v>0</v>
      </c>
    </row>
    <row r="1467" spans="1:9" x14ac:dyDescent="0.25">
      <c r="A1467" t="s">
        <v>16</v>
      </c>
      <c r="B1467" t="s">
        <v>121</v>
      </c>
      <c r="C1467" t="s">
        <v>10</v>
      </c>
      <c r="D1467">
        <v>0</v>
      </c>
      <c r="E1467">
        <v>0</v>
      </c>
      <c r="F1467">
        <v>-671.3</v>
      </c>
      <c r="G1467">
        <v>-13533.749</v>
      </c>
      <c r="H1467">
        <v>-8023.2150000000001</v>
      </c>
      <c r="I1467">
        <v>0</v>
      </c>
    </row>
    <row r="1468" spans="1:9" x14ac:dyDescent="0.25">
      <c r="A1468" t="s">
        <v>16</v>
      </c>
      <c r="B1468" t="s">
        <v>122</v>
      </c>
      <c r="C1468" t="s">
        <v>25</v>
      </c>
      <c r="D1468">
        <v>0</v>
      </c>
      <c r="E1468">
        <v>0</v>
      </c>
      <c r="F1468">
        <v>671.3</v>
      </c>
      <c r="G1468">
        <v>13533.749</v>
      </c>
      <c r="H1468">
        <v>5424.0720000000001</v>
      </c>
      <c r="I1468">
        <v>0</v>
      </c>
    </row>
    <row r="1469" spans="1:9" x14ac:dyDescent="0.25">
      <c r="A1469" t="s">
        <v>16</v>
      </c>
      <c r="B1469" t="s">
        <v>122</v>
      </c>
      <c r="C1469" t="s">
        <v>10</v>
      </c>
      <c r="D1469">
        <v>0</v>
      </c>
      <c r="E1469">
        <v>0</v>
      </c>
      <c r="F1469">
        <v>671.3</v>
      </c>
      <c r="G1469">
        <v>13533.749</v>
      </c>
      <c r="H1469">
        <v>8023.2150000000001</v>
      </c>
      <c r="I1469">
        <v>0</v>
      </c>
    </row>
    <row r="1470" spans="1:9" x14ac:dyDescent="0.25">
      <c r="A1470" t="s">
        <v>16</v>
      </c>
      <c r="B1470" t="s">
        <v>123</v>
      </c>
      <c r="C1470" t="s">
        <v>25</v>
      </c>
      <c r="D1470">
        <v>0</v>
      </c>
      <c r="E1470">
        <v>0</v>
      </c>
      <c r="F1470">
        <v>-671.3</v>
      </c>
      <c r="G1470">
        <v>-13533.749</v>
      </c>
      <c r="H1470">
        <v>-5424.0720000000001</v>
      </c>
      <c r="I1470">
        <v>0</v>
      </c>
    </row>
    <row r="1471" spans="1:9" x14ac:dyDescent="0.25">
      <c r="A1471" t="s">
        <v>16</v>
      </c>
      <c r="B1471" t="s">
        <v>123</v>
      </c>
      <c r="C1471" t="s">
        <v>10</v>
      </c>
      <c r="D1471">
        <v>0</v>
      </c>
      <c r="E1471">
        <v>0</v>
      </c>
      <c r="F1471">
        <v>-671.3</v>
      </c>
      <c r="G1471">
        <v>-13533.749</v>
      </c>
      <c r="H1471">
        <v>-8023.2150000000001</v>
      </c>
      <c r="I1471">
        <v>0</v>
      </c>
    </row>
    <row r="1472" spans="1:9" x14ac:dyDescent="0.25">
      <c r="A1472" t="s">
        <v>16</v>
      </c>
      <c r="B1472" t="s">
        <v>124</v>
      </c>
      <c r="C1472" t="s">
        <v>25</v>
      </c>
      <c r="D1472">
        <v>0</v>
      </c>
      <c r="E1472">
        <v>84.06</v>
      </c>
      <c r="F1472">
        <v>0</v>
      </c>
      <c r="G1472">
        <v>1471.798</v>
      </c>
      <c r="H1472">
        <v>0</v>
      </c>
      <c r="I1472">
        <v>633.10199999999998</v>
      </c>
    </row>
    <row r="1473" spans="1:9" x14ac:dyDescent="0.25">
      <c r="A1473" t="s">
        <v>16</v>
      </c>
      <c r="B1473" t="s">
        <v>124</v>
      </c>
      <c r="C1473" t="s">
        <v>10</v>
      </c>
      <c r="D1473">
        <v>0</v>
      </c>
      <c r="E1473">
        <v>84.06</v>
      </c>
      <c r="F1473">
        <v>0</v>
      </c>
      <c r="G1473">
        <v>1471.798</v>
      </c>
      <c r="H1473">
        <v>0</v>
      </c>
      <c r="I1473">
        <v>925.51800000000003</v>
      </c>
    </row>
    <row r="1474" spans="1:9" x14ac:dyDescent="0.25">
      <c r="A1474" t="s">
        <v>16</v>
      </c>
      <c r="B1474" t="s">
        <v>125</v>
      </c>
      <c r="C1474" t="s">
        <v>25</v>
      </c>
      <c r="D1474">
        <v>0</v>
      </c>
      <c r="E1474">
        <v>-84.06</v>
      </c>
      <c r="F1474">
        <v>0</v>
      </c>
      <c r="G1474">
        <v>-1471.798</v>
      </c>
      <c r="H1474">
        <v>0</v>
      </c>
      <c r="I1474">
        <v>-633.10199999999998</v>
      </c>
    </row>
    <row r="1475" spans="1:9" x14ac:dyDescent="0.25">
      <c r="A1475" t="s">
        <v>16</v>
      </c>
      <c r="B1475" t="s">
        <v>125</v>
      </c>
      <c r="C1475" t="s">
        <v>10</v>
      </c>
      <c r="D1475">
        <v>0</v>
      </c>
      <c r="E1475">
        <v>-84.06</v>
      </c>
      <c r="F1475">
        <v>0</v>
      </c>
      <c r="G1475">
        <v>-1471.798</v>
      </c>
      <c r="H1475">
        <v>0</v>
      </c>
      <c r="I1475">
        <v>-925.51800000000003</v>
      </c>
    </row>
    <row r="1476" spans="1:9" x14ac:dyDescent="0.25">
      <c r="A1476" t="s">
        <v>16</v>
      </c>
      <c r="B1476" t="s">
        <v>126</v>
      </c>
      <c r="C1476" t="s">
        <v>25</v>
      </c>
      <c r="D1476">
        <v>0</v>
      </c>
      <c r="E1476">
        <v>84.06</v>
      </c>
      <c r="F1476">
        <v>0</v>
      </c>
      <c r="G1476">
        <v>1471.798</v>
      </c>
      <c r="H1476">
        <v>0</v>
      </c>
      <c r="I1476">
        <v>633.10199999999998</v>
      </c>
    </row>
    <row r="1477" spans="1:9" x14ac:dyDescent="0.25">
      <c r="A1477" t="s">
        <v>16</v>
      </c>
      <c r="B1477" t="s">
        <v>126</v>
      </c>
      <c r="C1477" t="s">
        <v>10</v>
      </c>
      <c r="D1477">
        <v>0</v>
      </c>
      <c r="E1477">
        <v>84.06</v>
      </c>
      <c r="F1477">
        <v>0</v>
      </c>
      <c r="G1477">
        <v>1471.798</v>
      </c>
      <c r="H1477">
        <v>0</v>
      </c>
      <c r="I1477">
        <v>925.51800000000003</v>
      </c>
    </row>
    <row r="1478" spans="1:9" x14ac:dyDescent="0.25">
      <c r="A1478" t="s">
        <v>16</v>
      </c>
      <c r="B1478" t="s">
        <v>127</v>
      </c>
      <c r="C1478" t="s">
        <v>25</v>
      </c>
      <c r="D1478">
        <v>0</v>
      </c>
      <c r="E1478">
        <v>-84.06</v>
      </c>
      <c r="F1478">
        <v>0</v>
      </c>
      <c r="G1478">
        <v>-1471.798</v>
      </c>
      <c r="H1478">
        <v>0</v>
      </c>
      <c r="I1478">
        <v>-633.10199999999998</v>
      </c>
    </row>
    <row r="1479" spans="1:9" x14ac:dyDescent="0.25">
      <c r="A1479" t="s">
        <v>16</v>
      </c>
      <c r="B1479" t="s">
        <v>127</v>
      </c>
      <c r="C1479" t="s">
        <v>10</v>
      </c>
      <c r="D1479">
        <v>0</v>
      </c>
      <c r="E1479">
        <v>-84.06</v>
      </c>
      <c r="F1479">
        <v>0</v>
      </c>
      <c r="G1479">
        <v>-1471.798</v>
      </c>
      <c r="H1479">
        <v>0</v>
      </c>
      <c r="I1479">
        <v>-925.51800000000003</v>
      </c>
    </row>
    <row r="1480" spans="1:9" x14ac:dyDescent="0.25">
      <c r="A1480" t="s">
        <v>16</v>
      </c>
      <c r="B1480" t="s">
        <v>128</v>
      </c>
      <c r="C1480" t="s">
        <v>25</v>
      </c>
      <c r="D1480">
        <v>0</v>
      </c>
      <c r="E1480">
        <v>0</v>
      </c>
      <c r="F1480">
        <v>201.39</v>
      </c>
      <c r="G1480">
        <v>4060.125</v>
      </c>
      <c r="H1480">
        <v>1627.222</v>
      </c>
      <c r="I1480">
        <v>0</v>
      </c>
    </row>
    <row r="1481" spans="1:9" x14ac:dyDescent="0.25">
      <c r="A1481" t="s">
        <v>16</v>
      </c>
      <c r="B1481" t="s">
        <v>128</v>
      </c>
      <c r="C1481" t="s">
        <v>10</v>
      </c>
      <c r="D1481">
        <v>0</v>
      </c>
      <c r="E1481">
        <v>0</v>
      </c>
      <c r="F1481">
        <v>201.39</v>
      </c>
      <c r="G1481">
        <v>4060.125</v>
      </c>
      <c r="H1481">
        <v>2406.9650000000001</v>
      </c>
      <c r="I1481">
        <v>0</v>
      </c>
    </row>
    <row r="1482" spans="1:9" x14ac:dyDescent="0.25">
      <c r="A1482" t="s">
        <v>16</v>
      </c>
      <c r="B1482" t="s">
        <v>129</v>
      </c>
      <c r="C1482" t="s">
        <v>25</v>
      </c>
      <c r="D1482">
        <v>0</v>
      </c>
      <c r="E1482">
        <v>0</v>
      </c>
      <c r="F1482">
        <v>-201.39</v>
      </c>
      <c r="G1482">
        <v>-4060.125</v>
      </c>
      <c r="H1482">
        <v>-1627.222</v>
      </c>
      <c r="I1482">
        <v>0</v>
      </c>
    </row>
    <row r="1483" spans="1:9" x14ac:dyDescent="0.25">
      <c r="A1483" t="s">
        <v>16</v>
      </c>
      <c r="B1483" t="s">
        <v>129</v>
      </c>
      <c r="C1483" t="s">
        <v>10</v>
      </c>
      <c r="D1483">
        <v>0</v>
      </c>
      <c r="E1483">
        <v>0</v>
      </c>
      <c r="F1483">
        <v>-201.39</v>
      </c>
      <c r="G1483">
        <v>-4060.125</v>
      </c>
      <c r="H1483">
        <v>-2406.9650000000001</v>
      </c>
      <c r="I1483">
        <v>0</v>
      </c>
    </row>
    <row r="1484" spans="1:9" x14ac:dyDescent="0.25">
      <c r="A1484" t="s">
        <v>16</v>
      </c>
      <c r="B1484" t="s">
        <v>130</v>
      </c>
      <c r="C1484" t="s">
        <v>25</v>
      </c>
      <c r="D1484">
        <v>0</v>
      </c>
      <c r="E1484">
        <v>0</v>
      </c>
      <c r="F1484">
        <v>201.39</v>
      </c>
      <c r="G1484">
        <v>4060.125</v>
      </c>
      <c r="H1484">
        <v>1627.222</v>
      </c>
      <c r="I1484">
        <v>0</v>
      </c>
    </row>
    <row r="1485" spans="1:9" x14ac:dyDescent="0.25">
      <c r="A1485" t="s">
        <v>16</v>
      </c>
      <c r="B1485" t="s">
        <v>130</v>
      </c>
      <c r="C1485" t="s">
        <v>10</v>
      </c>
      <c r="D1485">
        <v>0</v>
      </c>
      <c r="E1485">
        <v>0</v>
      </c>
      <c r="F1485">
        <v>201.39</v>
      </c>
      <c r="G1485">
        <v>4060.125</v>
      </c>
      <c r="H1485">
        <v>2406.9650000000001</v>
      </c>
      <c r="I1485">
        <v>0</v>
      </c>
    </row>
    <row r="1486" spans="1:9" x14ac:dyDescent="0.25">
      <c r="A1486" t="s">
        <v>16</v>
      </c>
      <c r="B1486" t="s">
        <v>131</v>
      </c>
      <c r="C1486" t="s">
        <v>25</v>
      </c>
      <c r="D1486">
        <v>0</v>
      </c>
      <c r="E1486">
        <v>0</v>
      </c>
      <c r="F1486">
        <v>-201.39</v>
      </c>
      <c r="G1486">
        <v>-4060.125</v>
      </c>
      <c r="H1486">
        <v>-1627.222</v>
      </c>
      <c r="I1486">
        <v>0</v>
      </c>
    </row>
    <row r="1487" spans="1:9" x14ac:dyDescent="0.25">
      <c r="A1487" t="s">
        <v>16</v>
      </c>
      <c r="B1487" t="s">
        <v>131</v>
      </c>
      <c r="C1487" t="s">
        <v>10</v>
      </c>
      <c r="D1487">
        <v>0</v>
      </c>
      <c r="E1487">
        <v>0</v>
      </c>
      <c r="F1487">
        <v>-201.39</v>
      </c>
      <c r="G1487">
        <v>-4060.125</v>
      </c>
      <c r="H1487">
        <v>-2406.9650000000001</v>
      </c>
      <c r="I1487">
        <v>0</v>
      </c>
    </row>
    <row r="1488" spans="1:9" x14ac:dyDescent="0.25">
      <c r="A1488" t="s">
        <v>16</v>
      </c>
      <c r="B1488" t="s">
        <v>132</v>
      </c>
      <c r="C1488" t="s">
        <v>25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</row>
    <row r="1489" spans="1:9" x14ac:dyDescent="0.25">
      <c r="A1489" t="s">
        <v>16</v>
      </c>
      <c r="B1489" t="s">
        <v>132</v>
      </c>
      <c r="C1489" t="s">
        <v>10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</row>
    <row r="1490" spans="1:9" x14ac:dyDescent="0.25">
      <c r="A1490" t="s">
        <v>16</v>
      </c>
      <c r="B1490" t="s">
        <v>133</v>
      </c>
      <c r="C1490" t="s">
        <v>25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</row>
    <row r="1491" spans="1:9" x14ac:dyDescent="0.25">
      <c r="A1491" t="s">
        <v>16</v>
      </c>
      <c r="B1491" t="s">
        <v>133</v>
      </c>
      <c r="C1491" t="s">
        <v>10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</row>
    <row r="1492" spans="1:9" x14ac:dyDescent="0.25">
      <c r="A1492" t="s">
        <v>16</v>
      </c>
      <c r="B1492" t="s">
        <v>134</v>
      </c>
      <c r="C1492" t="s">
        <v>25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</row>
    <row r="1493" spans="1:9" x14ac:dyDescent="0.25">
      <c r="A1493" t="s">
        <v>16</v>
      </c>
      <c r="B1493" t="s">
        <v>134</v>
      </c>
      <c r="C1493" t="s">
        <v>10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</row>
    <row r="1494" spans="1:9" x14ac:dyDescent="0.25">
      <c r="A1494" t="s">
        <v>16</v>
      </c>
      <c r="B1494" t="s">
        <v>135</v>
      </c>
      <c r="C1494" t="s">
        <v>25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</row>
    <row r="1495" spans="1:9" x14ac:dyDescent="0.25">
      <c r="A1495" t="s">
        <v>16</v>
      </c>
      <c r="B1495" t="s">
        <v>135</v>
      </c>
      <c r="C1495" t="s">
        <v>10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</row>
    <row r="1496" spans="1:9" x14ac:dyDescent="0.25">
      <c r="A1496" t="s">
        <v>16</v>
      </c>
      <c r="B1496" t="s">
        <v>136</v>
      </c>
      <c r="C1496" t="s">
        <v>25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</row>
    <row r="1497" spans="1:9" x14ac:dyDescent="0.25">
      <c r="A1497" t="s">
        <v>16</v>
      </c>
      <c r="B1497" t="s">
        <v>136</v>
      </c>
      <c r="C1497" t="s">
        <v>10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</row>
    <row r="1498" spans="1:9" x14ac:dyDescent="0.25">
      <c r="A1498" t="s">
        <v>16</v>
      </c>
      <c r="B1498" t="s">
        <v>137</v>
      </c>
      <c r="C1498" t="s">
        <v>25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</row>
    <row r="1499" spans="1:9" x14ac:dyDescent="0.25">
      <c r="A1499" t="s">
        <v>16</v>
      </c>
      <c r="B1499" t="s">
        <v>137</v>
      </c>
      <c r="C1499" t="s">
        <v>10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</row>
    <row r="1500" spans="1:9" x14ac:dyDescent="0.25">
      <c r="A1500" t="s">
        <v>16</v>
      </c>
      <c r="B1500" t="s">
        <v>138</v>
      </c>
      <c r="C1500" t="s">
        <v>25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</row>
    <row r="1501" spans="1:9" x14ac:dyDescent="0.25">
      <c r="A1501" t="s">
        <v>16</v>
      </c>
      <c r="B1501" t="s">
        <v>138</v>
      </c>
      <c r="C1501" t="s">
        <v>10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</row>
    <row r="1502" spans="1:9" x14ac:dyDescent="0.25">
      <c r="A1502" t="s">
        <v>16</v>
      </c>
      <c r="B1502" t="s">
        <v>139</v>
      </c>
      <c r="C1502" t="s">
        <v>25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</row>
    <row r="1503" spans="1:9" x14ac:dyDescent="0.25">
      <c r="A1503" t="s">
        <v>16</v>
      </c>
      <c r="B1503" t="s">
        <v>139</v>
      </c>
      <c r="C1503" t="s">
        <v>10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</row>
    <row r="1504" spans="1:9" x14ac:dyDescent="0.25">
      <c r="A1504" t="s">
        <v>16</v>
      </c>
      <c r="B1504" t="s">
        <v>140</v>
      </c>
      <c r="C1504" t="s">
        <v>25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</row>
    <row r="1505" spans="1:9" x14ac:dyDescent="0.25">
      <c r="A1505" t="s">
        <v>16</v>
      </c>
      <c r="B1505" t="s">
        <v>140</v>
      </c>
      <c r="C1505" t="s">
        <v>10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</row>
    <row r="1506" spans="1:9" x14ac:dyDescent="0.25">
      <c r="A1506" t="s">
        <v>16</v>
      </c>
      <c r="B1506" t="s">
        <v>141</v>
      </c>
      <c r="C1506" t="s">
        <v>25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</row>
    <row r="1507" spans="1:9" x14ac:dyDescent="0.25">
      <c r="A1507" t="s">
        <v>16</v>
      </c>
      <c r="B1507" t="s">
        <v>141</v>
      </c>
      <c r="C1507" t="s">
        <v>10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</row>
    <row r="1508" spans="1:9" x14ac:dyDescent="0.25">
      <c r="A1508" t="s">
        <v>16</v>
      </c>
      <c r="B1508" t="s">
        <v>142</v>
      </c>
      <c r="C1508" t="s">
        <v>25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</row>
    <row r="1509" spans="1:9" x14ac:dyDescent="0.25">
      <c r="A1509" t="s">
        <v>16</v>
      </c>
      <c r="B1509" t="s">
        <v>142</v>
      </c>
      <c r="C1509" t="s">
        <v>10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</row>
    <row r="1510" spans="1:9" x14ac:dyDescent="0.25">
      <c r="A1510" t="s">
        <v>16</v>
      </c>
      <c r="B1510" t="s">
        <v>143</v>
      </c>
      <c r="C1510" t="s">
        <v>25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</row>
    <row r="1511" spans="1:9" x14ac:dyDescent="0.25">
      <c r="A1511" t="s">
        <v>16</v>
      </c>
      <c r="B1511" t="s">
        <v>143</v>
      </c>
      <c r="C1511" t="s">
        <v>10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</row>
    <row r="1512" spans="1:9" x14ac:dyDescent="0.25">
      <c r="A1512" t="s">
        <v>16</v>
      </c>
      <c r="B1512" t="s">
        <v>144</v>
      </c>
      <c r="C1512" t="s">
        <v>25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</row>
    <row r="1513" spans="1:9" x14ac:dyDescent="0.25">
      <c r="A1513" t="s">
        <v>16</v>
      </c>
      <c r="B1513" t="s">
        <v>144</v>
      </c>
      <c r="C1513" t="s">
        <v>10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</row>
    <row r="1514" spans="1:9" x14ac:dyDescent="0.25">
      <c r="A1514" t="s">
        <v>16</v>
      </c>
      <c r="B1514" t="s">
        <v>145</v>
      </c>
      <c r="C1514" t="s">
        <v>25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</row>
    <row r="1515" spans="1:9" x14ac:dyDescent="0.25">
      <c r="A1515" t="s">
        <v>16</v>
      </c>
      <c r="B1515" t="s">
        <v>145</v>
      </c>
      <c r="C1515" t="s">
        <v>10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</row>
    <row r="1516" spans="1:9" x14ac:dyDescent="0.25">
      <c r="A1516" t="s">
        <v>16</v>
      </c>
      <c r="B1516" t="s">
        <v>146</v>
      </c>
      <c r="C1516" t="s">
        <v>25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</row>
    <row r="1517" spans="1:9" x14ac:dyDescent="0.25">
      <c r="A1517" t="s">
        <v>16</v>
      </c>
      <c r="B1517" t="s">
        <v>146</v>
      </c>
      <c r="C1517" t="s">
        <v>10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</row>
    <row r="1518" spans="1:9" x14ac:dyDescent="0.25">
      <c r="A1518" t="s">
        <v>16</v>
      </c>
      <c r="B1518" t="s">
        <v>147</v>
      </c>
      <c r="C1518" t="s">
        <v>25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</row>
    <row r="1519" spans="1:9" x14ac:dyDescent="0.25">
      <c r="A1519" t="s">
        <v>16</v>
      </c>
      <c r="B1519" t="s">
        <v>147</v>
      </c>
      <c r="C1519" t="s">
        <v>10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</row>
    <row r="1520" spans="1:9" x14ac:dyDescent="0.25">
      <c r="A1520" t="s">
        <v>16</v>
      </c>
      <c r="B1520" t="s">
        <v>159</v>
      </c>
      <c r="C1520" t="s">
        <v>25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</row>
    <row r="1521" spans="1:9" x14ac:dyDescent="0.25">
      <c r="A1521" t="s">
        <v>16</v>
      </c>
      <c r="B1521" t="s">
        <v>159</v>
      </c>
      <c r="C1521" t="s">
        <v>10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</row>
    <row r="1522" spans="1:9" x14ac:dyDescent="0.25">
      <c r="A1522" t="s">
        <v>16</v>
      </c>
      <c r="B1522" t="s">
        <v>160</v>
      </c>
      <c r="C1522" t="s">
        <v>25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</row>
    <row r="1523" spans="1:9" x14ac:dyDescent="0.25">
      <c r="A1523" t="s">
        <v>16</v>
      </c>
      <c r="B1523" t="s">
        <v>160</v>
      </c>
      <c r="C1523" t="s">
        <v>10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</row>
    <row r="1524" spans="1:9" x14ac:dyDescent="0.25">
      <c r="A1524" t="s">
        <v>16</v>
      </c>
      <c r="B1524" t="s">
        <v>161</v>
      </c>
      <c r="C1524" t="s">
        <v>25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</row>
    <row r="1525" spans="1:9" x14ac:dyDescent="0.25">
      <c r="A1525" t="s">
        <v>16</v>
      </c>
      <c r="B1525" t="s">
        <v>161</v>
      </c>
      <c r="C1525" t="s">
        <v>10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</row>
    <row r="1526" spans="1:9" x14ac:dyDescent="0.25">
      <c r="A1526" t="s">
        <v>16</v>
      </c>
      <c r="B1526" t="s">
        <v>162</v>
      </c>
      <c r="C1526" t="s">
        <v>25</v>
      </c>
      <c r="D1526">
        <v>0</v>
      </c>
      <c r="E1526">
        <v>-632.94000000000005</v>
      </c>
      <c r="F1526">
        <v>0</v>
      </c>
      <c r="G1526">
        <v>10443.460999999999</v>
      </c>
      <c r="H1526">
        <v>0</v>
      </c>
      <c r="I1526">
        <v>-5063.4960000000001</v>
      </c>
    </row>
    <row r="1527" spans="1:9" x14ac:dyDescent="0.25">
      <c r="A1527" t="s">
        <v>16</v>
      </c>
      <c r="B1527" t="s">
        <v>162</v>
      </c>
      <c r="C1527" t="s">
        <v>10</v>
      </c>
      <c r="D1527">
        <v>0</v>
      </c>
      <c r="E1527">
        <v>-632.94000000000005</v>
      </c>
      <c r="F1527">
        <v>0</v>
      </c>
      <c r="G1527">
        <v>10443.460999999999</v>
      </c>
      <c r="H1527">
        <v>0</v>
      </c>
      <c r="I1527">
        <v>-7595.2439999999997</v>
      </c>
    </row>
    <row r="1528" spans="1:9" x14ac:dyDescent="0.25">
      <c r="A1528" t="s">
        <v>16</v>
      </c>
      <c r="B1528" t="s">
        <v>163</v>
      </c>
      <c r="C1528" t="s">
        <v>25</v>
      </c>
      <c r="D1528">
        <v>0</v>
      </c>
      <c r="E1528">
        <v>-632.94000000000005</v>
      </c>
      <c r="F1528">
        <v>0</v>
      </c>
      <c r="G1528">
        <v>8544.65</v>
      </c>
      <c r="H1528">
        <v>0</v>
      </c>
      <c r="I1528">
        <v>-5063.4960000000001</v>
      </c>
    </row>
    <row r="1529" spans="1:9" x14ac:dyDescent="0.25">
      <c r="A1529" t="s">
        <v>16</v>
      </c>
      <c r="B1529" t="s">
        <v>163</v>
      </c>
      <c r="C1529" t="s">
        <v>10</v>
      </c>
      <c r="D1529">
        <v>0</v>
      </c>
      <c r="E1529">
        <v>-632.94000000000005</v>
      </c>
      <c r="F1529">
        <v>0</v>
      </c>
      <c r="G1529">
        <v>8544.65</v>
      </c>
      <c r="H1529">
        <v>0</v>
      </c>
      <c r="I1529">
        <v>-7595.2439999999997</v>
      </c>
    </row>
    <row r="1530" spans="1:9" x14ac:dyDescent="0.25">
      <c r="A1530" t="s">
        <v>16</v>
      </c>
      <c r="B1530" t="s">
        <v>164</v>
      </c>
      <c r="C1530" t="s">
        <v>25</v>
      </c>
      <c r="D1530">
        <v>0</v>
      </c>
      <c r="E1530">
        <v>632.94000000000005</v>
      </c>
      <c r="F1530">
        <v>0</v>
      </c>
      <c r="G1530">
        <v>-10443.460999999999</v>
      </c>
      <c r="H1530">
        <v>0</v>
      </c>
      <c r="I1530">
        <v>5063.4960000000001</v>
      </c>
    </row>
    <row r="1531" spans="1:9" x14ac:dyDescent="0.25">
      <c r="A1531" t="s">
        <v>16</v>
      </c>
      <c r="B1531" t="s">
        <v>164</v>
      </c>
      <c r="C1531" t="s">
        <v>10</v>
      </c>
      <c r="D1531">
        <v>0</v>
      </c>
      <c r="E1531">
        <v>632.94000000000005</v>
      </c>
      <c r="F1531">
        <v>0</v>
      </c>
      <c r="G1531">
        <v>-10443.460999999999</v>
      </c>
      <c r="H1531">
        <v>0</v>
      </c>
      <c r="I1531">
        <v>7595.2439999999997</v>
      </c>
    </row>
    <row r="1532" spans="1:9" x14ac:dyDescent="0.25">
      <c r="A1532" t="s">
        <v>16</v>
      </c>
      <c r="B1532" t="s">
        <v>165</v>
      </c>
      <c r="C1532" t="s">
        <v>25</v>
      </c>
      <c r="D1532">
        <v>0</v>
      </c>
      <c r="E1532">
        <v>632.94000000000005</v>
      </c>
      <c r="F1532">
        <v>0</v>
      </c>
      <c r="G1532">
        <v>-8544.65</v>
      </c>
      <c r="H1532">
        <v>0</v>
      </c>
      <c r="I1532">
        <v>5063.4960000000001</v>
      </c>
    </row>
    <row r="1533" spans="1:9" x14ac:dyDescent="0.25">
      <c r="A1533" t="s">
        <v>16</v>
      </c>
      <c r="B1533" t="s">
        <v>165</v>
      </c>
      <c r="C1533" t="s">
        <v>10</v>
      </c>
      <c r="D1533">
        <v>0</v>
      </c>
      <c r="E1533">
        <v>632.94000000000005</v>
      </c>
      <c r="F1533">
        <v>0</v>
      </c>
      <c r="G1533">
        <v>-8544.65</v>
      </c>
      <c r="H1533">
        <v>0</v>
      </c>
      <c r="I1533">
        <v>7595.2439999999997</v>
      </c>
    </row>
    <row r="1534" spans="1:9" x14ac:dyDescent="0.25">
      <c r="A1534" t="s">
        <v>16</v>
      </c>
      <c r="B1534" t="s">
        <v>166</v>
      </c>
      <c r="C1534" t="s">
        <v>25</v>
      </c>
      <c r="D1534">
        <v>0</v>
      </c>
      <c r="E1534">
        <v>0</v>
      </c>
      <c r="F1534">
        <v>-765.07</v>
      </c>
      <c r="G1534">
        <v>-15148.319</v>
      </c>
      <c r="H1534">
        <v>6120.5330000000004</v>
      </c>
      <c r="I1534">
        <v>0</v>
      </c>
    </row>
    <row r="1535" spans="1:9" x14ac:dyDescent="0.25">
      <c r="A1535" t="s">
        <v>16</v>
      </c>
      <c r="B1535" t="s">
        <v>166</v>
      </c>
      <c r="C1535" t="s">
        <v>10</v>
      </c>
      <c r="D1535">
        <v>0</v>
      </c>
      <c r="E1535">
        <v>0</v>
      </c>
      <c r="F1535">
        <v>-765.07</v>
      </c>
      <c r="G1535">
        <v>-15148.319</v>
      </c>
      <c r="H1535">
        <v>9180.7999999999993</v>
      </c>
      <c r="I1535">
        <v>0</v>
      </c>
    </row>
    <row r="1536" spans="1:9" x14ac:dyDescent="0.25">
      <c r="A1536" t="s">
        <v>16</v>
      </c>
      <c r="B1536" t="s">
        <v>167</v>
      </c>
      <c r="C1536" t="s">
        <v>25</v>
      </c>
      <c r="D1536">
        <v>0</v>
      </c>
      <c r="E1536">
        <v>0</v>
      </c>
      <c r="F1536">
        <v>-765.07</v>
      </c>
      <c r="G1536">
        <v>-12394.08</v>
      </c>
      <c r="H1536">
        <v>6120.5330000000004</v>
      </c>
      <c r="I1536">
        <v>0</v>
      </c>
    </row>
    <row r="1537" spans="1:9" x14ac:dyDescent="0.25">
      <c r="A1537" t="s">
        <v>16</v>
      </c>
      <c r="B1537" t="s">
        <v>167</v>
      </c>
      <c r="C1537" t="s">
        <v>10</v>
      </c>
      <c r="D1537">
        <v>0</v>
      </c>
      <c r="E1537">
        <v>0</v>
      </c>
      <c r="F1537">
        <v>-765.07</v>
      </c>
      <c r="G1537">
        <v>-12394.08</v>
      </c>
      <c r="H1537">
        <v>9180.7999999999993</v>
      </c>
      <c r="I1537">
        <v>0</v>
      </c>
    </row>
    <row r="1538" spans="1:9" x14ac:dyDescent="0.25">
      <c r="A1538" t="s">
        <v>16</v>
      </c>
      <c r="B1538" t="s">
        <v>168</v>
      </c>
      <c r="C1538" t="s">
        <v>25</v>
      </c>
      <c r="D1538">
        <v>0</v>
      </c>
      <c r="E1538">
        <v>0</v>
      </c>
      <c r="F1538">
        <v>765.07</v>
      </c>
      <c r="G1538">
        <v>15148.319</v>
      </c>
      <c r="H1538">
        <v>-6120.5330000000004</v>
      </c>
      <c r="I1538">
        <v>0</v>
      </c>
    </row>
    <row r="1539" spans="1:9" x14ac:dyDescent="0.25">
      <c r="A1539" t="s">
        <v>16</v>
      </c>
      <c r="B1539" t="s">
        <v>168</v>
      </c>
      <c r="C1539" t="s">
        <v>10</v>
      </c>
      <c r="D1539">
        <v>0</v>
      </c>
      <c r="E1539">
        <v>0</v>
      </c>
      <c r="F1539">
        <v>765.07</v>
      </c>
      <c r="G1539">
        <v>15148.319</v>
      </c>
      <c r="H1539">
        <v>-9180.7999999999993</v>
      </c>
      <c r="I1539">
        <v>0</v>
      </c>
    </row>
    <row r="1540" spans="1:9" x14ac:dyDescent="0.25">
      <c r="A1540" t="s">
        <v>16</v>
      </c>
      <c r="B1540" t="s">
        <v>169</v>
      </c>
      <c r="C1540" t="s">
        <v>25</v>
      </c>
      <c r="D1540">
        <v>0</v>
      </c>
      <c r="E1540">
        <v>0</v>
      </c>
      <c r="F1540">
        <v>765.07</v>
      </c>
      <c r="G1540">
        <v>12394.08</v>
      </c>
      <c r="H1540">
        <v>-6120.5330000000004</v>
      </c>
      <c r="I1540">
        <v>0</v>
      </c>
    </row>
    <row r="1541" spans="1:9" x14ac:dyDescent="0.25">
      <c r="A1541" t="s">
        <v>16</v>
      </c>
      <c r="B1541" t="s">
        <v>169</v>
      </c>
      <c r="C1541" t="s">
        <v>10</v>
      </c>
      <c r="D1541">
        <v>0</v>
      </c>
      <c r="E1541">
        <v>0</v>
      </c>
      <c r="F1541">
        <v>765.07</v>
      </c>
      <c r="G1541">
        <v>12394.08</v>
      </c>
      <c r="H1541">
        <v>-9180.7999999999993</v>
      </c>
      <c r="I1541">
        <v>0</v>
      </c>
    </row>
    <row r="1542" spans="1:9" x14ac:dyDescent="0.25">
      <c r="A1542" t="s">
        <v>16</v>
      </c>
      <c r="B1542" t="s">
        <v>170</v>
      </c>
      <c r="C1542" t="s">
        <v>25</v>
      </c>
      <c r="D1542">
        <v>0</v>
      </c>
      <c r="E1542">
        <v>-632.94000000000005</v>
      </c>
      <c r="F1542">
        <v>0</v>
      </c>
      <c r="G1542">
        <v>10443.460999999999</v>
      </c>
      <c r="H1542">
        <v>0</v>
      </c>
      <c r="I1542">
        <v>-5063.4960000000001</v>
      </c>
    </row>
    <row r="1543" spans="1:9" x14ac:dyDescent="0.25">
      <c r="A1543" t="s">
        <v>16</v>
      </c>
      <c r="B1543" t="s">
        <v>170</v>
      </c>
      <c r="C1543" t="s">
        <v>10</v>
      </c>
      <c r="D1543">
        <v>0</v>
      </c>
      <c r="E1543">
        <v>-632.94000000000005</v>
      </c>
      <c r="F1543">
        <v>0</v>
      </c>
      <c r="G1543">
        <v>10443.460999999999</v>
      </c>
      <c r="H1543">
        <v>0</v>
      </c>
      <c r="I1543">
        <v>-7595.2439999999997</v>
      </c>
    </row>
    <row r="1544" spans="1:9" x14ac:dyDescent="0.25">
      <c r="A1544" t="s">
        <v>16</v>
      </c>
      <c r="B1544" t="s">
        <v>171</v>
      </c>
      <c r="C1544" t="s">
        <v>25</v>
      </c>
      <c r="D1544">
        <v>0</v>
      </c>
      <c r="E1544">
        <v>-632.94000000000005</v>
      </c>
      <c r="F1544">
        <v>0</v>
      </c>
      <c r="G1544">
        <v>8544.65</v>
      </c>
      <c r="H1544">
        <v>0</v>
      </c>
      <c r="I1544">
        <v>-5063.4960000000001</v>
      </c>
    </row>
    <row r="1545" spans="1:9" x14ac:dyDescent="0.25">
      <c r="A1545" t="s">
        <v>16</v>
      </c>
      <c r="B1545" t="s">
        <v>171</v>
      </c>
      <c r="C1545" t="s">
        <v>10</v>
      </c>
      <c r="D1545">
        <v>0</v>
      </c>
      <c r="E1545">
        <v>-632.94000000000005</v>
      </c>
      <c r="F1545">
        <v>0</v>
      </c>
      <c r="G1545">
        <v>8544.65</v>
      </c>
      <c r="H1545">
        <v>0</v>
      </c>
      <c r="I1545">
        <v>-7595.2439999999997</v>
      </c>
    </row>
    <row r="1546" spans="1:9" x14ac:dyDescent="0.25">
      <c r="A1546" t="s">
        <v>16</v>
      </c>
      <c r="B1546" t="s">
        <v>172</v>
      </c>
      <c r="C1546" t="s">
        <v>25</v>
      </c>
      <c r="D1546">
        <v>0</v>
      </c>
      <c r="E1546">
        <v>632.94000000000005</v>
      </c>
      <c r="F1546">
        <v>0</v>
      </c>
      <c r="G1546">
        <v>-10443.460999999999</v>
      </c>
      <c r="H1546">
        <v>0</v>
      </c>
      <c r="I1546">
        <v>5063.4960000000001</v>
      </c>
    </row>
    <row r="1547" spans="1:9" x14ac:dyDescent="0.25">
      <c r="A1547" t="s">
        <v>16</v>
      </c>
      <c r="B1547" t="s">
        <v>172</v>
      </c>
      <c r="C1547" t="s">
        <v>10</v>
      </c>
      <c r="D1547">
        <v>0</v>
      </c>
      <c r="E1547">
        <v>632.94000000000005</v>
      </c>
      <c r="F1547">
        <v>0</v>
      </c>
      <c r="G1547">
        <v>-10443.460999999999</v>
      </c>
      <c r="H1547">
        <v>0</v>
      </c>
      <c r="I1547">
        <v>7595.2439999999997</v>
      </c>
    </row>
    <row r="1548" spans="1:9" x14ac:dyDescent="0.25">
      <c r="A1548" t="s">
        <v>16</v>
      </c>
      <c r="B1548" t="s">
        <v>173</v>
      </c>
      <c r="C1548" t="s">
        <v>25</v>
      </c>
      <c r="D1548">
        <v>0</v>
      </c>
      <c r="E1548">
        <v>632.94000000000005</v>
      </c>
      <c r="F1548">
        <v>0</v>
      </c>
      <c r="G1548">
        <v>-8544.65</v>
      </c>
      <c r="H1548">
        <v>0</v>
      </c>
      <c r="I1548">
        <v>5063.4960000000001</v>
      </c>
    </row>
    <row r="1549" spans="1:9" x14ac:dyDescent="0.25">
      <c r="A1549" t="s">
        <v>16</v>
      </c>
      <c r="B1549" t="s">
        <v>173</v>
      </c>
      <c r="C1549" t="s">
        <v>10</v>
      </c>
      <c r="D1549">
        <v>0</v>
      </c>
      <c r="E1549">
        <v>632.94000000000005</v>
      </c>
      <c r="F1549">
        <v>0</v>
      </c>
      <c r="G1549">
        <v>-8544.65</v>
      </c>
      <c r="H1549">
        <v>0</v>
      </c>
      <c r="I1549">
        <v>7595.2439999999997</v>
      </c>
    </row>
    <row r="1550" spans="1:9" x14ac:dyDescent="0.25">
      <c r="A1550" t="s">
        <v>16</v>
      </c>
      <c r="B1550" t="s">
        <v>174</v>
      </c>
      <c r="C1550" t="s">
        <v>25</v>
      </c>
      <c r="D1550">
        <v>0</v>
      </c>
      <c r="E1550">
        <v>0</v>
      </c>
      <c r="F1550">
        <v>-765.07</v>
      </c>
      <c r="G1550">
        <v>-15148.319</v>
      </c>
      <c r="H1550">
        <v>6120.5330000000004</v>
      </c>
      <c r="I1550">
        <v>0</v>
      </c>
    </row>
    <row r="1551" spans="1:9" x14ac:dyDescent="0.25">
      <c r="A1551" t="s">
        <v>16</v>
      </c>
      <c r="B1551" t="s">
        <v>174</v>
      </c>
      <c r="C1551" t="s">
        <v>10</v>
      </c>
      <c r="D1551">
        <v>0</v>
      </c>
      <c r="E1551">
        <v>0</v>
      </c>
      <c r="F1551">
        <v>-765.07</v>
      </c>
      <c r="G1551">
        <v>-15148.319</v>
      </c>
      <c r="H1551">
        <v>9180.7999999999993</v>
      </c>
      <c r="I1551">
        <v>0</v>
      </c>
    </row>
    <row r="1552" spans="1:9" x14ac:dyDescent="0.25">
      <c r="A1552" t="s">
        <v>16</v>
      </c>
      <c r="B1552" t="s">
        <v>175</v>
      </c>
      <c r="C1552" t="s">
        <v>25</v>
      </c>
      <c r="D1552">
        <v>0</v>
      </c>
      <c r="E1552">
        <v>0</v>
      </c>
      <c r="F1552">
        <v>-765.07</v>
      </c>
      <c r="G1552">
        <v>-12394.08</v>
      </c>
      <c r="H1552">
        <v>6120.5330000000004</v>
      </c>
      <c r="I1552">
        <v>0</v>
      </c>
    </row>
    <row r="1553" spans="1:9" x14ac:dyDescent="0.25">
      <c r="A1553" t="s">
        <v>16</v>
      </c>
      <c r="B1553" t="s">
        <v>175</v>
      </c>
      <c r="C1553" t="s">
        <v>10</v>
      </c>
      <c r="D1553">
        <v>0</v>
      </c>
      <c r="E1553">
        <v>0</v>
      </c>
      <c r="F1553">
        <v>-765.07</v>
      </c>
      <c r="G1553">
        <v>-12394.08</v>
      </c>
      <c r="H1553">
        <v>9180.7999999999993</v>
      </c>
      <c r="I1553">
        <v>0</v>
      </c>
    </row>
    <row r="1554" spans="1:9" x14ac:dyDescent="0.25">
      <c r="A1554" t="s">
        <v>16</v>
      </c>
      <c r="B1554" t="s">
        <v>176</v>
      </c>
      <c r="C1554" t="s">
        <v>25</v>
      </c>
      <c r="D1554">
        <v>0</v>
      </c>
      <c r="E1554">
        <v>0</v>
      </c>
      <c r="F1554">
        <v>765.07</v>
      </c>
      <c r="G1554">
        <v>15148.319</v>
      </c>
      <c r="H1554">
        <v>-6120.5330000000004</v>
      </c>
      <c r="I1554">
        <v>0</v>
      </c>
    </row>
    <row r="1555" spans="1:9" x14ac:dyDescent="0.25">
      <c r="A1555" t="s">
        <v>16</v>
      </c>
      <c r="B1555" t="s">
        <v>176</v>
      </c>
      <c r="C1555" t="s">
        <v>10</v>
      </c>
      <c r="D1555">
        <v>0</v>
      </c>
      <c r="E1555">
        <v>0</v>
      </c>
      <c r="F1555">
        <v>765.07</v>
      </c>
      <c r="G1555">
        <v>15148.319</v>
      </c>
      <c r="H1555">
        <v>-9180.7999999999993</v>
      </c>
      <c r="I1555">
        <v>0</v>
      </c>
    </row>
    <row r="1556" spans="1:9" x14ac:dyDescent="0.25">
      <c r="A1556" t="s">
        <v>16</v>
      </c>
      <c r="B1556" t="s">
        <v>177</v>
      </c>
      <c r="C1556" t="s">
        <v>25</v>
      </c>
      <c r="D1556">
        <v>0</v>
      </c>
      <c r="E1556">
        <v>0</v>
      </c>
      <c r="F1556">
        <v>765.07</v>
      </c>
      <c r="G1556">
        <v>12394.08</v>
      </c>
      <c r="H1556">
        <v>-6120.5330000000004</v>
      </c>
      <c r="I1556">
        <v>0</v>
      </c>
    </row>
    <row r="1557" spans="1:9" x14ac:dyDescent="0.25">
      <c r="A1557" t="s">
        <v>16</v>
      </c>
      <c r="B1557" t="s">
        <v>177</v>
      </c>
      <c r="C1557" t="s">
        <v>10</v>
      </c>
      <c r="D1557">
        <v>0</v>
      </c>
      <c r="E1557">
        <v>0</v>
      </c>
      <c r="F1557">
        <v>765.07</v>
      </c>
      <c r="G1557">
        <v>12394.08</v>
      </c>
      <c r="H1557">
        <v>-9180.7999999999993</v>
      </c>
      <c r="I1557">
        <v>0</v>
      </c>
    </row>
    <row r="1558" spans="1:9" x14ac:dyDescent="0.25">
      <c r="A1558" t="s">
        <v>16</v>
      </c>
      <c r="B1558" t="s">
        <v>178</v>
      </c>
      <c r="C1558" t="s">
        <v>25</v>
      </c>
      <c r="D1558">
        <v>0</v>
      </c>
      <c r="E1558">
        <v>-189.88</v>
      </c>
      <c r="F1558">
        <v>0</v>
      </c>
      <c r="G1558">
        <v>3133.038</v>
      </c>
      <c r="H1558">
        <v>0</v>
      </c>
      <c r="I1558">
        <v>-1519.049</v>
      </c>
    </row>
    <row r="1559" spans="1:9" x14ac:dyDescent="0.25">
      <c r="A1559" t="s">
        <v>16</v>
      </c>
      <c r="B1559" t="s">
        <v>178</v>
      </c>
      <c r="C1559" t="s">
        <v>10</v>
      </c>
      <c r="D1559">
        <v>0</v>
      </c>
      <c r="E1559">
        <v>-189.88</v>
      </c>
      <c r="F1559">
        <v>0</v>
      </c>
      <c r="G1559">
        <v>3133.038</v>
      </c>
      <c r="H1559">
        <v>0</v>
      </c>
      <c r="I1559">
        <v>-2278.5729999999999</v>
      </c>
    </row>
    <row r="1560" spans="1:9" x14ac:dyDescent="0.25">
      <c r="A1560" t="s">
        <v>16</v>
      </c>
      <c r="B1560" t="s">
        <v>179</v>
      </c>
      <c r="C1560" t="s">
        <v>25</v>
      </c>
      <c r="D1560">
        <v>0</v>
      </c>
      <c r="E1560">
        <v>-189.88</v>
      </c>
      <c r="F1560">
        <v>0</v>
      </c>
      <c r="G1560">
        <v>2563.395</v>
      </c>
      <c r="H1560">
        <v>0</v>
      </c>
      <c r="I1560">
        <v>-1519.049</v>
      </c>
    </row>
    <row r="1561" spans="1:9" x14ac:dyDescent="0.25">
      <c r="A1561" t="s">
        <v>16</v>
      </c>
      <c r="B1561" t="s">
        <v>179</v>
      </c>
      <c r="C1561" t="s">
        <v>10</v>
      </c>
      <c r="D1561">
        <v>0</v>
      </c>
      <c r="E1561">
        <v>-189.88</v>
      </c>
      <c r="F1561">
        <v>0</v>
      </c>
      <c r="G1561">
        <v>2563.395</v>
      </c>
      <c r="H1561">
        <v>0</v>
      </c>
      <c r="I1561">
        <v>-2278.5729999999999</v>
      </c>
    </row>
    <row r="1562" spans="1:9" x14ac:dyDescent="0.25">
      <c r="A1562" t="s">
        <v>16</v>
      </c>
      <c r="B1562" t="s">
        <v>180</v>
      </c>
      <c r="C1562" t="s">
        <v>25</v>
      </c>
      <c r="D1562">
        <v>0</v>
      </c>
      <c r="E1562">
        <v>189.88</v>
      </c>
      <c r="F1562">
        <v>0</v>
      </c>
      <c r="G1562">
        <v>-3133.038</v>
      </c>
      <c r="H1562">
        <v>0</v>
      </c>
      <c r="I1562">
        <v>1519.049</v>
      </c>
    </row>
    <row r="1563" spans="1:9" x14ac:dyDescent="0.25">
      <c r="A1563" t="s">
        <v>16</v>
      </c>
      <c r="B1563" t="s">
        <v>180</v>
      </c>
      <c r="C1563" t="s">
        <v>10</v>
      </c>
      <c r="D1563">
        <v>0</v>
      </c>
      <c r="E1563">
        <v>189.88</v>
      </c>
      <c r="F1563">
        <v>0</v>
      </c>
      <c r="G1563">
        <v>-3133.038</v>
      </c>
      <c r="H1563">
        <v>0</v>
      </c>
      <c r="I1563">
        <v>2278.5729999999999</v>
      </c>
    </row>
    <row r="1564" spans="1:9" x14ac:dyDescent="0.25">
      <c r="A1564" t="s">
        <v>16</v>
      </c>
      <c r="B1564" t="s">
        <v>181</v>
      </c>
      <c r="C1564" t="s">
        <v>25</v>
      </c>
      <c r="D1564">
        <v>0</v>
      </c>
      <c r="E1564">
        <v>189.88</v>
      </c>
      <c r="F1564">
        <v>0</v>
      </c>
      <c r="G1564">
        <v>-2563.395</v>
      </c>
      <c r="H1564">
        <v>0</v>
      </c>
      <c r="I1564">
        <v>1519.049</v>
      </c>
    </row>
    <row r="1565" spans="1:9" x14ac:dyDescent="0.25">
      <c r="A1565" t="s">
        <v>16</v>
      </c>
      <c r="B1565" t="s">
        <v>181</v>
      </c>
      <c r="C1565" t="s">
        <v>10</v>
      </c>
      <c r="D1565">
        <v>0</v>
      </c>
      <c r="E1565">
        <v>189.88</v>
      </c>
      <c r="F1565">
        <v>0</v>
      </c>
      <c r="G1565">
        <v>-2563.395</v>
      </c>
      <c r="H1565">
        <v>0</v>
      </c>
      <c r="I1565">
        <v>2278.5729999999999</v>
      </c>
    </row>
    <row r="1566" spans="1:9" x14ac:dyDescent="0.25">
      <c r="A1566" t="s">
        <v>16</v>
      </c>
      <c r="B1566" t="s">
        <v>182</v>
      </c>
      <c r="C1566" t="s">
        <v>25</v>
      </c>
      <c r="D1566">
        <v>0</v>
      </c>
      <c r="E1566">
        <v>0</v>
      </c>
      <c r="F1566">
        <v>-229.52</v>
      </c>
      <c r="G1566">
        <v>-4544.4960000000001</v>
      </c>
      <c r="H1566">
        <v>1836.16</v>
      </c>
      <c r="I1566">
        <v>0</v>
      </c>
    </row>
    <row r="1567" spans="1:9" x14ac:dyDescent="0.25">
      <c r="A1567" t="s">
        <v>16</v>
      </c>
      <c r="B1567" t="s">
        <v>182</v>
      </c>
      <c r="C1567" t="s">
        <v>10</v>
      </c>
      <c r="D1567">
        <v>0</v>
      </c>
      <c r="E1567">
        <v>0</v>
      </c>
      <c r="F1567">
        <v>-229.52</v>
      </c>
      <c r="G1567">
        <v>-4544.4960000000001</v>
      </c>
      <c r="H1567">
        <v>2754.24</v>
      </c>
      <c r="I1567">
        <v>0</v>
      </c>
    </row>
    <row r="1568" spans="1:9" x14ac:dyDescent="0.25">
      <c r="A1568" t="s">
        <v>16</v>
      </c>
      <c r="B1568" t="s">
        <v>183</v>
      </c>
      <c r="C1568" t="s">
        <v>25</v>
      </c>
      <c r="D1568">
        <v>0</v>
      </c>
      <c r="E1568">
        <v>0</v>
      </c>
      <c r="F1568">
        <v>-229.52</v>
      </c>
      <c r="G1568">
        <v>-3718.2240000000002</v>
      </c>
      <c r="H1568">
        <v>1836.16</v>
      </c>
      <c r="I1568">
        <v>0</v>
      </c>
    </row>
    <row r="1569" spans="1:9" x14ac:dyDescent="0.25">
      <c r="A1569" t="s">
        <v>16</v>
      </c>
      <c r="B1569" t="s">
        <v>183</v>
      </c>
      <c r="C1569" t="s">
        <v>10</v>
      </c>
      <c r="D1569">
        <v>0</v>
      </c>
      <c r="E1569">
        <v>0</v>
      </c>
      <c r="F1569">
        <v>-229.52</v>
      </c>
      <c r="G1569">
        <v>-3718.2240000000002</v>
      </c>
      <c r="H1569">
        <v>2754.24</v>
      </c>
      <c r="I1569">
        <v>0</v>
      </c>
    </row>
    <row r="1570" spans="1:9" x14ac:dyDescent="0.25">
      <c r="A1570" t="s">
        <v>16</v>
      </c>
      <c r="B1570" t="s">
        <v>184</v>
      </c>
      <c r="C1570" t="s">
        <v>25</v>
      </c>
      <c r="D1570">
        <v>0</v>
      </c>
      <c r="E1570">
        <v>0</v>
      </c>
      <c r="F1570">
        <v>229.52</v>
      </c>
      <c r="G1570">
        <v>4544.4960000000001</v>
      </c>
      <c r="H1570">
        <v>-1836.16</v>
      </c>
      <c r="I1570">
        <v>0</v>
      </c>
    </row>
    <row r="1571" spans="1:9" x14ac:dyDescent="0.25">
      <c r="A1571" t="s">
        <v>16</v>
      </c>
      <c r="B1571" t="s">
        <v>184</v>
      </c>
      <c r="C1571" t="s">
        <v>10</v>
      </c>
      <c r="D1571">
        <v>0</v>
      </c>
      <c r="E1571">
        <v>0</v>
      </c>
      <c r="F1571">
        <v>229.52</v>
      </c>
      <c r="G1571">
        <v>4544.4960000000001</v>
      </c>
      <c r="H1571">
        <v>-2754.24</v>
      </c>
      <c r="I1571">
        <v>0</v>
      </c>
    </row>
    <row r="1572" spans="1:9" x14ac:dyDescent="0.25">
      <c r="A1572" t="s">
        <v>16</v>
      </c>
      <c r="B1572" t="s">
        <v>185</v>
      </c>
      <c r="C1572" t="s">
        <v>25</v>
      </c>
      <c r="D1572">
        <v>0</v>
      </c>
      <c r="E1572">
        <v>0</v>
      </c>
      <c r="F1572">
        <v>229.52</v>
      </c>
      <c r="G1572">
        <v>3718.2240000000002</v>
      </c>
      <c r="H1572">
        <v>-1836.16</v>
      </c>
      <c r="I1572">
        <v>0</v>
      </c>
    </row>
    <row r="1573" spans="1:9" x14ac:dyDescent="0.25">
      <c r="A1573" t="s">
        <v>16</v>
      </c>
      <c r="B1573" t="s">
        <v>185</v>
      </c>
      <c r="C1573" t="s">
        <v>10</v>
      </c>
      <c r="D1573">
        <v>0</v>
      </c>
      <c r="E1573">
        <v>0</v>
      </c>
      <c r="F1573">
        <v>229.52</v>
      </c>
      <c r="G1573">
        <v>3718.2240000000002</v>
      </c>
      <c r="H1573">
        <v>-2754.24</v>
      </c>
      <c r="I1573">
        <v>0</v>
      </c>
    </row>
    <row r="1574" spans="1:9" x14ac:dyDescent="0.25">
      <c r="A1574" t="s">
        <v>16</v>
      </c>
      <c r="B1574" t="s">
        <v>186</v>
      </c>
      <c r="C1574" t="s">
        <v>25</v>
      </c>
      <c r="D1574">
        <v>0</v>
      </c>
      <c r="E1574">
        <v>-189.88</v>
      </c>
      <c r="F1574">
        <v>0</v>
      </c>
      <c r="G1574">
        <v>3133.038</v>
      </c>
      <c r="H1574">
        <v>0</v>
      </c>
      <c r="I1574">
        <v>-1519.049</v>
      </c>
    </row>
    <row r="1575" spans="1:9" x14ac:dyDescent="0.25">
      <c r="A1575" t="s">
        <v>16</v>
      </c>
      <c r="B1575" t="s">
        <v>186</v>
      </c>
      <c r="C1575" t="s">
        <v>10</v>
      </c>
      <c r="D1575">
        <v>0</v>
      </c>
      <c r="E1575">
        <v>-189.88</v>
      </c>
      <c r="F1575">
        <v>0</v>
      </c>
      <c r="G1575">
        <v>3133.038</v>
      </c>
      <c r="H1575">
        <v>0</v>
      </c>
      <c r="I1575">
        <v>-2278.5729999999999</v>
      </c>
    </row>
    <row r="1576" spans="1:9" x14ac:dyDescent="0.25">
      <c r="A1576" t="s">
        <v>16</v>
      </c>
      <c r="B1576" t="s">
        <v>187</v>
      </c>
      <c r="C1576" t="s">
        <v>25</v>
      </c>
      <c r="D1576">
        <v>0</v>
      </c>
      <c r="E1576">
        <v>-189.88</v>
      </c>
      <c r="F1576">
        <v>0</v>
      </c>
      <c r="G1576">
        <v>2563.395</v>
      </c>
      <c r="H1576">
        <v>0</v>
      </c>
      <c r="I1576">
        <v>-1519.049</v>
      </c>
    </row>
    <row r="1577" spans="1:9" x14ac:dyDescent="0.25">
      <c r="A1577" t="s">
        <v>16</v>
      </c>
      <c r="B1577" t="s">
        <v>187</v>
      </c>
      <c r="C1577" t="s">
        <v>10</v>
      </c>
      <c r="D1577">
        <v>0</v>
      </c>
      <c r="E1577">
        <v>-189.88</v>
      </c>
      <c r="F1577">
        <v>0</v>
      </c>
      <c r="G1577">
        <v>2563.395</v>
      </c>
      <c r="H1577">
        <v>0</v>
      </c>
      <c r="I1577">
        <v>-2278.5729999999999</v>
      </c>
    </row>
    <row r="1578" spans="1:9" x14ac:dyDescent="0.25">
      <c r="A1578" t="s">
        <v>16</v>
      </c>
      <c r="B1578" t="s">
        <v>188</v>
      </c>
      <c r="C1578" t="s">
        <v>25</v>
      </c>
      <c r="D1578">
        <v>0</v>
      </c>
      <c r="E1578">
        <v>189.88</v>
      </c>
      <c r="F1578">
        <v>0</v>
      </c>
      <c r="G1578">
        <v>-3133.038</v>
      </c>
      <c r="H1578">
        <v>0</v>
      </c>
      <c r="I1578">
        <v>1519.049</v>
      </c>
    </row>
    <row r="1579" spans="1:9" x14ac:dyDescent="0.25">
      <c r="A1579" t="s">
        <v>16</v>
      </c>
      <c r="B1579" t="s">
        <v>188</v>
      </c>
      <c r="C1579" t="s">
        <v>10</v>
      </c>
      <c r="D1579">
        <v>0</v>
      </c>
      <c r="E1579">
        <v>189.88</v>
      </c>
      <c r="F1579">
        <v>0</v>
      </c>
      <c r="G1579">
        <v>-3133.038</v>
      </c>
      <c r="H1579">
        <v>0</v>
      </c>
      <c r="I1579">
        <v>2278.5729999999999</v>
      </c>
    </row>
    <row r="1580" spans="1:9" x14ac:dyDescent="0.25">
      <c r="A1580" t="s">
        <v>16</v>
      </c>
      <c r="B1580" t="s">
        <v>189</v>
      </c>
      <c r="C1580" t="s">
        <v>25</v>
      </c>
      <c r="D1580">
        <v>0</v>
      </c>
      <c r="E1580">
        <v>189.88</v>
      </c>
      <c r="F1580">
        <v>0</v>
      </c>
      <c r="G1580">
        <v>-2563.395</v>
      </c>
      <c r="H1580">
        <v>0</v>
      </c>
      <c r="I1580">
        <v>1519.049</v>
      </c>
    </row>
    <row r="1581" spans="1:9" x14ac:dyDescent="0.25">
      <c r="A1581" t="s">
        <v>16</v>
      </c>
      <c r="B1581" t="s">
        <v>189</v>
      </c>
      <c r="C1581" t="s">
        <v>10</v>
      </c>
      <c r="D1581">
        <v>0</v>
      </c>
      <c r="E1581">
        <v>189.88</v>
      </c>
      <c r="F1581">
        <v>0</v>
      </c>
      <c r="G1581">
        <v>-2563.395</v>
      </c>
      <c r="H1581">
        <v>0</v>
      </c>
      <c r="I1581">
        <v>2278.5729999999999</v>
      </c>
    </row>
    <row r="1582" spans="1:9" x14ac:dyDescent="0.25">
      <c r="A1582" t="s">
        <v>16</v>
      </c>
      <c r="B1582" t="s">
        <v>190</v>
      </c>
      <c r="C1582" t="s">
        <v>25</v>
      </c>
      <c r="D1582">
        <v>0</v>
      </c>
      <c r="E1582">
        <v>0</v>
      </c>
      <c r="F1582">
        <v>-229.52</v>
      </c>
      <c r="G1582">
        <v>-4544.4960000000001</v>
      </c>
      <c r="H1582">
        <v>1836.16</v>
      </c>
      <c r="I1582">
        <v>0</v>
      </c>
    </row>
    <row r="1583" spans="1:9" x14ac:dyDescent="0.25">
      <c r="A1583" t="s">
        <v>16</v>
      </c>
      <c r="B1583" t="s">
        <v>190</v>
      </c>
      <c r="C1583" t="s">
        <v>10</v>
      </c>
      <c r="D1583">
        <v>0</v>
      </c>
      <c r="E1583">
        <v>0</v>
      </c>
      <c r="F1583">
        <v>-229.52</v>
      </c>
      <c r="G1583">
        <v>-4544.4960000000001</v>
      </c>
      <c r="H1583">
        <v>2754.24</v>
      </c>
      <c r="I1583">
        <v>0</v>
      </c>
    </row>
    <row r="1584" spans="1:9" x14ac:dyDescent="0.25">
      <c r="A1584" t="s">
        <v>16</v>
      </c>
      <c r="B1584" t="s">
        <v>191</v>
      </c>
      <c r="C1584" t="s">
        <v>25</v>
      </c>
      <c r="D1584">
        <v>0</v>
      </c>
      <c r="E1584">
        <v>0</v>
      </c>
      <c r="F1584">
        <v>-229.52</v>
      </c>
      <c r="G1584">
        <v>-3718.2240000000002</v>
      </c>
      <c r="H1584">
        <v>1836.16</v>
      </c>
      <c r="I1584">
        <v>0</v>
      </c>
    </row>
    <row r="1585" spans="1:9" x14ac:dyDescent="0.25">
      <c r="A1585" t="s">
        <v>16</v>
      </c>
      <c r="B1585" t="s">
        <v>191</v>
      </c>
      <c r="C1585" t="s">
        <v>10</v>
      </c>
      <c r="D1585">
        <v>0</v>
      </c>
      <c r="E1585">
        <v>0</v>
      </c>
      <c r="F1585">
        <v>-229.52</v>
      </c>
      <c r="G1585">
        <v>-3718.2240000000002</v>
      </c>
      <c r="H1585">
        <v>2754.24</v>
      </c>
      <c r="I1585">
        <v>0</v>
      </c>
    </row>
    <row r="1586" spans="1:9" x14ac:dyDescent="0.25">
      <c r="A1586" t="s">
        <v>16</v>
      </c>
      <c r="B1586" t="s">
        <v>192</v>
      </c>
      <c r="C1586" t="s">
        <v>25</v>
      </c>
      <c r="D1586">
        <v>0</v>
      </c>
      <c r="E1586">
        <v>0</v>
      </c>
      <c r="F1586">
        <v>229.52</v>
      </c>
      <c r="G1586">
        <v>4544.4960000000001</v>
      </c>
      <c r="H1586">
        <v>-1836.16</v>
      </c>
      <c r="I1586">
        <v>0</v>
      </c>
    </row>
    <row r="1587" spans="1:9" x14ac:dyDescent="0.25">
      <c r="A1587" t="s">
        <v>16</v>
      </c>
      <c r="B1587" t="s">
        <v>192</v>
      </c>
      <c r="C1587" t="s">
        <v>10</v>
      </c>
      <c r="D1587">
        <v>0</v>
      </c>
      <c r="E1587">
        <v>0</v>
      </c>
      <c r="F1587">
        <v>229.52</v>
      </c>
      <c r="G1587">
        <v>4544.4960000000001</v>
      </c>
      <c r="H1587">
        <v>-2754.24</v>
      </c>
      <c r="I1587">
        <v>0</v>
      </c>
    </row>
    <row r="1588" spans="1:9" x14ac:dyDescent="0.25">
      <c r="A1588" t="s">
        <v>16</v>
      </c>
      <c r="B1588" t="s">
        <v>193</v>
      </c>
      <c r="C1588" t="s">
        <v>25</v>
      </c>
      <c r="D1588">
        <v>0</v>
      </c>
      <c r="E1588">
        <v>0</v>
      </c>
      <c r="F1588">
        <v>229.52</v>
      </c>
      <c r="G1588">
        <v>3718.2240000000002</v>
      </c>
      <c r="H1588">
        <v>-1836.16</v>
      </c>
      <c r="I1588">
        <v>0</v>
      </c>
    </row>
    <row r="1589" spans="1:9" x14ac:dyDescent="0.25">
      <c r="A1589" t="s">
        <v>16</v>
      </c>
      <c r="B1589" t="s">
        <v>193</v>
      </c>
      <c r="C1589" t="s">
        <v>10</v>
      </c>
      <c r="D1589">
        <v>0</v>
      </c>
      <c r="E1589">
        <v>0</v>
      </c>
      <c r="F1589">
        <v>229.52</v>
      </c>
      <c r="G1589">
        <v>3718.2240000000002</v>
      </c>
      <c r="H1589">
        <v>-2754.24</v>
      </c>
      <c r="I1589">
        <v>0</v>
      </c>
    </row>
    <row r="1590" spans="1:9" x14ac:dyDescent="0.25">
      <c r="A1590" t="s">
        <v>16</v>
      </c>
      <c r="B1590" t="s">
        <v>194</v>
      </c>
      <c r="C1590" t="s">
        <v>25</v>
      </c>
      <c r="D1590">
        <v>0</v>
      </c>
      <c r="E1590">
        <v>-632.94000000000005</v>
      </c>
      <c r="F1590">
        <v>0</v>
      </c>
      <c r="G1590">
        <v>10443.460999999999</v>
      </c>
      <c r="H1590">
        <v>0</v>
      </c>
      <c r="I1590">
        <v>-5063.4960000000001</v>
      </c>
    </row>
    <row r="1591" spans="1:9" x14ac:dyDescent="0.25">
      <c r="A1591" t="s">
        <v>16</v>
      </c>
      <c r="B1591" t="s">
        <v>194</v>
      </c>
      <c r="C1591" t="s">
        <v>10</v>
      </c>
      <c r="D1591">
        <v>0</v>
      </c>
      <c r="E1591">
        <v>-632.94000000000005</v>
      </c>
      <c r="F1591">
        <v>0</v>
      </c>
      <c r="G1591">
        <v>10443.460999999999</v>
      </c>
      <c r="H1591">
        <v>0</v>
      </c>
      <c r="I1591">
        <v>-7595.2439999999997</v>
      </c>
    </row>
    <row r="1592" spans="1:9" x14ac:dyDescent="0.25">
      <c r="A1592" t="s">
        <v>16</v>
      </c>
      <c r="B1592" t="s">
        <v>195</v>
      </c>
      <c r="C1592" t="s">
        <v>25</v>
      </c>
      <c r="D1592">
        <v>0</v>
      </c>
      <c r="E1592">
        <v>-632.94000000000005</v>
      </c>
      <c r="F1592">
        <v>0</v>
      </c>
      <c r="G1592">
        <v>8544.65</v>
      </c>
      <c r="H1592">
        <v>0</v>
      </c>
      <c r="I1592">
        <v>-5063.4960000000001</v>
      </c>
    </row>
    <row r="1593" spans="1:9" x14ac:dyDescent="0.25">
      <c r="A1593" t="s">
        <v>16</v>
      </c>
      <c r="B1593" t="s">
        <v>195</v>
      </c>
      <c r="C1593" t="s">
        <v>10</v>
      </c>
      <c r="D1593">
        <v>0</v>
      </c>
      <c r="E1593">
        <v>-632.94000000000005</v>
      </c>
      <c r="F1593">
        <v>0</v>
      </c>
      <c r="G1593">
        <v>8544.65</v>
      </c>
      <c r="H1593">
        <v>0</v>
      </c>
      <c r="I1593">
        <v>-7595.2439999999997</v>
      </c>
    </row>
    <row r="1594" spans="1:9" x14ac:dyDescent="0.25">
      <c r="A1594" t="s">
        <v>16</v>
      </c>
      <c r="B1594" t="s">
        <v>196</v>
      </c>
      <c r="C1594" t="s">
        <v>25</v>
      </c>
      <c r="D1594">
        <v>0</v>
      </c>
      <c r="E1594">
        <v>632.94000000000005</v>
      </c>
      <c r="F1594">
        <v>0</v>
      </c>
      <c r="G1594">
        <v>-10443.460999999999</v>
      </c>
      <c r="H1594">
        <v>0</v>
      </c>
      <c r="I1594">
        <v>5063.4960000000001</v>
      </c>
    </row>
    <row r="1595" spans="1:9" x14ac:dyDescent="0.25">
      <c r="A1595" t="s">
        <v>16</v>
      </c>
      <c r="B1595" t="s">
        <v>196</v>
      </c>
      <c r="C1595" t="s">
        <v>10</v>
      </c>
      <c r="D1595">
        <v>0</v>
      </c>
      <c r="E1595">
        <v>632.94000000000005</v>
      </c>
      <c r="F1595">
        <v>0</v>
      </c>
      <c r="G1595">
        <v>-10443.460999999999</v>
      </c>
      <c r="H1595">
        <v>0</v>
      </c>
      <c r="I1595">
        <v>7595.2439999999997</v>
      </c>
    </row>
    <row r="1596" spans="1:9" x14ac:dyDescent="0.25">
      <c r="A1596" t="s">
        <v>16</v>
      </c>
      <c r="B1596" t="s">
        <v>197</v>
      </c>
      <c r="C1596" t="s">
        <v>25</v>
      </c>
      <c r="D1596">
        <v>0</v>
      </c>
      <c r="E1596">
        <v>632.94000000000005</v>
      </c>
      <c r="F1596">
        <v>0</v>
      </c>
      <c r="G1596">
        <v>-8544.65</v>
      </c>
      <c r="H1596">
        <v>0</v>
      </c>
      <c r="I1596">
        <v>5063.4960000000001</v>
      </c>
    </row>
    <row r="1597" spans="1:9" x14ac:dyDescent="0.25">
      <c r="A1597" t="s">
        <v>16</v>
      </c>
      <c r="B1597" t="s">
        <v>197</v>
      </c>
      <c r="C1597" t="s">
        <v>10</v>
      </c>
      <c r="D1597">
        <v>0</v>
      </c>
      <c r="E1597">
        <v>632.94000000000005</v>
      </c>
      <c r="F1597">
        <v>0</v>
      </c>
      <c r="G1597">
        <v>-8544.65</v>
      </c>
      <c r="H1597">
        <v>0</v>
      </c>
      <c r="I1597">
        <v>7595.2439999999997</v>
      </c>
    </row>
    <row r="1598" spans="1:9" x14ac:dyDescent="0.25">
      <c r="A1598" t="s">
        <v>16</v>
      </c>
      <c r="B1598" t="s">
        <v>198</v>
      </c>
      <c r="C1598" t="s">
        <v>25</v>
      </c>
      <c r="D1598">
        <v>0</v>
      </c>
      <c r="E1598">
        <v>0</v>
      </c>
      <c r="F1598">
        <v>-765.07</v>
      </c>
      <c r="G1598">
        <v>-15148.319</v>
      </c>
      <c r="H1598">
        <v>6120.5330000000004</v>
      </c>
      <c r="I1598">
        <v>0</v>
      </c>
    </row>
    <row r="1599" spans="1:9" x14ac:dyDescent="0.25">
      <c r="A1599" t="s">
        <v>16</v>
      </c>
      <c r="B1599" t="s">
        <v>198</v>
      </c>
      <c r="C1599" t="s">
        <v>10</v>
      </c>
      <c r="D1599">
        <v>0</v>
      </c>
      <c r="E1599">
        <v>0</v>
      </c>
      <c r="F1599">
        <v>-765.07</v>
      </c>
      <c r="G1599">
        <v>-15148.319</v>
      </c>
      <c r="H1599">
        <v>9180.7999999999993</v>
      </c>
      <c r="I1599">
        <v>0</v>
      </c>
    </row>
    <row r="1600" spans="1:9" x14ac:dyDescent="0.25">
      <c r="A1600" t="s">
        <v>16</v>
      </c>
      <c r="B1600" t="s">
        <v>199</v>
      </c>
      <c r="C1600" t="s">
        <v>25</v>
      </c>
      <c r="D1600">
        <v>0</v>
      </c>
      <c r="E1600">
        <v>0</v>
      </c>
      <c r="F1600">
        <v>-765.07</v>
      </c>
      <c r="G1600">
        <v>-12394.08</v>
      </c>
      <c r="H1600">
        <v>6120.5330000000004</v>
      </c>
      <c r="I1600">
        <v>0</v>
      </c>
    </row>
    <row r="1601" spans="1:9" x14ac:dyDescent="0.25">
      <c r="A1601" t="s">
        <v>16</v>
      </c>
      <c r="B1601" t="s">
        <v>199</v>
      </c>
      <c r="C1601" t="s">
        <v>10</v>
      </c>
      <c r="D1601">
        <v>0</v>
      </c>
      <c r="E1601">
        <v>0</v>
      </c>
      <c r="F1601">
        <v>-765.07</v>
      </c>
      <c r="G1601">
        <v>-12394.08</v>
      </c>
      <c r="H1601">
        <v>9180.7999999999993</v>
      </c>
      <c r="I1601">
        <v>0</v>
      </c>
    </row>
    <row r="1602" spans="1:9" x14ac:dyDescent="0.25">
      <c r="A1602" t="s">
        <v>16</v>
      </c>
      <c r="B1602" t="s">
        <v>200</v>
      </c>
      <c r="C1602" t="s">
        <v>25</v>
      </c>
      <c r="D1602">
        <v>0</v>
      </c>
      <c r="E1602">
        <v>0</v>
      </c>
      <c r="F1602">
        <v>765.07</v>
      </c>
      <c r="G1602">
        <v>15148.319</v>
      </c>
      <c r="H1602">
        <v>-6120.5330000000004</v>
      </c>
      <c r="I1602">
        <v>0</v>
      </c>
    </row>
    <row r="1603" spans="1:9" x14ac:dyDescent="0.25">
      <c r="A1603" t="s">
        <v>16</v>
      </c>
      <c r="B1603" t="s">
        <v>200</v>
      </c>
      <c r="C1603" t="s">
        <v>10</v>
      </c>
      <c r="D1603">
        <v>0</v>
      </c>
      <c r="E1603">
        <v>0</v>
      </c>
      <c r="F1603">
        <v>765.07</v>
      </c>
      <c r="G1603">
        <v>15148.319</v>
      </c>
      <c r="H1603">
        <v>-9180.7999999999993</v>
      </c>
      <c r="I1603">
        <v>0</v>
      </c>
    </row>
    <row r="1604" spans="1:9" x14ac:dyDescent="0.25">
      <c r="A1604" t="s">
        <v>16</v>
      </c>
      <c r="B1604" t="s">
        <v>201</v>
      </c>
      <c r="C1604" t="s">
        <v>25</v>
      </c>
      <c r="D1604">
        <v>0</v>
      </c>
      <c r="E1604">
        <v>0</v>
      </c>
      <c r="F1604">
        <v>765.07</v>
      </c>
      <c r="G1604">
        <v>12394.08</v>
      </c>
      <c r="H1604">
        <v>-6120.5330000000004</v>
      </c>
      <c r="I1604">
        <v>0</v>
      </c>
    </row>
    <row r="1605" spans="1:9" x14ac:dyDescent="0.25">
      <c r="A1605" t="s">
        <v>16</v>
      </c>
      <c r="B1605" t="s">
        <v>201</v>
      </c>
      <c r="C1605" t="s">
        <v>10</v>
      </c>
      <c r="D1605">
        <v>0</v>
      </c>
      <c r="E1605">
        <v>0</v>
      </c>
      <c r="F1605">
        <v>765.07</v>
      </c>
      <c r="G1605">
        <v>12394.08</v>
      </c>
      <c r="H1605">
        <v>-9180.7999999999993</v>
      </c>
      <c r="I1605">
        <v>0</v>
      </c>
    </row>
    <row r="1606" spans="1:9" x14ac:dyDescent="0.25">
      <c r="A1606" t="s">
        <v>16</v>
      </c>
      <c r="B1606" t="s">
        <v>202</v>
      </c>
      <c r="C1606" t="s">
        <v>25</v>
      </c>
      <c r="D1606">
        <v>0</v>
      </c>
      <c r="E1606">
        <v>-632.94000000000005</v>
      </c>
      <c r="F1606">
        <v>0</v>
      </c>
      <c r="G1606">
        <v>10443.460999999999</v>
      </c>
      <c r="H1606">
        <v>0</v>
      </c>
      <c r="I1606">
        <v>-5063.4960000000001</v>
      </c>
    </row>
    <row r="1607" spans="1:9" x14ac:dyDescent="0.25">
      <c r="A1607" t="s">
        <v>16</v>
      </c>
      <c r="B1607" t="s">
        <v>202</v>
      </c>
      <c r="C1607" t="s">
        <v>10</v>
      </c>
      <c r="D1607">
        <v>0</v>
      </c>
      <c r="E1607">
        <v>-632.94000000000005</v>
      </c>
      <c r="F1607">
        <v>0</v>
      </c>
      <c r="G1607">
        <v>10443.460999999999</v>
      </c>
      <c r="H1607">
        <v>0</v>
      </c>
      <c r="I1607">
        <v>-7595.2439999999997</v>
      </c>
    </row>
    <row r="1608" spans="1:9" x14ac:dyDescent="0.25">
      <c r="A1608" t="s">
        <v>16</v>
      </c>
      <c r="B1608" t="s">
        <v>203</v>
      </c>
      <c r="C1608" t="s">
        <v>25</v>
      </c>
      <c r="D1608">
        <v>0</v>
      </c>
      <c r="E1608">
        <v>-632.94000000000005</v>
      </c>
      <c r="F1608">
        <v>0</v>
      </c>
      <c r="G1608">
        <v>8544.65</v>
      </c>
      <c r="H1608">
        <v>0</v>
      </c>
      <c r="I1608">
        <v>-5063.4960000000001</v>
      </c>
    </row>
    <row r="1609" spans="1:9" x14ac:dyDescent="0.25">
      <c r="A1609" t="s">
        <v>16</v>
      </c>
      <c r="B1609" t="s">
        <v>203</v>
      </c>
      <c r="C1609" t="s">
        <v>10</v>
      </c>
      <c r="D1609">
        <v>0</v>
      </c>
      <c r="E1609">
        <v>-632.94000000000005</v>
      </c>
      <c r="F1609">
        <v>0</v>
      </c>
      <c r="G1609">
        <v>8544.65</v>
      </c>
      <c r="H1609">
        <v>0</v>
      </c>
      <c r="I1609">
        <v>-7595.2439999999997</v>
      </c>
    </row>
    <row r="1610" spans="1:9" x14ac:dyDescent="0.25">
      <c r="A1610" t="s">
        <v>16</v>
      </c>
      <c r="B1610" t="s">
        <v>204</v>
      </c>
      <c r="C1610" t="s">
        <v>25</v>
      </c>
      <c r="D1610">
        <v>0</v>
      </c>
      <c r="E1610">
        <v>632.94000000000005</v>
      </c>
      <c r="F1610">
        <v>0</v>
      </c>
      <c r="G1610">
        <v>-10443.460999999999</v>
      </c>
      <c r="H1610">
        <v>0</v>
      </c>
      <c r="I1610">
        <v>5063.4960000000001</v>
      </c>
    </row>
    <row r="1611" spans="1:9" x14ac:dyDescent="0.25">
      <c r="A1611" t="s">
        <v>16</v>
      </c>
      <c r="B1611" t="s">
        <v>204</v>
      </c>
      <c r="C1611" t="s">
        <v>10</v>
      </c>
      <c r="D1611">
        <v>0</v>
      </c>
      <c r="E1611">
        <v>632.94000000000005</v>
      </c>
      <c r="F1611">
        <v>0</v>
      </c>
      <c r="G1611">
        <v>-10443.460999999999</v>
      </c>
      <c r="H1611">
        <v>0</v>
      </c>
      <c r="I1611">
        <v>7595.2439999999997</v>
      </c>
    </row>
    <row r="1612" spans="1:9" x14ac:dyDescent="0.25">
      <c r="A1612" t="s">
        <v>16</v>
      </c>
      <c r="B1612" t="s">
        <v>205</v>
      </c>
      <c r="C1612" t="s">
        <v>25</v>
      </c>
      <c r="D1612">
        <v>0</v>
      </c>
      <c r="E1612">
        <v>632.94000000000005</v>
      </c>
      <c r="F1612">
        <v>0</v>
      </c>
      <c r="G1612">
        <v>-8544.65</v>
      </c>
      <c r="H1612">
        <v>0</v>
      </c>
      <c r="I1612">
        <v>5063.4960000000001</v>
      </c>
    </row>
    <row r="1613" spans="1:9" x14ac:dyDescent="0.25">
      <c r="A1613" t="s">
        <v>16</v>
      </c>
      <c r="B1613" t="s">
        <v>205</v>
      </c>
      <c r="C1613" t="s">
        <v>10</v>
      </c>
      <c r="D1613">
        <v>0</v>
      </c>
      <c r="E1613">
        <v>632.94000000000005</v>
      </c>
      <c r="F1613">
        <v>0</v>
      </c>
      <c r="G1613">
        <v>-8544.65</v>
      </c>
      <c r="H1613">
        <v>0</v>
      </c>
      <c r="I1613">
        <v>7595.2439999999997</v>
      </c>
    </row>
    <row r="1614" spans="1:9" x14ac:dyDescent="0.25">
      <c r="A1614" t="s">
        <v>16</v>
      </c>
      <c r="B1614" t="s">
        <v>206</v>
      </c>
      <c r="C1614" t="s">
        <v>25</v>
      </c>
      <c r="D1614">
        <v>0</v>
      </c>
      <c r="E1614">
        <v>0</v>
      </c>
      <c r="F1614">
        <v>-765.07</v>
      </c>
      <c r="G1614">
        <v>-15148.319</v>
      </c>
      <c r="H1614">
        <v>6120.5330000000004</v>
      </c>
      <c r="I1614">
        <v>0</v>
      </c>
    </row>
    <row r="1615" spans="1:9" x14ac:dyDescent="0.25">
      <c r="A1615" t="s">
        <v>16</v>
      </c>
      <c r="B1615" t="s">
        <v>206</v>
      </c>
      <c r="C1615" t="s">
        <v>10</v>
      </c>
      <c r="D1615">
        <v>0</v>
      </c>
      <c r="E1615">
        <v>0</v>
      </c>
      <c r="F1615">
        <v>-765.07</v>
      </c>
      <c r="G1615">
        <v>-15148.319</v>
      </c>
      <c r="H1615">
        <v>9180.7999999999993</v>
      </c>
      <c r="I1615">
        <v>0</v>
      </c>
    </row>
    <row r="1616" spans="1:9" x14ac:dyDescent="0.25">
      <c r="A1616" t="s">
        <v>16</v>
      </c>
      <c r="B1616" t="s">
        <v>207</v>
      </c>
      <c r="C1616" t="s">
        <v>25</v>
      </c>
      <c r="D1616">
        <v>0</v>
      </c>
      <c r="E1616">
        <v>0</v>
      </c>
      <c r="F1616">
        <v>-765.07</v>
      </c>
      <c r="G1616">
        <v>-12394.08</v>
      </c>
      <c r="H1616">
        <v>6120.5330000000004</v>
      </c>
      <c r="I1616">
        <v>0</v>
      </c>
    </row>
    <row r="1617" spans="1:9" x14ac:dyDescent="0.25">
      <c r="A1617" t="s">
        <v>16</v>
      </c>
      <c r="B1617" t="s">
        <v>207</v>
      </c>
      <c r="C1617" t="s">
        <v>10</v>
      </c>
      <c r="D1617">
        <v>0</v>
      </c>
      <c r="E1617">
        <v>0</v>
      </c>
      <c r="F1617">
        <v>-765.07</v>
      </c>
      <c r="G1617">
        <v>-12394.08</v>
      </c>
      <c r="H1617">
        <v>9180.7999999999993</v>
      </c>
      <c r="I1617">
        <v>0</v>
      </c>
    </row>
    <row r="1618" spans="1:9" x14ac:dyDescent="0.25">
      <c r="A1618" t="s">
        <v>16</v>
      </c>
      <c r="B1618" t="s">
        <v>208</v>
      </c>
      <c r="C1618" t="s">
        <v>25</v>
      </c>
      <c r="D1618">
        <v>0</v>
      </c>
      <c r="E1618">
        <v>0</v>
      </c>
      <c r="F1618">
        <v>765.07</v>
      </c>
      <c r="G1618">
        <v>15148.319</v>
      </c>
      <c r="H1618">
        <v>-6120.5330000000004</v>
      </c>
      <c r="I1618">
        <v>0</v>
      </c>
    </row>
    <row r="1619" spans="1:9" x14ac:dyDescent="0.25">
      <c r="A1619" t="s">
        <v>16</v>
      </c>
      <c r="B1619" t="s">
        <v>208</v>
      </c>
      <c r="C1619" t="s">
        <v>10</v>
      </c>
      <c r="D1619">
        <v>0</v>
      </c>
      <c r="E1619">
        <v>0</v>
      </c>
      <c r="F1619">
        <v>765.07</v>
      </c>
      <c r="G1619">
        <v>15148.319</v>
      </c>
      <c r="H1619">
        <v>-9180.7999999999993</v>
      </c>
      <c r="I1619">
        <v>0</v>
      </c>
    </row>
    <row r="1620" spans="1:9" x14ac:dyDescent="0.25">
      <c r="A1620" t="s">
        <v>16</v>
      </c>
      <c r="B1620" t="s">
        <v>209</v>
      </c>
      <c r="C1620" t="s">
        <v>25</v>
      </c>
      <c r="D1620">
        <v>0</v>
      </c>
      <c r="E1620">
        <v>0</v>
      </c>
      <c r="F1620">
        <v>765.07</v>
      </c>
      <c r="G1620">
        <v>12394.08</v>
      </c>
      <c r="H1620">
        <v>-6120.5330000000004</v>
      </c>
      <c r="I1620">
        <v>0</v>
      </c>
    </row>
    <row r="1621" spans="1:9" x14ac:dyDescent="0.25">
      <c r="A1621" t="s">
        <v>16</v>
      </c>
      <c r="B1621" t="s">
        <v>209</v>
      </c>
      <c r="C1621" t="s">
        <v>10</v>
      </c>
      <c r="D1621">
        <v>0</v>
      </c>
      <c r="E1621">
        <v>0</v>
      </c>
      <c r="F1621">
        <v>765.07</v>
      </c>
      <c r="G1621">
        <v>12394.08</v>
      </c>
      <c r="H1621">
        <v>-9180.7999999999993</v>
      </c>
      <c r="I1621">
        <v>0</v>
      </c>
    </row>
    <row r="1622" spans="1:9" x14ac:dyDescent="0.25">
      <c r="A1622" t="s">
        <v>16</v>
      </c>
      <c r="B1622" t="s">
        <v>210</v>
      </c>
      <c r="C1622" t="s">
        <v>25</v>
      </c>
      <c r="D1622">
        <v>0</v>
      </c>
      <c r="E1622">
        <v>-189.88</v>
      </c>
      <c r="F1622">
        <v>0</v>
      </c>
      <c r="G1622">
        <v>3133.038</v>
      </c>
      <c r="H1622">
        <v>0</v>
      </c>
      <c r="I1622">
        <v>-1519.049</v>
      </c>
    </row>
    <row r="1623" spans="1:9" x14ac:dyDescent="0.25">
      <c r="A1623" t="s">
        <v>16</v>
      </c>
      <c r="B1623" t="s">
        <v>210</v>
      </c>
      <c r="C1623" t="s">
        <v>10</v>
      </c>
      <c r="D1623">
        <v>0</v>
      </c>
      <c r="E1623">
        <v>-189.88</v>
      </c>
      <c r="F1623">
        <v>0</v>
      </c>
      <c r="G1623">
        <v>3133.038</v>
      </c>
      <c r="H1623">
        <v>0</v>
      </c>
      <c r="I1623">
        <v>-2278.5729999999999</v>
      </c>
    </row>
    <row r="1624" spans="1:9" x14ac:dyDescent="0.25">
      <c r="A1624" t="s">
        <v>16</v>
      </c>
      <c r="B1624" t="s">
        <v>211</v>
      </c>
      <c r="C1624" t="s">
        <v>25</v>
      </c>
      <c r="D1624">
        <v>0</v>
      </c>
      <c r="E1624">
        <v>-189.88</v>
      </c>
      <c r="F1624">
        <v>0</v>
      </c>
      <c r="G1624">
        <v>2563.395</v>
      </c>
      <c r="H1624">
        <v>0</v>
      </c>
      <c r="I1624">
        <v>-1519.049</v>
      </c>
    </row>
    <row r="1625" spans="1:9" x14ac:dyDescent="0.25">
      <c r="A1625" t="s">
        <v>16</v>
      </c>
      <c r="B1625" t="s">
        <v>211</v>
      </c>
      <c r="C1625" t="s">
        <v>10</v>
      </c>
      <c r="D1625">
        <v>0</v>
      </c>
      <c r="E1625">
        <v>-189.88</v>
      </c>
      <c r="F1625">
        <v>0</v>
      </c>
      <c r="G1625">
        <v>2563.395</v>
      </c>
      <c r="H1625">
        <v>0</v>
      </c>
      <c r="I1625">
        <v>-2278.5729999999999</v>
      </c>
    </row>
    <row r="1626" spans="1:9" x14ac:dyDescent="0.25">
      <c r="A1626" t="s">
        <v>16</v>
      </c>
      <c r="B1626" t="s">
        <v>212</v>
      </c>
      <c r="C1626" t="s">
        <v>25</v>
      </c>
      <c r="D1626">
        <v>0</v>
      </c>
      <c r="E1626">
        <v>189.88</v>
      </c>
      <c r="F1626">
        <v>0</v>
      </c>
      <c r="G1626">
        <v>-3133.038</v>
      </c>
      <c r="H1626">
        <v>0</v>
      </c>
      <c r="I1626">
        <v>1519.049</v>
      </c>
    </row>
    <row r="1627" spans="1:9" x14ac:dyDescent="0.25">
      <c r="A1627" t="s">
        <v>16</v>
      </c>
      <c r="B1627" t="s">
        <v>212</v>
      </c>
      <c r="C1627" t="s">
        <v>10</v>
      </c>
      <c r="D1627">
        <v>0</v>
      </c>
      <c r="E1627">
        <v>189.88</v>
      </c>
      <c r="F1627">
        <v>0</v>
      </c>
      <c r="G1627">
        <v>-3133.038</v>
      </c>
      <c r="H1627">
        <v>0</v>
      </c>
      <c r="I1627">
        <v>2278.5729999999999</v>
      </c>
    </row>
    <row r="1628" spans="1:9" x14ac:dyDescent="0.25">
      <c r="A1628" t="s">
        <v>16</v>
      </c>
      <c r="B1628" t="s">
        <v>213</v>
      </c>
      <c r="C1628" t="s">
        <v>25</v>
      </c>
      <c r="D1628">
        <v>0</v>
      </c>
      <c r="E1628">
        <v>189.88</v>
      </c>
      <c r="F1628">
        <v>0</v>
      </c>
      <c r="G1628">
        <v>-2563.395</v>
      </c>
      <c r="H1628">
        <v>0</v>
      </c>
      <c r="I1628">
        <v>1519.049</v>
      </c>
    </row>
    <row r="1629" spans="1:9" x14ac:dyDescent="0.25">
      <c r="A1629" t="s">
        <v>16</v>
      </c>
      <c r="B1629" t="s">
        <v>213</v>
      </c>
      <c r="C1629" t="s">
        <v>10</v>
      </c>
      <c r="D1629">
        <v>0</v>
      </c>
      <c r="E1629">
        <v>189.88</v>
      </c>
      <c r="F1629">
        <v>0</v>
      </c>
      <c r="G1629">
        <v>-2563.395</v>
      </c>
      <c r="H1629">
        <v>0</v>
      </c>
      <c r="I1629">
        <v>2278.5729999999999</v>
      </c>
    </row>
    <row r="1630" spans="1:9" x14ac:dyDescent="0.25">
      <c r="A1630" t="s">
        <v>16</v>
      </c>
      <c r="B1630" t="s">
        <v>214</v>
      </c>
      <c r="C1630" t="s">
        <v>25</v>
      </c>
      <c r="D1630">
        <v>0</v>
      </c>
      <c r="E1630">
        <v>0</v>
      </c>
      <c r="F1630">
        <v>-229.52</v>
      </c>
      <c r="G1630">
        <v>-4544.4960000000001</v>
      </c>
      <c r="H1630">
        <v>1836.16</v>
      </c>
      <c r="I1630">
        <v>0</v>
      </c>
    </row>
    <row r="1631" spans="1:9" x14ac:dyDescent="0.25">
      <c r="A1631" t="s">
        <v>16</v>
      </c>
      <c r="B1631" t="s">
        <v>214</v>
      </c>
      <c r="C1631" t="s">
        <v>10</v>
      </c>
      <c r="D1631">
        <v>0</v>
      </c>
      <c r="E1631">
        <v>0</v>
      </c>
      <c r="F1631">
        <v>-229.52</v>
      </c>
      <c r="G1631">
        <v>-4544.4960000000001</v>
      </c>
      <c r="H1631">
        <v>2754.24</v>
      </c>
      <c r="I1631">
        <v>0</v>
      </c>
    </row>
    <row r="1632" spans="1:9" x14ac:dyDescent="0.25">
      <c r="A1632" t="s">
        <v>16</v>
      </c>
      <c r="B1632" t="s">
        <v>215</v>
      </c>
      <c r="C1632" t="s">
        <v>25</v>
      </c>
      <c r="D1632">
        <v>0</v>
      </c>
      <c r="E1632">
        <v>0</v>
      </c>
      <c r="F1632">
        <v>-229.52</v>
      </c>
      <c r="G1632">
        <v>-3718.2240000000002</v>
      </c>
      <c r="H1632">
        <v>1836.16</v>
      </c>
      <c r="I1632">
        <v>0</v>
      </c>
    </row>
    <row r="1633" spans="1:9" x14ac:dyDescent="0.25">
      <c r="A1633" t="s">
        <v>16</v>
      </c>
      <c r="B1633" t="s">
        <v>215</v>
      </c>
      <c r="C1633" t="s">
        <v>10</v>
      </c>
      <c r="D1633">
        <v>0</v>
      </c>
      <c r="E1633">
        <v>0</v>
      </c>
      <c r="F1633">
        <v>-229.52</v>
      </c>
      <c r="G1633">
        <v>-3718.2240000000002</v>
      </c>
      <c r="H1633">
        <v>2754.24</v>
      </c>
      <c r="I1633">
        <v>0</v>
      </c>
    </row>
    <row r="1634" spans="1:9" x14ac:dyDescent="0.25">
      <c r="A1634" t="s">
        <v>16</v>
      </c>
      <c r="B1634" t="s">
        <v>216</v>
      </c>
      <c r="C1634" t="s">
        <v>25</v>
      </c>
      <c r="D1634">
        <v>0</v>
      </c>
      <c r="E1634">
        <v>0</v>
      </c>
      <c r="F1634">
        <v>229.52</v>
      </c>
      <c r="G1634">
        <v>4544.4960000000001</v>
      </c>
      <c r="H1634">
        <v>-1836.16</v>
      </c>
      <c r="I1634">
        <v>0</v>
      </c>
    </row>
    <row r="1635" spans="1:9" x14ac:dyDescent="0.25">
      <c r="A1635" t="s">
        <v>16</v>
      </c>
      <c r="B1635" t="s">
        <v>216</v>
      </c>
      <c r="C1635" t="s">
        <v>10</v>
      </c>
      <c r="D1635">
        <v>0</v>
      </c>
      <c r="E1635">
        <v>0</v>
      </c>
      <c r="F1635">
        <v>229.52</v>
      </c>
      <c r="G1635">
        <v>4544.4960000000001</v>
      </c>
      <c r="H1635">
        <v>-2754.24</v>
      </c>
      <c r="I1635">
        <v>0</v>
      </c>
    </row>
    <row r="1636" spans="1:9" x14ac:dyDescent="0.25">
      <c r="A1636" t="s">
        <v>16</v>
      </c>
      <c r="B1636" t="s">
        <v>217</v>
      </c>
      <c r="C1636" t="s">
        <v>25</v>
      </c>
      <c r="D1636">
        <v>0</v>
      </c>
      <c r="E1636">
        <v>0</v>
      </c>
      <c r="F1636">
        <v>229.52</v>
      </c>
      <c r="G1636">
        <v>3718.2240000000002</v>
      </c>
      <c r="H1636">
        <v>-1836.16</v>
      </c>
      <c r="I1636">
        <v>0</v>
      </c>
    </row>
    <row r="1637" spans="1:9" x14ac:dyDescent="0.25">
      <c r="A1637" t="s">
        <v>16</v>
      </c>
      <c r="B1637" t="s">
        <v>217</v>
      </c>
      <c r="C1637" t="s">
        <v>10</v>
      </c>
      <c r="D1637">
        <v>0</v>
      </c>
      <c r="E1637">
        <v>0</v>
      </c>
      <c r="F1637">
        <v>229.52</v>
      </c>
      <c r="G1637">
        <v>3718.2240000000002</v>
      </c>
      <c r="H1637">
        <v>-2754.24</v>
      </c>
      <c r="I1637">
        <v>0</v>
      </c>
    </row>
    <row r="1638" spans="1:9" x14ac:dyDescent="0.25">
      <c r="A1638" t="s">
        <v>16</v>
      </c>
      <c r="B1638" t="s">
        <v>218</v>
      </c>
      <c r="C1638" t="s">
        <v>25</v>
      </c>
      <c r="D1638">
        <v>0</v>
      </c>
      <c r="E1638">
        <v>-189.88</v>
      </c>
      <c r="F1638">
        <v>0</v>
      </c>
      <c r="G1638">
        <v>3133.038</v>
      </c>
      <c r="H1638">
        <v>0</v>
      </c>
      <c r="I1638">
        <v>-1519.049</v>
      </c>
    </row>
    <row r="1639" spans="1:9" x14ac:dyDescent="0.25">
      <c r="A1639" t="s">
        <v>16</v>
      </c>
      <c r="B1639" t="s">
        <v>218</v>
      </c>
      <c r="C1639" t="s">
        <v>10</v>
      </c>
      <c r="D1639">
        <v>0</v>
      </c>
      <c r="E1639">
        <v>-189.88</v>
      </c>
      <c r="F1639">
        <v>0</v>
      </c>
      <c r="G1639">
        <v>3133.038</v>
      </c>
      <c r="H1639">
        <v>0</v>
      </c>
      <c r="I1639">
        <v>-2278.5729999999999</v>
      </c>
    </row>
    <row r="1640" spans="1:9" x14ac:dyDescent="0.25">
      <c r="A1640" t="s">
        <v>16</v>
      </c>
      <c r="B1640" t="s">
        <v>219</v>
      </c>
      <c r="C1640" t="s">
        <v>25</v>
      </c>
      <c r="D1640">
        <v>0</v>
      </c>
      <c r="E1640">
        <v>-189.88</v>
      </c>
      <c r="F1640">
        <v>0</v>
      </c>
      <c r="G1640">
        <v>2563.395</v>
      </c>
      <c r="H1640">
        <v>0</v>
      </c>
      <c r="I1640">
        <v>-1519.049</v>
      </c>
    </row>
    <row r="1641" spans="1:9" x14ac:dyDescent="0.25">
      <c r="A1641" t="s">
        <v>16</v>
      </c>
      <c r="B1641" t="s">
        <v>219</v>
      </c>
      <c r="C1641" t="s">
        <v>10</v>
      </c>
      <c r="D1641">
        <v>0</v>
      </c>
      <c r="E1641">
        <v>-189.88</v>
      </c>
      <c r="F1641">
        <v>0</v>
      </c>
      <c r="G1641">
        <v>2563.395</v>
      </c>
      <c r="H1641">
        <v>0</v>
      </c>
      <c r="I1641">
        <v>-2278.5729999999999</v>
      </c>
    </row>
    <row r="1642" spans="1:9" x14ac:dyDescent="0.25">
      <c r="A1642" t="s">
        <v>16</v>
      </c>
      <c r="B1642" t="s">
        <v>220</v>
      </c>
      <c r="C1642" t="s">
        <v>25</v>
      </c>
      <c r="D1642">
        <v>0</v>
      </c>
      <c r="E1642">
        <v>189.88</v>
      </c>
      <c r="F1642">
        <v>0</v>
      </c>
      <c r="G1642">
        <v>-3133.038</v>
      </c>
      <c r="H1642">
        <v>0</v>
      </c>
      <c r="I1642">
        <v>1519.049</v>
      </c>
    </row>
    <row r="1643" spans="1:9" x14ac:dyDescent="0.25">
      <c r="A1643" t="s">
        <v>16</v>
      </c>
      <c r="B1643" t="s">
        <v>220</v>
      </c>
      <c r="C1643" t="s">
        <v>10</v>
      </c>
      <c r="D1643">
        <v>0</v>
      </c>
      <c r="E1643">
        <v>189.88</v>
      </c>
      <c r="F1643">
        <v>0</v>
      </c>
      <c r="G1643">
        <v>-3133.038</v>
      </c>
      <c r="H1643">
        <v>0</v>
      </c>
      <c r="I1643">
        <v>2278.5729999999999</v>
      </c>
    </row>
    <row r="1644" spans="1:9" x14ac:dyDescent="0.25">
      <c r="A1644" t="s">
        <v>16</v>
      </c>
      <c r="B1644" t="s">
        <v>221</v>
      </c>
      <c r="C1644" t="s">
        <v>25</v>
      </c>
      <c r="D1644">
        <v>0</v>
      </c>
      <c r="E1644">
        <v>189.88</v>
      </c>
      <c r="F1644">
        <v>0</v>
      </c>
      <c r="G1644">
        <v>-2563.395</v>
      </c>
      <c r="H1644">
        <v>0</v>
      </c>
      <c r="I1644">
        <v>1519.049</v>
      </c>
    </row>
    <row r="1645" spans="1:9" x14ac:dyDescent="0.25">
      <c r="A1645" t="s">
        <v>16</v>
      </c>
      <c r="B1645" t="s">
        <v>221</v>
      </c>
      <c r="C1645" t="s">
        <v>10</v>
      </c>
      <c r="D1645">
        <v>0</v>
      </c>
      <c r="E1645">
        <v>189.88</v>
      </c>
      <c r="F1645">
        <v>0</v>
      </c>
      <c r="G1645">
        <v>-2563.395</v>
      </c>
      <c r="H1645">
        <v>0</v>
      </c>
      <c r="I1645">
        <v>2278.5729999999999</v>
      </c>
    </row>
    <row r="1646" spans="1:9" x14ac:dyDescent="0.25">
      <c r="A1646" t="s">
        <v>16</v>
      </c>
      <c r="B1646" t="s">
        <v>222</v>
      </c>
      <c r="C1646" t="s">
        <v>25</v>
      </c>
      <c r="D1646">
        <v>0</v>
      </c>
      <c r="E1646">
        <v>0</v>
      </c>
      <c r="F1646">
        <v>-229.52</v>
      </c>
      <c r="G1646">
        <v>-4544.4960000000001</v>
      </c>
      <c r="H1646">
        <v>1836.16</v>
      </c>
      <c r="I1646">
        <v>0</v>
      </c>
    </row>
    <row r="1647" spans="1:9" x14ac:dyDescent="0.25">
      <c r="A1647" t="s">
        <v>16</v>
      </c>
      <c r="B1647" t="s">
        <v>222</v>
      </c>
      <c r="C1647" t="s">
        <v>10</v>
      </c>
      <c r="D1647">
        <v>0</v>
      </c>
      <c r="E1647">
        <v>0</v>
      </c>
      <c r="F1647">
        <v>-229.52</v>
      </c>
      <c r="G1647">
        <v>-4544.4960000000001</v>
      </c>
      <c r="H1647">
        <v>2754.24</v>
      </c>
      <c r="I1647">
        <v>0</v>
      </c>
    </row>
    <row r="1648" spans="1:9" x14ac:dyDescent="0.25">
      <c r="A1648" t="s">
        <v>16</v>
      </c>
      <c r="B1648" t="s">
        <v>223</v>
      </c>
      <c r="C1648" t="s">
        <v>25</v>
      </c>
      <c r="D1648">
        <v>0</v>
      </c>
      <c r="E1648">
        <v>0</v>
      </c>
      <c r="F1648">
        <v>-229.52</v>
      </c>
      <c r="G1648">
        <v>-3718.2240000000002</v>
      </c>
      <c r="H1648">
        <v>1836.16</v>
      </c>
      <c r="I1648">
        <v>0</v>
      </c>
    </row>
    <row r="1649" spans="1:9" x14ac:dyDescent="0.25">
      <c r="A1649" t="s">
        <v>16</v>
      </c>
      <c r="B1649" t="s">
        <v>223</v>
      </c>
      <c r="C1649" t="s">
        <v>10</v>
      </c>
      <c r="D1649">
        <v>0</v>
      </c>
      <c r="E1649">
        <v>0</v>
      </c>
      <c r="F1649">
        <v>-229.52</v>
      </c>
      <c r="G1649">
        <v>-3718.2240000000002</v>
      </c>
      <c r="H1649">
        <v>2754.24</v>
      </c>
      <c r="I1649">
        <v>0</v>
      </c>
    </row>
    <row r="1650" spans="1:9" x14ac:dyDescent="0.25">
      <c r="A1650" t="s">
        <v>16</v>
      </c>
      <c r="B1650" t="s">
        <v>224</v>
      </c>
      <c r="C1650" t="s">
        <v>25</v>
      </c>
      <c r="D1650">
        <v>0</v>
      </c>
      <c r="E1650">
        <v>0</v>
      </c>
      <c r="F1650">
        <v>229.52</v>
      </c>
      <c r="G1650">
        <v>4544.4960000000001</v>
      </c>
      <c r="H1650">
        <v>-1836.16</v>
      </c>
      <c r="I1650">
        <v>0</v>
      </c>
    </row>
    <row r="1651" spans="1:9" x14ac:dyDescent="0.25">
      <c r="A1651" t="s">
        <v>16</v>
      </c>
      <c r="B1651" t="s">
        <v>224</v>
      </c>
      <c r="C1651" t="s">
        <v>10</v>
      </c>
      <c r="D1651">
        <v>0</v>
      </c>
      <c r="E1651">
        <v>0</v>
      </c>
      <c r="F1651">
        <v>229.52</v>
      </c>
      <c r="G1651">
        <v>4544.4960000000001</v>
      </c>
      <c r="H1651">
        <v>-2754.24</v>
      </c>
      <c r="I1651">
        <v>0</v>
      </c>
    </row>
    <row r="1652" spans="1:9" x14ac:dyDescent="0.25">
      <c r="A1652" t="s">
        <v>16</v>
      </c>
      <c r="B1652" t="s">
        <v>225</v>
      </c>
      <c r="C1652" t="s">
        <v>25</v>
      </c>
      <c r="D1652">
        <v>0</v>
      </c>
      <c r="E1652">
        <v>0</v>
      </c>
      <c r="F1652">
        <v>229.52</v>
      </c>
      <c r="G1652">
        <v>3718.2240000000002</v>
      </c>
      <c r="H1652">
        <v>-1836.16</v>
      </c>
      <c r="I1652">
        <v>0</v>
      </c>
    </row>
    <row r="1653" spans="1:9" x14ac:dyDescent="0.25">
      <c r="A1653" t="s">
        <v>16</v>
      </c>
      <c r="B1653" t="s">
        <v>225</v>
      </c>
      <c r="C1653" t="s">
        <v>10</v>
      </c>
      <c r="D1653">
        <v>0</v>
      </c>
      <c r="E1653">
        <v>0</v>
      </c>
      <c r="F1653">
        <v>229.52</v>
      </c>
      <c r="G1653">
        <v>3718.2240000000002</v>
      </c>
      <c r="H1653">
        <v>-2754.24</v>
      </c>
      <c r="I1653">
        <v>0</v>
      </c>
    </row>
    <row r="1654" spans="1:9" x14ac:dyDescent="0.25">
      <c r="A1654" t="s">
        <v>16</v>
      </c>
      <c r="B1654" t="s">
        <v>327</v>
      </c>
      <c r="C1654" t="s">
        <v>25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</row>
    <row r="1655" spans="1:9" x14ac:dyDescent="0.25">
      <c r="A1655" t="s">
        <v>16</v>
      </c>
      <c r="B1655" t="s">
        <v>327</v>
      </c>
      <c r="C1655" t="s">
        <v>10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</row>
    <row r="1656" spans="1:9" x14ac:dyDescent="0.25">
      <c r="A1656" t="s">
        <v>16</v>
      </c>
      <c r="B1656" t="s">
        <v>328</v>
      </c>
      <c r="C1656" t="s">
        <v>25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</row>
    <row r="1657" spans="1:9" x14ac:dyDescent="0.25">
      <c r="A1657" t="s">
        <v>16</v>
      </c>
      <c r="B1657" t="s">
        <v>328</v>
      </c>
      <c r="C1657" t="s">
        <v>10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</row>
    <row r="1658" spans="1:9" x14ac:dyDescent="0.25">
      <c r="A1658" t="s">
        <v>17</v>
      </c>
      <c r="B1658" t="s">
        <v>9</v>
      </c>
      <c r="C1658" t="s">
        <v>25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</row>
    <row r="1659" spans="1:9" x14ac:dyDescent="0.25">
      <c r="A1659" t="s">
        <v>17</v>
      </c>
      <c r="B1659" t="s">
        <v>9</v>
      </c>
      <c r="C1659" t="s">
        <v>10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</row>
    <row r="1660" spans="1:9" x14ac:dyDescent="0.25">
      <c r="A1660" t="s">
        <v>17</v>
      </c>
      <c r="B1660" t="s">
        <v>26</v>
      </c>
      <c r="C1660" t="s">
        <v>25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</row>
    <row r="1661" spans="1:9" x14ac:dyDescent="0.25">
      <c r="A1661" t="s">
        <v>17</v>
      </c>
      <c r="B1661" t="s">
        <v>26</v>
      </c>
      <c r="C1661" t="s">
        <v>10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</row>
    <row r="1662" spans="1:9" x14ac:dyDescent="0.25">
      <c r="A1662" t="s">
        <v>17</v>
      </c>
      <c r="B1662" t="s">
        <v>20</v>
      </c>
      <c r="C1662" t="s">
        <v>25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</row>
    <row r="1663" spans="1:9" x14ac:dyDescent="0.25">
      <c r="A1663" t="s">
        <v>17</v>
      </c>
      <c r="B1663" t="s">
        <v>20</v>
      </c>
      <c r="C1663" t="s">
        <v>10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</row>
    <row r="1664" spans="1:9" x14ac:dyDescent="0.25">
      <c r="A1664" t="s">
        <v>17</v>
      </c>
      <c r="B1664" t="s">
        <v>21</v>
      </c>
      <c r="C1664" t="s">
        <v>25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</row>
    <row r="1665" spans="1:9" x14ac:dyDescent="0.25">
      <c r="A1665" t="s">
        <v>17</v>
      </c>
      <c r="B1665" t="s">
        <v>21</v>
      </c>
      <c r="C1665" t="s">
        <v>10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</row>
    <row r="1666" spans="1:9" x14ac:dyDescent="0.25">
      <c r="A1666" t="s">
        <v>17</v>
      </c>
      <c r="B1666" t="s">
        <v>22</v>
      </c>
      <c r="C1666" t="s">
        <v>25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</row>
    <row r="1667" spans="1:9" x14ac:dyDescent="0.25">
      <c r="A1667" t="s">
        <v>17</v>
      </c>
      <c r="B1667" t="s">
        <v>22</v>
      </c>
      <c r="C1667" t="s">
        <v>10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</row>
    <row r="1668" spans="1:9" x14ac:dyDescent="0.25">
      <c r="A1668" t="s">
        <v>17</v>
      </c>
      <c r="B1668" t="s">
        <v>23</v>
      </c>
      <c r="C1668" t="s">
        <v>25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</row>
    <row r="1669" spans="1:9" x14ac:dyDescent="0.25">
      <c r="A1669" t="s">
        <v>17</v>
      </c>
      <c r="B1669" t="s">
        <v>23</v>
      </c>
      <c r="C1669" t="s">
        <v>10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</row>
    <row r="1670" spans="1:9" x14ac:dyDescent="0.25">
      <c r="A1670" t="s">
        <v>17</v>
      </c>
      <c r="B1670" t="s">
        <v>321</v>
      </c>
      <c r="C1670" t="s">
        <v>25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</row>
    <row r="1671" spans="1:9" x14ac:dyDescent="0.25">
      <c r="A1671" t="s">
        <v>17</v>
      </c>
      <c r="B1671" t="s">
        <v>321</v>
      </c>
      <c r="C1671" t="s">
        <v>10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</row>
    <row r="1672" spans="1:9" x14ac:dyDescent="0.25">
      <c r="A1672" t="s">
        <v>17</v>
      </c>
      <c r="B1672" t="s">
        <v>322</v>
      </c>
      <c r="C1672" t="s">
        <v>25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</row>
    <row r="1673" spans="1:9" x14ac:dyDescent="0.25">
      <c r="A1673" t="s">
        <v>17</v>
      </c>
      <c r="B1673" t="s">
        <v>322</v>
      </c>
      <c r="C1673" t="s">
        <v>10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</row>
    <row r="1674" spans="1:9" x14ac:dyDescent="0.25">
      <c r="A1674" t="s">
        <v>17</v>
      </c>
      <c r="B1674" t="s">
        <v>323</v>
      </c>
      <c r="C1674" t="s">
        <v>25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</row>
    <row r="1675" spans="1:9" x14ac:dyDescent="0.25">
      <c r="A1675" t="s">
        <v>17</v>
      </c>
      <c r="B1675" t="s">
        <v>323</v>
      </c>
      <c r="C1675" t="s">
        <v>10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</row>
    <row r="1676" spans="1:9" x14ac:dyDescent="0.25">
      <c r="A1676" t="s">
        <v>17</v>
      </c>
      <c r="B1676" t="s">
        <v>324</v>
      </c>
      <c r="C1676" t="s">
        <v>25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</row>
    <row r="1677" spans="1:9" x14ac:dyDescent="0.25">
      <c r="A1677" t="s">
        <v>17</v>
      </c>
      <c r="B1677" t="s">
        <v>324</v>
      </c>
      <c r="C1677" t="s">
        <v>10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</row>
    <row r="1678" spans="1:9" x14ac:dyDescent="0.25">
      <c r="A1678" t="s">
        <v>17</v>
      </c>
      <c r="B1678" t="s">
        <v>325</v>
      </c>
      <c r="C1678" t="s">
        <v>25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</row>
    <row r="1679" spans="1:9" x14ac:dyDescent="0.25">
      <c r="A1679" t="s">
        <v>17</v>
      </c>
      <c r="B1679" t="s">
        <v>325</v>
      </c>
      <c r="C1679" t="s">
        <v>10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</row>
    <row r="1680" spans="1:9" x14ac:dyDescent="0.25">
      <c r="A1680" t="s">
        <v>17</v>
      </c>
      <c r="B1680" t="s">
        <v>326</v>
      </c>
      <c r="C1680" t="s">
        <v>25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</row>
    <row r="1681" spans="1:9" x14ac:dyDescent="0.25">
      <c r="A1681" t="s">
        <v>17</v>
      </c>
      <c r="B1681" t="s">
        <v>326</v>
      </c>
      <c r="C1681" t="s">
        <v>10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</row>
    <row r="1682" spans="1:9" x14ac:dyDescent="0.25">
      <c r="A1682" t="s">
        <v>17</v>
      </c>
      <c r="B1682" t="s">
        <v>27</v>
      </c>
      <c r="C1682" t="s">
        <v>25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</row>
    <row r="1683" spans="1:9" x14ac:dyDescent="0.25">
      <c r="A1683" t="s">
        <v>17</v>
      </c>
      <c r="B1683" t="s">
        <v>27</v>
      </c>
      <c r="C1683" t="s">
        <v>10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</row>
    <row r="1684" spans="1:9" x14ac:dyDescent="0.25">
      <c r="A1684" t="s">
        <v>17</v>
      </c>
      <c r="B1684" t="s">
        <v>28</v>
      </c>
      <c r="C1684" t="s">
        <v>25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</row>
    <row r="1685" spans="1:9" x14ac:dyDescent="0.25">
      <c r="A1685" t="s">
        <v>17</v>
      </c>
      <c r="B1685" t="s">
        <v>28</v>
      </c>
      <c r="C1685" t="s">
        <v>10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</row>
    <row r="1686" spans="1:9" x14ac:dyDescent="0.25">
      <c r="A1686" t="s">
        <v>17</v>
      </c>
      <c r="B1686" t="s">
        <v>29</v>
      </c>
      <c r="C1686" t="s">
        <v>25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</row>
    <row r="1687" spans="1:9" x14ac:dyDescent="0.25">
      <c r="A1687" t="s">
        <v>17</v>
      </c>
      <c r="B1687" t="s">
        <v>29</v>
      </c>
      <c r="C1687" t="s">
        <v>10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</row>
    <row r="1688" spans="1:9" x14ac:dyDescent="0.25">
      <c r="A1688" t="s">
        <v>17</v>
      </c>
      <c r="B1688" t="s">
        <v>30</v>
      </c>
      <c r="C1688" t="s">
        <v>25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</row>
    <row r="1689" spans="1:9" x14ac:dyDescent="0.25">
      <c r="A1689" t="s">
        <v>17</v>
      </c>
      <c r="B1689" t="s">
        <v>30</v>
      </c>
      <c r="C1689" t="s">
        <v>10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</row>
    <row r="1690" spans="1:9" x14ac:dyDescent="0.25">
      <c r="A1690" t="s">
        <v>17</v>
      </c>
      <c r="B1690" t="s">
        <v>11</v>
      </c>
      <c r="C1690" t="s">
        <v>25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</row>
    <row r="1691" spans="1:9" x14ac:dyDescent="0.25">
      <c r="A1691" t="s">
        <v>17</v>
      </c>
      <c r="B1691" t="s">
        <v>11</v>
      </c>
      <c r="C1691" t="s">
        <v>10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</row>
    <row r="1692" spans="1:9" x14ac:dyDescent="0.25">
      <c r="A1692" t="s">
        <v>17</v>
      </c>
      <c r="B1692" t="s">
        <v>12</v>
      </c>
      <c r="C1692" t="s">
        <v>25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</row>
    <row r="1693" spans="1:9" x14ac:dyDescent="0.25">
      <c r="A1693" t="s">
        <v>17</v>
      </c>
      <c r="B1693" t="s">
        <v>12</v>
      </c>
      <c r="C1693" t="s">
        <v>10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</row>
    <row r="1694" spans="1:9" x14ac:dyDescent="0.25">
      <c r="A1694" t="s">
        <v>17</v>
      </c>
      <c r="B1694" t="s">
        <v>13</v>
      </c>
      <c r="C1694" t="s">
        <v>25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</row>
    <row r="1695" spans="1:9" x14ac:dyDescent="0.25">
      <c r="A1695" t="s">
        <v>17</v>
      </c>
      <c r="B1695" t="s">
        <v>13</v>
      </c>
      <c r="C1695" t="s">
        <v>10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</row>
    <row r="1696" spans="1:9" x14ac:dyDescent="0.25">
      <c r="A1696" t="s">
        <v>17</v>
      </c>
      <c r="B1696" t="s">
        <v>31</v>
      </c>
      <c r="C1696" t="s">
        <v>25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</row>
    <row r="1697" spans="1:9" x14ac:dyDescent="0.25">
      <c r="A1697" t="s">
        <v>17</v>
      </c>
      <c r="B1697" t="s">
        <v>31</v>
      </c>
      <c r="C1697" t="s">
        <v>10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</row>
    <row r="1698" spans="1:9" x14ac:dyDescent="0.25">
      <c r="A1698" t="s">
        <v>17</v>
      </c>
      <c r="B1698" t="s">
        <v>32</v>
      </c>
      <c r="C1698" t="s">
        <v>25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</row>
    <row r="1699" spans="1:9" x14ac:dyDescent="0.25">
      <c r="A1699" t="s">
        <v>17</v>
      </c>
      <c r="B1699" t="s">
        <v>32</v>
      </c>
      <c r="C1699" t="s">
        <v>10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</row>
    <row r="1700" spans="1:9" x14ac:dyDescent="0.25">
      <c r="A1700" t="s">
        <v>17</v>
      </c>
      <c r="B1700" t="s">
        <v>33</v>
      </c>
      <c r="C1700" t="s">
        <v>25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</row>
    <row r="1701" spans="1:9" x14ac:dyDescent="0.25">
      <c r="A1701" t="s">
        <v>17</v>
      </c>
      <c r="B1701" t="s">
        <v>33</v>
      </c>
      <c r="C1701" t="s">
        <v>10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</row>
    <row r="1702" spans="1:9" x14ac:dyDescent="0.25">
      <c r="A1702" t="s">
        <v>17</v>
      </c>
      <c r="B1702" t="s">
        <v>34</v>
      </c>
      <c r="C1702" t="s">
        <v>25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</row>
    <row r="1703" spans="1:9" x14ac:dyDescent="0.25">
      <c r="A1703" t="s">
        <v>17</v>
      </c>
      <c r="B1703" t="s">
        <v>34</v>
      </c>
      <c r="C1703" t="s">
        <v>10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</row>
    <row r="1704" spans="1:9" x14ac:dyDescent="0.25">
      <c r="A1704" t="s">
        <v>17</v>
      </c>
      <c r="B1704" t="s">
        <v>35</v>
      </c>
      <c r="C1704" t="s">
        <v>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</row>
    <row r="1705" spans="1:9" x14ac:dyDescent="0.25">
      <c r="A1705" t="s">
        <v>17</v>
      </c>
      <c r="B1705" t="s">
        <v>35</v>
      </c>
      <c r="C1705" t="s">
        <v>10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</row>
    <row r="1706" spans="1:9" x14ac:dyDescent="0.25">
      <c r="A1706" t="s">
        <v>17</v>
      </c>
      <c r="B1706" t="s">
        <v>36</v>
      </c>
      <c r="C1706" t="s">
        <v>25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</row>
    <row r="1707" spans="1:9" x14ac:dyDescent="0.25">
      <c r="A1707" t="s">
        <v>17</v>
      </c>
      <c r="B1707" t="s">
        <v>36</v>
      </c>
      <c r="C1707" t="s">
        <v>10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</row>
    <row r="1708" spans="1:9" x14ac:dyDescent="0.25">
      <c r="A1708" t="s">
        <v>17</v>
      </c>
      <c r="B1708" t="s">
        <v>37</v>
      </c>
      <c r="C1708" t="s">
        <v>25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</row>
    <row r="1709" spans="1:9" x14ac:dyDescent="0.25">
      <c r="A1709" t="s">
        <v>17</v>
      </c>
      <c r="B1709" t="s">
        <v>37</v>
      </c>
      <c r="C1709" t="s">
        <v>10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</row>
    <row r="1710" spans="1:9" x14ac:dyDescent="0.25">
      <c r="A1710" t="s">
        <v>17</v>
      </c>
      <c r="B1710" t="s">
        <v>38</v>
      </c>
      <c r="C1710" t="s">
        <v>25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</row>
    <row r="1711" spans="1:9" x14ac:dyDescent="0.25">
      <c r="A1711" t="s">
        <v>17</v>
      </c>
      <c r="B1711" t="s">
        <v>38</v>
      </c>
      <c r="C1711" t="s">
        <v>10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</row>
    <row r="1712" spans="1:9" x14ac:dyDescent="0.25">
      <c r="A1712" t="s">
        <v>17</v>
      </c>
      <c r="B1712" t="s">
        <v>39</v>
      </c>
      <c r="C1712" t="s">
        <v>25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</row>
    <row r="1713" spans="1:9" x14ac:dyDescent="0.25">
      <c r="A1713" t="s">
        <v>17</v>
      </c>
      <c r="B1713" t="s">
        <v>39</v>
      </c>
      <c r="C1713" t="s">
        <v>10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</row>
    <row r="1714" spans="1:9" x14ac:dyDescent="0.25">
      <c r="A1714" t="s">
        <v>17</v>
      </c>
      <c r="B1714" t="s">
        <v>40</v>
      </c>
      <c r="C1714" t="s">
        <v>25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17</v>
      </c>
      <c r="B1715" t="s">
        <v>40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17</v>
      </c>
      <c r="B1716" t="s">
        <v>41</v>
      </c>
      <c r="C1716" t="s">
        <v>25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17</v>
      </c>
      <c r="B1717" t="s">
        <v>41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17</v>
      </c>
      <c r="B1718" t="s">
        <v>42</v>
      </c>
      <c r="C1718" t="s">
        <v>25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17</v>
      </c>
      <c r="B1719" t="s">
        <v>42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17</v>
      </c>
      <c r="B1720" t="s">
        <v>43</v>
      </c>
      <c r="C1720" t="s">
        <v>25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</row>
    <row r="1721" spans="1:9" x14ac:dyDescent="0.25">
      <c r="A1721" t="s">
        <v>17</v>
      </c>
      <c r="B1721" t="s">
        <v>43</v>
      </c>
      <c r="C1721" t="s">
        <v>10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</row>
    <row r="1722" spans="1:9" x14ac:dyDescent="0.25">
      <c r="A1722" t="s">
        <v>17</v>
      </c>
      <c r="B1722" t="s">
        <v>44</v>
      </c>
      <c r="C1722" t="s">
        <v>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</row>
    <row r="1723" spans="1:9" x14ac:dyDescent="0.25">
      <c r="A1723" t="s">
        <v>17</v>
      </c>
      <c r="B1723" t="s">
        <v>44</v>
      </c>
      <c r="C1723" t="s">
        <v>10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</row>
    <row r="1724" spans="1:9" x14ac:dyDescent="0.25">
      <c r="A1724" t="s">
        <v>17</v>
      </c>
      <c r="B1724" t="s">
        <v>45</v>
      </c>
      <c r="C1724" t="s">
        <v>25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</row>
    <row r="1725" spans="1:9" x14ac:dyDescent="0.25">
      <c r="A1725" t="s">
        <v>17</v>
      </c>
      <c r="B1725" t="s">
        <v>45</v>
      </c>
      <c r="C1725" t="s">
        <v>10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</row>
    <row r="1726" spans="1:9" x14ac:dyDescent="0.25">
      <c r="A1726" t="s">
        <v>17</v>
      </c>
      <c r="B1726" t="s">
        <v>46</v>
      </c>
      <c r="C1726" t="s">
        <v>25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</row>
    <row r="1727" spans="1:9" x14ac:dyDescent="0.25">
      <c r="A1727" t="s">
        <v>17</v>
      </c>
      <c r="B1727" t="s">
        <v>46</v>
      </c>
      <c r="C1727" t="s">
        <v>10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</row>
    <row r="1728" spans="1:9" x14ac:dyDescent="0.25">
      <c r="A1728" t="s">
        <v>17</v>
      </c>
      <c r="B1728" t="s">
        <v>47</v>
      </c>
      <c r="C1728" t="s">
        <v>25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</row>
    <row r="1729" spans="1:9" x14ac:dyDescent="0.25">
      <c r="A1729" t="s">
        <v>17</v>
      </c>
      <c r="B1729" t="s">
        <v>47</v>
      </c>
      <c r="C1729" t="s">
        <v>10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</row>
    <row r="1730" spans="1:9" x14ac:dyDescent="0.25">
      <c r="A1730" t="s">
        <v>17</v>
      </c>
      <c r="B1730" t="s">
        <v>48</v>
      </c>
      <c r="C1730" t="s">
        <v>25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</row>
    <row r="1731" spans="1:9" x14ac:dyDescent="0.25">
      <c r="A1731" t="s">
        <v>17</v>
      </c>
      <c r="B1731" t="s">
        <v>48</v>
      </c>
      <c r="C1731" t="s">
        <v>10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</row>
    <row r="1732" spans="1:9" x14ac:dyDescent="0.25">
      <c r="A1732" t="s">
        <v>17</v>
      </c>
      <c r="B1732" t="s">
        <v>49</v>
      </c>
      <c r="C1732" t="s">
        <v>25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</row>
    <row r="1733" spans="1:9" x14ac:dyDescent="0.25">
      <c r="A1733" t="s">
        <v>17</v>
      </c>
      <c r="B1733" t="s">
        <v>49</v>
      </c>
      <c r="C1733" t="s">
        <v>10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</row>
    <row r="1734" spans="1:9" x14ac:dyDescent="0.25">
      <c r="A1734" t="s">
        <v>17</v>
      </c>
      <c r="B1734" t="s">
        <v>50</v>
      </c>
      <c r="C1734" t="s">
        <v>25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</row>
    <row r="1735" spans="1:9" x14ac:dyDescent="0.25">
      <c r="A1735" t="s">
        <v>17</v>
      </c>
      <c r="B1735" t="s">
        <v>50</v>
      </c>
      <c r="C1735" t="s">
        <v>10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</row>
    <row r="1736" spans="1:9" x14ac:dyDescent="0.25">
      <c r="A1736" t="s">
        <v>17</v>
      </c>
      <c r="B1736" t="s">
        <v>51</v>
      </c>
      <c r="C1736" t="s">
        <v>25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</row>
    <row r="1737" spans="1:9" x14ac:dyDescent="0.25">
      <c r="A1737" t="s">
        <v>17</v>
      </c>
      <c r="B1737" t="s">
        <v>51</v>
      </c>
      <c r="C1737" t="s">
        <v>10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</row>
    <row r="1738" spans="1:9" x14ac:dyDescent="0.25">
      <c r="A1738" t="s">
        <v>17</v>
      </c>
      <c r="B1738" t="s">
        <v>52</v>
      </c>
      <c r="C1738" t="s">
        <v>25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</row>
    <row r="1739" spans="1:9" x14ac:dyDescent="0.25">
      <c r="A1739" t="s">
        <v>17</v>
      </c>
      <c r="B1739" t="s">
        <v>52</v>
      </c>
      <c r="C1739" t="s">
        <v>10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</row>
    <row r="1740" spans="1:9" x14ac:dyDescent="0.25">
      <c r="A1740" t="s">
        <v>17</v>
      </c>
      <c r="B1740" t="s">
        <v>53</v>
      </c>
      <c r="C1740" t="s">
        <v>25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</row>
    <row r="1741" spans="1:9" x14ac:dyDescent="0.25">
      <c r="A1741" t="s">
        <v>17</v>
      </c>
      <c r="B1741" t="s">
        <v>53</v>
      </c>
      <c r="C1741" t="s">
        <v>10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</row>
    <row r="1742" spans="1:9" x14ac:dyDescent="0.25">
      <c r="A1742" t="s">
        <v>17</v>
      </c>
      <c r="B1742" t="s">
        <v>54</v>
      </c>
      <c r="C1742" t="s">
        <v>25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</row>
    <row r="1743" spans="1:9" x14ac:dyDescent="0.25">
      <c r="A1743" t="s">
        <v>17</v>
      </c>
      <c r="B1743" t="s">
        <v>54</v>
      </c>
      <c r="C1743" t="s">
        <v>10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</row>
    <row r="1744" spans="1:9" x14ac:dyDescent="0.25">
      <c r="A1744" t="s">
        <v>17</v>
      </c>
      <c r="B1744" t="s">
        <v>55</v>
      </c>
      <c r="C1744" t="s">
        <v>25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</row>
    <row r="1745" spans="1:9" x14ac:dyDescent="0.25">
      <c r="A1745" t="s">
        <v>17</v>
      </c>
      <c r="B1745" t="s">
        <v>55</v>
      </c>
      <c r="C1745" t="s">
        <v>10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</row>
    <row r="1746" spans="1:9" x14ac:dyDescent="0.25">
      <c r="A1746" t="s">
        <v>17</v>
      </c>
      <c r="B1746" t="s">
        <v>56</v>
      </c>
      <c r="C1746" t="s">
        <v>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</row>
    <row r="1747" spans="1:9" x14ac:dyDescent="0.25">
      <c r="A1747" t="s">
        <v>17</v>
      </c>
      <c r="B1747" t="s">
        <v>56</v>
      </c>
      <c r="C1747" t="s">
        <v>10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</row>
    <row r="1748" spans="1:9" x14ac:dyDescent="0.25">
      <c r="A1748" t="s">
        <v>17</v>
      </c>
      <c r="B1748" t="s">
        <v>57</v>
      </c>
      <c r="C1748" t="s">
        <v>25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</row>
    <row r="1749" spans="1:9" x14ac:dyDescent="0.25">
      <c r="A1749" t="s">
        <v>17</v>
      </c>
      <c r="B1749" t="s">
        <v>57</v>
      </c>
      <c r="C1749" t="s">
        <v>10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</row>
    <row r="1750" spans="1:9" x14ac:dyDescent="0.25">
      <c r="A1750" t="s">
        <v>17</v>
      </c>
      <c r="B1750" t="s">
        <v>58</v>
      </c>
      <c r="C1750" t="s">
        <v>25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</row>
    <row r="1751" spans="1:9" x14ac:dyDescent="0.25">
      <c r="A1751" t="s">
        <v>17</v>
      </c>
      <c r="B1751" t="s">
        <v>58</v>
      </c>
      <c r="C1751" t="s">
        <v>10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</row>
    <row r="1752" spans="1:9" x14ac:dyDescent="0.25">
      <c r="A1752" t="s">
        <v>17</v>
      </c>
      <c r="B1752" t="s">
        <v>59</v>
      </c>
      <c r="C1752" t="s">
        <v>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</row>
    <row r="1753" spans="1:9" x14ac:dyDescent="0.25">
      <c r="A1753" t="s">
        <v>17</v>
      </c>
      <c r="B1753" t="s">
        <v>59</v>
      </c>
      <c r="C1753" t="s">
        <v>10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</row>
    <row r="1754" spans="1:9" x14ac:dyDescent="0.25">
      <c r="A1754" t="s">
        <v>17</v>
      </c>
      <c r="B1754" t="s">
        <v>60</v>
      </c>
      <c r="C1754" t="s">
        <v>25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</row>
    <row r="1755" spans="1:9" x14ac:dyDescent="0.25">
      <c r="A1755" t="s">
        <v>17</v>
      </c>
      <c r="B1755" t="s">
        <v>60</v>
      </c>
      <c r="C1755" t="s">
        <v>10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</row>
    <row r="1756" spans="1:9" x14ac:dyDescent="0.25">
      <c r="A1756" t="s">
        <v>17</v>
      </c>
      <c r="B1756" t="s">
        <v>61</v>
      </c>
      <c r="C1756" t="s">
        <v>25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</row>
    <row r="1757" spans="1:9" x14ac:dyDescent="0.25">
      <c r="A1757" t="s">
        <v>17</v>
      </c>
      <c r="B1757" t="s">
        <v>61</v>
      </c>
      <c r="C1757" t="s">
        <v>10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</row>
    <row r="1758" spans="1:9" x14ac:dyDescent="0.25">
      <c r="A1758" t="s">
        <v>17</v>
      </c>
      <c r="B1758" t="s">
        <v>62</v>
      </c>
      <c r="C1758" t="s">
        <v>25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</row>
    <row r="1759" spans="1:9" x14ac:dyDescent="0.25">
      <c r="A1759" t="s">
        <v>17</v>
      </c>
      <c r="B1759" t="s">
        <v>62</v>
      </c>
      <c r="C1759" t="s">
        <v>10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</row>
    <row r="1760" spans="1:9" x14ac:dyDescent="0.25">
      <c r="A1760" t="s">
        <v>17</v>
      </c>
      <c r="B1760" t="s">
        <v>63</v>
      </c>
      <c r="C1760" t="s">
        <v>25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</row>
    <row r="1761" spans="1:9" x14ac:dyDescent="0.25">
      <c r="A1761" t="s">
        <v>17</v>
      </c>
      <c r="B1761" t="s">
        <v>63</v>
      </c>
      <c r="C1761" t="s">
        <v>10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</row>
    <row r="1762" spans="1:9" x14ac:dyDescent="0.25">
      <c r="A1762" t="s">
        <v>17</v>
      </c>
      <c r="B1762" t="s">
        <v>64</v>
      </c>
      <c r="C1762" t="s">
        <v>25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</row>
    <row r="1763" spans="1:9" x14ac:dyDescent="0.25">
      <c r="A1763" t="s">
        <v>17</v>
      </c>
      <c r="B1763" t="s">
        <v>64</v>
      </c>
      <c r="C1763" t="s">
        <v>10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</row>
    <row r="1764" spans="1:9" x14ac:dyDescent="0.25">
      <c r="A1764" t="s">
        <v>17</v>
      </c>
      <c r="B1764" t="s">
        <v>65</v>
      </c>
      <c r="C1764" t="s">
        <v>25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</row>
    <row r="1765" spans="1:9" x14ac:dyDescent="0.25">
      <c r="A1765" t="s">
        <v>17</v>
      </c>
      <c r="B1765" t="s">
        <v>65</v>
      </c>
      <c r="C1765" t="s">
        <v>10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</row>
    <row r="1766" spans="1:9" x14ac:dyDescent="0.25">
      <c r="A1766" t="s">
        <v>17</v>
      </c>
      <c r="B1766" t="s">
        <v>66</v>
      </c>
      <c r="C1766" t="s">
        <v>25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</row>
    <row r="1767" spans="1:9" x14ac:dyDescent="0.25">
      <c r="A1767" t="s">
        <v>17</v>
      </c>
      <c r="B1767" t="s">
        <v>66</v>
      </c>
      <c r="C1767" t="s">
        <v>10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</row>
    <row r="1768" spans="1:9" x14ac:dyDescent="0.25">
      <c r="A1768" t="s">
        <v>17</v>
      </c>
      <c r="B1768" t="s">
        <v>67</v>
      </c>
      <c r="C1768" t="s">
        <v>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</row>
    <row r="1769" spans="1:9" x14ac:dyDescent="0.25">
      <c r="A1769" t="s">
        <v>17</v>
      </c>
      <c r="B1769" t="s">
        <v>67</v>
      </c>
      <c r="C1769" t="s">
        <v>10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</row>
    <row r="1770" spans="1:9" x14ac:dyDescent="0.25">
      <c r="A1770" t="s">
        <v>17</v>
      </c>
      <c r="B1770" t="s">
        <v>68</v>
      </c>
      <c r="C1770" t="s">
        <v>25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</row>
    <row r="1771" spans="1:9" x14ac:dyDescent="0.25">
      <c r="A1771" t="s">
        <v>17</v>
      </c>
      <c r="B1771" t="s">
        <v>68</v>
      </c>
      <c r="C1771" t="s">
        <v>10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</row>
    <row r="1772" spans="1:9" x14ac:dyDescent="0.25">
      <c r="A1772" t="s">
        <v>17</v>
      </c>
      <c r="B1772" t="s">
        <v>69</v>
      </c>
      <c r="C1772" t="s">
        <v>25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</row>
    <row r="1773" spans="1:9" x14ac:dyDescent="0.25">
      <c r="A1773" t="s">
        <v>17</v>
      </c>
      <c r="B1773" t="s">
        <v>69</v>
      </c>
      <c r="C1773" t="s">
        <v>10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</row>
    <row r="1774" spans="1:9" x14ac:dyDescent="0.25">
      <c r="A1774" t="s">
        <v>17</v>
      </c>
      <c r="B1774" t="s">
        <v>70</v>
      </c>
      <c r="C1774" t="s">
        <v>25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</row>
    <row r="1775" spans="1:9" x14ac:dyDescent="0.25">
      <c r="A1775" t="s">
        <v>17</v>
      </c>
      <c r="B1775" t="s">
        <v>70</v>
      </c>
      <c r="C1775" t="s">
        <v>10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</row>
    <row r="1776" spans="1:9" x14ac:dyDescent="0.25">
      <c r="A1776" t="s">
        <v>17</v>
      </c>
      <c r="B1776" t="s">
        <v>71</v>
      </c>
      <c r="C1776" t="s">
        <v>25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</row>
    <row r="1777" spans="1:9" x14ac:dyDescent="0.25">
      <c r="A1777" t="s">
        <v>17</v>
      </c>
      <c r="B1777" t="s">
        <v>71</v>
      </c>
      <c r="C1777" t="s">
        <v>10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</row>
    <row r="1778" spans="1:9" x14ac:dyDescent="0.25">
      <c r="A1778" t="s">
        <v>17</v>
      </c>
      <c r="B1778" t="s">
        <v>72</v>
      </c>
      <c r="C1778" t="s">
        <v>25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</row>
    <row r="1779" spans="1:9" x14ac:dyDescent="0.25">
      <c r="A1779" t="s">
        <v>17</v>
      </c>
      <c r="B1779" t="s">
        <v>72</v>
      </c>
      <c r="C1779" t="s">
        <v>10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</row>
    <row r="1780" spans="1:9" x14ac:dyDescent="0.25">
      <c r="A1780" t="s">
        <v>17</v>
      </c>
      <c r="B1780" t="s">
        <v>73</v>
      </c>
      <c r="C1780" t="s">
        <v>25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</row>
    <row r="1781" spans="1:9" x14ac:dyDescent="0.25">
      <c r="A1781" t="s">
        <v>17</v>
      </c>
      <c r="B1781" t="s">
        <v>73</v>
      </c>
      <c r="C1781" t="s">
        <v>10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</row>
    <row r="1782" spans="1:9" x14ac:dyDescent="0.25">
      <c r="A1782" t="s">
        <v>17</v>
      </c>
      <c r="B1782" t="s">
        <v>74</v>
      </c>
      <c r="C1782" t="s">
        <v>25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</row>
    <row r="1783" spans="1:9" x14ac:dyDescent="0.25">
      <c r="A1783" t="s">
        <v>17</v>
      </c>
      <c r="B1783" t="s">
        <v>74</v>
      </c>
      <c r="C1783" t="s">
        <v>10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</row>
    <row r="1784" spans="1:9" x14ac:dyDescent="0.25">
      <c r="A1784" t="s">
        <v>17</v>
      </c>
      <c r="B1784" t="s">
        <v>75</v>
      </c>
      <c r="C1784" t="s">
        <v>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</row>
    <row r="1785" spans="1:9" x14ac:dyDescent="0.25">
      <c r="A1785" t="s">
        <v>17</v>
      </c>
      <c r="B1785" t="s">
        <v>75</v>
      </c>
      <c r="C1785" t="s">
        <v>10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</row>
    <row r="1786" spans="1:9" x14ac:dyDescent="0.25">
      <c r="A1786" t="s">
        <v>17</v>
      </c>
      <c r="B1786" t="s">
        <v>76</v>
      </c>
      <c r="C1786" t="s">
        <v>25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</row>
    <row r="1787" spans="1:9" x14ac:dyDescent="0.25">
      <c r="A1787" t="s">
        <v>17</v>
      </c>
      <c r="B1787" t="s">
        <v>76</v>
      </c>
      <c r="C1787" t="s">
        <v>10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</row>
    <row r="1788" spans="1:9" x14ac:dyDescent="0.25">
      <c r="A1788" t="s">
        <v>17</v>
      </c>
      <c r="B1788" t="s">
        <v>77</v>
      </c>
      <c r="C1788" t="s">
        <v>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</row>
    <row r="1789" spans="1:9" x14ac:dyDescent="0.25">
      <c r="A1789" t="s">
        <v>17</v>
      </c>
      <c r="B1789" t="s">
        <v>77</v>
      </c>
      <c r="C1789" t="s">
        <v>10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</row>
    <row r="1790" spans="1:9" x14ac:dyDescent="0.25">
      <c r="A1790" t="s">
        <v>17</v>
      </c>
      <c r="B1790" t="s">
        <v>78</v>
      </c>
      <c r="C1790" t="s">
        <v>25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</row>
    <row r="1791" spans="1:9" x14ac:dyDescent="0.25">
      <c r="A1791" t="s">
        <v>17</v>
      </c>
      <c r="B1791" t="s">
        <v>78</v>
      </c>
      <c r="C1791" t="s">
        <v>10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</row>
    <row r="1792" spans="1:9" x14ac:dyDescent="0.25">
      <c r="A1792" t="s">
        <v>17</v>
      </c>
      <c r="B1792" t="s">
        <v>79</v>
      </c>
      <c r="C1792" t="s">
        <v>25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</row>
    <row r="1793" spans="1:9" x14ac:dyDescent="0.25">
      <c r="A1793" t="s">
        <v>17</v>
      </c>
      <c r="B1793" t="s">
        <v>79</v>
      </c>
      <c r="C1793" t="s">
        <v>10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</row>
    <row r="1794" spans="1:9" x14ac:dyDescent="0.25">
      <c r="A1794" t="s">
        <v>17</v>
      </c>
      <c r="B1794" t="s">
        <v>80</v>
      </c>
      <c r="C1794" t="s">
        <v>25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</row>
    <row r="1795" spans="1:9" x14ac:dyDescent="0.25">
      <c r="A1795" t="s">
        <v>17</v>
      </c>
      <c r="B1795" t="s">
        <v>80</v>
      </c>
      <c r="C1795" t="s">
        <v>10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</row>
    <row r="1796" spans="1:9" x14ac:dyDescent="0.25">
      <c r="A1796" t="s">
        <v>17</v>
      </c>
      <c r="B1796" t="s">
        <v>81</v>
      </c>
      <c r="C1796" t="s">
        <v>25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</row>
    <row r="1797" spans="1:9" x14ac:dyDescent="0.25">
      <c r="A1797" t="s">
        <v>17</v>
      </c>
      <c r="B1797" t="s">
        <v>81</v>
      </c>
      <c r="C1797" t="s">
        <v>10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</row>
    <row r="1798" spans="1:9" x14ac:dyDescent="0.25">
      <c r="A1798" t="s">
        <v>17</v>
      </c>
      <c r="B1798" t="s">
        <v>82</v>
      </c>
      <c r="C1798" t="s">
        <v>25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</row>
    <row r="1799" spans="1:9" x14ac:dyDescent="0.25">
      <c r="A1799" t="s">
        <v>17</v>
      </c>
      <c r="B1799" t="s">
        <v>82</v>
      </c>
      <c r="C1799" t="s">
        <v>10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</row>
    <row r="1800" spans="1:9" x14ac:dyDescent="0.25">
      <c r="A1800" t="s">
        <v>17</v>
      </c>
      <c r="B1800" t="s">
        <v>83</v>
      </c>
      <c r="C1800" t="s">
        <v>25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</row>
    <row r="1801" spans="1:9" x14ac:dyDescent="0.25">
      <c r="A1801" t="s">
        <v>17</v>
      </c>
      <c r="B1801" t="s">
        <v>83</v>
      </c>
      <c r="C1801" t="s">
        <v>10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</row>
    <row r="1802" spans="1:9" x14ac:dyDescent="0.25">
      <c r="A1802" t="s">
        <v>17</v>
      </c>
      <c r="B1802" t="s">
        <v>84</v>
      </c>
      <c r="C1802" t="s">
        <v>25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</row>
    <row r="1803" spans="1:9" x14ac:dyDescent="0.25">
      <c r="A1803" t="s">
        <v>17</v>
      </c>
      <c r="B1803" t="s">
        <v>84</v>
      </c>
      <c r="C1803" t="s">
        <v>10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</row>
    <row r="1804" spans="1:9" x14ac:dyDescent="0.25">
      <c r="A1804" t="s">
        <v>17</v>
      </c>
      <c r="B1804" t="s">
        <v>85</v>
      </c>
      <c r="C1804" t="s">
        <v>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</row>
    <row r="1805" spans="1:9" x14ac:dyDescent="0.25">
      <c r="A1805" t="s">
        <v>17</v>
      </c>
      <c r="B1805" t="s">
        <v>85</v>
      </c>
      <c r="C1805" t="s">
        <v>10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</row>
    <row r="1806" spans="1:9" x14ac:dyDescent="0.25">
      <c r="A1806" t="s">
        <v>17</v>
      </c>
      <c r="B1806" t="s">
        <v>86</v>
      </c>
      <c r="C1806" t="s">
        <v>25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</row>
    <row r="1807" spans="1:9" x14ac:dyDescent="0.25">
      <c r="A1807" t="s">
        <v>17</v>
      </c>
      <c r="B1807" t="s">
        <v>86</v>
      </c>
      <c r="C1807" t="s">
        <v>10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</row>
    <row r="1808" spans="1:9" x14ac:dyDescent="0.25">
      <c r="A1808" t="s">
        <v>17</v>
      </c>
      <c r="B1808" t="s">
        <v>87</v>
      </c>
      <c r="C1808" t="s">
        <v>25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</row>
    <row r="1809" spans="1:9" x14ac:dyDescent="0.25">
      <c r="A1809" t="s">
        <v>17</v>
      </c>
      <c r="B1809" t="s">
        <v>87</v>
      </c>
      <c r="C1809" t="s">
        <v>10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</row>
    <row r="1810" spans="1:9" x14ac:dyDescent="0.25">
      <c r="A1810" t="s">
        <v>17</v>
      </c>
      <c r="B1810" t="s">
        <v>88</v>
      </c>
      <c r="C1810" t="s">
        <v>25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</row>
    <row r="1811" spans="1:9" x14ac:dyDescent="0.25">
      <c r="A1811" t="s">
        <v>17</v>
      </c>
      <c r="B1811" t="s">
        <v>88</v>
      </c>
      <c r="C1811" t="s">
        <v>10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</row>
    <row r="1812" spans="1:9" x14ac:dyDescent="0.25">
      <c r="A1812" t="s">
        <v>17</v>
      </c>
      <c r="B1812" t="s">
        <v>89</v>
      </c>
      <c r="C1812" t="s">
        <v>25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</row>
    <row r="1813" spans="1:9" x14ac:dyDescent="0.25">
      <c r="A1813" t="s">
        <v>17</v>
      </c>
      <c r="B1813" t="s">
        <v>89</v>
      </c>
      <c r="C1813" t="s">
        <v>10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</row>
    <row r="1814" spans="1:9" x14ac:dyDescent="0.25">
      <c r="A1814" t="s">
        <v>17</v>
      </c>
      <c r="B1814" t="s">
        <v>90</v>
      </c>
      <c r="C1814" t="s">
        <v>25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</row>
    <row r="1815" spans="1:9" x14ac:dyDescent="0.25">
      <c r="A1815" t="s">
        <v>17</v>
      </c>
      <c r="B1815" t="s">
        <v>90</v>
      </c>
      <c r="C1815" t="s">
        <v>10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</row>
    <row r="1816" spans="1:9" x14ac:dyDescent="0.25">
      <c r="A1816" t="s">
        <v>17</v>
      </c>
      <c r="B1816" t="s">
        <v>91</v>
      </c>
      <c r="C1816" t="s">
        <v>25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</row>
    <row r="1817" spans="1:9" x14ac:dyDescent="0.25">
      <c r="A1817" t="s">
        <v>17</v>
      </c>
      <c r="B1817" t="s">
        <v>91</v>
      </c>
      <c r="C1817" t="s">
        <v>10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</row>
    <row r="1818" spans="1:9" x14ac:dyDescent="0.25">
      <c r="A1818" t="s">
        <v>17</v>
      </c>
      <c r="B1818" t="s">
        <v>92</v>
      </c>
      <c r="C1818" t="s">
        <v>25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</row>
    <row r="1819" spans="1:9" x14ac:dyDescent="0.25">
      <c r="A1819" t="s">
        <v>17</v>
      </c>
      <c r="B1819" t="s">
        <v>92</v>
      </c>
      <c r="C1819" t="s">
        <v>10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</row>
    <row r="1820" spans="1:9" x14ac:dyDescent="0.25">
      <c r="A1820" t="s">
        <v>17</v>
      </c>
      <c r="B1820" t="s">
        <v>93</v>
      </c>
      <c r="C1820" t="s">
        <v>25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</row>
    <row r="1821" spans="1:9" x14ac:dyDescent="0.25">
      <c r="A1821" t="s">
        <v>17</v>
      </c>
      <c r="B1821" t="s">
        <v>93</v>
      </c>
      <c r="C1821" t="s">
        <v>10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</row>
    <row r="1822" spans="1:9" x14ac:dyDescent="0.25">
      <c r="A1822" t="s">
        <v>17</v>
      </c>
      <c r="B1822" t="s">
        <v>94</v>
      </c>
      <c r="C1822" t="s">
        <v>25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</row>
    <row r="1823" spans="1:9" x14ac:dyDescent="0.25">
      <c r="A1823" t="s">
        <v>17</v>
      </c>
      <c r="B1823" t="s">
        <v>94</v>
      </c>
      <c r="C1823" t="s">
        <v>10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</row>
    <row r="1824" spans="1:9" x14ac:dyDescent="0.25">
      <c r="A1824" t="s">
        <v>17</v>
      </c>
      <c r="B1824" t="s">
        <v>95</v>
      </c>
      <c r="C1824" t="s">
        <v>25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</row>
    <row r="1825" spans="1:9" x14ac:dyDescent="0.25">
      <c r="A1825" t="s">
        <v>17</v>
      </c>
      <c r="B1825" t="s">
        <v>95</v>
      </c>
      <c r="C1825" t="s">
        <v>10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</row>
    <row r="1826" spans="1:9" x14ac:dyDescent="0.25">
      <c r="A1826" t="s">
        <v>17</v>
      </c>
      <c r="B1826" t="s">
        <v>96</v>
      </c>
      <c r="C1826" t="s">
        <v>25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</row>
    <row r="1827" spans="1:9" x14ac:dyDescent="0.25">
      <c r="A1827" t="s">
        <v>17</v>
      </c>
      <c r="B1827" t="s">
        <v>96</v>
      </c>
      <c r="C1827" t="s">
        <v>10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</row>
    <row r="1828" spans="1:9" x14ac:dyDescent="0.25">
      <c r="A1828" t="s">
        <v>17</v>
      </c>
      <c r="B1828" t="s">
        <v>97</v>
      </c>
      <c r="C1828" t="s">
        <v>25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</row>
    <row r="1829" spans="1:9" x14ac:dyDescent="0.25">
      <c r="A1829" t="s">
        <v>17</v>
      </c>
      <c r="B1829" t="s">
        <v>97</v>
      </c>
      <c r="C1829" t="s">
        <v>10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</row>
    <row r="1830" spans="1:9" x14ac:dyDescent="0.25">
      <c r="A1830" t="s">
        <v>17</v>
      </c>
      <c r="B1830" t="s">
        <v>14</v>
      </c>
      <c r="C1830" t="s">
        <v>25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</row>
    <row r="1831" spans="1:9" x14ac:dyDescent="0.25">
      <c r="A1831" t="s">
        <v>17</v>
      </c>
      <c r="B1831" t="s">
        <v>14</v>
      </c>
      <c r="C1831" t="s">
        <v>10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</row>
    <row r="1832" spans="1:9" x14ac:dyDescent="0.25">
      <c r="A1832" t="s">
        <v>17</v>
      </c>
      <c r="B1832" t="s">
        <v>98</v>
      </c>
      <c r="C1832" t="s">
        <v>25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</row>
    <row r="1833" spans="1:9" x14ac:dyDescent="0.25">
      <c r="A1833" t="s">
        <v>17</v>
      </c>
      <c r="B1833" t="s">
        <v>98</v>
      </c>
      <c r="C1833" t="s">
        <v>10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</row>
    <row r="1834" spans="1:9" x14ac:dyDescent="0.25">
      <c r="A1834" t="s">
        <v>17</v>
      </c>
      <c r="B1834" t="s">
        <v>15</v>
      </c>
      <c r="C1834" t="s">
        <v>25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</row>
    <row r="1835" spans="1:9" x14ac:dyDescent="0.25">
      <c r="A1835" t="s">
        <v>17</v>
      </c>
      <c r="B1835" t="s">
        <v>15</v>
      </c>
      <c r="C1835" t="s">
        <v>10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</row>
    <row r="1836" spans="1:9" x14ac:dyDescent="0.25">
      <c r="A1836" t="s">
        <v>17</v>
      </c>
      <c r="B1836" t="s">
        <v>99</v>
      </c>
      <c r="C1836" t="s">
        <v>25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</row>
    <row r="1837" spans="1:9" x14ac:dyDescent="0.25">
      <c r="A1837" t="s">
        <v>17</v>
      </c>
      <c r="B1837" t="s">
        <v>99</v>
      </c>
      <c r="C1837" t="s">
        <v>10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</row>
    <row r="1838" spans="1:9" x14ac:dyDescent="0.25">
      <c r="A1838" t="s">
        <v>17</v>
      </c>
      <c r="B1838" t="s">
        <v>100</v>
      </c>
      <c r="C1838" t="s">
        <v>25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</row>
    <row r="1839" spans="1:9" x14ac:dyDescent="0.25">
      <c r="A1839" t="s">
        <v>17</v>
      </c>
      <c r="B1839" t="s">
        <v>100</v>
      </c>
      <c r="C1839" t="s">
        <v>10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</row>
    <row r="1840" spans="1:9" x14ac:dyDescent="0.25">
      <c r="A1840" t="s">
        <v>17</v>
      </c>
      <c r="B1840" t="s">
        <v>101</v>
      </c>
      <c r="C1840" t="s">
        <v>25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</row>
    <row r="1841" spans="1:9" x14ac:dyDescent="0.25">
      <c r="A1841" t="s">
        <v>17</v>
      </c>
      <c r="B1841" t="s">
        <v>101</v>
      </c>
      <c r="C1841" t="s">
        <v>10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</row>
    <row r="1842" spans="1:9" x14ac:dyDescent="0.25">
      <c r="A1842" t="s">
        <v>17</v>
      </c>
      <c r="B1842" t="s">
        <v>102</v>
      </c>
      <c r="C1842" t="s">
        <v>25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</row>
    <row r="1843" spans="1:9" x14ac:dyDescent="0.25">
      <c r="A1843" t="s">
        <v>17</v>
      </c>
      <c r="B1843" t="s">
        <v>102</v>
      </c>
      <c r="C1843" t="s">
        <v>10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</row>
    <row r="1844" spans="1:9" x14ac:dyDescent="0.25">
      <c r="A1844" t="s">
        <v>17</v>
      </c>
      <c r="B1844" t="s">
        <v>103</v>
      </c>
      <c r="C1844" t="s">
        <v>25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</row>
    <row r="1845" spans="1:9" x14ac:dyDescent="0.25">
      <c r="A1845" t="s">
        <v>17</v>
      </c>
      <c r="B1845" t="s">
        <v>103</v>
      </c>
      <c r="C1845" t="s">
        <v>10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</row>
    <row r="1846" spans="1:9" x14ac:dyDescent="0.25">
      <c r="A1846" t="s">
        <v>17</v>
      </c>
      <c r="B1846" t="s">
        <v>104</v>
      </c>
      <c r="C1846" t="s">
        <v>25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</row>
    <row r="1847" spans="1:9" x14ac:dyDescent="0.25">
      <c r="A1847" t="s">
        <v>17</v>
      </c>
      <c r="B1847" t="s">
        <v>104</v>
      </c>
      <c r="C1847" t="s">
        <v>10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</row>
    <row r="1848" spans="1:9" x14ac:dyDescent="0.25">
      <c r="A1848" t="s">
        <v>17</v>
      </c>
      <c r="B1848" t="s">
        <v>105</v>
      </c>
      <c r="C1848" t="s">
        <v>25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</row>
    <row r="1849" spans="1:9" x14ac:dyDescent="0.25">
      <c r="A1849" t="s">
        <v>17</v>
      </c>
      <c r="B1849" t="s">
        <v>105</v>
      </c>
      <c r="C1849" t="s">
        <v>10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</row>
    <row r="1850" spans="1:9" x14ac:dyDescent="0.25">
      <c r="A1850" t="s">
        <v>17</v>
      </c>
      <c r="B1850" t="s">
        <v>106</v>
      </c>
      <c r="C1850" t="s">
        <v>25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</row>
    <row r="1851" spans="1:9" x14ac:dyDescent="0.25">
      <c r="A1851" t="s">
        <v>17</v>
      </c>
      <c r="B1851" t="s">
        <v>106</v>
      </c>
      <c r="C1851" t="s">
        <v>10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</row>
    <row r="1852" spans="1:9" x14ac:dyDescent="0.25">
      <c r="A1852" t="s">
        <v>17</v>
      </c>
      <c r="B1852" t="s">
        <v>107</v>
      </c>
      <c r="C1852" t="s">
        <v>25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</row>
    <row r="1853" spans="1:9" x14ac:dyDescent="0.25">
      <c r="A1853" t="s">
        <v>17</v>
      </c>
      <c r="B1853" t="s">
        <v>107</v>
      </c>
      <c r="C1853" t="s">
        <v>10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</row>
    <row r="1854" spans="1:9" x14ac:dyDescent="0.25">
      <c r="A1854" t="s">
        <v>17</v>
      </c>
      <c r="B1854" t="s">
        <v>108</v>
      </c>
      <c r="C1854" t="s">
        <v>25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</row>
    <row r="1855" spans="1:9" x14ac:dyDescent="0.25">
      <c r="A1855" t="s">
        <v>17</v>
      </c>
      <c r="B1855" t="s">
        <v>108</v>
      </c>
      <c r="C1855" t="s">
        <v>10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</row>
    <row r="1856" spans="1:9" x14ac:dyDescent="0.25">
      <c r="A1856" t="s">
        <v>17</v>
      </c>
      <c r="B1856" t="s">
        <v>109</v>
      </c>
      <c r="C1856" t="s">
        <v>25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</row>
    <row r="1857" spans="1:9" x14ac:dyDescent="0.25">
      <c r="A1857" t="s">
        <v>17</v>
      </c>
      <c r="B1857" t="s">
        <v>109</v>
      </c>
      <c r="C1857" t="s">
        <v>10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</row>
    <row r="1858" spans="1:9" x14ac:dyDescent="0.25">
      <c r="A1858" t="s">
        <v>17</v>
      </c>
      <c r="B1858" t="s">
        <v>110</v>
      </c>
      <c r="C1858" t="s">
        <v>25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</row>
    <row r="1859" spans="1:9" x14ac:dyDescent="0.25">
      <c r="A1859" t="s">
        <v>17</v>
      </c>
      <c r="B1859" t="s">
        <v>110</v>
      </c>
      <c r="C1859" t="s">
        <v>10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</row>
    <row r="1860" spans="1:9" x14ac:dyDescent="0.25">
      <c r="A1860" t="s">
        <v>17</v>
      </c>
      <c r="B1860" t="s">
        <v>111</v>
      </c>
      <c r="C1860" t="s">
        <v>25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</row>
    <row r="1861" spans="1:9" x14ac:dyDescent="0.25">
      <c r="A1861" t="s">
        <v>17</v>
      </c>
      <c r="B1861" t="s">
        <v>111</v>
      </c>
      <c r="C1861" t="s">
        <v>10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</row>
    <row r="1862" spans="1:9" x14ac:dyDescent="0.25">
      <c r="A1862" t="s">
        <v>17</v>
      </c>
      <c r="B1862" t="s">
        <v>112</v>
      </c>
      <c r="C1862" t="s">
        <v>25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</row>
    <row r="1863" spans="1:9" x14ac:dyDescent="0.25">
      <c r="A1863" t="s">
        <v>17</v>
      </c>
      <c r="B1863" t="s">
        <v>112</v>
      </c>
      <c r="C1863" t="s">
        <v>10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</row>
    <row r="1864" spans="1:9" x14ac:dyDescent="0.25">
      <c r="A1864" t="s">
        <v>17</v>
      </c>
      <c r="B1864" t="s">
        <v>113</v>
      </c>
      <c r="C1864" t="s">
        <v>25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</row>
    <row r="1865" spans="1:9" x14ac:dyDescent="0.25">
      <c r="A1865" t="s">
        <v>17</v>
      </c>
      <c r="B1865" t="s">
        <v>113</v>
      </c>
      <c r="C1865" t="s">
        <v>10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</row>
    <row r="1866" spans="1:9" x14ac:dyDescent="0.25">
      <c r="A1866" t="s">
        <v>17</v>
      </c>
      <c r="B1866" t="s">
        <v>114</v>
      </c>
      <c r="C1866" t="s">
        <v>25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</row>
    <row r="1867" spans="1:9" x14ac:dyDescent="0.25">
      <c r="A1867" t="s">
        <v>17</v>
      </c>
      <c r="B1867" t="s">
        <v>114</v>
      </c>
      <c r="C1867" t="s">
        <v>10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</row>
    <row r="1868" spans="1:9" x14ac:dyDescent="0.25">
      <c r="A1868" t="s">
        <v>17</v>
      </c>
      <c r="B1868" t="s">
        <v>115</v>
      </c>
      <c r="C1868" t="s">
        <v>25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</row>
    <row r="1869" spans="1:9" x14ac:dyDescent="0.25">
      <c r="A1869" t="s">
        <v>17</v>
      </c>
      <c r="B1869" t="s">
        <v>115</v>
      </c>
      <c r="C1869" t="s">
        <v>10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</row>
    <row r="1870" spans="1:9" x14ac:dyDescent="0.25">
      <c r="A1870" t="s">
        <v>17</v>
      </c>
      <c r="B1870" t="s">
        <v>116</v>
      </c>
      <c r="C1870" t="s">
        <v>25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</row>
    <row r="1871" spans="1:9" x14ac:dyDescent="0.25">
      <c r="A1871" t="s">
        <v>17</v>
      </c>
      <c r="B1871" t="s">
        <v>116</v>
      </c>
      <c r="C1871" t="s">
        <v>10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</row>
    <row r="1872" spans="1:9" x14ac:dyDescent="0.25">
      <c r="A1872" t="s">
        <v>17</v>
      </c>
      <c r="B1872" t="s">
        <v>117</v>
      </c>
      <c r="C1872" t="s">
        <v>25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</row>
    <row r="1873" spans="1:9" x14ac:dyDescent="0.25">
      <c r="A1873" t="s">
        <v>17</v>
      </c>
      <c r="B1873" t="s">
        <v>117</v>
      </c>
      <c r="C1873" t="s">
        <v>10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</row>
    <row r="1874" spans="1:9" x14ac:dyDescent="0.25">
      <c r="A1874" t="s">
        <v>17</v>
      </c>
      <c r="B1874" t="s">
        <v>118</v>
      </c>
      <c r="C1874" t="s">
        <v>25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</row>
    <row r="1875" spans="1:9" x14ac:dyDescent="0.25">
      <c r="A1875" t="s">
        <v>17</v>
      </c>
      <c r="B1875" t="s">
        <v>118</v>
      </c>
      <c r="C1875" t="s">
        <v>10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</row>
    <row r="1876" spans="1:9" x14ac:dyDescent="0.25">
      <c r="A1876" t="s">
        <v>17</v>
      </c>
      <c r="B1876" t="s">
        <v>119</v>
      </c>
      <c r="C1876" t="s">
        <v>25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</row>
    <row r="1877" spans="1:9" x14ac:dyDescent="0.25">
      <c r="A1877" t="s">
        <v>17</v>
      </c>
      <c r="B1877" t="s">
        <v>119</v>
      </c>
      <c r="C1877" t="s">
        <v>10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</row>
    <row r="1878" spans="1:9" x14ac:dyDescent="0.25">
      <c r="A1878" t="s">
        <v>17</v>
      </c>
      <c r="B1878" t="s">
        <v>120</v>
      </c>
      <c r="C1878" t="s">
        <v>25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</row>
    <row r="1879" spans="1:9" x14ac:dyDescent="0.25">
      <c r="A1879" t="s">
        <v>17</v>
      </c>
      <c r="B1879" t="s">
        <v>120</v>
      </c>
      <c r="C1879" t="s">
        <v>10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</row>
    <row r="1880" spans="1:9" x14ac:dyDescent="0.25">
      <c r="A1880" t="s">
        <v>17</v>
      </c>
      <c r="B1880" t="s">
        <v>121</v>
      </c>
      <c r="C1880" t="s">
        <v>25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</row>
    <row r="1881" spans="1:9" x14ac:dyDescent="0.25">
      <c r="A1881" t="s">
        <v>17</v>
      </c>
      <c r="B1881" t="s">
        <v>121</v>
      </c>
      <c r="C1881" t="s">
        <v>10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</row>
    <row r="1882" spans="1:9" x14ac:dyDescent="0.25">
      <c r="A1882" t="s">
        <v>17</v>
      </c>
      <c r="B1882" t="s">
        <v>122</v>
      </c>
      <c r="C1882" t="s">
        <v>25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</row>
    <row r="1883" spans="1:9" x14ac:dyDescent="0.25">
      <c r="A1883" t="s">
        <v>17</v>
      </c>
      <c r="B1883" t="s">
        <v>122</v>
      </c>
      <c r="C1883" t="s">
        <v>10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</row>
    <row r="1884" spans="1:9" x14ac:dyDescent="0.25">
      <c r="A1884" t="s">
        <v>17</v>
      </c>
      <c r="B1884" t="s">
        <v>123</v>
      </c>
      <c r="C1884" t="s">
        <v>25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</row>
    <row r="1885" spans="1:9" x14ac:dyDescent="0.25">
      <c r="A1885" t="s">
        <v>17</v>
      </c>
      <c r="B1885" t="s">
        <v>123</v>
      </c>
      <c r="C1885" t="s">
        <v>10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</row>
    <row r="1886" spans="1:9" x14ac:dyDescent="0.25">
      <c r="A1886" t="s">
        <v>17</v>
      </c>
      <c r="B1886" t="s">
        <v>124</v>
      </c>
      <c r="C1886" t="s">
        <v>25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</row>
    <row r="1887" spans="1:9" x14ac:dyDescent="0.25">
      <c r="A1887" t="s">
        <v>17</v>
      </c>
      <c r="B1887" t="s">
        <v>124</v>
      </c>
      <c r="C1887" t="s">
        <v>10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</row>
    <row r="1888" spans="1:9" x14ac:dyDescent="0.25">
      <c r="A1888" t="s">
        <v>17</v>
      </c>
      <c r="B1888" t="s">
        <v>125</v>
      </c>
      <c r="C1888" t="s">
        <v>25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</row>
    <row r="1889" spans="1:9" x14ac:dyDescent="0.25">
      <c r="A1889" t="s">
        <v>17</v>
      </c>
      <c r="B1889" t="s">
        <v>125</v>
      </c>
      <c r="C1889" t="s">
        <v>10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</row>
    <row r="1890" spans="1:9" x14ac:dyDescent="0.25">
      <c r="A1890" t="s">
        <v>17</v>
      </c>
      <c r="B1890" t="s">
        <v>126</v>
      </c>
      <c r="C1890" t="s">
        <v>25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</row>
    <row r="1891" spans="1:9" x14ac:dyDescent="0.25">
      <c r="A1891" t="s">
        <v>17</v>
      </c>
      <c r="B1891" t="s">
        <v>126</v>
      </c>
      <c r="C1891" t="s">
        <v>10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</row>
    <row r="1892" spans="1:9" x14ac:dyDescent="0.25">
      <c r="A1892" t="s">
        <v>17</v>
      </c>
      <c r="B1892" t="s">
        <v>127</v>
      </c>
      <c r="C1892" t="s">
        <v>25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</row>
    <row r="1893" spans="1:9" x14ac:dyDescent="0.25">
      <c r="A1893" t="s">
        <v>17</v>
      </c>
      <c r="B1893" t="s">
        <v>127</v>
      </c>
      <c r="C1893" t="s">
        <v>10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</row>
    <row r="1894" spans="1:9" x14ac:dyDescent="0.25">
      <c r="A1894" t="s">
        <v>17</v>
      </c>
      <c r="B1894" t="s">
        <v>128</v>
      </c>
      <c r="C1894" t="s">
        <v>25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</row>
    <row r="1895" spans="1:9" x14ac:dyDescent="0.25">
      <c r="A1895" t="s">
        <v>17</v>
      </c>
      <c r="B1895" t="s">
        <v>128</v>
      </c>
      <c r="C1895" t="s">
        <v>10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</row>
    <row r="1896" spans="1:9" x14ac:dyDescent="0.25">
      <c r="A1896" t="s">
        <v>17</v>
      </c>
      <c r="B1896" t="s">
        <v>129</v>
      </c>
      <c r="C1896" t="s">
        <v>25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</row>
    <row r="1897" spans="1:9" x14ac:dyDescent="0.25">
      <c r="A1897" t="s">
        <v>17</v>
      </c>
      <c r="B1897" t="s">
        <v>129</v>
      </c>
      <c r="C1897" t="s">
        <v>10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</row>
    <row r="1898" spans="1:9" x14ac:dyDescent="0.25">
      <c r="A1898" t="s">
        <v>17</v>
      </c>
      <c r="B1898" t="s">
        <v>130</v>
      </c>
      <c r="C1898" t="s">
        <v>25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</row>
    <row r="1899" spans="1:9" x14ac:dyDescent="0.25">
      <c r="A1899" t="s">
        <v>17</v>
      </c>
      <c r="B1899" t="s">
        <v>130</v>
      </c>
      <c r="C1899" t="s">
        <v>10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</row>
    <row r="1900" spans="1:9" x14ac:dyDescent="0.25">
      <c r="A1900" t="s">
        <v>17</v>
      </c>
      <c r="B1900" t="s">
        <v>131</v>
      </c>
      <c r="C1900" t="s">
        <v>25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</row>
    <row r="1901" spans="1:9" x14ac:dyDescent="0.25">
      <c r="A1901" t="s">
        <v>17</v>
      </c>
      <c r="B1901" t="s">
        <v>131</v>
      </c>
      <c r="C1901" t="s">
        <v>10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</row>
    <row r="1902" spans="1:9" x14ac:dyDescent="0.25">
      <c r="A1902" t="s">
        <v>17</v>
      </c>
      <c r="B1902" t="s">
        <v>132</v>
      </c>
      <c r="C1902" t="s">
        <v>25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</row>
    <row r="1903" spans="1:9" x14ac:dyDescent="0.25">
      <c r="A1903" t="s">
        <v>17</v>
      </c>
      <c r="B1903" t="s">
        <v>132</v>
      </c>
      <c r="C1903" t="s">
        <v>10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</row>
    <row r="1904" spans="1:9" x14ac:dyDescent="0.25">
      <c r="A1904" t="s">
        <v>17</v>
      </c>
      <c r="B1904" t="s">
        <v>133</v>
      </c>
      <c r="C1904" t="s">
        <v>25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</row>
    <row r="1905" spans="1:9" x14ac:dyDescent="0.25">
      <c r="A1905" t="s">
        <v>17</v>
      </c>
      <c r="B1905" t="s">
        <v>133</v>
      </c>
      <c r="C1905" t="s">
        <v>10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</row>
    <row r="1906" spans="1:9" x14ac:dyDescent="0.25">
      <c r="A1906" t="s">
        <v>17</v>
      </c>
      <c r="B1906" t="s">
        <v>134</v>
      </c>
      <c r="C1906" t="s">
        <v>25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</row>
    <row r="1907" spans="1:9" x14ac:dyDescent="0.25">
      <c r="A1907" t="s">
        <v>17</v>
      </c>
      <c r="B1907" t="s">
        <v>134</v>
      </c>
      <c r="C1907" t="s">
        <v>10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</row>
    <row r="1908" spans="1:9" x14ac:dyDescent="0.25">
      <c r="A1908" t="s">
        <v>17</v>
      </c>
      <c r="B1908" t="s">
        <v>135</v>
      </c>
      <c r="C1908" t="s">
        <v>25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</row>
    <row r="1909" spans="1:9" x14ac:dyDescent="0.25">
      <c r="A1909" t="s">
        <v>17</v>
      </c>
      <c r="B1909" t="s">
        <v>135</v>
      </c>
      <c r="C1909" t="s">
        <v>10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</row>
    <row r="1910" spans="1:9" x14ac:dyDescent="0.25">
      <c r="A1910" t="s">
        <v>17</v>
      </c>
      <c r="B1910" t="s">
        <v>136</v>
      </c>
      <c r="C1910" t="s">
        <v>25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</row>
    <row r="1911" spans="1:9" x14ac:dyDescent="0.25">
      <c r="A1911" t="s">
        <v>17</v>
      </c>
      <c r="B1911" t="s">
        <v>136</v>
      </c>
      <c r="C1911" t="s">
        <v>10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</row>
    <row r="1912" spans="1:9" x14ac:dyDescent="0.25">
      <c r="A1912" t="s">
        <v>17</v>
      </c>
      <c r="B1912" t="s">
        <v>137</v>
      </c>
      <c r="C1912" t="s">
        <v>25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</row>
    <row r="1913" spans="1:9" x14ac:dyDescent="0.25">
      <c r="A1913" t="s">
        <v>17</v>
      </c>
      <c r="B1913" t="s">
        <v>137</v>
      </c>
      <c r="C1913" t="s">
        <v>10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</row>
    <row r="1914" spans="1:9" x14ac:dyDescent="0.25">
      <c r="A1914" t="s">
        <v>17</v>
      </c>
      <c r="B1914" t="s">
        <v>138</v>
      </c>
      <c r="C1914" t="s">
        <v>25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</row>
    <row r="1915" spans="1:9" x14ac:dyDescent="0.25">
      <c r="A1915" t="s">
        <v>17</v>
      </c>
      <c r="B1915" t="s">
        <v>138</v>
      </c>
      <c r="C1915" t="s">
        <v>10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</row>
    <row r="1916" spans="1:9" x14ac:dyDescent="0.25">
      <c r="A1916" t="s">
        <v>17</v>
      </c>
      <c r="B1916" t="s">
        <v>139</v>
      </c>
      <c r="C1916" t="s">
        <v>25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</row>
    <row r="1917" spans="1:9" x14ac:dyDescent="0.25">
      <c r="A1917" t="s">
        <v>17</v>
      </c>
      <c r="B1917" t="s">
        <v>139</v>
      </c>
      <c r="C1917" t="s">
        <v>10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</row>
    <row r="1918" spans="1:9" x14ac:dyDescent="0.25">
      <c r="A1918" t="s">
        <v>17</v>
      </c>
      <c r="B1918" t="s">
        <v>140</v>
      </c>
      <c r="C1918" t="s">
        <v>25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</row>
    <row r="1919" spans="1:9" x14ac:dyDescent="0.25">
      <c r="A1919" t="s">
        <v>17</v>
      </c>
      <c r="B1919" t="s">
        <v>140</v>
      </c>
      <c r="C1919" t="s">
        <v>10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</row>
    <row r="1920" spans="1:9" x14ac:dyDescent="0.25">
      <c r="A1920" t="s">
        <v>17</v>
      </c>
      <c r="B1920" t="s">
        <v>141</v>
      </c>
      <c r="C1920" t="s">
        <v>25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</row>
    <row r="1921" spans="1:9" x14ac:dyDescent="0.25">
      <c r="A1921" t="s">
        <v>17</v>
      </c>
      <c r="B1921" t="s">
        <v>141</v>
      </c>
      <c r="C1921" t="s">
        <v>10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</row>
    <row r="1922" spans="1:9" x14ac:dyDescent="0.25">
      <c r="A1922" t="s">
        <v>17</v>
      </c>
      <c r="B1922" t="s">
        <v>142</v>
      </c>
      <c r="C1922" t="s">
        <v>25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</row>
    <row r="1923" spans="1:9" x14ac:dyDescent="0.25">
      <c r="A1923" t="s">
        <v>17</v>
      </c>
      <c r="B1923" t="s">
        <v>142</v>
      </c>
      <c r="C1923" t="s">
        <v>10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</row>
    <row r="1924" spans="1:9" x14ac:dyDescent="0.25">
      <c r="A1924" t="s">
        <v>17</v>
      </c>
      <c r="B1924" t="s">
        <v>143</v>
      </c>
      <c r="C1924" t="s">
        <v>25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</row>
    <row r="1925" spans="1:9" x14ac:dyDescent="0.25">
      <c r="A1925" t="s">
        <v>17</v>
      </c>
      <c r="B1925" t="s">
        <v>143</v>
      </c>
      <c r="C1925" t="s">
        <v>10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</row>
    <row r="1926" spans="1:9" x14ac:dyDescent="0.25">
      <c r="A1926" t="s">
        <v>17</v>
      </c>
      <c r="B1926" t="s">
        <v>144</v>
      </c>
      <c r="C1926" t="s">
        <v>25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</row>
    <row r="1927" spans="1:9" x14ac:dyDescent="0.25">
      <c r="A1927" t="s">
        <v>17</v>
      </c>
      <c r="B1927" t="s">
        <v>144</v>
      </c>
      <c r="C1927" t="s">
        <v>10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</row>
    <row r="1928" spans="1:9" x14ac:dyDescent="0.25">
      <c r="A1928" t="s">
        <v>17</v>
      </c>
      <c r="B1928" t="s">
        <v>145</v>
      </c>
      <c r="C1928" t="s">
        <v>25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</row>
    <row r="1929" spans="1:9" x14ac:dyDescent="0.25">
      <c r="A1929" t="s">
        <v>17</v>
      </c>
      <c r="B1929" t="s">
        <v>145</v>
      </c>
      <c r="C1929" t="s">
        <v>10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</row>
    <row r="1930" spans="1:9" x14ac:dyDescent="0.25">
      <c r="A1930" t="s">
        <v>17</v>
      </c>
      <c r="B1930" t="s">
        <v>146</v>
      </c>
      <c r="C1930" t="s">
        <v>25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</row>
    <row r="1931" spans="1:9" x14ac:dyDescent="0.25">
      <c r="A1931" t="s">
        <v>17</v>
      </c>
      <c r="B1931" t="s">
        <v>146</v>
      </c>
      <c r="C1931" t="s">
        <v>10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</row>
    <row r="1932" spans="1:9" x14ac:dyDescent="0.25">
      <c r="A1932" t="s">
        <v>17</v>
      </c>
      <c r="B1932" t="s">
        <v>147</v>
      </c>
      <c r="C1932" t="s">
        <v>25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</row>
    <row r="1933" spans="1:9" x14ac:dyDescent="0.25">
      <c r="A1933" t="s">
        <v>17</v>
      </c>
      <c r="B1933" t="s">
        <v>147</v>
      </c>
      <c r="C1933" t="s">
        <v>10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</row>
    <row r="1934" spans="1:9" x14ac:dyDescent="0.25">
      <c r="A1934" t="s">
        <v>17</v>
      </c>
      <c r="B1934" t="s">
        <v>159</v>
      </c>
      <c r="C1934" t="s">
        <v>25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</row>
    <row r="1935" spans="1:9" x14ac:dyDescent="0.25">
      <c r="A1935" t="s">
        <v>17</v>
      </c>
      <c r="B1935" t="s">
        <v>159</v>
      </c>
      <c r="C1935" t="s">
        <v>10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</row>
    <row r="1936" spans="1:9" x14ac:dyDescent="0.25">
      <c r="A1936" t="s">
        <v>17</v>
      </c>
      <c r="B1936" t="s">
        <v>160</v>
      </c>
      <c r="C1936" t="s">
        <v>25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</row>
    <row r="1937" spans="1:9" x14ac:dyDescent="0.25">
      <c r="A1937" t="s">
        <v>17</v>
      </c>
      <c r="B1937" t="s">
        <v>160</v>
      </c>
      <c r="C1937" t="s">
        <v>10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</row>
    <row r="1938" spans="1:9" x14ac:dyDescent="0.25">
      <c r="A1938" t="s">
        <v>17</v>
      </c>
      <c r="B1938" t="s">
        <v>161</v>
      </c>
      <c r="C1938" t="s">
        <v>25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</row>
    <row r="1939" spans="1:9" x14ac:dyDescent="0.25">
      <c r="A1939" t="s">
        <v>17</v>
      </c>
      <c r="B1939" t="s">
        <v>161</v>
      </c>
      <c r="C1939" t="s">
        <v>10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</row>
    <row r="1940" spans="1:9" x14ac:dyDescent="0.25">
      <c r="A1940" t="s">
        <v>17</v>
      </c>
      <c r="B1940" t="s">
        <v>162</v>
      </c>
      <c r="C1940" t="s">
        <v>25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</row>
    <row r="1941" spans="1:9" x14ac:dyDescent="0.25">
      <c r="A1941" t="s">
        <v>17</v>
      </c>
      <c r="B1941" t="s">
        <v>162</v>
      </c>
      <c r="C1941" t="s">
        <v>10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</row>
    <row r="1942" spans="1:9" x14ac:dyDescent="0.25">
      <c r="A1942" t="s">
        <v>17</v>
      </c>
      <c r="B1942" t="s">
        <v>163</v>
      </c>
      <c r="C1942" t="s">
        <v>25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</row>
    <row r="1943" spans="1:9" x14ac:dyDescent="0.25">
      <c r="A1943" t="s">
        <v>17</v>
      </c>
      <c r="B1943" t="s">
        <v>163</v>
      </c>
      <c r="C1943" t="s">
        <v>10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</row>
    <row r="1944" spans="1:9" x14ac:dyDescent="0.25">
      <c r="A1944" t="s">
        <v>17</v>
      </c>
      <c r="B1944" t="s">
        <v>164</v>
      </c>
      <c r="C1944" t="s">
        <v>25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</row>
    <row r="1945" spans="1:9" x14ac:dyDescent="0.25">
      <c r="A1945" t="s">
        <v>17</v>
      </c>
      <c r="B1945" t="s">
        <v>164</v>
      </c>
      <c r="C1945" t="s">
        <v>10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</row>
    <row r="1946" spans="1:9" x14ac:dyDescent="0.25">
      <c r="A1946" t="s">
        <v>17</v>
      </c>
      <c r="B1946" t="s">
        <v>165</v>
      </c>
      <c r="C1946" t="s">
        <v>25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</row>
    <row r="1947" spans="1:9" x14ac:dyDescent="0.25">
      <c r="A1947" t="s">
        <v>17</v>
      </c>
      <c r="B1947" t="s">
        <v>165</v>
      </c>
      <c r="C1947" t="s">
        <v>10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</row>
    <row r="1948" spans="1:9" x14ac:dyDescent="0.25">
      <c r="A1948" t="s">
        <v>17</v>
      </c>
      <c r="B1948" t="s">
        <v>166</v>
      </c>
      <c r="C1948" t="s">
        <v>25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</row>
    <row r="1949" spans="1:9" x14ac:dyDescent="0.25">
      <c r="A1949" t="s">
        <v>17</v>
      </c>
      <c r="B1949" t="s">
        <v>166</v>
      </c>
      <c r="C1949" t="s">
        <v>10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</row>
    <row r="1950" spans="1:9" x14ac:dyDescent="0.25">
      <c r="A1950" t="s">
        <v>17</v>
      </c>
      <c r="B1950" t="s">
        <v>167</v>
      </c>
      <c r="C1950" t="s">
        <v>25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</row>
    <row r="1951" spans="1:9" x14ac:dyDescent="0.25">
      <c r="A1951" t="s">
        <v>17</v>
      </c>
      <c r="B1951" t="s">
        <v>167</v>
      </c>
      <c r="C1951" t="s">
        <v>10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</row>
    <row r="1952" spans="1:9" x14ac:dyDescent="0.25">
      <c r="A1952" t="s">
        <v>17</v>
      </c>
      <c r="B1952" t="s">
        <v>168</v>
      </c>
      <c r="C1952" t="s">
        <v>25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</row>
    <row r="1953" spans="1:9" x14ac:dyDescent="0.25">
      <c r="A1953" t="s">
        <v>17</v>
      </c>
      <c r="B1953" t="s">
        <v>168</v>
      </c>
      <c r="C1953" t="s">
        <v>10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</row>
    <row r="1954" spans="1:9" x14ac:dyDescent="0.25">
      <c r="A1954" t="s">
        <v>17</v>
      </c>
      <c r="B1954" t="s">
        <v>169</v>
      </c>
      <c r="C1954" t="s">
        <v>25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</row>
    <row r="1955" spans="1:9" x14ac:dyDescent="0.25">
      <c r="A1955" t="s">
        <v>17</v>
      </c>
      <c r="B1955" t="s">
        <v>169</v>
      </c>
      <c r="C1955" t="s">
        <v>10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</row>
    <row r="1956" spans="1:9" x14ac:dyDescent="0.25">
      <c r="A1956" t="s">
        <v>17</v>
      </c>
      <c r="B1956" t="s">
        <v>170</v>
      </c>
      <c r="C1956" t="s">
        <v>25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</row>
    <row r="1957" spans="1:9" x14ac:dyDescent="0.25">
      <c r="A1957" t="s">
        <v>17</v>
      </c>
      <c r="B1957" t="s">
        <v>170</v>
      </c>
      <c r="C1957" t="s">
        <v>10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</row>
    <row r="1958" spans="1:9" x14ac:dyDescent="0.25">
      <c r="A1958" t="s">
        <v>17</v>
      </c>
      <c r="B1958" t="s">
        <v>171</v>
      </c>
      <c r="C1958" t="s">
        <v>25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</row>
    <row r="1959" spans="1:9" x14ac:dyDescent="0.25">
      <c r="A1959" t="s">
        <v>17</v>
      </c>
      <c r="B1959" t="s">
        <v>171</v>
      </c>
      <c r="C1959" t="s">
        <v>10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</row>
    <row r="1960" spans="1:9" x14ac:dyDescent="0.25">
      <c r="A1960" t="s">
        <v>17</v>
      </c>
      <c r="B1960" t="s">
        <v>172</v>
      </c>
      <c r="C1960" t="s">
        <v>25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</row>
    <row r="1961" spans="1:9" x14ac:dyDescent="0.25">
      <c r="A1961" t="s">
        <v>17</v>
      </c>
      <c r="B1961" t="s">
        <v>172</v>
      </c>
      <c r="C1961" t="s">
        <v>10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</row>
    <row r="1962" spans="1:9" x14ac:dyDescent="0.25">
      <c r="A1962" t="s">
        <v>17</v>
      </c>
      <c r="B1962" t="s">
        <v>173</v>
      </c>
      <c r="C1962" t="s">
        <v>25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</row>
    <row r="1963" spans="1:9" x14ac:dyDescent="0.25">
      <c r="A1963" t="s">
        <v>17</v>
      </c>
      <c r="B1963" t="s">
        <v>173</v>
      </c>
      <c r="C1963" t="s">
        <v>10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</row>
    <row r="1964" spans="1:9" x14ac:dyDescent="0.25">
      <c r="A1964" t="s">
        <v>17</v>
      </c>
      <c r="B1964" t="s">
        <v>174</v>
      </c>
      <c r="C1964" t="s">
        <v>25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</row>
    <row r="1965" spans="1:9" x14ac:dyDescent="0.25">
      <c r="A1965" t="s">
        <v>17</v>
      </c>
      <c r="B1965" t="s">
        <v>174</v>
      </c>
      <c r="C1965" t="s">
        <v>10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</row>
    <row r="1966" spans="1:9" x14ac:dyDescent="0.25">
      <c r="A1966" t="s">
        <v>17</v>
      </c>
      <c r="B1966" t="s">
        <v>175</v>
      </c>
      <c r="C1966" t="s">
        <v>25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</row>
    <row r="1967" spans="1:9" x14ac:dyDescent="0.25">
      <c r="A1967" t="s">
        <v>17</v>
      </c>
      <c r="B1967" t="s">
        <v>175</v>
      </c>
      <c r="C1967" t="s">
        <v>10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</row>
    <row r="1968" spans="1:9" x14ac:dyDescent="0.25">
      <c r="A1968" t="s">
        <v>17</v>
      </c>
      <c r="B1968" t="s">
        <v>176</v>
      </c>
      <c r="C1968" t="s">
        <v>25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</row>
    <row r="1969" spans="1:9" x14ac:dyDescent="0.25">
      <c r="A1969" t="s">
        <v>17</v>
      </c>
      <c r="B1969" t="s">
        <v>176</v>
      </c>
      <c r="C1969" t="s">
        <v>10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</row>
    <row r="1970" spans="1:9" x14ac:dyDescent="0.25">
      <c r="A1970" t="s">
        <v>17</v>
      </c>
      <c r="B1970" t="s">
        <v>177</v>
      </c>
      <c r="C1970" t="s">
        <v>25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</row>
    <row r="1971" spans="1:9" x14ac:dyDescent="0.25">
      <c r="A1971" t="s">
        <v>17</v>
      </c>
      <c r="B1971" t="s">
        <v>177</v>
      </c>
      <c r="C1971" t="s">
        <v>10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</row>
    <row r="1972" spans="1:9" x14ac:dyDescent="0.25">
      <c r="A1972" t="s">
        <v>17</v>
      </c>
      <c r="B1972" t="s">
        <v>178</v>
      </c>
      <c r="C1972" t="s">
        <v>25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</row>
    <row r="1973" spans="1:9" x14ac:dyDescent="0.25">
      <c r="A1973" t="s">
        <v>17</v>
      </c>
      <c r="B1973" t="s">
        <v>178</v>
      </c>
      <c r="C1973" t="s">
        <v>10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</row>
    <row r="1974" spans="1:9" x14ac:dyDescent="0.25">
      <c r="A1974" t="s">
        <v>17</v>
      </c>
      <c r="B1974" t="s">
        <v>179</v>
      </c>
      <c r="C1974" t="s">
        <v>25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</row>
    <row r="1975" spans="1:9" x14ac:dyDescent="0.25">
      <c r="A1975" t="s">
        <v>17</v>
      </c>
      <c r="B1975" t="s">
        <v>179</v>
      </c>
      <c r="C1975" t="s">
        <v>10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</row>
    <row r="1976" spans="1:9" x14ac:dyDescent="0.25">
      <c r="A1976" t="s">
        <v>17</v>
      </c>
      <c r="B1976" t="s">
        <v>180</v>
      </c>
      <c r="C1976" t="s">
        <v>25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</row>
    <row r="1977" spans="1:9" x14ac:dyDescent="0.25">
      <c r="A1977" t="s">
        <v>17</v>
      </c>
      <c r="B1977" t="s">
        <v>180</v>
      </c>
      <c r="C1977" t="s">
        <v>10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</row>
    <row r="1978" spans="1:9" x14ac:dyDescent="0.25">
      <c r="A1978" t="s">
        <v>17</v>
      </c>
      <c r="B1978" t="s">
        <v>181</v>
      </c>
      <c r="C1978" t="s">
        <v>25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</row>
    <row r="1979" spans="1:9" x14ac:dyDescent="0.25">
      <c r="A1979" t="s">
        <v>17</v>
      </c>
      <c r="B1979" t="s">
        <v>181</v>
      </c>
      <c r="C1979" t="s">
        <v>10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</row>
    <row r="1980" spans="1:9" x14ac:dyDescent="0.25">
      <c r="A1980" t="s">
        <v>17</v>
      </c>
      <c r="B1980" t="s">
        <v>182</v>
      </c>
      <c r="C1980" t="s">
        <v>25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</row>
    <row r="1981" spans="1:9" x14ac:dyDescent="0.25">
      <c r="A1981" t="s">
        <v>17</v>
      </c>
      <c r="B1981" t="s">
        <v>182</v>
      </c>
      <c r="C1981" t="s">
        <v>10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</row>
    <row r="1982" spans="1:9" x14ac:dyDescent="0.25">
      <c r="A1982" t="s">
        <v>17</v>
      </c>
      <c r="B1982" t="s">
        <v>183</v>
      </c>
      <c r="C1982" t="s">
        <v>25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</row>
    <row r="1983" spans="1:9" x14ac:dyDescent="0.25">
      <c r="A1983" t="s">
        <v>17</v>
      </c>
      <c r="B1983" t="s">
        <v>183</v>
      </c>
      <c r="C1983" t="s">
        <v>10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</row>
    <row r="1984" spans="1:9" x14ac:dyDescent="0.25">
      <c r="A1984" t="s">
        <v>17</v>
      </c>
      <c r="B1984" t="s">
        <v>184</v>
      </c>
      <c r="C1984" t="s">
        <v>25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</row>
    <row r="1985" spans="1:9" x14ac:dyDescent="0.25">
      <c r="A1985" t="s">
        <v>17</v>
      </c>
      <c r="B1985" t="s">
        <v>184</v>
      </c>
      <c r="C1985" t="s">
        <v>10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</row>
    <row r="1986" spans="1:9" x14ac:dyDescent="0.25">
      <c r="A1986" t="s">
        <v>17</v>
      </c>
      <c r="B1986" t="s">
        <v>185</v>
      </c>
      <c r="C1986" t="s">
        <v>25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</row>
    <row r="1987" spans="1:9" x14ac:dyDescent="0.25">
      <c r="A1987" t="s">
        <v>17</v>
      </c>
      <c r="B1987" t="s">
        <v>185</v>
      </c>
      <c r="C1987" t="s">
        <v>10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</row>
    <row r="1988" spans="1:9" x14ac:dyDescent="0.25">
      <c r="A1988" t="s">
        <v>17</v>
      </c>
      <c r="B1988" t="s">
        <v>186</v>
      </c>
      <c r="C1988" t="s">
        <v>25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</row>
    <row r="1989" spans="1:9" x14ac:dyDescent="0.25">
      <c r="A1989" t="s">
        <v>17</v>
      </c>
      <c r="B1989" t="s">
        <v>186</v>
      </c>
      <c r="C1989" t="s">
        <v>10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</row>
    <row r="1990" spans="1:9" x14ac:dyDescent="0.25">
      <c r="A1990" t="s">
        <v>17</v>
      </c>
      <c r="B1990" t="s">
        <v>187</v>
      </c>
      <c r="C1990" t="s">
        <v>25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</row>
    <row r="1991" spans="1:9" x14ac:dyDescent="0.25">
      <c r="A1991" t="s">
        <v>17</v>
      </c>
      <c r="B1991" t="s">
        <v>187</v>
      </c>
      <c r="C1991" t="s">
        <v>10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</row>
    <row r="1992" spans="1:9" x14ac:dyDescent="0.25">
      <c r="A1992" t="s">
        <v>17</v>
      </c>
      <c r="B1992" t="s">
        <v>188</v>
      </c>
      <c r="C1992" t="s">
        <v>25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</row>
    <row r="1993" spans="1:9" x14ac:dyDescent="0.25">
      <c r="A1993" t="s">
        <v>17</v>
      </c>
      <c r="B1993" t="s">
        <v>188</v>
      </c>
      <c r="C1993" t="s">
        <v>10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</row>
    <row r="1994" spans="1:9" x14ac:dyDescent="0.25">
      <c r="A1994" t="s">
        <v>17</v>
      </c>
      <c r="B1994" t="s">
        <v>189</v>
      </c>
      <c r="C1994" t="s">
        <v>25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</row>
    <row r="1995" spans="1:9" x14ac:dyDescent="0.25">
      <c r="A1995" t="s">
        <v>17</v>
      </c>
      <c r="B1995" t="s">
        <v>189</v>
      </c>
      <c r="C1995" t="s">
        <v>10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</row>
    <row r="1996" spans="1:9" x14ac:dyDescent="0.25">
      <c r="A1996" t="s">
        <v>17</v>
      </c>
      <c r="B1996" t="s">
        <v>190</v>
      </c>
      <c r="C1996" t="s">
        <v>25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</row>
    <row r="1997" spans="1:9" x14ac:dyDescent="0.25">
      <c r="A1997" t="s">
        <v>17</v>
      </c>
      <c r="B1997" t="s">
        <v>190</v>
      </c>
      <c r="C1997" t="s">
        <v>10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</row>
    <row r="1998" spans="1:9" x14ac:dyDescent="0.25">
      <c r="A1998" t="s">
        <v>17</v>
      </c>
      <c r="B1998" t="s">
        <v>191</v>
      </c>
      <c r="C1998" t="s">
        <v>25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</row>
    <row r="1999" spans="1:9" x14ac:dyDescent="0.25">
      <c r="A1999" t="s">
        <v>17</v>
      </c>
      <c r="B1999" t="s">
        <v>191</v>
      </c>
      <c r="C1999" t="s">
        <v>10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</row>
    <row r="2000" spans="1:9" x14ac:dyDescent="0.25">
      <c r="A2000" t="s">
        <v>17</v>
      </c>
      <c r="B2000" t="s">
        <v>192</v>
      </c>
      <c r="C2000" t="s">
        <v>25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</row>
    <row r="2001" spans="1:9" x14ac:dyDescent="0.25">
      <c r="A2001" t="s">
        <v>17</v>
      </c>
      <c r="B2001" t="s">
        <v>192</v>
      </c>
      <c r="C2001" t="s">
        <v>10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</row>
    <row r="2002" spans="1:9" x14ac:dyDescent="0.25">
      <c r="A2002" t="s">
        <v>17</v>
      </c>
      <c r="B2002" t="s">
        <v>193</v>
      </c>
      <c r="C2002" t="s">
        <v>25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</row>
    <row r="2003" spans="1:9" x14ac:dyDescent="0.25">
      <c r="A2003" t="s">
        <v>17</v>
      </c>
      <c r="B2003" t="s">
        <v>193</v>
      </c>
      <c r="C2003" t="s">
        <v>10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</row>
    <row r="2004" spans="1:9" x14ac:dyDescent="0.25">
      <c r="A2004" t="s">
        <v>17</v>
      </c>
      <c r="B2004" t="s">
        <v>194</v>
      </c>
      <c r="C2004" t="s">
        <v>25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</row>
    <row r="2005" spans="1:9" x14ac:dyDescent="0.25">
      <c r="A2005" t="s">
        <v>17</v>
      </c>
      <c r="B2005" t="s">
        <v>194</v>
      </c>
      <c r="C2005" t="s">
        <v>10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</row>
    <row r="2006" spans="1:9" x14ac:dyDescent="0.25">
      <c r="A2006" t="s">
        <v>17</v>
      </c>
      <c r="B2006" t="s">
        <v>195</v>
      </c>
      <c r="C2006" t="s">
        <v>25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</row>
    <row r="2007" spans="1:9" x14ac:dyDescent="0.25">
      <c r="A2007" t="s">
        <v>17</v>
      </c>
      <c r="B2007" t="s">
        <v>195</v>
      </c>
      <c r="C2007" t="s">
        <v>10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</row>
    <row r="2008" spans="1:9" x14ac:dyDescent="0.25">
      <c r="A2008" t="s">
        <v>17</v>
      </c>
      <c r="B2008" t="s">
        <v>196</v>
      </c>
      <c r="C2008" t="s">
        <v>25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</row>
    <row r="2009" spans="1:9" x14ac:dyDescent="0.25">
      <c r="A2009" t="s">
        <v>17</v>
      </c>
      <c r="B2009" t="s">
        <v>196</v>
      </c>
      <c r="C2009" t="s">
        <v>10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</row>
    <row r="2010" spans="1:9" x14ac:dyDescent="0.25">
      <c r="A2010" t="s">
        <v>17</v>
      </c>
      <c r="B2010" t="s">
        <v>197</v>
      </c>
      <c r="C2010" t="s">
        <v>25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</row>
    <row r="2011" spans="1:9" x14ac:dyDescent="0.25">
      <c r="A2011" t="s">
        <v>17</v>
      </c>
      <c r="B2011" t="s">
        <v>197</v>
      </c>
      <c r="C2011" t="s">
        <v>10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</row>
    <row r="2012" spans="1:9" x14ac:dyDescent="0.25">
      <c r="A2012" t="s">
        <v>17</v>
      </c>
      <c r="B2012" t="s">
        <v>198</v>
      </c>
      <c r="C2012" t="s">
        <v>25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</row>
    <row r="2013" spans="1:9" x14ac:dyDescent="0.25">
      <c r="A2013" t="s">
        <v>17</v>
      </c>
      <c r="B2013" t="s">
        <v>198</v>
      </c>
      <c r="C2013" t="s">
        <v>10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</row>
    <row r="2014" spans="1:9" x14ac:dyDescent="0.25">
      <c r="A2014" t="s">
        <v>17</v>
      </c>
      <c r="B2014" t="s">
        <v>199</v>
      </c>
      <c r="C2014" t="s">
        <v>25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</row>
    <row r="2015" spans="1:9" x14ac:dyDescent="0.25">
      <c r="A2015" t="s">
        <v>17</v>
      </c>
      <c r="B2015" t="s">
        <v>199</v>
      </c>
      <c r="C2015" t="s">
        <v>10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</row>
    <row r="2016" spans="1:9" x14ac:dyDescent="0.25">
      <c r="A2016" t="s">
        <v>17</v>
      </c>
      <c r="B2016" t="s">
        <v>200</v>
      </c>
      <c r="C2016" t="s">
        <v>25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</row>
    <row r="2017" spans="1:9" x14ac:dyDescent="0.25">
      <c r="A2017" t="s">
        <v>17</v>
      </c>
      <c r="B2017" t="s">
        <v>200</v>
      </c>
      <c r="C2017" t="s">
        <v>10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</row>
    <row r="2018" spans="1:9" x14ac:dyDescent="0.25">
      <c r="A2018" t="s">
        <v>17</v>
      </c>
      <c r="B2018" t="s">
        <v>201</v>
      </c>
      <c r="C2018" t="s">
        <v>25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</row>
    <row r="2019" spans="1:9" x14ac:dyDescent="0.25">
      <c r="A2019" t="s">
        <v>17</v>
      </c>
      <c r="B2019" t="s">
        <v>201</v>
      </c>
      <c r="C2019" t="s">
        <v>10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</row>
    <row r="2020" spans="1:9" x14ac:dyDescent="0.25">
      <c r="A2020" t="s">
        <v>17</v>
      </c>
      <c r="B2020" t="s">
        <v>202</v>
      </c>
      <c r="C2020" t="s">
        <v>25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</row>
    <row r="2021" spans="1:9" x14ac:dyDescent="0.25">
      <c r="A2021" t="s">
        <v>17</v>
      </c>
      <c r="B2021" t="s">
        <v>202</v>
      </c>
      <c r="C2021" t="s">
        <v>10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</row>
    <row r="2022" spans="1:9" x14ac:dyDescent="0.25">
      <c r="A2022" t="s">
        <v>17</v>
      </c>
      <c r="B2022" t="s">
        <v>203</v>
      </c>
      <c r="C2022" t="s">
        <v>25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</row>
    <row r="2023" spans="1:9" x14ac:dyDescent="0.25">
      <c r="A2023" t="s">
        <v>17</v>
      </c>
      <c r="B2023" t="s">
        <v>203</v>
      </c>
      <c r="C2023" t="s">
        <v>10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</row>
    <row r="2024" spans="1:9" x14ac:dyDescent="0.25">
      <c r="A2024" t="s">
        <v>17</v>
      </c>
      <c r="B2024" t="s">
        <v>204</v>
      </c>
      <c r="C2024" t="s">
        <v>25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</row>
    <row r="2025" spans="1:9" x14ac:dyDescent="0.25">
      <c r="A2025" t="s">
        <v>17</v>
      </c>
      <c r="B2025" t="s">
        <v>204</v>
      </c>
      <c r="C2025" t="s">
        <v>10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</row>
    <row r="2026" spans="1:9" x14ac:dyDescent="0.25">
      <c r="A2026" t="s">
        <v>17</v>
      </c>
      <c r="B2026" t="s">
        <v>205</v>
      </c>
      <c r="C2026" t="s">
        <v>25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</row>
    <row r="2027" spans="1:9" x14ac:dyDescent="0.25">
      <c r="A2027" t="s">
        <v>17</v>
      </c>
      <c r="B2027" t="s">
        <v>205</v>
      </c>
      <c r="C2027" t="s">
        <v>10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</row>
    <row r="2028" spans="1:9" x14ac:dyDescent="0.25">
      <c r="A2028" t="s">
        <v>17</v>
      </c>
      <c r="B2028" t="s">
        <v>206</v>
      </c>
      <c r="C2028" t="s">
        <v>25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</row>
    <row r="2029" spans="1:9" x14ac:dyDescent="0.25">
      <c r="A2029" t="s">
        <v>17</v>
      </c>
      <c r="B2029" t="s">
        <v>206</v>
      </c>
      <c r="C2029" t="s">
        <v>10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</row>
    <row r="2030" spans="1:9" x14ac:dyDescent="0.25">
      <c r="A2030" t="s">
        <v>17</v>
      </c>
      <c r="B2030" t="s">
        <v>207</v>
      </c>
      <c r="C2030" t="s">
        <v>25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</row>
    <row r="2031" spans="1:9" x14ac:dyDescent="0.25">
      <c r="A2031" t="s">
        <v>17</v>
      </c>
      <c r="B2031" t="s">
        <v>207</v>
      </c>
      <c r="C2031" t="s">
        <v>10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</row>
    <row r="2032" spans="1:9" x14ac:dyDescent="0.25">
      <c r="A2032" t="s">
        <v>17</v>
      </c>
      <c r="B2032" t="s">
        <v>208</v>
      </c>
      <c r="C2032" t="s">
        <v>25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</row>
    <row r="2033" spans="1:9" x14ac:dyDescent="0.25">
      <c r="A2033" t="s">
        <v>17</v>
      </c>
      <c r="B2033" t="s">
        <v>208</v>
      </c>
      <c r="C2033" t="s">
        <v>10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</row>
    <row r="2034" spans="1:9" x14ac:dyDescent="0.25">
      <c r="A2034" t="s">
        <v>17</v>
      </c>
      <c r="B2034" t="s">
        <v>209</v>
      </c>
      <c r="C2034" t="s">
        <v>25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</row>
    <row r="2035" spans="1:9" x14ac:dyDescent="0.25">
      <c r="A2035" t="s">
        <v>17</v>
      </c>
      <c r="B2035" t="s">
        <v>209</v>
      </c>
      <c r="C2035" t="s">
        <v>10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</row>
    <row r="2036" spans="1:9" x14ac:dyDescent="0.25">
      <c r="A2036" t="s">
        <v>17</v>
      </c>
      <c r="B2036" t="s">
        <v>210</v>
      </c>
      <c r="C2036" t="s">
        <v>25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</row>
    <row r="2037" spans="1:9" x14ac:dyDescent="0.25">
      <c r="A2037" t="s">
        <v>17</v>
      </c>
      <c r="B2037" t="s">
        <v>210</v>
      </c>
      <c r="C2037" t="s">
        <v>10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</row>
    <row r="2038" spans="1:9" x14ac:dyDescent="0.25">
      <c r="A2038" t="s">
        <v>17</v>
      </c>
      <c r="B2038" t="s">
        <v>211</v>
      </c>
      <c r="C2038" t="s">
        <v>25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</row>
    <row r="2039" spans="1:9" x14ac:dyDescent="0.25">
      <c r="A2039" t="s">
        <v>17</v>
      </c>
      <c r="B2039" t="s">
        <v>211</v>
      </c>
      <c r="C2039" t="s">
        <v>10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</row>
    <row r="2040" spans="1:9" x14ac:dyDescent="0.25">
      <c r="A2040" t="s">
        <v>17</v>
      </c>
      <c r="B2040" t="s">
        <v>212</v>
      </c>
      <c r="C2040" t="s">
        <v>25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</row>
    <row r="2041" spans="1:9" x14ac:dyDescent="0.25">
      <c r="A2041" t="s">
        <v>17</v>
      </c>
      <c r="B2041" t="s">
        <v>212</v>
      </c>
      <c r="C2041" t="s">
        <v>10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</row>
    <row r="2042" spans="1:9" x14ac:dyDescent="0.25">
      <c r="A2042" t="s">
        <v>17</v>
      </c>
      <c r="B2042" t="s">
        <v>213</v>
      </c>
      <c r="C2042" t="s">
        <v>25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</row>
    <row r="2043" spans="1:9" x14ac:dyDescent="0.25">
      <c r="A2043" t="s">
        <v>17</v>
      </c>
      <c r="B2043" t="s">
        <v>213</v>
      </c>
      <c r="C2043" t="s">
        <v>10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</row>
    <row r="2044" spans="1:9" x14ac:dyDescent="0.25">
      <c r="A2044" t="s">
        <v>17</v>
      </c>
      <c r="B2044" t="s">
        <v>214</v>
      </c>
      <c r="C2044" t="s">
        <v>25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</row>
    <row r="2045" spans="1:9" x14ac:dyDescent="0.25">
      <c r="A2045" t="s">
        <v>17</v>
      </c>
      <c r="B2045" t="s">
        <v>214</v>
      </c>
      <c r="C2045" t="s">
        <v>10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</row>
    <row r="2046" spans="1:9" x14ac:dyDescent="0.25">
      <c r="A2046" t="s">
        <v>17</v>
      </c>
      <c r="B2046" t="s">
        <v>215</v>
      </c>
      <c r="C2046" t="s">
        <v>25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</row>
    <row r="2047" spans="1:9" x14ac:dyDescent="0.25">
      <c r="A2047" t="s">
        <v>17</v>
      </c>
      <c r="B2047" t="s">
        <v>215</v>
      </c>
      <c r="C2047" t="s">
        <v>10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</row>
    <row r="2048" spans="1:9" x14ac:dyDescent="0.25">
      <c r="A2048" t="s">
        <v>17</v>
      </c>
      <c r="B2048" t="s">
        <v>216</v>
      </c>
      <c r="C2048" t="s">
        <v>25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</row>
    <row r="2049" spans="1:9" x14ac:dyDescent="0.25">
      <c r="A2049" t="s">
        <v>17</v>
      </c>
      <c r="B2049" t="s">
        <v>216</v>
      </c>
      <c r="C2049" t="s">
        <v>10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</row>
    <row r="2050" spans="1:9" x14ac:dyDescent="0.25">
      <c r="A2050" t="s">
        <v>17</v>
      </c>
      <c r="B2050" t="s">
        <v>217</v>
      </c>
      <c r="C2050" t="s">
        <v>25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</row>
    <row r="2051" spans="1:9" x14ac:dyDescent="0.25">
      <c r="A2051" t="s">
        <v>17</v>
      </c>
      <c r="B2051" t="s">
        <v>217</v>
      </c>
      <c r="C2051" t="s">
        <v>10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</row>
    <row r="2052" spans="1:9" x14ac:dyDescent="0.25">
      <c r="A2052" t="s">
        <v>17</v>
      </c>
      <c r="B2052" t="s">
        <v>218</v>
      </c>
      <c r="C2052" t="s">
        <v>25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</row>
    <row r="2053" spans="1:9" x14ac:dyDescent="0.25">
      <c r="A2053" t="s">
        <v>17</v>
      </c>
      <c r="B2053" t="s">
        <v>218</v>
      </c>
      <c r="C2053" t="s">
        <v>10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</row>
    <row r="2054" spans="1:9" x14ac:dyDescent="0.25">
      <c r="A2054" t="s">
        <v>17</v>
      </c>
      <c r="B2054" t="s">
        <v>219</v>
      </c>
      <c r="C2054" t="s">
        <v>25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</row>
    <row r="2055" spans="1:9" x14ac:dyDescent="0.25">
      <c r="A2055" t="s">
        <v>17</v>
      </c>
      <c r="B2055" t="s">
        <v>219</v>
      </c>
      <c r="C2055" t="s">
        <v>10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</row>
    <row r="2056" spans="1:9" x14ac:dyDescent="0.25">
      <c r="A2056" t="s">
        <v>17</v>
      </c>
      <c r="B2056" t="s">
        <v>220</v>
      </c>
      <c r="C2056" t="s">
        <v>25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</row>
    <row r="2057" spans="1:9" x14ac:dyDescent="0.25">
      <c r="A2057" t="s">
        <v>17</v>
      </c>
      <c r="B2057" t="s">
        <v>220</v>
      </c>
      <c r="C2057" t="s">
        <v>10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</row>
    <row r="2058" spans="1:9" x14ac:dyDescent="0.25">
      <c r="A2058" t="s">
        <v>17</v>
      </c>
      <c r="B2058" t="s">
        <v>221</v>
      </c>
      <c r="C2058" t="s">
        <v>25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</row>
    <row r="2059" spans="1:9" x14ac:dyDescent="0.25">
      <c r="A2059" t="s">
        <v>17</v>
      </c>
      <c r="B2059" t="s">
        <v>221</v>
      </c>
      <c r="C2059" t="s">
        <v>10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</row>
    <row r="2060" spans="1:9" x14ac:dyDescent="0.25">
      <c r="A2060" t="s">
        <v>17</v>
      </c>
      <c r="B2060" t="s">
        <v>222</v>
      </c>
      <c r="C2060" t="s">
        <v>25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</row>
    <row r="2061" spans="1:9" x14ac:dyDescent="0.25">
      <c r="A2061" t="s">
        <v>17</v>
      </c>
      <c r="B2061" t="s">
        <v>222</v>
      </c>
      <c r="C2061" t="s">
        <v>10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</row>
    <row r="2062" spans="1:9" x14ac:dyDescent="0.25">
      <c r="A2062" t="s">
        <v>17</v>
      </c>
      <c r="B2062" t="s">
        <v>223</v>
      </c>
      <c r="C2062" t="s">
        <v>25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</row>
    <row r="2063" spans="1:9" x14ac:dyDescent="0.25">
      <c r="A2063" t="s">
        <v>17</v>
      </c>
      <c r="B2063" t="s">
        <v>223</v>
      </c>
      <c r="C2063" t="s">
        <v>10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</row>
    <row r="2064" spans="1:9" x14ac:dyDescent="0.25">
      <c r="A2064" t="s">
        <v>17</v>
      </c>
      <c r="B2064" t="s">
        <v>224</v>
      </c>
      <c r="C2064" t="s">
        <v>25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</row>
    <row r="2065" spans="1:9" x14ac:dyDescent="0.25">
      <c r="A2065" t="s">
        <v>17</v>
      </c>
      <c r="B2065" t="s">
        <v>224</v>
      </c>
      <c r="C2065" t="s">
        <v>10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</row>
    <row r="2066" spans="1:9" x14ac:dyDescent="0.25">
      <c r="A2066" t="s">
        <v>17</v>
      </c>
      <c r="B2066" t="s">
        <v>225</v>
      </c>
      <c r="C2066" t="s">
        <v>25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</row>
    <row r="2067" spans="1:9" x14ac:dyDescent="0.25">
      <c r="A2067" t="s">
        <v>17</v>
      </c>
      <c r="B2067" t="s">
        <v>225</v>
      </c>
      <c r="C2067" t="s">
        <v>10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</row>
    <row r="2068" spans="1:9" x14ac:dyDescent="0.25">
      <c r="A2068" t="s">
        <v>17</v>
      </c>
      <c r="B2068" t="s">
        <v>327</v>
      </c>
      <c r="C2068" t="s">
        <v>25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</row>
    <row r="2069" spans="1:9" x14ac:dyDescent="0.25">
      <c r="A2069" t="s">
        <v>17</v>
      </c>
      <c r="B2069" t="s">
        <v>327</v>
      </c>
      <c r="C2069" t="s">
        <v>10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</row>
    <row r="2070" spans="1:9" x14ac:dyDescent="0.25">
      <c r="A2070" t="s">
        <v>17</v>
      </c>
      <c r="B2070" t="s">
        <v>328</v>
      </c>
      <c r="C2070" t="s">
        <v>25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</row>
    <row r="2071" spans="1:9" x14ac:dyDescent="0.25">
      <c r="A2071" t="s">
        <v>17</v>
      </c>
      <c r="B2071" t="s">
        <v>328</v>
      </c>
      <c r="C2071" t="s">
        <v>10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>
    <tabColor rgb="FF0070C0"/>
  </sheetPr>
  <dimension ref="B1:BT236"/>
  <sheetViews>
    <sheetView tabSelected="1" workbookViewId="0">
      <selection activeCell="AC12" sqref="AC12"/>
    </sheetView>
  </sheetViews>
  <sheetFormatPr defaultRowHeight="18" customHeight="1" x14ac:dyDescent="0.25"/>
  <cols>
    <col min="1" max="5" width="9" style="2" customWidth="1"/>
    <col min="6" max="6" width="10.875" style="2" customWidth="1"/>
    <col min="7" max="7" width="13.375" style="2" customWidth="1"/>
    <col min="8" max="12" width="9" style="2" customWidth="1"/>
    <col min="13" max="13" width="10.875" style="2" customWidth="1"/>
    <col min="14" max="14" width="13.375" style="2" customWidth="1"/>
    <col min="15" max="15" width="9" style="2"/>
    <col min="16" max="19" width="9" style="2" customWidth="1"/>
    <col min="20" max="20" width="10.875" style="2" customWidth="1"/>
    <col min="21" max="21" width="13.375" style="2" customWidth="1"/>
    <col min="22" max="22" width="9" style="2" customWidth="1"/>
    <col min="23" max="23" width="10.625" style="2" customWidth="1"/>
    <col min="24" max="24" width="9" style="2" customWidth="1"/>
    <col min="25" max="33" width="9" style="2"/>
    <col min="34" max="34" width="14.25" style="2" bestFit="1" customWidth="1"/>
    <col min="35" max="60" width="9" style="2"/>
    <col min="61" max="62" width="15.625" style="2" customWidth="1"/>
    <col min="63" max="63" width="18.125" style="2" bestFit="1" customWidth="1"/>
    <col min="64" max="64" width="9" style="2"/>
    <col min="65" max="65" width="85.875" style="2" bestFit="1" customWidth="1"/>
    <col min="66" max="66" width="9" style="2"/>
    <col min="67" max="67" width="53.25" style="2" bestFit="1" customWidth="1"/>
    <col min="68" max="68" width="9" style="2"/>
    <col min="69" max="69" width="40" style="2" bestFit="1" customWidth="1"/>
    <col min="70" max="16384" width="9" style="2"/>
  </cols>
  <sheetData>
    <row r="1" spans="2:72" ht="18" customHeight="1" thickBot="1" x14ac:dyDescent="0.3"/>
    <row r="2" spans="2:72" ht="18" customHeight="1" thickBot="1" x14ac:dyDescent="0.3">
      <c r="F2" s="4" t="s">
        <v>292</v>
      </c>
      <c r="G2" s="4">
        <v>1</v>
      </c>
      <c r="H2" s="2" t="s">
        <v>290</v>
      </c>
      <c r="V2" s="54" t="s">
        <v>247</v>
      </c>
      <c r="W2" s="83"/>
      <c r="X2" s="84"/>
      <c r="Y2" s="13" t="str">
        <f>[1]耐震_基本資料!J11</f>
        <v>X向</v>
      </c>
      <c r="Z2" s="14" t="str">
        <f>[1]耐震_基本資料!K11</f>
        <v>Y向</v>
      </c>
      <c r="AB2" s="54" t="s">
        <v>248</v>
      </c>
      <c r="AC2" s="83"/>
      <c r="AD2" s="84"/>
      <c r="AE2" s="13" t="str">
        <f>[2]基本資料!J10</f>
        <v>X向</v>
      </c>
      <c r="AF2" s="14" t="str">
        <f>[2]基本資料!K10</f>
        <v>Y向</v>
      </c>
      <c r="AQ2" s="59" t="s">
        <v>267</v>
      </c>
      <c r="AR2" s="49" t="s">
        <v>250</v>
      </c>
      <c r="AS2" s="50" t="s">
        <v>251</v>
      </c>
      <c r="AT2" s="50" t="s">
        <v>252</v>
      </c>
      <c r="AU2" s="51" t="s">
        <v>262</v>
      </c>
    </row>
    <row r="3" spans="2:72" ht="18" customHeight="1" thickTop="1" x14ac:dyDescent="0.25">
      <c r="G3" s="4">
        <v>2</v>
      </c>
      <c r="H3" s="2" t="s">
        <v>293</v>
      </c>
      <c r="V3" s="74" t="str">
        <f>[1]耐震_基本資料!I12</f>
        <v>控制週期取自</v>
      </c>
      <c r="W3" s="75"/>
      <c r="X3" s="76"/>
      <c r="Y3" s="19" t="str">
        <f>[1]耐震_基本資料!J12</f>
        <v>規範</v>
      </c>
      <c r="Z3" s="20" t="str">
        <f>[1]耐震_基本資料!K12</f>
        <v>規範</v>
      </c>
      <c r="AB3" s="74" t="str">
        <f>[2]基本資料!I11</f>
        <v>控制週期取自</v>
      </c>
      <c r="AC3" s="75"/>
      <c r="AD3" s="76"/>
      <c r="AE3" s="19" t="str">
        <f>[2]基本資料!J11</f>
        <v>規範</v>
      </c>
      <c r="AF3" s="20" t="str">
        <f>[2]基本資料!K11</f>
        <v>規範</v>
      </c>
      <c r="AQ3" s="61"/>
      <c r="AR3" s="41">
        <v>1.25</v>
      </c>
      <c r="AS3" s="46" t="s">
        <v>265</v>
      </c>
      <c r="AT3" s="48" t="s">
        <v>255</v>
      </c>
      <c r="AU3" s="42" t="s">
        <v>264</v>
      </c>
    </row>
    <row r="4" spans="2:72" ht="18" customHeight="1" thickBot="1" x14ac:dyDescent="0.3">
      <c r="G4" s="4"/>
      <c r="V4" s="87" t="str">
        <f>[1]耐震_基本資料!I13</f>
        <v>構件設計地震力</v>
      </c>
      <c r="W4" s="88"/>
      <c r="X4" s="89"/>
      <c r="Y4" s="15">
        <f>[1]耐震_基本資料!J13</f>
        <v>0.12755102040816332</v>
      </c>
      <c r="Z4" s="16">
        <f>[1]耐震_基本資料!K13</f>
        <v>0.12755102040816332</v>
      </c>
      <c r="AB4" s="77" t="str">
        <f>[2]基本資料!I12</f>
        <v>構件設計地震力</v>
      </c>
      <c r="AC4" s="78"/>
      <c r="AD4" s="79"/>
      <c r="AE4" s="15">
        <f>[2]基本資料!J12</f>
        <v>0.15963230365194564</v>
      </c>
      <c r="AF4" s="16">
        <f>[2]基本資料!K12</f>
        <v>0.15963230365194564</v>
      </c>
      <c r="AQ4" s="60"/>
      <c r="AR4" s="43"/>
      <c r="AS4" s="47" t="s">
        <v>266</v>
      </c>
      <c r="AT4" s="44"/>
      <c r="AU4" s="45"/>
    </row>
    <row r="5" spans="2:72" ht="18" customHeight="1" x14ac:dyDescent="0.25">
      <c r="F5" s="4" t="s">
        <v>294</v>
      </c>
      <c r="G5" s="4">
        <v>1</v>
      </c>
      <c r="H5" s="2" t="s">
        <v>295</v>
      </c>
      <c r="N5" s="4"/>
      <c r="V5" s="77" t="str">
        <f>[1]耐震_基本資料!I14</f>
        <v>樓層間地震力比值</v>
      </c>
      <c r="W5" s="78"/>
      <c r="X5" s="79"/>
      <c r="Y5" s="17">
        <f>[1]耐震_基本資料!J14</f>
        <v>0.48263380160303349</v>
      </c>
      <c r="Z5" s="18">
        <f>[1]耐震_基本資料!K14</f>
        <v>0.52765476302647674</v>
      </c>
      <c r="AB5" s="77" t="str">
        <f>[2]基本資料!I13</f>
        <v>樓層間地震力比值</v>
      </c>
      <c r="AC5" s="78"/>
      <c r="AD5" s="79"/>
      <c r="AE5" s="17">
        <f>[2]基本資料!J13</f>
        <v>0.66620160906424275</v>
      </c>
      <c r="AF5" s="18">
        <f>[2]基本資料!K13</f>
        <v>0.60064426140166616</v>
      </c>
      <c r="AQ5" s="59" t="s">
        <v>268</v>
      </c>
      <c r="AR5" s="62" t="s">
        <v>256</v>
      </c>
      <c r="AS5" s="63"/>
      <c r="AT5" s="63"/>
      <c r="AU5" s="64"/>
    </row>
    <row r="6" spans="2:72" ht="18" customHeight="1" thickBot="1" x14ac:dyDescent="0.3">
      <c r="G6" s="4">
        <v>2</v>
      </c>
      <c r="H6" s="2" t="s">
        <v>296</v>
      </c>
      <c r="V6" s="77" t="str">
        <f>[1]耐震_基本資料!I15</f>
        <v>垂直設計地震力</v>
      </c>
      <c r="W6" s="78"/>
      <c r="X6" s="79"/>
      <c r="Y6" s="70">
        <f>[1]耐震_基本資料!J15</f>
        <v>0.19999999999999998</v>
      </c>
      <c r="Z6" s="71"/>
      <c r="AB6" s="77" t="str">
        <f>[2]基本資料!I14</f>
        <v>垂直設計地震力</v>
      </c>
      <c r="AC6" s="78"/>
      <c r="AD6" s="79"/>
      <c r="AE6" s="70">
        <f>[2]基本資料!J14</f>
        <v>0.14718557323148329</v>
      </c>
      <c r="AF6" s="71"/>
      <c r="AQ6" s="60"/>
      <c r="AR6" s="56" t="s">
        <v>257</v>
      </c>
      <c r="AS6" s="57"/>
      <c r="AT6" s="57"/>
      <c r="AU6" s="58"/>
    </row>
    <row r="7" spans="2:72" ht="18" customHeight="1" thickBot="1" x14ac:dyDescent="0.3">
      <c r="G7" s="4">
        <v>3</v>
      </c>
      <c r="H7" s="2" t="s">
        <v>297</v>
      </c>
      <c r="V7" s="80" t="str">
        <f>[1]耐震_基本資料!I16</f>
        <v>柱之垂直設計地震力</v>
      </c>
      <c r="W7" s="81"/>
      <c r="X7" s="82"/>
      <c r="Y7" s="85">
        <f>[1]耐震_基本資料!J16</f>
        <v>0.1</v>
      </c>
      <c r="Z7" s="86"/>
      <c r="AB7" s="80" t="str">
        <f>[2]基本資料!I15</f>
        <v>柱之垂直設計地震力</v>
      </c>
      <c r="AC7" s="81"/>
      <c r="AD7" s="82"/>
      <c r="AE7" s="72">
        <f>[2]基本資料!J15</f>
        <v>0.15</v>
      </c>
      <c r="AF7" s="73"/>
    </row>
    <row r="9" spans="2:72" ht="18" customHeight="1" x14ac:dyDescent="0.25">
      <c r="F9" s="4" t="s">
        <v>239</v>
      </c>
      <c r="G9" s="4">
        <v>1</v>
      </c>
      <c r="H9" s="2" t="s">
        <v>242</v>
      </c>
    </row>
    <row r="10" spans="2:72" ht="18" customHeight="1" x14ac:dyDescent="0.25">
      <c r="G10" s="4">
        <v>2</v>
      </c>
      <c r="H10" s="2" t="s">
        <v>284</v>
      </c>
      <c r="W10" s="9" t="s">
        <v>156</v>
      </c>
      <c r="X10" s="11">
        <f>-AA16/Z15</f>
        <v>0.15754692640269036</v>
      </c>
      <c r="AG10" s="69" t="s">
        <v>234</v>
      </c>
      <c r="AH10" s="69"/>
      <c r="AI10" s="12">
        <f>-AK15/SQRT(AK19^2+AL19^2)</f>
        <v>2.0155142436806206</v>
      </c>
    </row>
    <row r="11" spans="2:72" ht="18" customHeight="1" x14ac:dyDescent="0.25">
      <c r="W11" s="9" t="s">
        <v>231</v>
      </c>
      <c r="X11" s="11">
        <f>-AB18/Z15</f>
        <v>0.19043628476120822</v>
      </c>
      <c r="AG11" s="69" t="s">
        <v>235</v>
      </c>
      <c r="AH11" s="69"/>
      <c r="AI11" s="12">
        <f>-AL17/SQRT(AK20^2+AL20^2)</f>
        <v>0.97784776151451169</v>
      </c>
    </row>
    <row r="12" spans="2:72" ht="18" customHeight="1" thickBot="1" x14ac:dyDescent="0.3"/>
    <row r="13" spans="2:72" ht="18" customHeight="1" thickBot="1" x14ac:dyDescent="0.3">
      <c r="B13" s="35" t="s">
        <v>226</v>
      </c>
      <c r="C13" s="4" t="s">
        <v>0</v>
      </c>
      <c r="D13" s="4" t="s">
        <v>3</v>
      </c>
      <c r="E13" s="4" t="s">
        <v>229</v>
      </c>
      <c r="F13" s="4" t="s">
        <v>18</v>
      </c>
      <c r="G13" s="6" t="s">
        <v>227</v>
      </c>
      <c r="I13" s="35" t="s">
        <v>226</v>
      </c>
      <c r="J13" s="4" t="s">
        <v>0</v>
      </c>
      <c r="K13" s="4" t="s">
        <v>228</v>
      </c>
      <c r="L13" s="4" t="s">
        <v>229</v>
      </c>
      <c r="M13" s="4" t="s">
        <v>241</v>
      </c>
      <c r="N13" s="6" t="s">
        <v>243</v>
      </c>
      <c r="P13" s="35" t="s">
        <v>230</v>
      </c>
      <c r="Q13" s="4" t="s">
        <v>0</v>
      </c>
      <c r="R13" s="4" t="s">
        <v>3</v>
      </c>
      <c r="S13" s="4" t="s">
        <v>229</v>
      </c>
      <c r="T13" s="4" t="s">
        <v>18</v>
      </c>
      <c r="U13" s="6" t="s">
        <v>227</v>
      </c>
      <c r="W13" s="68" t="s">
        <v>19</v>
      </c>
      <c r="X13" s="68"/>
      <c r="AG13" s="68" t="s">
        <v>232</v>
      </c>
      <c r="AH13" s="68"/>
      <c r="AQ13" s="65" t="s">
        <v>258</v>
      </c>
      <c r="AR13" s="66"/>
      <c r="AS13" s="66"/>
      <c r="AT13" s="66"/>
      <c r="AU13" s="66"/>
      <c r="AV13" s="66"/>
      <c r="AW13" s="66"/>
      <c r="AX13" s="67"/>
      <c r="AZ13" s="65" t="s">
        <v>259</v>
      </c>
      <c r="BA13" s="66"/>
      <c r="BB13" s="66"/>
      <c r="BC13" s="66"/>
      <c r="BD13" s="66"/>
      <c r="BE13" s="66"/>
      <c r="BF13" s="66"/>
      <c r="BG13" s="67"/>
      <c r="BI13" s="21" t="str">
        <f>'[3]Model Check'!C8</f>
        <v>Warning Message</v>
      </c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</row>
    <row r="14" spans="2:72" ht="18" customHeight="1" x14ac:dyDescent="0.25">
      <c r="C14" s="4" t="s">
        <v>157</v>
      </c>
      <c r="D14" s="2">
        <v>0</v>
      </c>
      <c r="E14" s="2">
        <f>D14</f>
        <v>0</v>
      </c>
      <c r="F14" s="2">
        <v>0</v>
      </c>
      <c r="G14" s="8" t="e">
        <f>IF((E14= "")+(F14=""),"",E14/F14)</f>
        <v>#DIV/0!</v>
      </c>
      <c r="J14" s="4" t="s">
        <v>157</v>
      </c>
      <c r="K14" s="2">
        <v>73.13</v>
      </c>
      <c r="L14" s="2">
        <f>IF(K14&gt;0,K14*9.81,"")</f>
        <v>717.40530000000001</v>
      </c>
      <c r="M14" s="2">
        <v>0</v>
      </c>
      <c r="N14" s="8" t="e">
        <f t="shared" ref="N14:N20" si="0">IF((L14= "")+(M14=""),"",L14/M14)</f>
        <v>#DIV/0!</v>
      </c>
      <c r="Q14" s="4" t="s">
        <v>157</v>
      </c>
      <c r="R14" s="2">
        <v>0</v>
      </c>
      <c r="S14" s="2">
        <f>R14</f>
        <v>0</v>
      </c>
      <c r="T14" s="2">
        <v>0</v>
      </c>
      <c r="U14" s="8" t="e">
        <f>IF((S14= "")+(T14=""),"",S14/T14)</f>
        <v>#DIV/0!</v>
      </c>
      <c r="W14" s="4" t="s">
        <v>0</v>
      </c>
      <c r="X14" s="4" t="s">
        <v>1</v>
      </c>
      <c r="Y14" s="4" t="s">
        <v>2</v>
      </c>
      <c r="Z14" s="4" t="s">
        <v>3</v>
      </c>
      <c r="AA14" s="4" t="s">
        <v>4</v>
      </c>
      <c r="AB14" s="4" t="s">
        <v>5</v>
      </c>
      <c r="AC14" s="4" t="s">
        <v>6</v>
      </c>
      <c r="AD14" s="4" t="s">
        <v>7</v>
      </c>
      <c r="AE14" s="4" t="s">
        <v>8</v>
      </c>
      <c r="AG14" s="4" t="s">
        <v>0</v>
      </c>
      <c r="AH14" s="4" t="s">
        <v>1</v>
      </c>
      <c r="AI14" s="4" t="s">
        <v>2</v>
      </c>
      <c r="AJ14" s="4" t="s">
        <v>3</v>
      </c>
      <c r="AK14" s="4" t="s">
        <v>4</v>
      </c>
      <c r="AL14" s="4" t="s">
        <v>5</v>
      </c>
      <c r="AM14" s="4" t="s">
        <v>6</v>
      </c>
      <c r="AN14" s="4" t="s">
        <v>7</v>
      </c>
      <c r="AO14" s="4" t="s">
        <v>8</v>
      </c>
      <c r="AQ14" s="29"/>
      <c r="AR14" s="30"/>
      <c r="AS14" s="30"/>
      <c r="AT14" s="30"/>
      <c r="AU14" s="30"/>
      <c r="AV14" s="30"/>
      <c r="AW14" s="30"/>
      <c r="AX14" s="31"/>
      <c r="AZ14" s="29"/>
      <c r="BA14" s="30"/>
      <c r="BB14" s="30"/>
      <c r="BC14" s="30"/>
      <c r="BD14" s="30"/>
      <c r="BE14" s="30"/>
      <c r="BF14" s="30"/>
      <c r="BG14" s="31"/>
      <c r="BI14" s="23" t="str">
        <f>'[3]Model Check'!C9</f>
        <v>Analysis Options &amp; Mass Source</v>
      </c>
      <c r="BJ14" s="23"/>
      <c r="BK14" s="24" t="str">
        <f>'[3]Model Check'!E9</f>
        <v>Grid &amp; Story</v>
      </c>
      <c r="BL14" s="24"/>
      <c r="BM14" s="25" t="str">
        <f>'[3]Model Check'!G9</f>
        <v>Material Properties</v>
      </c>
      <c r="BN14" s="25"/>
      <c r="BO14" s="23" t="str">
        <f>'[3]Model Check'!I9</f>
        <v>Frame Section</v>
      </c>
      <c r="BP14" s="23"/>
      <c r="BQ14" s="24" t="str">
        <f>'[3]Model Check'!K9</f>
        <v>Area Section</v>
      </c>
      <c r="BR14" s="24"/>
      <c r="BS14" s="25" t="str">
        <f>'[3]Model Check'!M9</f>
        <v>Load Case</v>
      </c>
      <c r="BT14" s="25"/>
    </row>
    <row r="15" spans="2:72" ht="18" customHeight="1" x14ac:dyDescent="0.25">
      <c r="C15" s="4" t="s">
        <v>158</v>
      </c>
      <c r="D15" s="2">
        <v>0</v>
      </c>
      <c r="E15" s="2" t="str">
        <f>IF(D15-D14&gt;0,D15-D14,"")</f>
        <v/>
      </c>
      <c r="F15" s="2">
        <v>0</v>
      </c>
      <c r="G15" s="8" t="str">
        <f t="shared" ref="G15:G78" si="1">IF((E15= "")+(F15=""),"",E15/F15)</f>
        <v/>
      </c>
      <c r="J15" s="4" t="s">
        <v>158</v>
      </c>
      <c r="K15" s="2">
        <v>73.13</v>
      </c>
      <c r="L15" s="2">
        <f t="shared" ref="L15:L28" si="2">IF(K15&gt;0,K15*9.81,"")</f>
        <v>717.40530000000001</v>
      </c>
      <c r="M15" s="2">
        <v>0</v>
      </c>
      <c r="N15" s="8" t="e">
        <f t="shared" si="0"/>
        <v>#DIV/0!</v>
      </c>
      <c r="Q15" s="4" t="s">
        <v>158</v>
      </c>
      <c r="R15" s="2">
        <v>0</v>
      </c>
      <c r="S15" s="2" t="str">
        <f>IF(R15-R14&gt;0,R15-R14,"")</f>
        <v/>
      </c>
      <c r="T15" s="2">
        <v>0</v>
      </c>
      <c r="U15" s="8" t="str">
        <f t="shared" ref="U15:U78" si="3">IF((S15= "")+(T15=""),"",S15/T15)</f>
        <v/>
      </c>
      <c r="W15" s="4" t="s">
        <v>16</v>
      </c>
      <c r="X15" s="2" t="s">
        <v>9</v>
      </c>
      <c r="Y15" s="4" t="s">
        <v>10</v>
      </c>
      <c r="Z15" s="36">
        <v>2869.6212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G15" s="4" t="s">
        <v>16</v>
      </c>
      <c r="AH15" s="2" t="s">
        <v>20</v>
      </c>
      <c r="AI15" s="4" t="s">
        <v>10</v>
      </c>
      <c r="AJ15" s="2">
        <v>0</v>
      </c>
      <c r="AK15" s="36">
        <v>-452.1</v>
      </c>
      <c r="AL15" s="2">
        <v>0</v>
      </c>
      <c r="AM15" s="2">
        <v>7459.6149999999998</v>
      </c>
      <c r="AN15" s="2">
        <v>0</v>
      </c>
      <c r="AO15" s="2">
        <v>-5425.174</v>
      </c>
      <c r="AQ15" s="29"/>
      <c r="AR15" s="30"/>
      <c r="AS15" s="30"/>
      <c r="AT15" s="30"/>
      <c r="AU15" s="30"/>
      <c r="AV15" s="30"/>
      <c r="AW15" s="30"/>
      <c r="AX15" s="31"/>
      <c r="AZ15" s="29"/>
      <c r="BA15" s="30"/>
      <c r="BB15" s="30"/>
      <c r="BC15" s="30"/>
      <c r="BD15" s="30"/>
      <c r="BE15" s="30"/>
      <c r="BF15" s="30"/>
      <c r="BG15" s="31"/>
      <c r="BI15" s="2" t="str">
        <f>IF('[3]Model Check'!C10="","",('[3]Model Check'!C10))</f>
        <v/>
      </c>
      <c r="BJ15" s="2" t="str">
        <f>IF('[3]Model Check'!D10="","",('[3]Model Check'!D10))</f>
        <v/>
      </c>
      <c r="BK15" s="2" t="str">
        <f>IF('[3]Model Check'!E10="","",('[3]Model Check'!E10))</f>
        <v/>
      </c>
      <c r="BL15" s="2" t="str">
        <f>IF('[3]Model Check'!F10="","",('[3]Model Check'!F10))</f>
        <v/>
      </c>
      <c r="BM15" s="2" t="str">
        <f>IF('[3]Model Check'!G10="","",('[3]Model Check'!G10))</f>
        <v/>
      </c>
      <c r="BN15" s="2" t="str">
        <f>IF('[3]Model Check'!H10="","",('[3]Model Check'!H10))</f>
        <v/>
      </c>
      <c r="BO15" s="2" t="str">
        <f>IF('[3]Model Check'!I10="","",('[3]Model Check'!I10))</f>
        <v/>
      </c>
      <c r="BP15" s="2" t="str">
        <f>IF('[3]Model Check'!J10="","",('[3]Model Check'!J10))</f>
        <v/>
      </c>
      <c r="BQ15" s="2" t="str">
        <f>IF('[3]Model Check'!K10="","",('[3]Model Check'!K10))</f>
        <v/>
      </c>
      <c r="BR15" s="2" t="str">
        <f>IF('[3]Model Check'!L10="","",('[3]Model Check'!L10))</f>
        <v/>
      </c>
      <c r="BS15" s="2" t="str">
        <f>IF('[3]Model Check'!M10="","",('[3]Model Check'!M10))</f>
        <v/>
      </c>
      <c r="BT15" s="2" t="str">
        <f>IF('[3]Model Check'!N10="","",('[3]Model Check'!N10))</f>
        <v/>
      </c>
    </row>
    <row r="16" spans="2:72" ht="18" customHeight="1" x14ac:dyDescent="0.25">
      <c r="C16" s="4" t="s">
        <v>24</v>
      </c>
      <c r="D16" s="2">
        <v>0</v>
      </c>
      <c r="E16" s="2" t="str">
        <f t="shared" ref="E16:E24" si="4">IF(D16-D15&gt;0,D16-D15,"")</f>
        <v/>
      </c>
      <c r="F16" s="2">
        <v>0</v>
      </c>
      <c r="G16" s="8" t="str">
        <f t="shared" si="1"/>
        <v/>
      </c>
      <c r="J16" s="4" t="s">
        <v>24</v>
      </c>
      <c r="K16" s="2">
        <v>73.13</v>
      </c>
      <c r="L16" s="2">
        <f t="shared" si="2"/>
        <v>717.40530000000001</v>
      </c>
      <c r="M16" s="2">
        <v>0</v>
      </c>
      <c r="N16" s="8" t="e">
        <f t="shared" si="0"/>
        <v>#DIV/0!</v>
      </c>
      <c r="Q16" s="4" t="s">
        <v>24</v>
      </c>
      <c r="R16" s="2">
        <v>0</v>
      </c>
      <c r="S16" s="2" t="str">
        <f t="shared" ref="S16:S27" si="5">IF(R16-R15&gt;0,R16-R15,"")</f>
        <v/>
      </c>
      <c r="T16" s="2">
        <v>0</v>
      </c>
      <c r="U16" s="8" t="str">
        <f t="shared" si="3"/>
        <v/>
      </c>
      <c r="W16" s="4" t="s">
        <v>16</v>
      </c>
      <c r="X16" s="2" t="s">
        <v>20</v>
      </c>
      <c r="Y16" s="4" t="s">
        <v>10</v>
      </c>
      <c r="Z16" s="2">
        <v>0</v>
      </c>
      <c r="AA16" s="36">
        <v>-452.1</v>
      </c>
      <c r="AB16" s="2">
        <v>0</v>
      </c>
      <c r="AC16" s="2">
        <v>7459.6149999999998</v>
      </c>
      <c r="AD16" s="2">
        <v>0</v>
      </c>
      <c r="AE16" s="2">
        <v>-5425.174</v>
      </c>
      <c r="AG16" s="4" t="s">
        <v>16</v>
      </c>
      <c r="AH16" s="2" t="s">
        <v>21</v>
      </c>
      <c r="AI16" s="4" t="s">
        <v>10</v>
      </c>
      <c r="AJ16" s="2">
        <v>0</v>
      </c>
      <c r="AK16" s="36">
        <v>-452.1</v>
      </c>
      <c r="AL16" s="2">
        <v>0</v>
      </c>
      <c r="AM16" s="2">
        <v>6103.3209999999999</v>
      </c>
      <c r="AN16" s="2">
        <v>0</v>
      </c>
      <c r="AO16" s="2">
        <v>-5425.174</v>
      </c>
      <c r="AQ16" s="29"/>
      <c r="AR16" s="30"/>
      <c r="AS16" s="30"/>
      <c r="AT16" s="30"/>
      <c r="AU16" s="30"/>
      <c r="AV16" s="30"/>
      <c r="AW16" s="30"/>
      <c r="AX16" s="31"/>
      <c r="AZ16" s="29"/>
      <c r="BA16" s="30"/>
      <c r="BB16" s="30"/>
      <c r="BC16" s="30"/>
      <c r="BD16" s="30"/>
      <c r="BE16" s="30"/>
      <c r="BF16" s="30"/>
      <c r="BG16" s="31"/>
      <c r="BI16" s="2" t="str">
        <f>IF('[3]Model Check'!C11="","",('[3]Model Check'!C11))</f>
        <v/>
      </c>
      <c r="BJ16" s="2" t="str">
        <f>IF('[3]Model Check'!D11="","",('[3]Model Check'!D11))</f>
        <v/>
      </c>
      <c r="BK16" s="2" t="str">
        <f>IF('[3]Model Check'!E11="","",('[3]Model Check'!E11))</f>
        <v/>
      </c>
      <c r="BL16" s="2" t="str">
        <f>IF('[3]Model Check'!F11="","",('[3]Model Check'!F11))</f>
        <v/>
      </c>
      <c r="BM16" s="2" t="str">
        <f>IF('[3]Model Check'!G11="","",('[3]Model Check'!G11))</f>
        <v/>
      </c>
      <c r="BN16" s="2" t="str">
        <f>IF('[3]Model Check'!H11="","",('[3]Model Check'!H11))</f>
        <v/>
      </c>
      <c r="BO16" s="2" t="str">
        <f>IF('[3]Model Check'!I11="","",('[3]Model Check'!I11))</f>
        <v/>
      </c>
      <c r="BP16" s="2" t="str">
        <f>IF('[3]Model Check'!J11="","",('[3]Model Check'!J11))</f>
        <v/>
      </c>
      <c r="BQ16" s="2" t="str">
        <f>IF('[3]Model Check'!K11="","",('[3]Model Check'!K11))</f>
        <v/>
      </c>
      <c r="BR16" s="2" t="str">
        <f>IF('[3]Model Check'!L11="","",('[3]Model Check'!L11))</f>
        <v/>
      </c>
      <c r="BS16" s="2" t="str">
        <f>IF('[3]Model Check'!M11="","",('[3]Model Check'!M11))</f>
        <v/>
      </c>
      <c r="BT16" s="2" t="str">
        <f>IF('[3]Model Check'!N11="","",('[3]Model Check'!N11))</f>
        <v/>
      </c>
    </row>
    <row r="17" spans="3:72" ht="18" customHeight="1" x14ac:dyDescent="0.25">
      <c r="C17" s="4" t="s">
        <v>16</v>
      </c>
      <c r="D17" s="2">
        <v>0</v>
      </c>
      <c r="E17" s="2" t="str">
        <f t="shared" si="4"/>
        <v/>
      </c>
      <c r="G17" s="8" t="str">
        <f t="shared" si="1"/>
        <v/>
      </c>
      <c r="J17" s="4" t="s">
        <v>16</v>
      </c>
      <c r="K17" s="2">
        <v>73.13</v>
      </c>
      <c r="L17" s="2">
        <f t="shared" si="2"/>
        <v>717.40530000000001</v>
      </c>
      <c r="N17" s="8" t="str">
        <f t="shared" si="0"/>
        <v/>
      </c>
      <c r="Q17" s="4" t="s">
        <v>16</v>
      </c>
      <c r="R17" s="2">
        <v>0</v>
      </c>
      <c r="S17" s="2" t="str">
        <f t="shared" si="5"/>
        <v/>
      </c>
      <c r="U17" s="8" t="str">
        <f t="shared" si="3"/>
        <v/>
      </c>
      <c r="W17" s="4" t="s">
        <v>16</v>
      </c>
      <c r="X17" s="2" t="s">
        <v>21</v>
      </c>
      <c r="Y17" s="4" t="s">
        <v>10</v>
      </c>
      <c r="Z17" s="2">
        <v>0</v>
      </c>
      <c r="AA17" s="36">
        <v>-452.1</v>
      </c>
      <c r="AB17" s="2">
        <v>0</v>
      </c>
      <c r="AC17" s="2">
        <v>6103.3209999999999</v>
      </c>
      <c r="AD17" s="2">
        <v>0</v>
      </c>
      <c r="AE17" s="2">
        <v>-5425.174</v>
      </c>
      <c r="AG17" s="4" t="s">
        <v>16</v>
      </c>
      <c r="AH17" s="2" t="s">
        <v>22</v>
      </c>
      <c r="AI17" s="4" t="s">
        <v>10</v>
      </c>
      <c r="AJ17" s="2">
        <v>0</v>
      </c>
      <c r="AK17" s="2">
        <v>0</v>
      </c>
      <c r="AL17" s="36">
        <v>-546.48</v>
      </c>
      <c r="AM17" s="2">
        <v>-10820.227999999999</v>
      </c>
      <c r="AN17" s="2">
        <v>6557.7139999999999</v>
      </c>
      <c r="AO17" s="2">
        <v>0</v>
      </c>
      <c r="AQ17" s="29"/>
      <c r="AR17" s="30"/>
      <c r="AS17" s="30"/>
      <c r="AT17" s="30"/>
      <c r="AU17" s="30"/>
      <c r="AV17" s="30"/>
      <c r="AW17" s="30"/>
      <c r="AX17" s="31"/>
      <c r="AZ17" s="29"/>
      <c r="BA17" s="30"/>
      <c r="BB17" s="30"/>
      <c r="BC17" s="30"/>
      <c r="BD17" s="30"/>
      <c r="BE17" s="30"/>
      <c r="BF17" s="30"/>
      <c r="BG17" s="31"/>
      <c r="BI17" s="2" t="str">
        <f>IF('[3]Model Check'!C12="","",('[3]Model Check'!C12))</f>
        <v/>
      </c>
      <c r="BJ17" s="2" t="str">
        <f>IF('[3]Model Check'!D12="","",('[3]Model Check'!D12))</f>
        <v/>
      </c>
      <c r="BK17" s="2" t="str">
        <f>IF('[3]Model Check'!E12="","",('[3]Model Check'!E12))</f>
        <v/>
      </c>
      <c r="BL17" s="2" t="str">
        <f>IF('[3]Model Check'!F12="","",('[3]Model Check'!F12))</f>
        <v/>
      </c>
      <c r="BM17" s="2" t="str">
        <f>IF('[3]Model Check'!G12="","",('[3]Model Check'!G12))</f>
        <v/>
      </c>
      <c r="BN17" s="2" t="str">
        <f>IF('[3]Model Check'!H12="","",('[3]Model Check'!H12))</f>
        <v/>
      </c>
      <c r="BO17" s="2" t="str">
        <f>IF('[3]Model Check'!I12="","",('[3]Model Check'!I12))</f>
        <v/>
      </c>
      <c r="BP17" s="2" t="str">
        <f>IF('[3]Model Check'!J12="","",('[3]Model Check'!J12))</f>
        <v/>
      </c>
      <c r="BQ17" s="2" t="str">
        <f>IF('[3]Model Check'!K12="","",('[3]Model Check'!K12))</f>
        <v/>
      </c>
      <c r="BR17" s="2" t="str">
        <f>IF('[3]Model Check'!L12="","",('[3]Model Check'!L12))</f>
        <v/>
      </c>
      <c r="BS17" s="2" t="str">
        <f>IF('[3]Model Check'!M12="","",('[3]Model Check'!M12))</f>
        <v/>
      </c>
      <c r="BT17" s="2" t="str">
        <f>IF('[3]Model Check'!N12="","",('[3]Model Check'!N12))</f>
        <v/>
      </c>
    </row>
    <row r="18" spans="3:72" ht="18" customHeight="1" x14ac:dyDescent="0.25">
      <c r="C18" s="4" t="s">
        <v>17</v>
      </c>
      <c r="D18" s="2">
        <v>0</v>
      </c>
      <c r="E18" s="2" t="str">
        <f t="shared" si="4"/>
        <v/>
      </c>
      <c r="G18" s="8" t="str">
        <f t="shared" si="1"/>
        <v/>
      </c>
      <c r="J18" s="4" t="s">
        <v>17</v>
      </c>
      <c r="K18" s="2">
        <v>0</v>
      </c>
      <c r="L18" s="2" t="str">
        <f t="shared" si="2"/>
        <v/>
      </c>
      <c r="N18" s="8" t="str">
        <f t="shared" si="0"/>
        <v/>
      </c>
      <c r="Q18" s="4" t="s">
        <v>17</v>
      </c>
      <c r="R18" s="2">
        <v>0</v>
      </c>
      <c r="S18" s="2" t="str">
        <f t="shared" si="5"/>
        <v/>
      </c>
      <c r="U18" s="8" t="str">
        <f t="shared" si="3"/>
        <v/>
      </c>
      <c r="W18" s="4" t="s">
        <v>16</v>
      </c>
      <c r="X18" s="2" t="s">
        <v>22</v>
      </c>
      <c r="Y18" s="4" t="s">
        <v>10</v>
      </c>
      <c r="Z18" s="2">
        <v>0</v>
      </c>
      <c r="AA18" s="2">
        <v>0</v>
      </c>
      <c r="AB18" s="36">
        <v>-546.48</v>
      </c>
      <c r="AC18" s="2">
        <v>-10820.227999999999</v>
      </c>
      <c r="AD18" s="2">
        <v>6557.7139999999999</v>
      </c>
      <c r="AE18" s="2">
        <v>0</v>
      </c>
      <c r="AG18" s="4" t="s">
        <v>16</v>
      </c>
      <c r="AH18" s="2" t="s">
        <v>23</v>
      </c>
      <c r="AI18" s="4" t="s">
        <v>10</v>
      </c>
      <c r="AJ18" s="2">
        <v>0</v>
      </c>
      <c r="AK18" s="2">
        <v>0</v>
      </c>
      <c r="AL18" s="36">
        <v>-546.48</v>
      </c>
      <c r="AM18" s="2">
        <v>-8852.9140000000007</v>
      </c>
      <c r="AN18" s="2">
        <v>6557.7139999999999</v>
      </c>
      <c r="AO18" s="2">
        <v>0</v>
      </c>
      <c r="AQ18" s="29"/>
      <c r="AR18" s="30"/>
      <c r="AS18" s="30"/>
      <c r="AT18" s="30"/>
      <c r="AU18" s="30"/>
      <c r="AV18" s="30"/>
      <c r="AW18" s="30"/>
      <c r="AX18" s="31"/>
      <c r="AZ18" s="29"/>
      <c r="BA18" s="30"/>
      <c r="BB18" s="30"/>
      <c r="BC18" s="30"/>
      <c r="BD18" s="30"/>
      <c r="BE18" s="30"/>
      <c r="BF18" s="30"/>
      <c r="BG18" s="31"/>
      <c r="BI18" s="2" t="str">
        <f>IF('[3]Model Check'!C13="","",('[3]Model Check'!C13))</f>
        <v/>
      </c>
      <c r="BJ18" s="2" t="str">
        <f>IF('[3]Model Check'!D13="","",('[3]Model Check'!D13))</f>
        <v/>
      </c>
      <c r="BK18" s="2" t="str">
        <f>IF('[3]Model Check'!E13="","",('[3]Model Check'!E13))</f>
        <v/>
      </c>
      <c r="BL18" s="2" t="str">
        <f>IF('[3]Model Check'!F13="","",('[3]Model Check'!F13))</f>
        <v/>
      </c>
      <c r="BM18" s="2" t="str">
        <f>IF('[3]Model Check'!G13="","",('[3]Model Check'!G13))</f>
        <v/>
      </c>
      <c r="BN18" s="2" t="str">
        <f>IF('[3]Model Check'!H13="","",('[3]Model Check'!H13))</f>
        <v/>
      </c>
      <c r="BO18" s="2" t="str">
        <f>IF('[3]Model Check'!I13="","",('[3]Model Check'!I13))</f>
        <v/>
      </c>
      <c r="BP18" s="2" t="str">
        <f>IF('[3]Model Check'!J13="","",('[3]Model Check'!J13))</f>
        <v/>
      </c>
      <c r="BQ18" s="2" t="str">
        <f>IF('[3]Model Check'!K13="","",('[3]Model Check'!K13))</f>
        <v/>
      </c>
      <c r="BR18" s="2" t="str">
        <f>IF('[3]Model Check'!L13="","",('[3]Model Check'!L13))</f>
        <v/>
      </c>
      <c r="BS18" s="2" t="str">
        <f>IF('[3]Model Check'!M13="","",('[3]Model Check'!M13))</f>
        <v/>
      </c>
      <c r="BT18" s="2" t="str">
        <f>IF('[3]Model Check'!N13="","",('[3]Model Check'!N13))</f>
        <v/>
      </c>
    </row>
    <row r="19" spans="3:72" ht="18" customHeight="1" x14ac:dyDescent="0.25">
      <c r="C19" s="4" t="s">
        <v>309</v>
      </c>
      <c r="E19" s="2" t="str">
        <f t="shared" si="4"/>
        <v/>
      </c>
      <c r="G19" s="8" t="str">
        <f t="shared" si="1"/>
        <v/>
      </c>
      <c r="J19" s="4" t="s">
        <v>309</v>
      </c>
      <c r="K19" s="2">
        <v>0</v>
      </c>
      <c r="L19" s="2" t="str">
        <f t="shared" si="2"/>
        <v/>
      </c>
      <c r="N19" s="8" t="str">
        <f t="shared" si="0"/>
        <v/>
      </c>
      <c r="Q19" s="4" t="s">
        <v>309</v>
      </c>
      <c r="S19" s="2" t="str">
        <f t="shared" si="5"/>
        <v/>
      </c>
      <c r="U19" s="8" t="str">
        <f t="shared" si="3"/>
        <v/>
      </c>
      <c r="W19" s="4" t="s">
        <v>16</v>
      </c>
      <c r="X19" s="2" t="s">
        <v>23</v>
      </c>
      <c r="Y19" s="4" t="s">
        <v>10</v>
      </c>
      <c r="Z19" s="2">
        <v>0</v>
      </c>
      <c r="AA19" s="2">
        <v>0</v>
      </c>
      <c r="AB19" s="36">
        <v>-546.48</v>
      </c>
      <c r="AC19" s="2">
        <v>-8852.9140000000007</v>
      </c>
      <c r="AD19" s="2">
        <v>6557.7139999999999</v>
      </c>
      <c r="AE19" s="2">
        <v>0</v>
      </c>
      <c r="AG19" s="4" t="s">
        <v>16</v>
      </c>
      <c r="AH19" s="2" t="s">
        <v>11</v>
      </c>
      <c r="AI19" s="4" t="s">
        <v>10</v>
      </c>
      <c r="AJ19" s="2">
        <v>0</v>
      </c>
      <c r="AK19" s="36">
        <v>224.31</v>
      </c>
      <c r="AL19" s="36">
        <v>0</v>
      </c>
      <c r="AM19" s="2">
        <v>3927.569</v>
      </c>
      <c r="AN19" s="2">
        <v>0</v>
      </c>
      <c r="AO19" s="2">
        <v>2469.7930000000001</v>
      </c>
      <c r="AQ19" s="29"/>
      <c r="AR19" s="30"/>
      <c r="AS19" s="30"/>
      <c r="AT19" s="30"/>
      <c r="AU19" s="30"/>
      <c r="AV19" s="30"/>
      <c r="AW19" s="30"/>
      <c r="AX19" s="31"/>
      <c r="AZ19" s="29"/>
      <c r="BA19" s="30"/>
      <c r="BB19" s="30"/>
      <c r="BC19" s="30"/>
      <c r="BD19" s="30"/>
      <c r="BE19" s="30"/>
      <c r="BF19" s="30"/>
      <c r="BG19" s="31"/>
      <c r="BI19" s="2" t="str">
        <f>IF('[3]Model Check'!C14="","",('[3]Model Check'!C14))</f>
        <v/>
      </c>
      <c r="BJ19" s="2" t="str">
        <f>IF('[3]Model Check'!D14="","",('[3]Model Check'!D14))</f>
        <v/>
      </c>
      <c r="BK19" s="2" t="str">
        <f>IF('[3]Model Check'!E14="","",('[3]Model Check'!E14))</f>
        <v/>
      </c>
      <c r="BL19" s="2" t="str">
        <f>IF('[3]Model Check'!F14="","",('[3]Model Check'!F14))</f>
        <v/>
      </c>
      <c r="BM19" s="2" t="str">
        <f>IF('[3]Model Check'!G14="","",('[3]Model Check'!G14))</f>
        <v/>
      </c>
      <c r="BN19" s="2" t="str">
        <f>IF('[3]Model Check'!H14="","",('[3]Model Check'!H14))</f>
        <v/>
      </c>
      <c r="BO19" s="2" t="str">
        <f>IF('[3]Model Check'!I14="","",('[3]Model Check'!I14))</f>
        <v/>
      </c>
      <c r="BP19" s="2" t="str">
        <f>IF('[3]Model Check'!J14="","",('[3]Model Check'!J14))</f>
        <v/>
      </c>
      <c r="BQ19" s="2" t="str">
        <f>IF('[3]Model Check'!K14="","",('[3]Model Check'!K14))</f>
        <v/>
      </c>
      <c r="BR19" s="2" t="str">
        <f>IF('[3]Model Check'!L14="","",('[3]Model Check'!L14))</f>
        <v/>
      </c>
      <c r="BS19" s="2" t="str">
        <f>IF('[3]Model Check'!M14="","",('[3]Model Check'!M14))</f>
        <v/>
      </c>
      <c r="BT19" s="2" t="str">
        <f>IF('[3]Model Check'!N14="","",('[3]Model Check'!N14))</f>
        <v/>
      </c>
    </row>
    <row r="20" spans="3:72" ht="18" customHeight="1" x14ac:dyDescent="0.25">
      <c r="C20" s="4" t="s">
        <v>310</v>
      </c>
      <c r="E20" s="2" t="str">
        <f t="shared" si="4"/>
        <v/>
      </c>
      <c r="F20" s="2">
        <v>0</v>
      </c>
      <c r="G20" s="8" t="str">
        <f t="shared" si="1"/>
        <v/>
      </c>
      <c r="J20" s="4" t="s">
        <v>310</v>
      </c>
      <c r="K20" s="2">
        <v>292.52</v>
      </c>
      <c r="L20" s="2">
        <f t="shared" si="2"/>
        <v>2869.6212</v>
      </c>
      <c r="M20" s="2">
        <v>0</v>
      </c>
      <c r="N20" s="8" t="e">
        <f t="shared" si="0"/>
        <v>#DIV/0!</v>
      </c>
      <c r="Q20" s="4" t="s">
        <v>310</v>
      </c>
      <c r="S20" s="2" t="str">
        <f t="shared" si="5"/>
        <v/>
      </c>
      <c r="T20" s="2">
        <v>0</v>
      </c>
      <c r="U20" s="8" t="str">
        <f t="shared" si="3"/>
        <v/>
      </c>
      <c r="AG20" s="4" t="s">
        <v>16</v>
      </c>
      <c r="AH20" s="2" t="s">
        <v>12</v>
      </c>
      <c r="AI20" s="4" t="s">
        <v>10</v>
      </c>
      <c r="AJ20" s="2">
        <v>0</v>
      </c>
      <c r="AK20" s="36">
        <v>0</v>
      </c>
      <c r="AL20" s="36">
        <v>558.86</v>
      </c>
      <c r="AM20" s="2">
        <v>11266.933000000001</v>
      </c>
      <c r="AN20" s="2">
        <v>6679.3779999999997</v>
      </c>
      <c r="AO20" s="2">
        <v>0</v>
      </c>
      <c r="AQ20" s="29"/>
      <c r="AR20" s="30"/>
      <c r="AS20" s="30"/>
      <c r="AT20" s="30"/>
      <c r="AU20" s="30"/>
      <c r="AV20" s="30"/>
      <c r="AW20" s="30"/>
      <c r="AX20" s="31"/>
      <c r="AZ20" s="29"/>
      <c r="BA20" s="30"/>
      <c r="BB20" s="30"/>
      <c r="BC20" s="30"/>
      <c r="BD20" s="30"/>
      <c r="BE20" s="30"/>
      <c r="BF20" s="30"/>
      <c r="BG20" s="31"/>
      <c r="BI20" s="2" t="str">
        <f>IF('[3]Model Check'!C15="","",('[3]Model Check'!C15))</f>
        <v/>
      </c>
      <c r="BJ20" s="2" t="str">
        <f>IF('[3]Model Check'!D15="","",('[3]Model Check'!D15))</f>
        <v/>
      </c>
      <c r="BK20" s="2" t="str">
        <f>IF('[3]Model Check'!E15="","",('[3]Model Check'!E15))</f>
        <v/>
      </c>
      <c r="BL20" s="2" t="str">
        <f>IF('[3]Model Check'!F15="","",('[3]Model Check'!F15))</f>
        <v/>
      </c>
      <c r="BM20" s="2" t="str">
        <f>IF('[3]Model Check'!G15="","",('[3]Model Check'!G15))</f>
        <v/>
      </c>
      <c r="BN20" s="2" t="str">
        <f>IF('[3]Model Check'!H15="","",('[3]Model Check'!H15))</f>
        <v/>
      </c>
      <c r="BO20" s="2" t="str">
        <f>IF('[3]Model Check'!I15="","",('[3]Model Check'!I15))</f>
        <v/>
      </c>
      <c r="BP20" s="2" t="str">
        <f>IF('[3]Model Check'!J15="","",('[3]Model Check'!J15))</f>
        <v/>
      </c>
      <c r="BQ20" s="2" t="str">
        <f>IF('[3]Model Check'!K15="","",('[3]Model Check'!K15))</f>
        <v/>
      </c>
      <c r="BR20" s="2" t="str">
        <f>IF('[3]Model Check'!L15="","",('[3]Model Check'!L15))</f>
        <v/>
      </c>
      <c r="BS20" s="2" t="str">
        <f>IF('[3]Model Check'!M15="","",('[3]Model Check'!M15))</f>
        <v/>
      </c>
      <c r="BT20" s="2" t="str">
        <f>IF('[3]Model Check'!N15="","",('[3]Model Check'!N15))</f>
        <v/>
      </c>
    </row>
    <row r="21" spans="3:72" ht="18" customHeight="1" x14ac:dyDescent="0.25">
      <c r="C21" s="4"/>
      <c r="E21" s="2" t="str">
        <f t="shared" si="4"/>
        <v/>
      </c>
      <c r="G21" s="8" t="str">
        <f t="shared" si="1"/>
        <v/>
      </c>
      <c r="J21" s="4"/>
      <c r="L21" s="2" t="str">
        <f t="shared" si="2"/>
        <v/>
      </c>
      <c r="N21" s="8" t="str">
        <f>IF((L21= "")+(M21=""),"",L21/M21)</f>
        <v/>
      </c>
      <c r="Q21" s="4"/>
      <c r="S21" s="2" t="str">
        <f t="shared" si="5"/>
        <v/>
      </c>
      <c r="U21" s="8" t="str">
        <f t="shared" si="3"/>
        <v/>
      </c>
      <c r="AG21" s="4" t="s">
        <v>16</v>
      </c>
      <c r="AH21" s="2" t="s">
        <v>13</v>
      </c>
      <c r="AI21" s="4" t="s">
        <v>10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Q21" s="29"/>
      <c r="AR21" s="30"/>
      <c r="AS21" s="30"/>
      <c r="AT21" s="30"/>
      <c r="AU21" s="30"/>
      <c r="AV21" s="30"/>
      <c r="AW21" s="30"/>
      <c r="AX21" s="31"/>
      <c r="AZ21" s="29"/>
      <c r="BA21" s="30"/>
      <c r="BB21" s="30"/>
      <c r="BC21" s="30"/>
      <c r="BD21" s="30"/>
      <c r="BE21" s="30"/>
      <c r="BF21" s="30"/>
      <c r="BG21" s="31"/>
      <c r="BI21" s="2" t="str">
        <f>IF('[3]Model Check'!C16="","",('[3]Model Check'!C16))</f>
        <v/>
      </c>
      <c r="BJ21" s="2" t="str">
        <f>IF('[3]Model Check'!D16="","",('[3]Model Check'!D16))</f>
        <v/>
      </c>
      <c r="BK21" s="2" t="str">
        <f>IF('[3]Model Check'!E16="","",('[3]Model Check'!E16))</f>
        <v/>
      </c>
      <c r="BL21" s="2" t="str">
        <f>IF('[3]Model Check'!F16="","",('[3]Model Check'!F16))</f>
        <v/>
      </c>
      <c r="BM21" s="2" t="str">
        <f>IF('[3]Model Check'!G16="","",('[3]Model Check'!G16))</f>
        <v/>
      </c>
      <c r="BN21" s="2" t="str">
        <f>IF('[3]Model Check'!H16="","",('[3]Model Check'!H16))</f>
        <v/>
      </c>
      <c r="BO21" s="2" t="str">
        <f>IF('[3]Model Check'!I16="","",('[3]Model Check'!I16))</f>
        <v/>
      </c>
      <c r="BP21" s="2" t="str">
        <f>IF('[3]Model Check'!J16="","",('[3]Model Check'!J16))</f>
        <v/>
      </c>
      <c r="BQ21" s="2" t="str">
        <f>IF('[3]Model Check'!K16="","",('[3]Model Check'!K16))</f>
        <v/>
      </c>
      <c r="BR21" s="2" t="str">
        <f>IF('[3]Model Check'!L16="","",('[3]Model Check'!L16))</f>
        <v/>
      </c>
      <c r="BS21" s="2" t="str">
        <f>IF('[3]Model Check'!M16="","",('[3]Model Check'!M16))</f>
        <v/>
      </c>
      <c r="BT21" s="2" t="str">
        <f>IF('[3]Model Check'!N16="","",('[3]Model Check'!N16))</f>
        <v/>
      </c>
    </row>
    <row r="22" spans="3:72" ht="18" customHeight="1" x14ac:dyDescent="0.25">
      <c r="C22" s="4"/>
      <c r="E22" s="2" t="str">
        <f t="shared" si="4"/>
        <v/>
      </c>
      <c r="G22" s="8" t="str">
        <f t="shared" si="1"/>
        <v/>
      </c>
      <c r="J22" s="4"/>
      <c r="L22" s="2" t="str">
        <f t="shared" si="2"/>
        <v/>
      </c>
      <c r="N22" s="8" t="str">
        <f t="shared" ref="N22:N85" si="6">IF((L22= "")+(M22=""),"",L22/M22)</f>
        <v/>
      </c>
      <c r="Q22" s="4"/>
      <c r="S22" s="2" t="str">
        <f t="shared" si="5"/>
        <v/>
      </c>
      <c r="U22" s="8" t="str">
        <f t="shared" si="3"/>
        <v/>
      </c>
      <c r="AG22" s="4" t="s">
        <v>16</v>
      </c>
      <c r="AH22" s="2" t="s">
        <v>14</v>
      </c>
      <c r="AI22" s="4" t="s">
        <v>10</v>
      </c>
      <c r="AJ22" s="2">
        <v>0</v>
      </c>
      <c r="AK22" s="36">
        <v>280.18</v>
      </c>
      <c r="AL22" s="36">
        <v>0</v>
      </c>
      <c r="AM22" s="2">
        <v>4905.9930000000004</v>
      </c>
      <c r="AN22" s="2">
        <v>0</v>
      </c>
      <c r="AO22" s="2">
        <v>3085.0610000000001</v>
      </c>
      <c r="AQ22" s="29"/>
      <c r="AR22" s="30"/>
      <c r="AS22" s="30"/>
      <c r="AT22" s="30"/>
      <c r="AU22" s="30"/>
      <c r="AV22" s="30"/>
      <c r="AW22" s="30"/>
      <c r="AX22" s="31"/>
      <c r="AZ22" s="29"/>
      <c r="BA22" s="30"/>
      <c r="BB22" s="30"/>
      <c r="BC22" s="30"/>
      <c r="BD22" s="30"/>
      <c r="BE22" s="30"/>
      <c r="BF22" s="30"/>
      <c r="BG22" s="31"/>
      <c r="BI22" s="2" t="str">
        <f>IF('[3]Model Check'!C17="","",('[3]Model Check'!C17))</f>
        <v/>
      </c>
      <c r="BJ22" s="2" t="str">
        <f>IF('[3]Model Check'!D17="","",('[3]Model Check'!D17))</f>
        <v/>
      </c>
      <c r="BK22" s="2" t="str">
        <f>IF('[3]Model Check'!E17="","",('[3]Model Check'!E17))</f>
        <v/>
      </c>
      <c r="BL22" s="2" t="str">
        <f>IF('[3]Model Check'!F17="","",('[3]Model Check'!F17))</f>
        <v/>
      </c>
      <c r="BM22" s="2" t="str">
        <f>IF('[3]Model Check'!G17="","",('[3]Model Check'!G17))</f>
        <v/>
      </c>
      <c r="BN22" s="2" t="str">
        <f>IF('[3]Model Check'!H17="","",('[3]Model Check'!H17))</f>
        <v/>
      </c>
      <c r="BO22" s="2" t="str">
        <f>IF('[3]Model Check'!I17="","",('[3]Model Check'!I17))</f>
        <v/>
      </c>
      <c r="BP22" s="2" t="str">
        <f>IF('[3]Model Check'!J17="","",('[3]Model Check'!J17))</f>
        <v/>
      </c>
      <c r="BQ22" s="2" t="str">
        <f>IF('[3]Model Check'!K17="","",('[3]Model Check'!K17))</f>
        <v/>
      </c>
      <c r="BR22" s="2" t="str">
        <f>IF('[3]Model Check'!L17="","",('[3]Model Check'!L17))</f>
        <v/>
      </c>
      <c r="BS22" s="2" t="str">
        <f>IF('[3]Model Check'!M17="","",('[3]Model Check'!M17))</f>
        <v/>
      </c>
      <c r="BT22" s="2" t="str">
        <f>IF('[3]Model Check'!N17="","",('[3]Model Check'!N17))</f>
        <v/>
      </c>
    </row>
    <row r="23" spans="3:72" ht="18" customHeight="1" x14ac:dyDescent="0.25">
      <c r="C23" s="4"/>
      <c r="E23" s="2" t="str">
        <f t="shared" si="4"/>
        <v/>
      </c>
      <c r="G23" s="8" t="str">
        <f t="shared" si="1"/>
        <v/>
      </c>
      <c r="J23" s="4"/>
      <c r="L23" s="2" t="str">
        <f t="shared" si="2"/>
        <v/>
      </c>
      <c r="N23" s="8" t="str">
        <f t="shared" si="6"/>
        <v/>
      </c>
      <c r="Q23" s="4"/>
      <c r="S23" s="2" t="str">
        <f t="shared" si="5"/>
        <v/>
      </c>
      <c r="U23" s="8" t="str">
        <f t="shared" si="3"/>
        <v/>
      </c>
      <c r="AG23" s="4" t="s">
        <v>16</v>
      </c>
      <c r="AH23" s="2" t="s">
        <v>15</v>
      </c>
      <c r="AI23" s="4" t="s">
        <v>10</v>
      </c>
      <c r="AJ23" s="2">
        <v>0</v>
      </c>
      <c r="AK23" s="36">
        <v>0</v>
      </c>
      <c r="AL23" s="36">
        <v>671.3</v>
      </c>
      <c r="AM23" s="2">
        <v>13533.749</v>
      </c>
      <c r="AN23" s="2">
        <v>8023.2150000000001</v>
      </c>
      <c r="AO23" s="2">
        <v>0</v>
      </c>
      <c r="AQ23" s="29"/>
      <c r="AR23" s="30"/>
      <c r="AS23" s="30"/>
      <c r="AT23" s="30"/>
      <c r="AU23" s="30"/>
      <c r="AV23" s="30"/>
      <c r="AW23" s="30"/>
      <c r="AX23" s="31"/>
      <c r="AZ23" s="29"/>
      <c r="BA23" s="30"/>
      <c r="BB23" s="30"/>
      <c r="BC23" s="30"/>
      <c r="BD23" s="30"/>
      <c r="BE23" s="30"/>
      <c r="BF23" s="30"/>
      <c r="BG23" s="31"/>
      <c r="BI23" s="2" t="str">
        <f>IF('[3]Model Check'!C18="","",('[3]Model Check'!C18))</f>
        <v/>
      </c>
      <c r="BJ23" s="2" t="str">
        <f>IF('[3]Model Check'!D18="","",('[3]Model Check'!D18))</f>
        <v/>
      </c>
      <c r="BK23" s="2" t="str">
        <f>IF('[3]Model Check'!E18="","",('[3]Model Check'!E18))</f>
        <v/>
      </c>
      <c r="BL23" s="2" t="str">
        <f>IF('[3]Model Check'!F18="","",('[3]Model Check'!F18))</f>
        <v/>
      </c>
      <c r="BM23" s="2" t="str">
        <f>IF('[3]Model Check'!G18="","",('[3]Model Check'!G18))</f>
        <v/>
      </c>
      <c r="BN23" s="2" t="str">
        <f>IF('[3]Model Check'!H18="","",('[3]Model Check'!H18))</f>
        <v/>
      </c>
      <c r="BO23" s="2" t="str">
        <f>IF('[3]Model Check'!I18="","",('[3]Model Check'!I18))</f>
        <v/>
      </c>
      <c r="BP23" s="2" t="str">
        <f>IF('[3]Model Check'!J18="","",('[3]Model Check'!J18))</f>
        <v/>
      </c>
      <c r="BQ23" s="2" t="str">
        <f>IF('[3]Model Check'!K18="","",('[3]Model Check'!K18))</f>
        <v/>
      </c>
      <c r="BR23" s="2" t="str">
        <f>IF('[3]Model Check'!L18="","",('[3]Model Check'!L18))</f>
        <v/>
      </c>
      <c r="BS23" s="2" t="str">
        <f>IF('[3]Model Check'!M18="","",('[3]Model Check'!M18))</f>
        <v/>
      </c>
      <c r="BT23" s="2" t="str">
        <f>IF('[3]Model Check'!N18="","",('[3]Model Check'!N18))</f>
        <v/>
      </c>
    </row>
    <row r="24" spans="3:72" ht="18" customHeight="1" x14ac:dyDescent="0.25">
      <c r="C24" s="4"/>
      <c r="E24" s="2" t="str">
        <f t="shared" si="4"/>
        <v/>
      </c>
      <c r="G24" s="8" t="str">
        <f t="shared" si="1"/>
        <v/>
      </c>
      <c r="J24" s="4"/>
      <c r="L24" s="2" t="str">
        <f t="shared" si="2"/>
        <v/>
      </c>
      <c r="N24" s="8" t="str">
        <f t="shared" si="6"/>
        <v/>
      </c>
      <c r="Q24" s="4"/>
      <c r="S24" s="2" t="str">
        <f t="shared" si="5"/>
        <v/>
      </c>
      <c r="U24" s="8" t="str">
        <f t="shared" si="3"/>
        <v/>
      </c>
      <c r="AQ24" s="29"/>
      <c r="AR24" s="30"/>
      <c r="AS24" s="30"/>
      <c r="AT24" s="30"/>
      <c r="AU24" s="30"/>
      <c r="AV24" s="30"/>
      <c r="AW24" s="30"/>
      <c r="AX24" s="31"/>
      <c r="AZ24" s="29"/>
      <c r="BA24" s="30"/>
      <c r="BB24" s="30"/>
      <c r="BC24" s="30"/>
      <c r="BD24" s="30"/>
      <c r="BE24" s="30"/>
      <c r="BF24" s="30"/>
      <c r="BG24" s="31"/>
      <c r="BI24" s="2" t="str">
        <f>IF('[3]Model Check'!C19="","",('[3]Model Check'!C19))</f>
        <v/>
      </c>
      <c r="BJ24" s="2" t="str">
        <f>IF('[3]Model Check'!D19="","",('[3]Model Check'!D19))</f>
        <v/>
      </c>
      <c r="BK24" s="2" t="str">
        <f>IF('[3]Model Check'!E19="","",('[3]Model Check'!E19))</f>
        <v/>
      </c>
      <c r="BL24" s="2" t="str">
        <f>IF('[3]Model Check'!F19="","",('[3]Model Check'!F19))</f>
        <v/>
      </c>
      <c r="BM24" s="2" t="str">
        <f>IF('[3]Model Check'!G19="","",('[3]Model Check'!G19))</f>
        <v/>
      </c>
      <c r="BN24" s="2" t="str">
        <f>IF('[3]Model Check'!H19="","",('[3]Model Check'!H19))</f>
        <v/>
      </c>
      <c r="BO24" s="2" t="str">
        <f>IF('[3]Model Check'!I19="","",('[3]Model Check'!I19))</f>
        <v/>
      </c>
      <c r="BP24" s="2" t="str">
        <f>IF('[3]Model Check'!J19="","",('[3]Model Check'!J19))</f>
        <v/>
      </c>
      <c r="BQ24" s="2" t="str">
        <f>IF('[3]Model Check'!K19="","",('[3]Model Check'!K19))</f>
        <v/>
      </c>
      <c r="BR24" s="2" t="str">
        <f>IF('[3]Model Check'!L19="","",('[3]Model Check'!L19))</f>
        <v/>
      </c>
      <c r="BS24" s="2" t="str">
        <f>IF('[3]Model Check'!M19="","",('[3]Model Check'!M19))</f>
        <v/>
      </c>
      <c r="BT24" s="2" t="str">
        <f>IF('[3]Model Check'!N19="","",('[3]Model Check'!N19))</f>
        <v/>
      </c>
    </row>
    <row r="25" spans="3:72" ht="18" customHeight="1" x14ac:dyDescent="0.25">
      <c r="C25" s="4"/>
      <c r="E25" s="2" t="str">
        <f t="shared" ref="E25:E79" si="7">IF(D25-D24&gt;0,D25-D24,"")</f>
        <v/>
      </c>
      <c r="G25" s="8" t="str">
        <f t="shared" si="1"/>
        <v/>
      </c>
      <c r="J25" s="4"/>
      <c r="L25" s="2" t="str">
        <f t="shared" si="2"/>
        <v/>
      </c>
      <c r="N25" s="8" t="str">
        <f t="shared" si="6"/>
        <v/>
      </c>
      <c r="Q25" s="4"/>
      <c r="S25" s="2" t="str">
        <f t="shared" si="5"/>
        <v/>
      </c>
      <c r="U25" s="8" t="str">
        <f t="shared" si="3"/>
        <v/>
      </c>
      <c r="AQ25" s="29"/>
      <c r="AR25" s="30"/>
      <c r="AS25" s="30"/>
      <c r="AT25" s="30"/>
      <c r="AU25" s="30"/>
      <c r="AV25" s="30"/>
      <c r="AW25" s="30"/>
      <c r="AX25" s="31"/>
      <c r="AZ25" s="29"/>
      <c r="BA25" s="30"/>
      <c r="BB25" s="30"/>
      <c r="BC25" s="30"/>
      <c r="BD25" s="30"/>
      <c r="BE25" s="30"/>
      <c r="BF25" s="30"/>
      <c r="BG25" s="31"/>
      <c r="BI25" s="2" t="str">
        <f>IF('[3]Model Check'!C20="","",('[3]Model Check'!C20))</f>
        <v/>
      </c>
      <c r="BJ25" s="2" t="str">
        <f>IF('[3]Model Check'!D20="","",('[3]Model Check'!D20))</f>
        <v/>
      </c>
      <c r="BK25" s="2" t="str">
        <f>IF('[3]Model Check'!E20="","",('[3]Model Check'!E20))</f>
        <v/>
      </c>
      <c r="BL25" s="2" t="str">
        <f>IF('[3]Model Check'!F20="","",('[3]Model Check'!F20))</f>
        <v/>
      </c>
      <c r="BM25" s="2" t="str">
        <f>IF('[3]Model Check'!G20="","",('[3]Model Check'!G20))</f>
        <v/>
      </c>
      <c r="BN25" s="2" t="str">
        <f>IF('[3]Model Check'!H20="","",('[3]Model Check'!H20))</f>
        <v/>
      </c>
      <c r="BO25" s="2" t="str">
        <f>IF('[3]Model Check'!I20="","",('[3]Model Check'!I20))</f>
        <v/>
      </c>
      <c r="BP25" s="2" t="str">
        <f>IF('[3]Model Check'!J20="","",('[3]Model Check'!J20))</f>
        <v/>
      </c>
      <c r="BQ25" s="2" t="str">
        <f>IF('[3]Model Check'!K20="","",('[3]Model Check'!K20))</f>
        <v/>
      </c>
      <c r="BR25" s="2" t="str">
        <f>IF('[3]Model Check'!L20="","",('[3]Model Check'!L20))</f>
        <v/>
      </c>
      <c r="BS25" s="2" t="str">
        <f>IF('[3]Model Check'!M20="","",('[3]Model Check'!M20))</f>
        <v/>
      </c>
      <c r="BT25" s="2" t="str">
        <f>IF('[3]Model Check'!N20="","",('[3]Model Check'!N20))</f>
        <v/>
      </c>
    </row>
    <row r="26" spans="3:72" ht="18" customHeight="1" x14ac:dyDescent="0.25">
      <c r="C26" s="4"/>
      <c r="E26" s="2" t="str">
        <f t="shared" si="7"/>
        <v/>
      </c>
      <c r="G26" s="8" t="str">
        <f t="shared" si="1"/>
        <v/>
      </c>
      <c r="J26" s="4"/>
      <c r="L26" s="2" t="str">
        <f t="shared" si="2"/>
        <v/>
      </c>
      <c r="N26" s="8" t="str">
        <f t="shared" si="6"/>
        <v/>
      </c>
      <c r="Q26" s="4"/>
      <c r="S26" s="2" t="str">
        <f t="shared" si="5"/>
        <v/>
      </c>
      <c r="U26" s="8" t="str">
        <f t="shared" si="3"/>
        <v/>
      </c>
      <c r="AQ26" s="29"/>
      <c r="AR26" s="30"/>
      <c r="AS26" s="30"/>
      <c r="AT26" s="30"/>
      <c r="AU26" s="30"/>
      <c r="AV26" s="30"/>
      <c r="AW26" s="30"/>
      <c r="AX26" s="31"/>
      <c r="AZ26" s="29"/>
      <c r="BA26" s="30"/>
      <c r="BB26" s="30"/>
      <c r="BC26" s="30"/>
      <c r="BD26" s="30"/>
      <c r="BE26" s="30"/>
      <c r="BF26" s="30"/>
      <c r="BG26" s="31"/>
      <c r="BI26" s="2" t="str">
        <f>IF('[3]Model Check'!C21="","",('[3]Model Check'!C21))</f>
        <v/>
      </c>
      <c r="BJ26" s="2" t="str">
        <f>IF('[3]Model Check'!D21="","",('[3]Model Check'!D21))</f>
        <v/>
      </c>
      <c r="BK26" s="2" t="str">
        <f>IF('[3]Model Check'!E21="","",('[3]Model Check'!E21))</f>
        <v/>
      </c>
      <c r="BL26" s="2" t="str">
        <f>IF('[3]Model Check'!F21="","",('[3]Model Check'!F21))</f>
        <v/>
      </c>
      <c r="BM26" s="2" t="str">
        <f>IF('[3]Model Check'!G21="","",('[3]Model Check'!G21))</f>
        <v/>
      </c>
      <c r="BN26" s="2" t="str">
        <f>IF('[3]Model Check'!H21="","",('[3]Model Check'!H21))</f>
        <v/>
      </c>
      <c r="BO26" s="2" t="str">
        <f>IF('[3]Model Check'!I21="","",('[3]Model Check'!I21))</f>
        <v/>
      </c>
      <c r="BP26" s="2" t="str">
        <f>IF('[3]Model Check'!J21="","",('[3]Model Check'!J21))</f>
        <v/>
      </c>
      <c r="BQ26" s="2" t="str">
        <f>IF('[3]Model Check'!K21="","",('[3]Model Check'!K21))</f>
        <v/>
      </c>
      <c r="BR26" s="2" t="str">
        <f>IF('[3]Model Check'!L21="","",('[3]Model Check'!L21))</f>
        <v/>
      </c>
      <c r="BS26" s="2" t="str">
        <f>IF('[3]Model Check'!M21="","",('[3]Model Check'!M21))</f>
        <v/>
      </c>
      <c r="BT26" s="2" t="str">
        <f>IF('[3]Model Check'!N21="","",('[3]Model Check'!N21))</f>
        <v/>
      </c>
    </row>
    <row r="27" spans="3:72" ht="18" customHeight="1" x14ac:dyDescent="0.25">
      <c r="C27" s="4"/>
      <c r="E27" s="2" t="str">
        <f t="shared" si="7"/>
        <v/>
      </c>
      <c r="G27" s="8" t="str">
        <f t="shared" si="1"/>
        <v/>
      </c>
      <c r="J27" s="4"/>
      <c r="L27" s="2" t="str">
        <f t="shared" si="2"/>
        <v/>
      </c>
      <c r="N27" s="8" t="str">
        <f t="shared" si="6"/>
        <v/>
      </c>
      <c r="Q27" s="4"/>
      <c r="S27" s="2" t="str">
        <f t="shared" si="5"/>
        <v/>
      </c>
      <c r="U27" s="8" t="str">
        <f t="shared" si="3"/>
        <v/>
      </c>
      <c r="AQ27" s="29"/>
      <c r="AR27" s="30"/>
      <c r="AS27" s="30"/>
      <c r="AT27" s="30"/>
      <c r="AU27" s="30"/>
      <c r="AV27" s="30"/>
      <c r="AW27" s="30"/>
      <c r="AX27" s="31"/>
      <c r="AZ27" s="29"/>
      <c r="BA27" s="30"/>
      <c r="BB27" s="30"/>
      <c r="BC27" s="30"/>
      <c r="BD27" s="30"/>
      <c r="BE27" s="30"/>
      <c r="BF27" s="30"/>
      <c r="BG27" s="31"/>
      <c r="BI27" s="2" t="str">
        <f>IF('[3]Model Check'!C22="","",('[3]Model Check'!C22))</f>
        <v/>
      </c>
      <c r="BJ27" s="2" t="str">
        <f>IF('[3]Model Check'!D22="","",('[3]Model Check'!D22))</f>
        <v/>
      </c>
      <c r="BK27" s="2" t="str">
        <f>IF('[3]Model Check'!E22="","",('[3]Model Check'!E22))</f>
        <v/>
      </c>
      <c r="BL27" s="2" t="str">
        <f>IF('[3]Model Check'!F22="","",('[3]Model Check'!F22))</f>
        <v/>
      </c>
      <c r="BM27" s="2" t="str">
        <f>IF('[3]Model Check'!G22="","",('[3]Model Check'!G22))</f>
        <v/>
      </c>
      <c r="BN27" s="2" t="str">
        <f>IF('[3]Model Check'!H22="","",('[3]Model Check'!H22))</f>
        <v/>
      </c>
      <c r="BO27" s="2" t="str">
        <f>IF('[3]Model Check'!I22="","",('[3]Model Check'!I22))</f>
        <v/>
      </c>
      <c r="BP27" s="2" t="str">
        <f>IF('[3]Model Check'!J22="","",('[3]Model Check'!J22))</f>
        <v/>
      </c>
      <c r="BQ27" s="2" t="str">
        <f>IF('[3]Model Check'!K22="","",('[3]Model Check'!K22))</f>
        <v/>
      </c>
      <c r="BR27" s="2" t="str">
        <f>IF('[3]Model Check'!L22="","",('[3]Model Check'!L22))</f>
        <v/>
      </c>
      <c r="BS27" s="2" t="str">
        <f>IF('[3]Model Check'!M22="","",('[3]Model Check'!M22))</f>
        <v/>
      </c>
      <c r="BT27" s="2" t="str">
        <f>IF('[3]Model Check'!N22="","",('[3]Model Check'!N22))</f>
        <v/>
      </c>
    </row>
    <row r="28" spans="3:72" ht="18" customHeight="1" x14ac:dyDescent="0.25">
      <c r="C28" s="4"/>
      <c r="E28" s="2" t="str">
        <f t="shared" si="7"/>
        <v/>
      </c>
      <c r="G28" s="8" t="str">
        <f t="shared" si="1"/>
        <v/>
      </c>
      <c r="J28" s="4"/>
      <c r="L28" s="2" t="str">
        <f t="shared" si="2"/>
        <v/>
      </c>
      <c r="N28" s="8" t="str">
        <f t="shared" si="6"/>
        <v/>
      </c>
      <c r="Q28" s="4"/>
      <c r="S28" s="2" t="str">
        <f t="shared" ref="S28:S79" si="8">IF(R28-R27&gt;0,R28-R27,"")</f>
        <v/>
      </c>
      <c r="U28" s="8" t="str">
        <f t="shared" si="3"/>
        <v/>
      </c>
      <c r="AQ28" s="29"/>
      <c r="AR28" s="30"/>
      <c r="AS28" s="30"/>
      <c r="AT28" s="30"/>
      <c r="AU28" s="30"/>
      <c r="AV28" s="30"/>
      <c r="AW28" s="30"/>
      <c r="AX28" s="31"/>
      <c r="AZ28" s="29"/>
      <c r="BA28" s="30"/>
      <c r="BB28" s="30"/>
      <c r="BC28" s="30"/>
      <c r="BD28" s="30"/>
      <c r="BE28" s="30"/>
      <c r="BF28" s="30"/>
      <c r="BG28" s="31"/>
      <c r="BI28" s="2" t="str">
        <f>IF('[3]Model Check'!C23="","",('[3]Model Check'!C23))</f>
        <v/>
      </c>
      <c r="BJ28" s="2" t="str">
        <f>IF('[3]Model Check'!D23="","",('[3]Model Check'!D23))</f>
        <v/>
      </c>
      <c r="BK28" s="2" t="str">
        <f>IF('[3]Model Check'!E23="","",('[3]Model Check'!E23))</f>
        <v/>
      </c>
      <c r="BL28" s="2" t="str">
        <f>IF('[3]Model Check'!F23="","",('[3]Model Check'!F23))</f>
        <v/>
      </c>
      <c r="BM28" s="2" t="str">
        <f>IF('[3]Model Check'!G23="","",('[3]Model Check'!G23))</f>
        <v/>
      </c>
      <c r="BN28" s="2" t="str">
        <f>IF('[3]Model Check'!H23="","",('[3]Model Check'!H23))</f>
        <v/>
      </c>
      <c r="BO28" s="2" t="str">
        <f>IF('[3]Model Check'!I23="","",('[3]Model Check'!I23))</f>
        <v/>
      </c>
      <c r="BP28" s="2" t="str">
        <f>IF('[3]Model Check'!J23="","",('[3]Model Check'!J23))</f>
        <v/>
      </c>
      <c r="BQ28" s="2" t="str">
        <f>IF('[3]Model Check'!K23="","",('[3]Model Check'!K23))</f>
        <v/>
      </c>
      <c r="BR28" s="2" t="str">
        <f>IF('[3]Model Check'!L23="","",('[3]Model Check'!L23))</f>
        <v/>
      </c>
      <c r="BS28" s="2" t="str">
        <f>IF('[3]Model Check'!M23="","",('[3]Model Check'!M23))</f>
        <v/>
      </c>
      <c r="BT28" s="2" t="str">
        <f>IF('[3]Model Check'!N23="","",('[3]Model Check'!N23))</f>
        <v/>
      </c>
    </row>
    <row r="29" spans="3:72" ht="18" customHeight="1" x14ac:dyDescent="0.25">
      <c r="C29" s="4"/>
      <c r="E29" s="2" t="str">
        <f t="shared" si="7"/>
        <v/>
      </c>
      <c r="G29" s="8" t="str">
        <f t="shared" si="1"/>
        <v/>
      </c>
      <c r="J29" s="4"/>
      <c r="L29" s="2" t="str">
        <f t="shared" ref="L29:L85" si="9">IF(K29&gt;0,K29*9.81,"")</f>
        <v/>
      </c>
      <c r="N29" s="8" t="str">
        <f t="shared" si="6"/>
        <v/>
      </c>
      <c r="Q29" s="4"/>
      <c r="S29" s="2" t="str">
        <f t="shared" si="8"/>
        <v/>
      </c>
      <c r="U29" s="8" t="str">
        <f t="shared" si="3"/>
        <v/>
      </c>
      <c r="AQ29" s="29"/>
      <c r="AR29" s="30"/>
      <c r="AS29" s="30"/>
      <c r="AT29" s="30"/>
      <c r="AU29" s="30"/>
      <c r="AV29" s="30"/>
      <c r="AW29" s="30"/>
      <c r="AX29" s="31"/>
      <c r="AZ29" s="29"/>
      <c r="BA29" s="30"/>
      <c r="BB29" s="30"/>
      <c r="BC29" s="30"/>
      <c r="BD29" s="30"/>
      <c r="BE29" s="30"/>
      <c r="BF29" s="30"/>
      <c r="BG29" s="31"/>
      <c r="BI29" s="2" t="str">
        <f>IF('[3]Model Check'!C24="","",('[3]Model Check'!C24))</f>
        <v/>
      </c>
      <c r="BJ29" s="2" t="str">
        <f>IF('[3]Model Check'!D24="","",('[3]Model Check'!D24))</f>
        <v/>
      </c>
      <c r="BK29" s="2" t="str">
        <f>IF('[3]Model Check'!E24="","",('[3]Model Check'!E24))</f>
        <v/>
      </c>
      <c r="BL29" s="2" t="str">
        <f>IF('[3]Model Check'!F24="","",('[3]Model Check'!F24))</f>
        <v/>
      </c>
      <c r="BM29" s="2" t="str">
        <f>IF('[3]Model Check'!G24="","",('[3]Model Check'!G24))</f>
        <v/>
      </c>
      <c r="BN29" s="2" t="str">
        <f>IF('[3]Model Check'!H24="","",('[3]Model Check'!H24))</f>
        <v/>
      </c>
      <c r="BO29" s="2" t="str">
        <f>IF('[3]Model Check'!I24="","",('[3]Model Check'!I24))</f>
        <v/>
      </c>
      <c r="BP29" s="2" t="str">
        <f>IF('[3]Model Check'!J24="","",('[3]Model Check'!J24))</f>
        <v/>
      </c>
      <c r="BQ29" s="2" t="str">
        <f>IF('[3]Model Check'!K24="","",('[3]Model Check'!K24))</f>
        <v/>
      </c>
      <c r="BR29" s="2" t="str">
        <f>IF('[3]Model Check'!L24="","",('[3]Model Check'!L24))</f>
        <v/>
      </c>
      <c r="BS29" s="2" t="str">
        <f>IF('[3]Model Check'!M24="","",('[3]Model Check'!M24))</f>
        <v/>
      </c>
      <c r="BT29" s="2" t="str">
        <f>IF('[3]Model Check'!N24="","",('[3]Model Check'!N24))</f>
        <v/>
      </c>
    </row>
    <row r="30" spans="3:72" ht="18" customHeight="1" x14ac:dyDescent="0.25">
      <c r="C30" s="4"/>
      <c r="E30" s="2" t="str">
        <f t="shared" si="7"/>
        <v/>
      </c>
      <c r="G30" s="8" t="str">
        <f t="shared" si="1"/>
        <v/>
      </c>
      <c r="J30" s="4"/>
      <c r="L30" s="2" t="str">
        <f t="shared" si="9"/>
        <v/>
      </c>
      <c r="N30" s="8" t="str">
        <f t="shared" si="6"/>
        <v/>
      </c>
      <c r="Q30" s="4"/>
      <c r="S30" s="2" t="str">
        <f t="shared" si="8"/>
        <v/>
      </c>
      <c r="U30" s="8" t="str">
        <f t="shared" si="3"/>
        <v/>
      </c>
      <c r="AQ30" s="29"/>
      <c r="AR30" s="30"/>
      <c r="AS30" s="30"/>
      <c r="AT30" s="30"/>
      <c r="AU30" s="30"/>
      <c r="AV30" s="30"/>
      <c r="AW30" s="30"/>
      <c r="AX30" s="31"/>
      <c r="AZ30" s="29"/>
      <c r="BA30" s="30"/>
      <c r="BB30" s="30"/>
      <c r="BC30" s="30"/>
      <c r="BD30" s="30"/>
      <c r="BE30" s="30"/>
      <c r="BF30" s="30"/>
      <c r="BG30" s="31"/>
      <c r="BI30" s="2" t="str">
        <f>IF('[3]Model Check'!C25="","",('[3]Model Check'!C25))</f>
        <v/>
      </c>
      <c r="BJ30" s="2" t="str">
        <f>IF('[3]Model Check'!D25="","",('[3]Model Check'!D25))</f>
        <v/>
      </c>
      <c r="BK30" s="2" t="str">
        <f>IF('[3]Model Check'!E25="","",('[3]Model Check'!E25))</f>
        <v/>
      </c>
      <c r="BL30" s="2" t="str">
        <f>IF('[3]Model Check'!F25="","",('[3]Model Check'!F25))</f>
        <v/>
      </c>
      <c r="BM30" s="2" t="str">
        <f>IF('[3]Model Check'!G25="","",('[3]Model Check'!G25))</f>
        <v/>
      </c>
      <c r="BN30" s="2" t="str">
        <f>IF('[3]Model Check'!H25="","",('[3]Model Check'!H25))</f>
        <v/>
      </c>
      <c r="BO30" s="2" t="str">
        <f>IF('[3]Model Check'!I25="","",('[3]Model Check'!I25))</f>
        <v/>
      </c>
      <c r="BP30" s="2" t="str">
        <f>IF('[3]Model Check'!J25="","",('[3]Model Check'!J25))</f>
        <v/>
      </c>
      <c r="BQ30" s="2" t="str">
        <f>IF('[3]Model Check'!K25="","",('[3]Model Check'!K25))</f>
        <v/>
      </c>
      <c r="BR30" s="2" t="str">
        <f>IF('[3]Model Check'!L25="","",('[3]Model Check'!L25))</f>
        <v/>
      </c>
      <c r="BS30" s="2" t="str">
        <f>IF('[3]Model Check'!M25="","",('[3]Model Check'!M25))</f>
        <v/>
      </c>
      <c r="BT30" s="2" t="str">
        <f>IF('[3]Model Check'!N25="","",('[3]Model Check'!N25))</f>
        <v/>
      </c>
    </row>
    <row r="31" spans="3:72" ht="18" customHeight="1" x14ac:dyDescent="0.25">
      <c r="C31" s="4"/>
      <c r="E31" s="2" t="str">
        <f t="shared" si="7"/>
        <v/>
      </c>
      <c r="G31" s="8" t="str">
        <f t="shared" si="1"/>
        <v/>
      </c>
      <c r="J31" s="4"/>
      <c r="L31" s="2" t="str">
        <f t="shared" si="9"/>
        <v/>
      </c>
      <c r="N31" s="8" t="str">
        <f t="shared" si="6"/>
        <v/>
      </c>
      <c r="Q31" s="4"/>
      <c r="S31" s="2" t="str">
        <f t="shared" si="8"/>
        <v/>
      </c>
      <c r="U31" s="8" t="str">
        <f t="shared" si="3"/>
        <v/>
      </c>
      <c r="AQ31" s="29"/>
      <c r="AR31" s="30"/>
      <c r="AS31" s="30"/>
      <c r="AT31" s="30"/>
      <c r="AU31" s="30"/>
      <c r="AV31" s="30"/>
      <c r="AW31" s="30"/>
      <c r="AX31" s="31"/>
      <c r="AZ31" s="29"/>
      <c r="BA31" s="30"/>
      <c r="BB31" s="30"/>
      <c r="BC31" s="30"/>
      <c r="BD31" s="30"/>
      <c r="BE31" s="30"/>
      <c r="BF31" s="30"/>
      <c r="BG31" s="31"/>
      <c r="BI31" s="2" t="str">
        <f>IF('[3]Model Check'!C26="","",('[3]Model Check'!C26))</f>
        <v/>
      </c>
      <c r="BJ31" s="2" t="str">
        <f>IF('[3]Model Check'!D26="","",('[3]Model Check'!D26))</f>
        <v/>
      </c>
      <c r="BK31" s="2" t="str">
        <f>IF('[3]Model Check'!E26="","",('[3]Model Check'!E26))</f>
        <v/>
      </c>
      <c r="BL31" s="2" t="str">
        <f>IF('[3]Model Check'!F26="","",('[3]Model Check'!F26))</f>
        <v/>
      </c>
      <c r="BM31" s="2" t="str">
        <f>IF('[3]Model Check'!G26="","",('[3]Model Check'!G26))</f>
        <v/>
      </c>
      <c r="BN31" s="2" t="str">
        <f>IF('[3]Model Check'!H26="","",('[3]Model Check'!H26))</f>
        <v/>
      </c>
      <c r="BO31" s="2" t="str">
        <f>IF('[3]Model Check'!I26="","",('[3]Model Check'!I26))</f>
        <v/>
      </c>
      <c r="BP31" s="2" t="str">
        <f>IF('[3]Model Check'!J26="","",('[3]Model Check'!J26))</f>
        <v/>
      </c>
      <c r="BQ31" s="2" t="str">
        <f>IF('[3]Model Check'!K26="","",('[3]Model Check'!K26))</f>
        <v/>
      </c>
      <c r="BR31" s="2" t="str">
        <f>IF('[3]Model Check'!L26="","",('[3]Model Check'!L26))</f>
        <v/>
      </c>
      <c r="BS31" s="2" t="str">
        <f>IF('[3]Model Check'!M26="","",('[3]Model Check'!M26))</f>
        <v/>
      </c>
      <c r="BT31" s="2" t="str">
        <f>IF('[3]Model Check'!N26="","",('[3]Model Check'!N26))</f>
        <v/>
      </c>
    </row>
    <row r="32" spans="3:72" ht="18" customHeight="1" x14ac:dyDescent="0.25">
      <c r="C32" s="4"/>
      <c r="E32" s="2" t="str">
        <f t="shared" si="7"/>
        <v/>
      </c>
      <c r="G32" s="8" t="str">
        <f t="shared" si="1"/>
        <v/>
      </c>
      <c r="J32" s="4"/>
      <c r="L32" s="2" t="str">
        <f t="shared" si="9"/>
        <v/>
      </c>
      <c r="N32" s="8" t="str">
        <f t="shared" si="6"/>
        <v/>
      </c>
      <c r="Q32" s="4"/>
      <c r="S32" s="2" t="str">
        <f t="shared" si="8"/>
        <v/>
      </c>
      <c r="U32" s="8" t="str">
        <f t="shared" si="3"/>
        <v/>
      </c>
      <c r="AQ32" s="29"/>
      <c r="AR32" s="30"/>
      <c r="AS32" s="30"/>
      <c r="AT32" s="30"/>
      <c r="AU32" s="30"/>
      <c r="AV32" s="30"/>
      <c r="AW32" s="30"/>
      <c r="AX32" s="31"/>
      <c r="AZ32" s="29"/>
      <c r="BA32" s="30"/>
      <c r="BB32" s="30"/>
      <c r="BC32" s="30"/>
      <c r="BD32" s="30"/>
      <c r="BE32" s="30"/>
      <c r="BF32" s="30"/>
      <c r="BG32" s="31"/>
      <c r="BI32" s="2" t="str">
        <f>IF('[3]Model Check'!C27="","",('[3]Model Check'!C27))</f>
        <v/>
      </c>
      <c r="BJ32" s="2" t="str">
        <f>IF('[3]Model Check'!D27="","",('[3]Model Check'!D27))</f>
        <v/>
      </c>
      <c r="BK32" s="2" t="str">
        <f>IF('[3]Model Check'!E27="","",('[3]Model Check'!E27))</f>
        <v/>
      </c>
      <c r="BL32" s="2" t="str">
        <f>IF('[3]Model Check'!F27="","",('[3]Model Check'!F27))</f>
        <v/>
      </c>
      <c r="BM32" s="2" t="str">
        <f>IF('[3]Model Check'!G27="","",('[3]Model Check'!G27))</f>
        <v/>
      </c>
      <c r="BN32" s="2" t="str">
        <f>IF('[3]Model Check'!H27="","",('[3]Model Check'!H27))</f>
        <v/>
      </c>
      <c r="BO32" s="2" t="str">
        <f>IF('[3]Model Check'!I27="","",('[3]Model Check'!I27))</f>
        <v/>
      </c>
      <c r="BP32" s="2" t="str">
        <f>IF('[3]Model Check'!J27="","",('[3]Model Check'!J27))</f>
        <v/>
      </c>
      <c r="BQ32" s="2" t="str">
        <f>IF('[3]Model Check'!K27="","",('[3]Model Check'!K27))</f>
        <v/>
      </c>
      <c r="BR32" s="2" t="str">
        <f>IF('[3]Model Check'!L27="","",('[3]Model Check'!L27))</f>
        <v/>
      </c>
      <c r="BS32" s="2" t="str">
        <f>IF('[3]Model Check'!M27="","",('[3]Model Check'!M27))</f>
        <v/>
      </c>
      <c r="BT32" s="2" t="str">
        <f>IF('[3]Model Check'!N27="","",('[3]Model Check'!N27))</f>
        <v/>
      </c>
    </row>
    <row r="33" spans="3:72" ht="18" customHeight="1" x14ac:dyDescent="0.25">
      <c r="C33" s="4"/>
      <c r="E33" s="2" t="str">
        <f t="shared" si="7"/>
        <v/>
      </c>
      <c r="G33" s="8" t="str">
        <f t="shared" si="1"/>
        <v/>
      </c>
      <c r="J33" s="4"/>
      <c r="L33" s="2" t="str">
        <f t="shared" si="9"/>
        <v/>
      </c>
      <c r="N33" s="8" t="str">
        <f t="shared" si="6"/>
        <v/>
      </c>
      <c r="Q33" s="4"/>
      <c r="S33" s="2" t="str">
        <f t="shared" si="8"/>
        <v/>
      </c>
      <c r="U33" s="8" t="str">
        <f t="shared" si="3"/>
        <v/>
      </c>
      <c r="AQ33" s="29"/>
      <c r="AR33" s="30"/>
      <c r="AS33" s="30"/>
      <c r="AT33" s="30"/>
      <c r="AU33" s="30"/>
      <c r="AV33" s="30"/>
      <c r="AW33" s="30"/>
      <c r="AX33" s="31"/>
      <c r="AZ33" s="29"/>
      <c r="BA33" s="30"/>
      <c r="BB33" s="30"/>
      <c r="BC33" s="30"/>
      <c r="BD33" s="30"/>
      <c r="BE33" s="30"/>
      <c r="BF33" s="30"/>
      <c r="BG33" s="31"/>
      <c r="BI33" s="2" t="str">
        <f>IF('[3]Model Check'!C28="","",('[3]Model Check'!C28))</f>
        <v/>
      </c>
      <c r="BJ33" s="2" t="str">
        <f>IF('[3]Model Check'!D28="","",('[3]Model Check'!D28))</f>
        <v/>
      </c>
      <c r="BK33" s="2" t="str">
        <f>IF('[3]Model Check'!E28="","",('[3]Model Check'!E28))</f>
        <v/>
      </c>
      <c r="BL33" s="2" t="str">
        <f>IF('[3]Model Check'!F28="","",('[3]Model Check'!F28))</f>
        <v/>
      </c>
      <c r="BM33" s="2" t="str">
        <f>IF('[3]Model Check'!G28="","",('[3]Model Check'!G28))</f>
        <v/>
      </c>
      <c r="BN33" s="2" t="str">
        <f>IF('[3]Model Check'!H28="","",('[3]Model Check'!H28))</f>
        <v/>
      </c>
      <c r="BO33" s="2" t="str">
        <f>IF('[3]Model Check'!I28="","",('[3]Model Check'!I28))</f>
        <v/>
      </c>
      <c r="BP33" s="2" t="str">
        <f>IF('[3]Model Check'!J28="","",('[3]Model Check'!J28))</f>
        <v/>
      </c>
      <c r="BQ33" s="2" t="str">
        <f>IF('[3]Model Check'!K28="","",('[3]Model Check'!K28))</f>
        <v/>
      </c>
      <c r="BR33" s="2" t="str">
        <f>IF('[3]Model Check'!L28="","",('[3]Model Check'!L28))</f>
        <v/>
      </c>
      <c r="BS33" s="2" t="str">
        <f>IF('[3]Model Check'!M28="","",('[3]Model Check'!M28))</f>
        <v/>
      </c>
      <c r="BT33" s="2" t="str">
        <f>IF('[3]Model Check'!N28="","",('[3]Model Check'!N28))</f>
        <v/>
      </c>
    </row>
    <row r="34" spans="3:72" ht="18" customHeight="1" thickBot="1" x14ac:dyDescent="0.3">
      <c r="C34" s="4"/>
      <c r="E34" s="2" t="str">
        <f t="shared" si="7"/>
        <v/>
      </c>
      <c r="G34" s="8" t="str">
        <f t="shared" si="1"/>
        <v/>
      </c>
      <c r="J34" s="4"/>
      <c r="L34" s="2" t="str">
        <f t="shared" si="9"/>
        <v/>
      </c>
      <c r="N34" s="8" t="str">
        <f t="shared" si="6"/>
        <v/>
      </c>
      <c r="Q34" s="4"/>
      <c r="S34" s="2" t="str">
        <f t="shared" si="8"/>
        <v/>
      </c>
      <c r="U34" s="8" t="str">
        <f t="shared" si="3"/>
        <v/>
      </c>
      <c r="AQ34" s="32"/>
      <c r="AR34" s="33"/>
      <c r="AS34" s="33"/>
      <c r="AT34" s="33"/>
      <c r="AU34" s="33"/>
      <c r="AV34" s="33"/>
      <c r="AW34" s="33"/>
      <c r="AX34" s="34"/>
      <c r="AZ34" s="32"/>
      <c r="BA34" s="33"/>
      <c r="BB34" s="33"/>
      <c r="BC34" s="33"/>
      <c r="BD34" s="33"/>
      <c r="BE34" s="33"/>
      <c r="BF34" s="33"/>
      <c r="BG34" s="34"/>
      <c r="BI34" s="2" t="str">
        <f>IF('[3]Model Check'!C29="","",('[3]Model Check'!C29))</f>
        <v/>
      </c>
      <c r="BJ34" s="2" t="str">
        <f>IF('[3]Model Check'!D29="","",('[3]Model Check'!D29))</f>
        <v/>
      </c>
      <c r="BK34" s="2" t="str">
        <f>IF('[3]Model Check'!E29="","",('[3]Model Check'!E29))</f>
        <v/>
      </c>
      <c r="BL34" s="2" t="str">
        <f>IF('[3]Model Check'!F29="","",('[3]Model Check'!F29))</f>
        <v/>
      </c>
      <c r="BM34" s="2" t="str">
        <f>IF('[3]Model Check'!G29="","",('[3]Model Check'!G29))</f>
        <v/>
      </c>
      <c r="BN34" s="2" t="str">
        <f>IF('[3]Model Check'!H29="","",('[3]Model Check'!H29))</f>
        <v/>
      </c>
      <c r="BO34" s="2" t="str">
        <f>IF('[3]Model Check'!I29="","",('[3]Model Check'!I29))</f>
        <v/>
      </c>
      <c r="BP34" s="2" t="str">
        <f>IF('[3]Model Check'!J29="","",('[3]Model Check'!J29))</f>
        <v/>
      </c>
      <c r="BQ34" s="2" t="str">
        <f>IF('[3]Model Check'!K29="","",('[3]Model Check'!K29))</f>
        <v/>
      </c>
      <c r="BR34" s="2" t="str">
        <f>IF('[3]Model Check'!L29="","",('[3]Model Check'!L29))</f>
        <v/>
      </c>
      <c r="BS34" s="2" t="str">
        <f>IF('[3]Model Check'!M29="","",('[3]Model Check'!M29))</f>
        <v/>
      </c>
      <c r="BT34" s="2" t="str">
        <f>IF('[3]Model Check'!N29="","",('[3]Model Check'!N29))</f>
        <v/>
      </c>
    </row>
    <row r="35" spans="3:72" ht="18" customHeight="1" thickBot="1" x14ac:dyDescent="0.3">
      <c r="C35" s="4"/>
      <c r="E35" s="2" t="str">
        <f t="shared" si="7"/>
        <v/>
      </c>
      <c r="G35" s="8" t="str">
        <f t="shared" si="1"/>
        <v/>
      </c>
      <c r="J35" s="4"/>
      <c r="L35" s="2" t="str">
        <f t="shared" si="9"/>
        <v/>
      </c>
      <c r="N35" s="8" t="str">
        <f t="shared" si="6"/>
        <v/>
      </c>
      <c r="Q35" s="4"/>
      <c r="S35" s="2" t="str">
        <f t="shared" si="8"/>
        <v/>
      </c>
      <c r="U35" s="8" t="str">
        <f t="shared" si="3"/>
        <v/>
      </c>
      <c r="BI35" s="2" t="str">
        <f>IF('[3]Model Check'!C30="","",('[3]Model Check'!C30))</f>
        <v/>
      </c>
      <c r="BJ35" s="2" t="str">
        <f>IF('[3]Model Check'!D30="","",('[3]Model Check'!D30))</f>
        <v/>
      </c>
      <c r="BK35" s="2" t="str">
        <f>IF('[3]Model Check'!E30="","",('[3]Model Check'!E30))</f>
        <v/>
      </c>
      <c r="BL35" s="2" t="str">
        <f>IF('[3]Model Check'!F30="","",('[3]Model Check'!F30))</f>
        <v/>
      </c>
      <c r="BM35" s="2" t="str">
        <f>IF('[3]Model Check'!G30="","",('[3]Model Check'!G30))</f>
        <v/>
      </c>
      <c r="BN35" s="2" t="str">
        <f>IF('[3]Model Check'!H30="","",('[3]Model Check'!H30))</f>
        <v/>
      </c>
      <c r="BO35" s="2" t="str">
        <f>IF('[3]Model Check'!I30="","",('[3]Model Check'!I30))</f>
        <v/>
      </c>
      <c r="BP35" s="2" t="str">
        <f>IF('[3]Model Check'!J30="","",('[3]Model Check'!J30))</f>
        <v/>
      </c>
      <c r="BQ35" s="2" t="str">
        <f>IF('[3]Model Check'!K30="","",('[3]Model Check'!K30))</f>
        <v/>
      </c>
      <c r="BR35" s="2" t="str">
        <f>IF('[3]Model Check'!L30="","",('[3]Model Check'!L30))</f>
        <v/>
      </c>
      <c r="BS35" s="2" t="str">
        <f>IF('[3]Model Check'!M30="","",('[3]Model Check'!M30))</f>
        <v/>
      </c>
      <c r="BT35" s="2" t="str">
        <f>IF('[3]Model Check'!N30="","",('[3]Model Check'!N30))</f>
        <v/>
      </c>
    </row>
    <row r="36" spans="3:72" ht="18" customHeight="1" thickBot="1" x14ac:dyDescent="0.3">
      <c r="C36" s="4"/>
      <c r="E36" s="2" t="str">
        <f t="shared" si="7"/>
        <v/>
      </c>
      <c r="G36" s="8" t="str">
        <f t="shared" si="1"/>
        <v/>
      </c>
      <c r="J36" s="4"/>
      <c r="L36" s="2" t="str">
        <f t="shared" si="9"/>
        <v/>
      </c>
      <c r="N36" s="8" t="str">
        <f t="shared" si="6"/>
        <v/>
      </c>
      <c r="Q36" s="4"/>
      <c r="S36" s="2" t="str">
        <f t="shared" si="8"/>
        <v/>
      </c>
      <c r="U36" s="8" t="str">
        <f t="shared" si="3"/>
        <v/>
      </c>
      <c r="AQ36" s="65" t="s">
        <v>260</v>
      </c>
      <c r="AR36" s="66"/>
      <c r="AS36" s="66"/>
      <c r="AT36" s="66"/>
      <c r="AU36" s="66"/>
      <c r="AV36" s="66"/>
      <c r="AW36" s="66"/>
      <c r="AX36" s="67"/>
      <c r="AZ36" s="65" t="s">
        <v>261</v>
      </c>
      <c r="BA36" s="66"/>
      <c r="BB36" s="66"/>
      <c r="BC36" s="66"/>
      <c r="BD36" s="66"/>
      <c r="BE36" s="66"/>
      <c r="BF36" s="66"/>
      <c r="BG36" s="67"/>
      <c r="BI36" s="2" t="str">
        <f>IF('[3]Model Check'!C31="","",('[3]Model Check'!C31))</f>
        <v/>
      </c>
      <c r="BJ36" s="2" t="str">
        <f>IF('[3]Model Check'!D31="","",('[3]Model Check'!D31))</f>
        <v/>
      </c>
      <c r="BK36" s="2" t="str">
        <f>IF('[3]Model Check'!E31="","",('[3]Model Check'!E31))</f>
        <v/>
      </c>
      <c r="BL36" s="2" t="str">
        <f>IF('[3]Model Check'!F31="","",('[3]Model Check'!F31))</f>
        <v/>
      </c>
      <c r="BM36" s="2" t="str">
        <f>IF('[3]Model Check'!G31="","",('[3]Model Check'!G31))</f>
        <v/>
      </c>
      <c r="BN36" s="2" t="str">
        <f>IF('[3]Model Check'!H31="","",('[3]Model Check'!H31))</f>
        <v/>
      </c>
      <c r="BO36" s="2" t="str">
        <f>IF('[3]Model Check'!I31="","",('[3]Model Check'!I31))</f>
        <v/>
      </c>
      <c r="BP36" s="2" t="str">
        <f>IF('[3]Model Check'!J31="","",('[3]Model Check'!J31))</f>
        <v/>
      </c>
      <c r="BQ36" s="2" t="str">
        <f>IF('[3]Model Check'!K31="","",('[3]Model Check'!K31))</f>
        <v/>
      </c>
      <c r="BR36" s="2" t="str">
        <f>IF('[3]Model Check'!L31="","",('[3]Model Check'!L31))</f>
        <v/>
      </c>
      <c r="BS36" s="2" t="str">
        <f>IF('[3]Model Check'!M31="","",('[3]Model Check'!M31))</f>
        <v/>
      </c>
      <c r="BT36" s="2" t="str">
        <f>IF('[3]Model Check'!N31="","",('[3]Model Check'!N31))</f>
        <v/>
      </c>
    </row>
    <row r="37" spans="3:72" ht="18" customHeight="1" x14ac:dyDescent="0.25">
      <c r="C37" s="4"/>
      <c r="E37" s="2" t="str">
        <f t="shared" si="7"/>
        <v/>
      </c>
      <c r="G37" s="8" t="str">
        <f t="shared" si="1"/>
        <v/>
      </c>
      <c r="J37" s="4"/>
      <c r="L37" s="2" t="str">
        <f t="shared" si="9"/>
        <v/>
      </c>
      <c r="N37" s="8" t="str">
        <f t="shared" si="6"/>
        <v/>
      </c>
      <c r="Q37" s="4"/>
      <c r="S37" s="2" t="str">
        <f t="shared" si="8"/>
        <v/>
      </c>
      <c r="U37" s="8" t="str">
        <f t="shared" si="3"/>
        <v/>
      </c>
      <c r="AQ37" s="26"/>
      <c r="AR37" s="27"/>
      <c r="AS37" s="27"/>
      <c r="AT37" s="27"/>
      <c r="AU37" s="27"/>
      <c r="AV37" s="27"/>
      <c r="AW37" s="27"/>
      <c r="AX37" s="28"/>
      <c r="AZ37" s="29"/>
      <c r="BA37" s="30"/>
      <c r="BB37" s="30"/>
      <c r="BC37" s="30"/>
      <c r="BD37" s="30"/>
      <c r="BE37" s="30"/>
      <c r="BF37" s="30"/>
      <c r="BG37" s="31"/>
      <c r="BI37" s="2" t="str">
        <f>IF('[3]Model Check'!C32="","",('[3]Model Check'!C32))</f>
        <v/>
      </c>
      <c r="BJ37" s="2" t="str">
        <f>IF('[3]Model Check'!D32="","",('[3]Model Check'!D32))</f>
        <v/>
      </c>
      <c r="BK37" s="2" t="str">
        <f>IF('[3]Model Check'!E32="","",('[3]Model Check'!E32))</f>
        <v/>
      </c>
      <c r="BL37" s="2" t="str">
        <f>IF('[3]Model Check'!F32="","",('[3]Model Check'!F32))</f>
        <v/>
      </c>
      <c r="BM37" s="2" t="str">
        <f>IF('[3]Model Check'!G32="","",('[3]Model Check'!G32))</f>
        <v/>
      </c>
      <c r="BN37" s="2" t="str">
        <f>IF('[3]Model Check'!H32="","",('[3]Model Check'!H32))</f>
        <v/>
      </c>
      <c r="BO37" s="2" t="str">
        <f>IF('[3]Model Check'!I32="","",('[3]Model Check'!I32))</f>
        <v/>
      </c>
      <c r="BP37" s="2" t="str">
        <f>IF('[3]Model Check'!J32="","",('[3]Model Check'!J32))</f>
        <v/>
      </c>
      <c r="BQ37" s="2" t="str">
        <f>IF('[3]Model Check'!K32="","",('[3]Model Check'!K32))</f>
        <v/>
      </c>
      <c r="BR37" s="2" t="str">
        <f>IF('[3]Model Check'!L32="","",('[3]Model Check'!L32))</f>
        <v/>
      </c>
      <c r="BS37" s="2" t="str">
        <f>IF('[3]Model Check'!M32="","",('[3]Model Check'!M32))</f>
        <v/>
      </c>
      <c r="BT37" s="2" t="str">
        <f>IF('[3]Model Check'!N32="","",('[3]Model Check'!N32))</f>
        <v/>
      </c>
    </row>
    <row r="38" spans="3:72" ht="18" customHeight="1" x14ac:dyDescent="0.25">
      <c r="C38" s="4"/>
      <c r="E38" s="2" t="str">
        <f t="shared" si="7"/>
        <v/>
      </c>
      <c r="G38" s="8" t="str">
        <f t="shared" si="1"/>
        <v/>
      </c>
      <c r="J38" s="4"/>
      <c r="L38" s="2" t="str">
        <f t="shared" si="9"/>
        <v/>
      </c>
      <c r="N38" s="8" t="str">
        <f t="shared" si="6"/>
        <v/>
      </c>
      <c r="Q38" s="4"/>
      <c r="S38" s="2" t="str">
        <f t="shared" si="8"/>
        <v/>
      </c>
      <c r="U38" s="8" t="str">
        <f t="shared" si="3"/>
        <v/>
      </c>
      <c r="AQ38" s="29"/>
      <c r="AR38" s="30"/>
      <c r="AS38" s="30"/>
      <c r="AT38" s="30"/>
      <c r="AU38" s="30"/>
      <c r="AV38" s="30"/>
      <c r="AW38" s="30"/>
      <c r="AX38" s="31"/>
      <c r="AZ38" s="29"/>
      <c r="BA38" s="30"/>
      <c r="BB38" s="30"/>
      <c r="BC38" s="30"/>
      <c r="BD38" s="30"/>
      <c r="BE38" s="30"/>
      <c r="BF38" s="30"/>
      <c r="BG38" s="31"/>
      <c r="BI38" s="2" t="str">
        <f>IF('[3]Model Check'!C33="","",('[3]Model Check'!C33))</f>
        <v/>
      </c>
      <c r="BJ38" s="2" t="str">
        <f>IF('[3]Model Check'!D33="","",('[3]Model Check'!D33))</f>
        <v/>
      </c>
      <c r="BK38" s="2" t="str">
        <f>IF('[3]Model Check'!E33="","",('[3]Model Check'!E33))</f>
        <v/>
      </c>
      <c r="BL38" s="2" t="str">
        <f>IF('[3]Model Check'!F33="","",('[3]Model Check'!F33))</f>
        <v/>
      </c>
      <c r="BM38" s="2" t="str">
        <f>IF('[3]Model Check'!G33="","",('[3]Model Check'!G33))</f>
        <v/>
      </c>
      <c r="BN38" s="2" t="str">
        <f>IF('[3]Model Check'!H33="","",('[3]Model Check'!H33))</f>
        <v/>
      </c>
      <c r="BO38" s="2" t="str">
        <f>IF('[3]Model Check'!I33="","",('[3]Model Check'!I33))</f>
        <v/>
      </c>
      <c r="BP38" s="2" t="str">
        <f>IF('[3]Model Check'!J33="","",('[3]Model Check'!J33))</f>
        <v/>
      </c>
      <c r="BQ38" s="2" t="str">
        <f>IF('[3]Model Check'!K33="","",('[3]Model Check'!K33))</f>
        <v/>
      </c>
      <c r="BR38" s="2" t="str">
        <f>IF('[3]Model Check'!L33="","",('[3]Model Check'!L33))</f>
        <v/>
      </c>
      <c r="BS38" s="2" t="str">
        <f>IF('[3]Model Check'!M33="","",('[3]Model Check'!M33))</f>
        <v/>
      </c>
      <c r="BT38" s="2" t="str">
        <f>IF('[3]Model Check'!N33="","",('[3]Model Check'!N33))</f>
        <v/>
      </c>
    </row>
    <row r="39" spans="3:72" ht="18" customHeight="1" x14ac:dyDescent="0.25">
      <c r="C39" s="4"/>
      <c r="E39" s="2" t="str">
        <f t="shared" si="7"/>
        <v/>
      </c>
      <c r="G39" s="8" t="str">
        <f t="shared" si="1"/>
        <v/>
      </c>
      <c r="J39" s="4"/>
      <c r="L39" s="2" t="str">
        <f t="shared" si="9"/>
        <v/>
      </c>
      <c r="N39" s="8" t="str">
        <f t="shared" si="6"/>
        <v/>
      </c>
      <c r="Q39" s="4"/>
      <c r="S39" s="2" t="str">
        <f t="shared" si="8"/>
        <v/>
      </c>
      <c r="U39" s="8" t="str">
        <f t="shared" si="3"/>
        <v/>
      </c>
      <c r="AQ39" s="29"/>
      <c r="AR39" s="30"/>
      <c r="AS39" s="30"/>
      <c r="AT39" s="30"/>
      <c r="AU39" s="30"/>
      <c r="AV39" s="30"/>
      <c r="AW39" s="30"/>
      <c r="AX39" s="31"/>
      <c r="AZ39" s="29"/>
      <c r="BA39" s="30"/>
      <c r="BB39" s="30"/>
      <c r="BC39" s="30"/>
      <c r="BD39" s="30"/>
      <c r="BE39" s="30"/>
      <c r="BF39" s="30"/>
      <c r="BG39" s="31"/>
      <c r="BI39" s="2" t="str">
        <f>IF('[3]Model Check'!C34="","",('[3]Model Check'!C34))</f>
        <v/>
      </c>
      <c r="BJ39" s="2" t="str">
        <f>IF('[3]Model Check'!D34="","",('[3]Model Check'!D34))</f>
        <v/>
      </c>
      <c r="BK39" s="2" t="str">
        <f>IF('[3]Model Check'!E34="","",('[3]Model Check'!E34))</f>
        <v/>
      </c>
      <c r="BL39" s="2" t="str">
        <f>IF('[3]Model Check'!F34="","",('[3]Model Check'!F34))</f>
        <v/>
      </c>
      <c r="BM39" s="2" t="str">
        <f>IF('[3]Model Check'!G34="","",('[3]Model Check'!G34))</f>
        <v/>
      </c>
      <c r="BN39" s="2" t="str">
        <f>IF('[3]Model Check'!H34="","",('[3]Model Check'!H34))</f>
        <v/>
      </c>
      <c r="BO39" s="2" t="str">
        <f>IF('[3]Model Check'!I34="","",('[3]Model Check'!I34))</f>
        <v/>
      </c>
      <c r="BP39" s="2" t="str">
        <f>IF('[3]Model Check'!J34="","",('[3]Model Check'!J34))</f>
        <v/>
      </c>
      <c r="BQ39" s="2" t="str">
        <f>IF('[3]Model Check'!K34="","",('[3]Model Check'!K34))</f>
        <v/>
      </c>
      <c r="BR39" s="2" t="str">
        <f>IF('[3]Model Check'!L34="","",('[3]Model Check'!L34))</f>
        <v/>
      </c>
      <c r="BS39" s="2" t="str">
        <f>IF('[3]Model Check'!M34="","",('[3]Model Check'!M34))</f>
        <v/>
      </c>
      <c r="BT39" s="2" t="str">
        <f>IF('[3]Model Check'!N34="","",('[3]Model Check'!N34))</f>
        <v/>
      </c>
    </row>
    <row r="40" spans="3:72" ht="18" customHeight="1" x14ac:dyDescent="0.25">
      <c r="C40" s="4"/>
      <c r="E40" s="2" t="str">
        <f t="shared" si="7"/>
        <v/>
      </c>
      <c r="G40" s="8" t="str">
        <f t="shared" si="1"/>
        <v/>
      </c>
      <c r="J40" s="4"/>
      <c r="L40" s="2" t="str">
        <f t="shared" si="9"/>
        <v/>
      </c>
      <c r="N40" s="8" t="str">
        <f t="shared" si="6"/>
        <v/>
      </c>
      <c r="Q40" s="4"/>
      <c r="S40" s="2" t="str">
        <f t="shared" si="8"/>
        <v/>
      </c>
      <c r="U40" s="8" t="str">
        <f t="shared" si="3"/>
        <v/>
      </c>
      <c r="AQ40" s="29"/>
      <c r="AR40" s="30"/>
      <c r="AS40" s="30"/>
      <c r="AT40" s="30"/>
      <c r="AU40" s="30"/>
      <c r="AV40" s="30"/>
      <c r="AW40" s="30"/>
      <c r="AX40" s="31"/>
      <c r="AZ40" s="29"/>
      <c r="BA40" s="30"/>
      <c r="BB40" s="30"/>
      <c r="BC40" s="30"/>
      <c r="BD40" s="30"/>
      <c r="BE40" s="30"/>
      <c r="BF40" s="30"/>
      <c r="BG40" s="31"/>
      <c r="BI40" s="2" t="str">
        <f>IF('[3]Model Check'!C35="","",('[3]Model Check'!C35))</f>
        <v/>
      </c>
      <c r="BJ40" s="2" t="str">
        <f>IF('[3]Model Check'!D35="","",('[3]Model Check'!D35))</f>
        <v/>
      </c>
      <c r="BK40" s="2" t="str">
        <f>IF('[3]Model Check'!E35="","",('[3]Model Check'!E35))</f>
        <v/>
      </c>
      <c r="BL40" s="2" t="str">
        <f>IF('[3]Model Check'!F35="","",('[3]Model Check'!F35))</f>
        <v/>
      </c>
      <c r="BM40" s="2" t="str">
        <f>IF('[3]Model Check'!G35="","",('[3]Model Check'!G35))</f>
        <v/>
      </c>
      <c r="BN40" s="2" t="str">
        <f>IF('[3]Model Check'!H35="","",('[3]Model Check'!H35))</f>
        <v/>
      </c>
      <c r="BO40" s="2" t="str">
        <f>IF('[3]Model Check'!I35="","",('[3]Model Check'!I35))</f>
        <v/>
      </c>
      <c r="BP40" s="2" t="str">
        <f>IF('[3]Model Check'!J35="","",('[3]Model Check'!J35))</f>
        <v/>
      </c>
      <c r="BQ40" s="2" t="str">
        <f>IF('[3]Model Check'!K35="","",('[3]Model Check'!K35))</f>
        <v/>
      </c>
      <c r="BR40" s="2" t="str">
        <f>IF('[3]Model Check'!L35="","",('[3]Model Check'!L35))</f>
        <v/>
      </c>
      <c r="BS40" s="2" t="str">
        <f>IF('[3]Model Check'!M35="","",('[3]Model Check'!M35))</f>
        <v/>
      </c>
      <c r="BT40" s="2" t="str">
        <f>IF('[3]Model Check'!N35="","",('[3]Model Check'!N35))</f>
        <v/>
      </c>
    </row>
    <row r="41" spans="3:72" ht="18" customHeight="1" x14ac:dyDescent="0.25">
      <c r="C41" s="4"/>
      <c r="E41" s="2" t="str">
        <f t="shared" si="7"/>
        <v/>
      </c>
      <c r="G41" s="8" t="str">
        <f t="shared" si="1"/>
        <v/>
      </c>
      <c r="J41" s="4"/>
      <c r="L41" s="2" t="str">
        <f t="shared" si="9"/>
        <v/>
      </c>
      <c r="N41" s="8" t="str">
        <f t="shared" si="6"/>
        <v/>
      </c>
      <c r="Q41" s="4"/>
      <c r="S41" s="2" t="str">
        <f t="shared" si="8"/>
        <v/>
      </c>
      <c r="U41" s="8" t="str">
        <f t="shared" si="3"/>
        <v/>
      </c>
      <c r="AQ41" s="29"/>
      <c r="AR41" s="30"/>
      <c r="AS41" s="30"/>
      <c r="AT41" s="30"/>
      <c r="AU41" s="30"/>
      <c r="AV41" s="30"/>
      <c r="AW41" s="30"/>
      <c r="AX41" s="31"/>
      <c r="AZ41" s="29"/>
      <c r="BA41" s="30"/>
      <c r="BB41" s="30"/>
      <c r="BC41" s="30"/>
      <c r="BD41" s="30"/>
      <c r="BE41" s="30"/>
      <c r="BF41" s="30"/>
      <c r="BG41" s="31"/>
      <c r="BI41" s="2" t="str">
        <f>IF('[3]Model Check'!C36="","",('[3]Model Check'!C36))</f>
        <v/>
      </c>
      <c r="BJ41" s="2" t="str">
        <f>IF('[3]Model Check'!D36="","",('[3]Model Check'!D36))</f>
        <v/>
      </c>
      <c r="BK41" s="2" t="str">
        <f>IF('[3]Model Check'!E36="","",('[3]Model Check'!E36))</f>
        <v/>
      </c>
      <c r="BL41" s="2" t="str">
        <f>IF('[3]Model Check'!F36="","",('[3]Model Check'!F36))</f>
        <v/>
      </c>
      <c r="BM41" s="2" t="str">
        <f>IF('[3]Model Check'!G36="","",('[3]Model Check'!G36))</f>
        <v/>
      </c>
      <c r="BN41" s="2" t="str">
        <f>IF('[3]Model Check'!H36="","",('[3]Model Check'!H36))</f>
        <v/>
      </c>
      <c r="BO41" s="2" t="str">
        <f>IF('[3]Model Check'!I36="","",('[3]Model Check'!I36))</f>
        <v/>
      </c>
      <c r="BP41" s="2" t="str">
        <f>IF('[3]Model Check'!J36="","",('[3]Model Check'!J36))</f>
        <v/>
      </c>
      <c r="BQ41" s="2" t="str">
        <f>IF('[3]Model Check'!K36="","",('[3]Model Check'!K36))</f>
        <v/>
      </c>
      <c r="BR41" s="2" t="str">
        <f>IF('[3]Model Check'!L36="","",('[3]Model Check'!L36))</f>
        <v/>
      </c>
      <c r="BS41" s="2" t="str">
        <f>IF('[3]Model Check'!M36="","",('[3]Model Check'!M36))</f>
        <v/>
      </c>
      <c r="BT41" s="2" t="str">
        <f>IF('[3]Model Check'!N36="","",('[3]Model Check'!N36))</f>
        <v/>
      </c>
    </row>
    <row r="42" spans="3:72" ht="18" customHeight="1" x14ac:dyDescent="0.25">
      <c r="C42" s="4"/>
      <c r="E42" s="2" t="str">
        <f t="shared" si="7"/>
        <v/>
      </c>
      <c r="G42" s="8" t="str">
        <f t="shared" si="1"/>
        <v/>
      </c>
      <c r="J42" s="4"/>
      <c r="L42" s="2" t="str">
        <f t="shared" si="9"/>
        <v/>
      </c>
      <c r="N42" s="8" t="str">
        <f t="shared" si="6"/>
        <v/>
      </c>
      <c r="Q42" s="4"/>
      <c r="S42" s="2" t="str">
        <f t="shared" si="8"/>
        <v/>
      </c>
      <c r="U42" s="8" t="str">
        <f t="shared" si="3"/>
        <v/>
      </c>
      <c r="AQ42" s="29"/>
      <c r="AR42" s="30"/>
      <c r="AS42" s="30"/>
      <c r="AT42" s="30"/>
      <c r="AU42" s="30"/>
      <c r="AV42" s="30"/>
      <c r="AW42" s="30"/>
      <c r="AX42" s="31"/>
      <c r="AZ42" s="29"/>
      <c r="BA42" s="30"/>
      <c r="BB42" s="30"/>
      <c r="BC42" s="30"/>
      <c r="BD42" s="30"/>
      <c r="BE42" s="30"/>
      <c r="BF42" s="30"/>
      <c r="BG42" s="31"/>
      <c r="BI42" s="2" t="str">
        <f>IF('[3]Model Check'!C37="","",('[3]Model Check'!C37))</f>
        <v/>
      </c>
      <c r="BJ42" s="2" t="str">
        <f>IF('[3]Model Check'!D37="","",('[3]Model Check'!D37))</f>
        <v/>
      </c>
      <c r="BK42" s="2" t="str">
        <f>IF('[3]Model Check'!E37="","",('[3]Model Check'!E37))</f>
        <v/>
      </c>
      <c r="BL42" s="2" t="str">
        <f>IF('[3]Model Check'!F37="","",('[3]Model Check'!F37))</f>
        <v/>
      </c>
      <c r="BM42" s="2" t="str">
        <f>IF('[3]Model Check'!G37="","",('[3]Model Check'!G37))</f>
        <v/>
      </c>
      <c r="BN42" s="2" t="str">
        <f>IF('[3]Model Check'!H37="","",('[3]Model Check'!H37))</f>
        <v/>
      </c>
      <c r="BO42" s="2" t="str">
        <f>IF('[3]Model Check'!I37="","",('[3]Model Check'!I37))</f>
        <v/>
      </c>
      <c r="BP42" s="2" t="str">
        <f>IF('[3]Model Check'!J37="","",('[3]Model Check'!J37))</f>
        <v/>
      </c>
      <c r="BQ42" s="2" t="str">
        <f>IF('[3]Model Check'!K37="","",('[3]Model Check'!K37))</f>
        <v/>
      </c>
      <c r="BR42" s="2" t="str">
        <f>IF('[3]Model Check'!L37="","",('[3]Model Check'!L37))</f>
        <v/>
      </c>
      <c r="BS42" s="2" t="str">
        <f>IF('[3]Model Check'!M37="","",('[3]Model Check'!M37))</f>
        <v/>
      </c>
      <c r="BT42" s="2" t="str">
        <f>IF('[3]Model Check'!N37="","",('[3]Model Check'!N37))</f>
        <v/>
      </c>
    </row>
    <row r="43" spans="3:72" ht="18" customHeight="1" x14ac:dyDescent="0.25">
      <c r="C43" s="4"/>
      <c r="E43" s="2" t="str">
        <f t="shared" si="7"/>
        <v/>
      </c>
      <c r="G43" s="8" t="str">
        <f t="shared" si="1"/>
        <v/>
      </c>
      <c r="J43" s="4"/>
      <c r="L43" s="2" t="str">
        <f t="shared" si="9"/>
        <v/>
      </c>
      <c r="N43" s="8" t="str">
        <f t="shared" si="6"/>
        <v/>
      </c>
      <c r="Q43" s="4"/>
      <c r="S43" s="2" t="str">
        <f t="shared" si="8"/>
        <v/>
      </c>
      <c r="U43" s="8" t="str">
        <f t="shared" si="3"/>
        <v/>
      </c>
      <c r="AQ43" s="29"/>
      <c r="AR43" s="30"/>
      <c r="AS43" s="30"/>
      <c r="AT43" s="30"/>
      <c r="AU43" s="30"/>
      <c r="AV43" s="30"/>
      <c r="AW43" s="30"/>
      <c r="AX43" s="31"/>
      <c r="AZ43" s="29"/>
      <c r="BA43" s="30"/>
      <c r="BB43" s="30"/>
      <c r="BC43" s="30"/>
      <c r="BD43" s="30"/>
      <c r="BE43" s="30"/>
      <c r="BF43" s="30"/>
      <c r="BG43" s="31"/>
      <c r="BI43" s="2" t="str">
        <f>IF('[3]Model Check'!C38="","",('[3]Model Check'!C38))</f>
        <v/>
      </c>
      <c r="BJ43" s="2" t="str">
        <f>IF('[3]Model Check'!D38="","",('[3]Model Check'!D38))</f>
        <v/>
      </c>
      <c r="BK43" s="2" t="str">
        <f>IF('[3]Model Check'!E38="","",('[3]Model Check'!E38))</f>
        <v/>
      </c>
      <c r="BL43" s="2" t="str">
        <f>IF('[3]Model Check'!F38="","",('[3]Model Check'!F38))</f>
        <v/>
      </c>
      <c r="BM43" s="2" t="str">
        <f>IF('[3]Model Check'!G38="","",('[3]Model Check'!G38))</f>
        <v/>
      </c>
      <c r="BN43" s="2" t="str">
        <f>IF('[3]Model Check'!H38="","",('[3]Model Check'!H38))</f>
        <v/>
      </c>
      <c r="BO43" s="2" t="str">
        <f>IF('[3]Model Check'!I38="","",('[3]Model Check'!I38))</f>
        <v/>
      </c>
      <c r="BP43" s="2" t="str">
        <f>IF('[3]Model Check'!J38="","",('[3]Model Check'!J38))</f>
        <v/>
      </c>
      <c r="BQ43" s="2" t="str">
        <f>IF('[3]Model Check'!K38="","",('[3]Model Check'!K38))</f>
        <v/>
      </c>
      <c r="BR43" s="2" t="str">
        <f>IF('[3]Model Check'!L38="","",('[3]Model Check'!L38))</f>
        <v/>
      </c>
      <c r="BS43" s="2" t="str">
        <f>IF('[3]Model Check'!M38="","",('[3]Model Check'!M38))</f>
        <v/>
      </c>
      <c r="BT43" s="2" t="str">
        <f>IF('[3]Model Check'!N38="","",('[3]Model Check'!N38))</f>
        <v/>
      </c>
    </row>
    <row r="44" spans="3:72" ht="18" customHeight="1" x14ac:dyDescent="0.25">
      <c r="C44" s="4"/>
      <c r="E44" s="2" t="str">
        <f t="shared" si="7"/>
        <v/>
      </c>
      <c r="G44" s="8" t="str">
        <f t="shared" si="1"/>
        <v/>
      </c>
      <c r="J44" s="4"/>
      <c r="L44" s="2" t="str">
        <f t="shared" si="9"/>
        <v/>
      </c>
      <c r="N44" s="8" t="str">
        <f t="shared" si="6"/>
        <v/>
      </c>
      <c r="Q44" s="4"/>
      <c r="S44" s="2" t="str">
        <f t="shared" si="8"/>
        <v/>
      </c>
      <c r="U44" s="8" t="str">
        <f t="shared" si="3"/>
        <v/>
      </c>
      <c r="AQ44" s="29"/>
      <c r="AR44" s="30"/>
      <c r="AS44" s="30"/>
      <c r="AT44" s="30"/>
      <c r="AU44" s="30"/>
      <c r="AV44" s="30"/>
      <c r="AW44" s="30"/>
      <c r="AX44" s="31"/>
      <c r="AZ44" s="29"/>
      <c r="BA44" s="30"/>
      <c r="BB44" s="30"/>
      <c r="BC44" s="30"/>
      <c r="BD44" s="30"/>
      <c r="BE44" s="30"/>
      <c r="BF44" s="30"/>
      <c r="BG44" s="31"/>
      <c r="BI44" s="2" t="str">
        <f>IF('[3]Model Check'!C39="","",('[3]Model Check'!C39))</f>
        <v/>
      </c>
      <c r="BJ44" s="2" t="str">
        <f>IF('[3]Model Check'!D39="","",('[3]Model Check'!D39))</f>
        <v/>
      </c>
      <c r="BK44" s="2" t="str">
        <f>IF('[3]Model Check'!E39="","",('[3]Model Check'!E39))</f>
        <v/>
      </c>
      <c r="BL44" s="2" t="str">
        <f>IF('[3]Model Check'!F39="","",('[3]Model Check'!F39))</f>
        <v/>
      </c>
      <c r="BM44" s="2" t="str">
        <f>IF('[3]Model Check'!G39="","",('[3]Model Check'!G39))</f>
        <v/>
      </c>
      <c r="BN44" s="2" t="str">
        <f>IF('[3]Model Check'!H39="","",('[3]Model Check'!H39))</f>
        <v/>
      </c>
      <c r="BO44" s="2" t="str">
        <f>IF('[3]Model Check'!I39="","",('[3]Model Check'!I39))</f>
        <v/>
      </c>
      <c r="BP44" s="2" t="str">
        <f>IF('[3]Model Check'!J39="","",('[3]Model Check'!J39))</f>
        <v/>
      </c>
      <c r="BQ44" s="2" t="str">
        <f>IF('[3]Model Check'!K39="","",('[3]Model Check'!K39))</f>
        <v/>
      </c>
      <c r="BR44" s="2" t="str">
        <f>IF('[3]Model Check'!L39="","",('[3]Model Check'!L39))</f>
        <v/>
      </c>
      <c r="BS44" s="2" t="str">
        <f>IF('[3]Model Check'!M39="","",('[3]Model Check'!M39))</f>
        <v/>
      </c>
      <c r="BT44" s="2" t="str">
        <f>IF('[3]Model Check'!N39="","",('[3]Model Check'!N39))</f>
        <v/>
      </c>
    </row>
    <row r="45" spans="3:72" ht="18" customHeight="1" x14ac:dyDescent="0.25">
      <c r="C45" s="4"/>
      <c r="E45" s="2" t="str">
        <f t="shared" si="7"/>
        <v/>
      </c>
      <c r="G45" s="8" t="str">
        <f t="shared" si="1"/>
        <v/>
      </c>
      <c r="J45" s="4"/>
      <c r="L45" s="2" t="str">
        <f t="shared" si="9"/>
        <v/>
      </c>
      <c r="N45" s="8" t="str">
        <f t="shared" si="6"/>
        <v/>
      </c>
      <c r="Q45" s="4"/>
      <c r="S45" s="2" t="str">
        <f t="shared" si="8"/>
        <v/>
      </c>
      <c r="U45" s="8" t="str">
        <f t="shared" si="3"/>
        <v/>
      </c>
      <c r="AQ45" s="29"/>
      <c r="AR45" s="30"/>
      <c r="AS45" s="30"/>
      <c r="AT45" s="30"/>
      <c r="AU45" s="30"/>
      <c r="AV45" s="30"/>
      <c r="AW45" s="30"/>
      <c r="AX45" s="31"/>
      <c r="AZ45" s="29"/>
      <c r="BA45" s="30"/>
      <c r="BB45" s="30"/>
      <c r="BC45" s="30"/>
      <c r="BD45" s="30"/>
      <c r="BE45" s="30"/>
      <c r="BF45" s="30"/>
      <c r="BG45" s="31"/>
      <c r="BI45" s="2" t="str">
        <f>IF('[3]Model Check'!C40="","",('[3]Model Check'!C40))</f>
        <v/>
      </c>
      <c r="BJ45" s="2" t="str">
        <f>IF('[3]Model Check'!D40="","",('[3]Model Check'!D40))</f>
        <v/>
      </c>
      <c r="BK45" s="2" t="str">
        <f>IF('[3]Model Check'!E40="","",('[3]Model Check'!E40))</f>
        <v/>
      </c>
      <c r="BL45" s="2" t="str">
        <f>IF('[3]Model Check'!F40="","",('[3]Model Check'!F40))</f>
        <v/>
      </c>
      <c r="BM45" s="2" t="str">
        <f>IF('[3]Model Check'!G40="","",('[3]Model Check'!G40))</f>
        <v/>
      </c>
      <c r="BN45" s="2" t="str">
        <f>IF('[3]Model Check'!H40="","",('[3]Model Check'!H40))</f>
        <v/>
      </c>
      <c r="BO45" s="2" t="str">
        <f>IF('[3]Model Check'!I40="","",('[3]Model Check'!I40))</f>
        <v/>
      </c>
      <c r="BP45" s="2" t="str">
        <f>IF('[3]Model Check'!J40="","",('[3]Model Check'!J40))</f>
        <v/>
      </c>
      <c r="BQ45" s="2" t="str">
        <f>IF('[3]Model Check'!K40="","",('[3]Model Check'!K40))</f>
        <v/>
      </c>
      <c r="BR45" s="2" t="str">
        <f>IF('[3]Model Check'!L40="","",('[3]Model Check'!L40))</f>
        <v/>
      </c>
      <c r="BS45" s="2" t="str">
        <f>IF('[3]Model Check'!M40="","",('[3]Model Check'!M40))</f>
        <v/>
      </c>
      <c r="BT45" s="2" t="str">
        <f>IF('[3]Model Check'!N40="","",('[3]Model Check'!N40))</f>
        <v/>
      </c>
    </row>
    <row r="46" spans="3:72" ht="18" customHeight="1" x14ac:dyDescent="0.25">
      <c r="C46" s="4"/>
      <c r="E46" s="2" t="str">
        <f t="shared" si="7"/>
        <v/>
      </c>
      <c r="G46" s="8" t="str">
        <f t="shared" si="1"/>
        <v/>
      </c>
      <c r="J46" s="4"/>
      <c r="L46" s="2" t="str">
        <f t="shared" si="9"/>
        <v/>
      </c>
      <c r="N46" s="8" t="str">
        <f t="shared" si="6"/>
        <v/>
      </c>
      <c r="Q46" s="4"/>
      <c r="S46" s="2" t="str">
        <f t="shared" si="8"/>
        <v/>
      </c>
      <c r="U46" s="8" t="str">
        <f t="shared" si="3"/>
        <v/>
      </c>
      <c r="AQ46" s="29"/>
      <c r="AR46" s="30"/>
      <c r="AS46" s="30"/>
      <c r="AT46" s="30"/>
      <c r="AU46" s="30"/>
      <c r="AV46" s="30"/>
      <c r="AW46" s="30"/>
      <c r="AX46" s="31"/>
      <c r="AZ46" s="29"/>
      <c r="BA46" s="30"/>
      <c r="BB46" s="30"/>
      <c r="BC46" s="30"/>
      <c r="BD46" s="30"/>
      <c r="BE46" s="30"/>
      <c r="BF46" s="30"/>
      <c r="BG46" s="31"/>
      <c r="BI46" s="2" t="str">
        <f>IF('[3]Model Check'!C41="","",('[3]Model Check'!C41))</f>
        <v/>
      </c>
      <c r="BJ46" s="2" t="str">
        <f>IF('[3]Model Check'!D41="","",('[3]Model Check'!D41))</f>
        <v/>
      </c>
      <c r="BK46" s="2" t="str">
        <f>IF('[3]Model Check'!E41="","",('[3]Model Check'!E41))</f>
        <v/>
      </c>
      <c r="BL46" s="2" t="str">
        <f>IF('[3]Model Check'!F41="","",('[3]Model Check'!F41))</f>
        <v/>
      </c>
      <c r="BM46" s="2" t="str">
        <f>IF('[3]Model Check'!G41="","",('[3]Model Check'!G41))</f>
        <v/>
      </c>
      <c r="BN46" s="2" t="str">
        <f>IF('[3]Model Check'!H41="","",('[3]Model Check'!H41))</f>
        <v/>
      </c>
      <c r="BO46" s="2" t="str">
        <f>IF('[3]Model Check'!I41="","",('[3]Model Check'!I41))</f>
        <v/>
      </c>
      <c r="BP46" s="2" t="str">
        <f>IF('[3]Model Check'!J41="","",('[3]Model Check'!J41))</f>
        <v/>
      </c>
      <c r="BQ46" s="2" t="str">
        <f>IF('[3]Model Check'!K41="","",('[3]Model Check'!K41))</f>
        <v/>
      </c>
      <c r="BR46" s="2" t="str">
        <f>IF('[3]Model Check'!L41="","",('[3]Model Check'!L41))</f>
        <v/>
      </c>
      <c r="BS46" s="2" t="str">
        <f>IF('[3]Model Check'!M41="","",('[3]Model Check'!M41))</f>
        <v/>
      </c>
      <c r="BT46" s="2" t="str">
        <f>IF('[3]Model Check'!N41="","",('[3]Model Check'!N41))</f>
        <v/>
      </c>
    </row>
    <row r="47" spans="3:72" ht="18" customHeight="1" x14ac:dyDescent="0.25">
      <c r="C47" s="4"/>
      <c r="E47" s="2" t="str">
        <f t="shared" si="7"/>
        <v/>
      </c>
      <c r="G47" s="8" t="str">
        <f t="shared" si="1"/>
        <v/>
      </c>
      <c r="J47" s="4"/>
      <c r="L47" s="2" t="str">
        <f t="shared" si="9"/>
        <v/>
      </c>
      <c r="N47" s="8" t="str">
        <f t="shared" si="6"/>
        <v/>
      </c>
      <c r="Q47" s="4"/>
      <c r="S47" s="2" t="str">
        <f t="shared" si="8"/>
        <v/>
      </c>
      <c r="U47" s="8" t="str">
        <f t="shared" si="3"/>
        <v/>
      </c>
      <c r="AQ47" s="29"/>
      <c r="AR47" s="30"/>
      <c r="AS47" s="30"/>
      <c r="AT47" s="30"/>
      <c r="AU47" s="30"/>
      <c r="AV47" s="30"/>
      <c r="AW47" s="30"/>
      <c r="AX47" s="31"/>
      <c r="AZ47" s="29"/>
      <c r="BA47" s="30"/>
      <c r="BB47" s="30"/>
      <c r="BC47" s="30"/>
      <c r="BD47" s="30"/>
      <c r="BE47" s="30"/>
      <c r="BF47" s="30"/>
      <c r="BG47" s="31"/>
      <c r="BI47" s="2" t="str">
        <f>IF('[3]Model Check'!C42="","",('[3]Model Check'!C42))</f>
        <v/>
      </c>
      <c r="BJ47" s="2" t="str">
        <f>IF('[3]Model Check'!D42="","",('[3]Model Check'!D42))</f>
        <v/>
      </c>
      <c r="BK47" s="2" t="str">
        <f>IF('[3]Model Check'!E42="","",('[3]Model Check'!E42))</f>
        <v/>
      </c>
      <c r="BL47" s="2" t="str">
        <f>IF('[3]Model Check'!F42="","",('[3]Model Check'!F42))</f>
        <v/>
      </c>
      <c r="BM47" s="2" t="str">
        <f>IF('[3]Model Check'!G42="","",('[3]Model Check'!G42))</f>
        <v/>
      </c>
      <c r="BN47" s="2" t="str">
        <f>IF('[3]Model Check'!H42="","",('[3]Model Check'!H42))</f>
        <v/>
      </c>
      <c r="BO47" s="2" t="str">
        <f>IF('[3]Model Check'!I42="","",('[3]Model Check'!I42))</f>
        <v/>
      </c>
      <c r="BP47" s="2" t="str">
        <f>IF('[3]Model Check'!J42="","",('[3]Model Check'!J42))</f>
        <v/>
      </c>
      <c r="BQ47" s="2" t="str">
        <f>IF('[3]Model Check'!K42="","",('[3]Model Check'!K42))</f>
        <v/>
      </c>
      <c r="BR47" s="2" t="str">
        <f>IF('[3]Model Check'!L42="","",('[3]Model Check'!L42))</f>
        <v/>
      </c>
      <c r="BS47" s="2" t="str">
        <f>IF('[3]Model Check'!M42="","",('[3]Model Check'!M42))</f>
        <v/>
      </c>
      <c r="BT47" s="2" t="str">
        <f>IF('[3]Model Check'!N42="","",('[3]Model Check'!N42))</f>
        <v/>
      </c>
    </row>
    <row r="48" spans="3:72" ht="18" customHeight="1" x14ac:dyDescent="0.25">
      <c r="C48" s="4"/>
      <c r="E48" s="2" t="str">
        <f t="shared" si="7"/>
        <v/>
      </c>
      <c r="G48" s="8" t="str">
        <f t="shared" si="1"/>
        <v/>
      </c>
      <c r="J48" s="4"/>
      <c r="L48" s="2" t="str">
        <f t="shared" si="9"/>
        <v/>
      </c>
      <c r="N48" s="8" t="str">
        <f t="shared" si="6"/>
        <v/>
      </c>
      <c r="Q48" s="4"/>
      <c r="S48" s="2" t="str">
        <f t="shared" si="8"/>
        <v/>
      </c>
      <c r="U48" s="8" t="str">
        <f t="shared" si="3"/>
        <v/>
      </c>
      <c r="AQ48" s="29"/>
      <c r="AR48" s="30"/>
      <c r="AS48" s="30"/>
      <c r="AT48" s="30"/>
      <c r="AU48" s="30"/>
      <c r="AV48" s="30"/>
      <c r="AW48" s="30"/>
      <c r="AX48" s="31"/>
      <c r="AZ48" s="29"/>
      <c r="BA48" s="30"/>
      <c r="BB48" s="30"/>
      <c r="BC48" s="30"/>
      <c r="BD48" s="30"/>
      <c r="BE48" s="30"/>
      <c r="BF48" s="30"/>
      <c r="BG48" s="31"/>
      <c r="BI48" s="2" t="str">
        <f>IF('[3]Model Check'!C43="","",('[3]Model Check'!C43))</f>
        <v/>
      </c>
      <c r="BJ48" s="2" t="str">
        <f>IF('[3]Model Check'!D43="","",('[3]Model Check'!D43))</f>
        <v/>
      </c>
      <c r="BK48" s="2" t="str">
        <f>IF('[3]Model Check'!E43="","",('[3]Model Check'!E43))</f>
        <v/>
      </c>
      <c r="BL48" s="2" t="str">
        <f>IF('[3]Model Check'!F43="","",('[3]Model Check'!F43))</f>
        <v/>
      </c>
      <c r="BM48" s="2" t="str">
        <f>IF('[3]Model Check'!G43="","",('[3]Model Check'!G43))</f>
        <v/>
      </c>
      <c r="BN48" s="2" t="str">
        <f>IF('[3]Model Check'!H43="","",('[3]Model Check'!H43))</f>
        <v/>
      </c>
      <c r="BO48" s="2" t="str">
        <f>IF('[3]Model Check'!I43="","",('[3]Model Check'!I43))</f>
        <v/>
      </c>
      <c r="BP48" s="2" t="str">
        <f>IF('[3]Model Check'!J43="","",('[3]Model Check'!J43))</f>
        <v/>
      </c>
      <c r="BQ48" s="2" t="str">
        <f>IF('[3]Model Check'!K43="","",('[3]Model Check'!K43))</f>
        <v/>
      </c>
      <c r="BR48" s="2" t="str">
        <f>IF('[3]Model Check'!L43="","",('[3]Model Check'!L43))</f>
        <v/>
      </c>
      <c r="BS48" s="2" t="str">
        <f>IF('[3]Model Check'!M43="","",('[3]Model Check'!M43))</f>
        <v/>
      </c>
      <c r="BT48" s="2" t="str">
        <f>IF('[3]Model Check'!N43="","",('[3]Model Check'!N43))</f>
        <v/>
      </c>
    </row>
    <row r="49" spans="3:72" ht="18" customHeight="1" x14ac:dyDescent="0.25">
      <c r="C49" s="4"/>
      <c r="E49" s="2" t="str">
        <f t="shared" si="7"/>
        <v/>
      </c>
      <c r="G49" s="8" t="str">
        <f t="shared" si="1"/>
        <v/>
      </c>
      <c r="J49" s="4"/>
      <c r="L49" s="2" t="str">
        <f t="shared" si="9"/>
        <v/>
      </c>
      <c r="N49" s="8" t="str">
        <f t="shared" si="6"/>
        <v/>
      </c>
      <c r="Q49" s="4"/>
      <c r="S49" s="2" t="str">
        <f t="shared" si="8"/>
        <v/>
      </c>
      <c r="U49" s="8" t="str">
        <f t="shared" si="3"/>
        <v/>
      </c>
      <c r="AQ49" s="29"/>
      <c r="AR49" s="30"/>
      <c r="AS49" s="30"/>
      <c r="AT49" s="30"/>
      <c r="AU49" s="30"/>
      <c r="AV49" s="30"/>
      <c r="AW49" s="30"/>
      <c r="AX49" s="31"/>
      <c r="AZ49" s="29"/>
      <c r="BA49" s="30"/>
      <c r="BB49" s="30"/>
      <c r="BC49" s="30"/>
      <c r="BD49" s="30"/>
      <c r="BE49" s="30"/>
      <c r="BF49" s="30"/>
      <c r="BG49" s="31"/>
      <c r="BI49" s="2" t="str">
        <f>IF('[3]Model Check'!C44="","",('[3]Model Check'!C44))</f>
        <v/>
      </c>
      <c r="BJ49" s="2" t="str">
        <f>IF('[3]Model Check'!D44="","",('[3]Model Check'!D44))</f>
        <v/>
      </c>
      <c r="BK49" s="2" t="str">
        <f>IF('[3]Model Check'!E44="","",('[3]Model Check'!E44))</f>
        <v/>
      </c>
      <c r="BL49" s="2" t="str">
        <f>IF('[3]Model Check'!F44="","",('[3]Model Check'!F44))</f>
        <v/>
      </c>
      <c r="BM49" s="2" t="str">
        <f>IF('[3]Model Check'!G44="","",('[3]Model Check'!G44))</f>
        <v/>
      </c>
      <c r="BN49" s="2" t="str">
        <f>IF('[3]Model Check'!H44="","",('[3]Model Check'!H44))</f>
        <v/>
      </c>
      <c r="BO49" s="2" t="str">
        <f>IF('[3]Model Check'!I44="","",('[3]Model Check'!I44))</f>
        <v/>
      </c>
      <c r="BP49" s="2" t="str">
        <f>IF('[3]Model Check'!J44="","",('[3]Model Check'!J44))</f>
        <v/>
      </c>
      <c r="BQ49" s="2" t="str">
        <f>IF('[3]Model Check'!K44="","",('[3]Model Check'!K44))</f>
        <v/>
      </c>
      <c r="BR49" s="2" t="str">
        <f>IF('[3]Model Check'!L44="","",('[3]Model Check'!L44))</f>
        <v/>
      </c>
      <c r="BS49" s="2" t="str">
        <f>IF('[3]Model Check'!M44="","",('[3]Model Check'!M44))</f>
        <v/>
      </c>
      <c r="BT49" s="2" t="str">
        <f>IF('[3]Model Check'!N44="","",('[3]Model Check'!N44))</f>
        <v/>
      </c>
    </row>
    <row r="50" spans="3:72" ht="18" customHeight="1" x14ac:dyDescent="0.25">
      <c r="C50" s="4"/>
      <c r="E50" s="2" t="str">
        <f t="shared" si="7"/>
        <v/>
      </c>
      <c r="G50" s="8" t="str">
        <f t="shared" si="1"/>
        <v/>
      </c>
      <c r="J50" s="4"/>
      <c r="L50" s="2" t="str">
        <f t="shared" si="9"/>
        <v/>
      </c>
      <c r="N50" s="8" t="str">
        <f t="shared" si="6"/>
        <v/>
      </c>
      <c r="Q50" s="4"/>
      <c r="S50" s="2" t="str">
        <f t="shared" si="8"/>
        <v/>
      </c>
      <c r="U50" s="8" t="str">
        <f t="shared" si="3"/>
        <v/>
      </c>
      <c r="AQ50" s="29"/>
      <c r="AR50" s="30"/>
      <c r="AS50" s="30"/>
      <c r="AT50" s="30"/>
      <c r="AU50" s="30"/>
      <c r="AV50" s="30"/>
      <c r="AW50" s="30"/>
      <c r="AX50" s="31"/>
      <c r="AZ50" s="29"/>
      <c r="BA50" s="30"/>
      <c r="BB50" s="30"/>
      <c r="BC50" s="30"/>
      <c r="BD50" s="30"/>
      <c r="BE50" s="30"/>
      <c r="BF50" s="30"/>
      <c r="BG50" s="31"/>
      <c r="BI50" s="2" t="str">
        <f>IF('[3]Model Check'!C45="","",('[3]Model Check'!C45))</f>
        <v/>
      </c>
      <c r="BJ50" s="2" t="str">
        <f>IF('[3]Model Check'!D45="","",('[3]Model Check'!D45))</f>
        <v/>
      </c>
      <c r="BK50" s="2" t="str">
        <f>IF('[3]Model Check'!E45="","",('[3]Model Check'!E45))</f>
        <v/>
      </c>
      <c r="BL50" s="2" t="str">
        <f>IF('[3]Model Check'!F45="","",('[3]Model Check'!F45))</f>
        <v/>
      </c>
      <c r="BM50" s="2" t="str">
        <f>IF('[3]Model Check'!G45="","",('[3]Model Check'!G45))</f>
        <v/>
      </c>
      <c r="BN50" s="2" t="str">
        <f>IF('[3]Model Check'!H45="","",('[3]Model Check'!H45))</f>
        <v/>
      </c>
      <c r="BO50" s="2" t="str">
        <f>IF('[3]Model Check'!I45="","",('[3]Model Check'!I45))</f>
        <v/>
      </c>
      <c r="BP50" s="2" t="str">
        <f>IF('[3]Model Check'!J45="","",('[3]Model Check'!J45))</f>
        <v/>
      </c>
      <c r="BQ50" s="2" t="str">
        <f>IF('[3]Model Check'!K45="","",('[3]Model Check'!K45))</f>
        <v/>
      </c>
      <c r="BR50" s="2" t="str">
        <f>IF('[3]Model Check'!L45="","",('[3]Model Check'!L45))</f>
        <v/>
      </c>
      <c r="BS50" s="2" t="str">
        <f>IF('[3]Model Check'!M45="","",('[3]Model Check'!M45))</f>
        <v/>
      </c>
      <c r="BT50" s="2" t="str">
        <f>IF('[3]Model Check'!N45="","",('[3]Model Check'!N45))</f>
        <v/>
      </c>
    </row>
    <row r="51" spans="3:72" ht="18" customHeight="1" x14ac:dyDescent="0.25">
      <c r="C51" s="4"/>
      <c r="E51" s="2" t="str">
        <f t="shared" si="7"/>
        <v/>
      </c>
      <c r="G51" s="8" t="str">
        <f t="shared" si="1"/>
        <v/>
      </c>
      <c r="J51" s="4"/>
      <c r="L51" s="2" t="str">
        <f t="shared" si="9"/>
        <v/>
      </c>
      <c r="N51" s="8" t="str">
        <f t="shared" si="6"/>
        <v/>
      </c>
      <c r="Q51" s="4"/>
      <c r="S51" s="2" t="str">
        <f t="shared" si="8"/>
        <v/>
      </c>
      <c r="U51" s="8" t="str">
        <f t="shared" si="3"/>
        <v/>
      </c>
      <c r="AQ51" s="29"/>
      <c r="AR51" s="30"/>
      <c r="AS51" s="30"/>
      <c r="AT51" s="30"/>
      <c r="AU51" s="30"/>
      <c r="AV51" s="30"/>
      <c r="AW51" s="30"/>
      <c r="AX51" s="31"/>
      <c r="AZ51" s="29"/>
      <c r="BA51" s="30"/>
      <c r="BB51" s="30"/>
      <c r="BC51" s="30"/>
      <c r="BD51" s="30"/>
      <c r="BE51" s="30"/>
      <c r="BF51" s="30"/>
      <c r="BG51" s="31"/>
      <c r="BI51" s="2" t="str">
        <f>IF('[3]Model Check'!C46="","",('[3]Model Check'!C46))</f>
        <v/>
      </c>
      <c r="BJ51" s="2" t="str">
        <f>IF('[3]Model Check'!D46="","",('[3]Model Check'!D46))</f>
        <v/>
      </c>
      <c r="BK51" s="2" t="str">
        <f>IF('[3]Model Check'!E46="","",('[3]Model Check'!E46))</f>
        <v/>
      </c>
      <c r="BL51" s="2" t="str">
        <f>IF('[3]Model Check'!F46="","",('[3]Model Check'!F46))</f>
        <v/>
      </c>
      <c r="BM51" s="2" t="str">
        <f>IF('[3]Model Check'!G46="","",('[3]Model Check'!G46))</f>
        <v/>
      </c>
      <c r="BN51" s="2" t="str">
        <f>IF('[3]Model Check'!H46="","",('[3]Model Check'!H46))</f>
        <v/>
      </c>
      <c r="BO51" s="2" t="str">
        <f>IF('[3]Model Check'!I46="","",('[3]Model Check'!I46))</f>
        <v/>
      </c>
      <c r="BP51" s="2" t="str">
        <f>IF('[3]Model Check'!J46="","",('[3]Model Check'!J46))</f>
        <v/>
      </c>
      <c r="BQ51" s="2" t="str">
        <f>IF('[3]Model Check'!K46="","",('[3]Model Check'!K46))</f>
        <v/>
      </c>
      <c r="BR51" s="2" t="str">
        <f>IF('[3]Model Check'!L46="","",('[3]Model Check'!L46))</f>
        <v/>
      </c>
      <c r="BS51" s="2" t="str">
        <f>IF('[3]Model Check'!M46="","",('[3]Model Check'!M46))</f>
        <v/>
      </c>
      <c r="BT51" s="2" t="str">
        <f>IF('[3]Model Check'!N46="","",('[3]Model Check'!N46))</f>
        <v/>
      </c>
    </row>
    <row r="52" spans="3:72" ht="18" customHeight="1" x14ac:dyDescent="0.25">
      <c r="C52" s="4"/>
      <c r="E52" s="2" t="str">
        <f t="shared" si="7"/>
        <v/>
      </c>
      <c r="G52" s="8" t="str">
        <f t="shared" si="1"/>
        <v/>
      </c>
      <c r="J52" s="4"/>
      <c r="L52" s="2" t="str">
        <f t="shared" si="9"/>
        <v/>
      </c>
      <c r="N52" s="8" t="str">
        <f t="shared" si="6"/>
        <v/>
      </c>
      <c r="Q52" s="4"/>
      <c r="S52" s="2" t="str">
        <f t="shared" si="8"/>
        <v/>
      </c>
      <c r="U52" s="8" t="str">
        <f t="shared" si="3"/>
        <v/>
      </c>
      <c r="AQ52" s="29"/>
      <c r="AR52" s="30"/>
      <c r="AS52" s="30"/>
      <c r="AT52" s="30"/>
      <c r="AU52" s="30"/>
      <c r="AV52" s="30"/>
      <c r="AW52" s="30"/>
      <c r="AX52" s="31"/>
      <c r="AZ52" s="29"/>
      <c r="BA52" s="30"/>
      <c r="BB52" s="30"/>
      <c r="BC52" s="30"/>
      <c r="BD52" s="30"/>
      <c r="BE52" s="30"/>
      <c r="BF52" s="30"/>
      <c r="BG52" s="31"/>
      <c r="BI52" s="2" t="str">
        <f>IF('[3]Model Check'!C47="","",('[3]Model Check'!C47))</f>
        <v/>
      </c>
      <c r="BJ52" s="2" t="str">
        <f>IF('[3]Model Check'!D47="","",('[3]Model Check'!D47))</f>
        <v/>
      </c>
      <c r="BK52" s="2" t="str">
        <f>IF('[3]Model Check'!E47="","",('[3]Model Check'!E47))</f>
        <v/>
      </c>
      <c r="BL52" s="2" t="str">
        <f>IF('[3]Model Check'!F47="","",('[3]Model Check'!F47))</f>
        <v/>
      </c>
      <c r="BM52" s="2" t="str">
        <f>IF('[3]Model Check'!G47="","",('[3]Model Check'!G47))</f>
        <v/>
      </c>
      <c r="BN52" s="2" t="str">
        <f>IF('[3]Model Check'!H47="","",('[3]Model Check'!H47))</f>
        <v/>
      </c>
      <c r="BO52" s="2" t="str">
        <f>IF('[3]Model Check'!I47="","",('[3]Model Check'!I47))</f>
        <v/>
      </c>
      <c r="BP52" s="2" t="str">
        <f>IF('[3]Model Check'!J47="","",('[3]Model Check'!J47))</f>
        <v/>
      </c>
      <c r="BQ52" s="2" t="str">
        <f>IF('[3]Model Check'!K47="","",('[3]Model Check'!K47))</f>
        <v/>
      </c>
      <c r="BR52" s="2" t="str">
        <f>IF('[3]Model Check'!L47="","",('[3]Model Check'!L47))</f>
        <v/>
      </c>
      <c r="BS52" s="2" t="str">
        <f>IF('[3]Model Check'!M47="","",('[3]Model Check'!M47))</f>
        <v/>
      </c>
      <c r="BT52" s="2" t="str">
        <f>IF('[3]Model Check'!N47="","",('[3]Model Check'!N47))</f>
        <v/>
      </c>
    </row>
    <row r="53" spans="3:72" ht="18" customHeight="1" x14ac:dyDescent="0.25">
      <c r="C53" s="4"/>
      <c r="E53" s="2" t="str">
        <f t="shared" si="7"/>
        <v/>
      </c>
      <c r="G53" s="8" t="str">
        <f t="shared" si="1"/>
        <v/>
      </c>
      <c r="J53" s="4"/>
      <c r="L53" s="2" t="str">
        <f t="shared" si="9"/>
        <v/>
      </c>
      <c r="N53" s="8" t="str">
        <f t="shared" si="6"/>
        <v/>
      </c>
      <c r="Q53" s="4"/>
      <c r="S53" s="2" t="str">
        <f t="shared" si="8"/>
        <v/>
      </c>
      <c r="U53" s="8" t="str">
        <f t="shared" si="3"/>
        <v/>
      </c>
      <c r="AQ53" s="29"/>
      <c r="AR53" s="30"/>
      <c r="AS53" s="30"/>
      <c r="AT53" s="30"/>
      <c r="AU53" s="30"/>
      <c r="AV53" s="30"/>
      <c r="AW53" s="30"/>
      <c r="AX53" s="31"/>
      <c r="AZ53" s="29"/>
      <c r="BA53" s="30"/>
      <c r="BB53" s="30"/>
      <c r="BC53" s="30"/>
      <c r="BD53" s="30"/>
      <c r="BE53" s="30"/>
      <c r="BF53" s="30"/>
      <c r="BG53" s="31"/>
      <c r="BI53" s="2" t="str">
        <f>IF('[3]Model Check'!C48="","",('[3]Model Check'!C48))</f>
        <v/>
      </c>
      <c r="BJ53" s="2" t="str">
        <f>IF('[3]Model Check'!D48="","",('[3]Model Check'!D48))</f>
        <v/>
      </c>
      <c r="BK53" s="2" t="str">
        <f>IF('[3]Model Check'!E48="","",('[3]Model Check'!E48))</f>
        <v/>
      </c>
      <c r="BL53" s="2" t="str">
        <f>IF('[3]Model Check'!F48="","",('[3]Model Check'!F48))</f>
        <v/>
      </c>
      <c r="BM53" s="2" t="str">
        <f>IF('[3]Model Check'!G48="","",('[3]Model Check'!G48))</f>
        <v/>
      </c>
      <c r="BN53" s="2" t="str">
        <f>IF('[3]Model Check'!H48="","",('[3]Model Check'!H48))</f>
        <v/>
      </c>
      <c r="BO53" s="2" t="str">
        <f>IF('[3]Model Check'!I48="","",('[3]Model Check'!I48))</f>
        <v/>
      </c>
      <c r="BP53" s="2" t="str">
        <f>IF('[3]Model Check'!J48="","",('[3]Model Check'!J48))</f>
        <v/>
      </c>
      <c r="BQ53" s="2" t="str">
        <f>IF('[3]Model Check'!K48="","",('[3]Model Check'!K48))</f>
        <v/>
      </c>
      <c r="BR53" s="2" t="str">
        <f>IF('[3]Model Check'!L48="","",('[3]Model Check'!L48))</f>
        <v/>
      </c>
      <c r="BS53" s="2" t="str">
        <f>IF('[3]Model Check'!M48="","",('[3]Model Check'!M48))</f>
        <v/>
      </c>
      <c r="BT53" s="2" t="str">
        <f>IF('[3]Model Check'!N48="","",('[3]Model Check'!N48))</f>
        <v/>
      </c>
    </row>
    <row r="54" spans="3:72" ht="18" customHeight="1" x14ac:dyDescent="0.25">
      <c r="C54" s="4"/>
      <c r="E54" s="2" t="str">
        <f t="shared" si="7"/>
        <v/>
      </c>
      <c r="G54" s="8" t="str">
        <f t="shared" si="1"/>
        <v/>
      </c>
      <c r="J54" s="4"/>
      <c r="L54" s="2" t="str">
        <f t="shared" si="9"/>
        <v/>
      </c>
      <c r="N54" s="8" t="str">
        <f t="shared" si="6"/>
        <v/>
      </c>
      <c r="Q54" s="4"/>
      <c r="S54" s="2" t="str">
        <f t="shared" si="8"/>
        <v/>
      </c>
      <c r="U54" s="8" t="str">
        <f t="shared" si="3"/>
        <v/>
      </c>
      <c r="AQ54" s="29"/>
      <c r="AR54" s="30"/>
      <c r="AS54" s="30"/>
      <c r="AT54" s="30"/>
      <c r="AU54" s="30"/>
      <c r="AV54" s="30"/>
      <c r="AW54" s="30"/>
      <c r="AX54" s="31"/>
      <c r="AZ54" s="29"/>
      <c r="BA54" s="30"/>
      <c r="BB54" s="30"/>
      <c r="BC54" s="30"/>
      <c r="BD54" s="30"/>
      <c r="BE54" s="30"/>
      <c r="BF54" s="30"/>
      <c r="BG54" s="31"/>
      <c r="BI54" s="2" t="str">
        <f>IF('[3]Model Check'!C49="","",('[3]Model Check'!C49))</f>
        <v/>
      </c>
      <c r="BJ54" s="2" t="str">
        <f>IF('[3]Model Check'!D49="","",('[3]Model Check'!D49))</f>
        <v/>
      </c>
      <c r="BK54" s="2" t="str">
        <f>IF('[3]Model Check'!E49="","",('[3]Model Check'!E49))</f>
        <v/>
      </c>
      <c r="BL54" s="2" t="str">
        <f>IF('[3]Model Check'!F49="","",('[3]Model Check'!F49))</f>
        <v/>
      </c>
      <c r="BM54" s="2" t="str">
        <f>IF('[3]Model Check'!G49="","",('[3]Model Check'!G49))</f>
        <v/>
      </c>
      <c r="BN54" s="2" t="str">
        <f>IF('[3]Model Check'!H49="","",('[3]Model Check'!H49))</f>
        <v/>
      </c>
      <c r="BO54" s="2" t="str">
        <f>IF('[3]Model Check'!I49="","",('[3]Model Check'!I49))</f>
        <v/>
      </c>
      <c r="BP54" s="2" t="str">
        <f>IF('[3]Model Check'!J49="","",('[3]Model Check'!J49))</f>
        <v/>
      </c>
      <c r="BQ54" s="2" t="str">
        <f>IF('[3]Model Check'!K49="","",('[3]Model Check'!K49))</f>
        <v/>
      </c>
      <c r="BR54" s="2" t="str">
        <f>IF('[3]Model Check'!L49="","",('[3]Model Check'!L49))</f>
        <v/>
      </c>
      <c r="BS54" s="2" t="str">
        <f>IF('[3]Model Check'!M49="","",('[3]Model Check'!M49))</f>
        <v/>
      </c>
      <c r="BT54" s="2" t="str">
        <f>IF('[3]Model Check'!N49="","",('[3]Model Check'!N49))</f>
        <v/>
      </c>
    </row>
    <row r="55" spans="3:72" ht="18" customHeight="1" x14ac:dyDescent="0.25">
      <c r="C55" s="4"/>
      <c r="E55" s="2" t="str">
        <f t="shared" si="7"/>
        <v/>
      </c>
      <c r="G55" s="8" t="str">
        <f t="shared" si="1"/>
        <v/>
      </c>
      <c r="J55" s="4"/>
      <c r="L55" s="2" t="str">
        <f t="shared" si="9"/>
        <v/>
      </c>
      <c r="N55" s="8" t="str">
        <f t="shared" si="6"/>
        <v/>
      </c>
      <c r="Q55" s="4"/>
      <c r="S55" s="2" t="str">
        <f t="shared" si="8"/>
        <v/>
      </c>
      <c r="U55" s="8" t="str">
        <f t="shared" si="3"/>
        <v/>
      </c>
      <c r="AQ55" s="29"/>
      <c r="AR55" s="30"/>
      <c r="AS55" s="30"/>
      <c r="AT55" s="30"/>
      <c r="AU55" s="30"/>
      <c r="AV55" s="30"/>
      <c r="AW55" s="30"/>
      <c r="AX55" s="31"/>
      <c r="AZ55" s="29"/>
      <c r="BA55" s="30"/>
      <c r="BB55" s="30"/>
      <c r="BC55" s="30"/>
      <c r="BD55" s="30"/>
      <c r="BE55" s="30"/>
      <c r="BF55" s="30"/>
      <c r="BG55" s="31"/>
      <c r="BI55" s="2" t="str">
        <f>IF('[3]Model Check'!C50="","",('[3]Model Check'!C50))</f>
        <v/>
      </c>
      <c r="BJ55" s="2" t="str">
        <f>IF('[3]Model Check'!D50="","",('[3]Model Check'!D50))</f>
        <v/>
      </c>
      <c r="BK55" s="2" t="str">
        <f>IF('[3]Model Check'!E50="","",('[3]Model Check'!E50))</f>
        <v/>
      </c>
      <c r="BL55" s="2" t="str">
        <f>IF('[3]Model Check'!F50="","",('[3]Model Check'!F50))</f>
        <v/>
      </c>
      <c r="BM55" s="2" t="str">
        <f>IF('[3]Model Check'!G50="","",('[3]Model Check'!G50))</f>
        <v/>
      </c>
      <c r="BN55" s="2" t="str">
        <f>IF('[3]Model Check'!H50="","",('[3]Model Check'!H50))</f>
        <v/>
      </c>
      <c r="BO55" s="2" t="str">
        <f>IF('[3]Model Check'!I50="","",('[3]Model Check'!I50))</f>
        <v/>
      </c>
      <c r="BP55" s="2" t="str">
        <f>IF('[3]Model Check'!J50="","",('[3]Model Check'!J50))</f>
        <v/>
      </c>
      <c r="BQ55" s="2" t="str">
        <f>IF('[3]Model Check'!K50="","",('[3]Model Check'!K50))</f>
        <v/>
      </c>
      <c r="BR55" s="2" t="str">
        <f>IF('[3]Model Check'!L50="","",('[3]Model Check'!L50))</f>
        <v/>
      </c>
      <c r="BS55" s="2" t="str">
        <f>IF('[3]Model Check'!M50="","",('[3]Model Check'!M50))</f>
        <v/>
      </c>
      <c r="BT55" s="2" t="str">
        <f>IF('[3]Model Check'!N50="","",('[3]Model Check'!N50))</f>
        <v/>
      </c>
    </row>
    <row r="56" spans="3:72" ht="18" customHeight="1" x14ac:dyDescent="0.25">
      <c r="C56" s="4"/>
      <c r="E56" s="2" t="str">
        <f t="shared" si="7"/>
        <v/>
      </c>
      <c r="G56" s="8" t="str">
        <f t="shared" si="1"/>
        <v/>
      </c>
      <c r="J56" s="4"/>
      <c r="L56" s="2" t="str">
        <f t="shared" si="9"/>
        <v/>
      </c>
      <c r="N56" s="8" t="str">
        <f t="shared" si="6"/>
        <v/>
      </c>
      <c r="Q56" s="4"/>
      <c r="S56" s="2" t="str">
        <f t="shared" si="8"/>
        <v/>
      </c>
      <c r="U56" s="8" t="str">
        <f t="shared" si="3"/>
        <v/>
      </c>
      <c r="AQ56" s="29"/>
      <c r="AR56" s="30"/>
      <c r="AS56" s="30"/>
      <c r="AT56" s="30"/>
      <c r="AU56" s="30"/>
      <c r="AV56" s="30"/>
      <c r="AW56" s="30"/>
      <c r="AX56" s="31"/>
      <c r="AZ56" s="29"/>
      <c r="BA56" s="30"/>
      <c r="BB56" s="30"/>
      <c r="BC56" s="30"/>
      <c r="BD56" s="30"/>
      <c r="BE56" s="30"/>
      <c r="BF56" s="30"/>
      <c r="BG56" s="31"/>
      <c r="BI56" s="2" t="str">
        <f>IF('[3]Model Check'!C51="","",('[3]Model Check'!C51))</f>
        <v/>
      </c>
      <c r="BJ56" s="2" t="str">
        <f>IF('[3]Model Check'!D51="","",('[3]Model Check'!D51))</f>
        <v/>
      </c>
      <c r="BK56" s="2" t="str">
        <f>IF('[3]Model Check'!E51="","",('[3]Model Check'!E51))</f>
        <v/>
      </c>
      <c r="BL56" s="2" t="str">
        <f>IF('[3]Model Check'!F51="","",('[3]Model Check'!F51))</f>
        <v/>
      </c>
      <c r="BM56" s="2" t="str">
        <f>IF('[3]Model Check'!G51="","",('[3]Model Check'!G51))</f>
        <v/>
      </c>
      <c r="BN56" s="2" t="str">
        <f>IF('[3]Model Check'!H51="","",('[3]Model Check'!H51))</f>
        <v/>
      </c>
      <c r="BO56" s="2" t="str">
        <f>IF('[3]Model Check'!I51="","",('[3]Model Check'!I51))</f>
        <v/>
      </c>
      <c r="BP56" s="2" t="str">
        <f>IF('[3]Model Check'!J51="","",('[3]Model Check'!J51))</f>
        <v/>
      </c>
      <c r="BQ56" s="2" t="str">
        <f>IF('[3]Model Check'!K51="","",('[3]Model Check'!K51))</f>
        <v/>
      </c>
      <c r="BR56" s="2" t="str">
        <f>IF('[3]Model Check'!L51="","",('[3]Model Check'!L51))</f>
        <v/>
      </c>
      <c r="BS56" s="2" t="str">
        <f>IF('[3]Model Check'!M51="","",('[3]Model Check'!M51))</f>
        <v/>
      </c>
      <c r="BT56" s="2" t="str">
        <f>IF('[3]Model Check'!N51="","",('[3]Model Check'!N51))</f>
        <v/>
      </c>
    </row>
    <row r="57" spans="3:72" ht="18" customHeight="1" thickBot="1" x14ac:dyDescent="0.3">
      <c r="C57" s="4"/>
      <c r="E57" s="2" t="str">
        <f t="shared" si="7"/>
        <v/>
      </c>
      <c r="G57" s="8" t="str">
        <f t="shared" si="1"/>
        <v/>
      </c>
      <c r="J57" s="4"/>
      <c r="L57" s="2" t="str">
        <f t="shared" si="9"/>
        <v/>
      </c>
      <c r="N57" s="8" t="str">
        <f t="shared" si="6"/>
        <v/>
      </c>
      <c r="Q57" s="4"/>
      <c r="S57" s="2" t="str">
        <f t="shared" si="8"/>
        <v/>
      </c>
      <c r="U57" s="8" t="str">
        <f t="shared" si="3"/>
        <v/>
      </c>
      <c r="AQ57" s="32"/>
      <c r="AR57" s="33"/>
      <c r="AS57" s="33"/>
      <c r="AT57" s="33"/>
      <c r="AU57" s="33"/>
      <c r="AV57" s="33"/>
      <c r="AW57" s="33"/>
      <c r="AX57" s="34"/>
      <c r="AZ57" s="32"/>
      <c r="BA57" s="33"/>
      <c r="BB57" s="33"/>
      <c r="BC57" s="33"/>
      <c r="BD57" s="33"/>
      <c r="BE57" s="33"/>
      <c r="BF57" s="33"/>
      <c r="BG57" s="34"/>
      <c r="BI57" s="2" t="str">
        <f>IF('[3]Model Check'!C52="","",('[3]Model Check'!C52))</f>
        <v/>
      </c>
      <c r="BJ57" s="2" t="str">
        <f>IF('[3]Model Check'!D52="","",('[3]Model Check'!D52))</f>
        <v/>
      </c>
      <c r="BK57" s="2" t="str">
        <f>IF('[3]Model Check'!E52="","",('[3]Model Check'!E52))</f>
        <v/>
      </c>
      <c r="BL57" s="2" t="str">
        <f>IF('[3]Model Check'!F52="","",('[3]Model Check'!F52))</f>
        <v/>
      </c>
      <c r="BM57" s="2" t="str">
        <f>IF('[3]Model Check'!G52="","",('[3]Model Check'!G52))</f>
        <v/>
      </c>
      <c r="BN57" s="2" t="str">
        <f>IF('[3]Model Check'!H52="","",('[3]Model Check'!H52))</f>
        <v/>
      </c>
      <c r="BO57" s="2" t="str">
        <f>IF('[3]Model Check'!I52="","",('[3]Model Check'!I52))</f>
        <v/>
      </c>
      <c r="BP57" s="2" t="str">
        <f>IF('[3]Model Check'!J52="","",('[3]Model Check'!J52))</f>
        <v/>
      </c>
      <c r="BQ57" s="2" t="str">
        <f>IF('[3]Model Check'!K52="","",('[3]Model Check'!K52))</f>
        <v/>
      </c>
      <c r="BR57" s="2" t="str">
        <f>IF('[3]Model Check'!L52="","",('[3]Model Check'!L52))</f>
        <v/>
      </c>
      <c r="BS57" s="2" t="str">
        <f>IF('[3]Model Check'!M52="","",('[3]Model Check'!M52))</f>
        <v/>
      </c>
      <c r="BT57" s="2" t="str">
        <f>IF('[3]Model Check'!N52="","",('[3]Model Check'!N52))</f>
        <v/>
      </c>
    </row>
    <row r="58" spans="3:72" ht="18" customHeight="1" x14ac:dyDescent="0.25">
      <c r="C58" s="4"/>
      <c r="E58" s="2" t="str">
        <f t="shared" si="7"/>
        <v/>
      </c>
      <c r="G58" s="8" t="str">
        <f t="shared" si="1"/>
        <v/>
      </c>
      <c r="J58" s="4"/>
      <c r="L58" s="2" t="str">
        <f t="shared" si="9"/>
        <v/>
      </c>
      <c r="N58" s="8" t="str">
        <f t="shared" si="6"/>
        <v/>
      </c>
      <c r="Q58" s="4"/>
      <c r="S58" s="2" t="str">
        <f t="shared" si="8"/>
        <v/>
      </c>
      <c r="U58" s="8" t="str">
        <f t="shared" si="3"/>
        <v/>
      </c>
      <c r="BI58" s="2" t="str">
        <f>IF('[3]Model Check'!C53="","",('[3]Model Check'!C53))</f>
        <v/>
      </c>
      <c r="BJ58" s="2" t="str">
        <f>IF('[3]Model Check'!D53="","",('[3]Model Check'!D53))</f>
        <v/>
      </c>
      <c r="BK58" s="2" t="str">
        <f>IF('[3]Model Check'!E53="","",('[3]Model Check'!E53))</f>
        <v/>
      </c>
      <c r="BL58" s="2" t="str">
        <f>IF('[3]Model Check'!F53="","",('[3]Model Check'!F53))</f>
        <v/>
      </c>
      <c r="BM58" s="2" t="str">
        <f>IF('[3]Model Check'!G53="","",('[3]Model Check'!G53))</f>
        <v/>
      </c>
      <c r="BN58" s="2" t="str">
        <f>IF('[3]Model Check'!H53="","",('[3]Model Check'!H53))</f>
        <v/>
      </c>
      <c r="BO58" s="2" t="str">
        <f>IF('[3]Model Check'!I53="","",('[3]Model Check'!I53))</f>
        <v/>
      </c>
      <c r="BP58" s="2" t="str">
        <f>IF('[3]Model Check'!J53="","",('[3]Model Check'!J53))</f>
        <v/>
      </c>
      <c r="BQ58" s="2" t="str">
        <f>IF('[3]Model Check'!K53="","",('[3]Model Check'!K53))</f>
        <v/>
      </c>
      <c r="BR58" s="2" t="str">
        <f>IF('[3]Model Check'!L53="","",('[3]Model Check'!L53))</f>
        <v/>
      </c>
      <c r="BS58" s="2" t="str">
        <f>IF('[3]Model Check'!M53="","",('[3]Model Check'!M53))</f>
        <v/>
      </c>
      <c r="BT58" s="2" t="str">
        <f>IF('[3]Model Check'!N53="","",('[3]Model Check'!N53))</f>
        <v/>
      </c>
    </row>
    <row r="59" spans="3:72" ht="18" customHeight="1" x14ac:dyDescent="0.25">
      <c r="C59" s="4"/>
      <c r="E59" s="2" t="str">
        <f t="shared" si="7"/>
        <v/>
      </c>
      <c r="G59" s="8" t="str">
        <f t="shared" si="1"/>
        <v/>
      </c>
      <c r="J59" s="4"/>
      <c r="L59" s="2" t="str">
        <f t="shared" si="9"/>
        <v/>
      </c>
      <c r="N59" s="8" t="str">
        <f t="shared" si="6"/>
        <v/>
      </c>
      <c r="Q59" s="4"/>
      <c r="S59" s="2" t="str">
        <f t="shared" si="8"/>
        <v/>
      </c>
      <c r="U59" s="8" t="str">
        <f t="shared" si="3"/>
        <v/>
      </c>
      <c r="BI59" s="2" t="str">
        <f>IF('[3]Model Check'!C54="","",('[3]Model Check'!C54))</f>
        <v/>
      </c>
      <c r="BJ59" s="2" t="str">
        <f>IF('[3]Model Check'!D54="","",('[3]Model Check'!D54))</f>
        <v/>
      </c>
      <c r="BK59" s="2" t="str">
        <f>IF('[3]Model Check'!E54="","",('[3]Model Check'!E54))</f>
        <v/>
      </c>
      <c r="BL59" s="2" t="str">
        <f>IF('[3]Model Check'!F54="","",('[3]Model Check'!F54))</f>
        <v/>
      </c>
      <c r="BM59" s="2" t="str">
        <f>IF('[3]Model Check'!G54="","",('[3]Model Check'!G54))</f>
        <v/>
      </c>
      <c r="BN59" s="2" t="str">
        <f>IF('[3]Model Check'!H54="","",('[3]Model Check'!H54))</f>
        <v/>
      </c>
      <c r="BO59" s="2" t="str">
        <f>IF('[3]Model Check'!I54="","",('[3]Model Check'!I54))</f>
        <v/>
      </c>
      <c r="BP59" s="2" t="str">
        <f>IF('[3]Model Check'!J54="","",('[3]Model Check'!J54))</f>
        <v/>
      </c>
      <c r="BQ59" s="2" t="str">
        <f>IF('[3]Model Check'!K54="","",('[3]Model Check'!K54))</f>
        <v/>
      </c>
      <c r="BR59" s="2" t="str">
        <f>IF('[3]Model Check'!L54="","",('[3]Model Check'!L54))</f>
        <v/>
      </c>
      <c r="BS59" s="2" t="str">
        <f>IF('[3]Model Check'!M54="","",('[3]Model Check'!M54))</f>
        <v/>
      </c>
      <c r="BT59" s="2" t="str">
        <f>IF('[3]Model Check'!N54="","",('[3]Model Check'!N54))</f>
        <v/>
      </c>
    </row>
    <row r="60" spans="3:72" ht="18" customHeight="1" x14ac:dyDescent="0.25">
      <c r="C60" s="4"/>
      <c r="E60" s="2" t="str">
        <f t="shared" si="7"/>
        <v/>
      </c>
      <c r="G60" s="8" t="str">
        <f t="shared" si="1"/>
        <v/>
      </c>
      <c r="J60" s="4"/>
      <c r="L60" s="2" t="str">
        <f t="shared" si="9"/>
        <v/>
      </c>
      <c r="N60" s="8" t="str">
        <f t="shared" si="6"/>
        <v/>
      </c>
      <c r="Q60" s="4"/>
      <c r="S60" s="2" t="str">
        <f t="shared" si="8"/>
        <v/>
      </c>
      <c r="U60" s="8" t="str">
        <f t="shared" si="3"/>
        <v/>
      </c>
      <c r="BI60" s="2" t="str">
        <f>IF('[3]Model Check'!C55="","",('[3]Model Check'!C55))</f>
        <v/>
      </c>
      <c r="BJ60" s="2" t="str">
        <f>IF('[3]Model Check'!D55="","",('[3]Model Check'!D55))</f>
        <v/>
      </c>
      <c r="BK60" s="2" t="str">
        <f>IF('[3]Model Check'!E55="","",('[3]Model Check'!E55))</f>
        <v/>
      </c>
      <c r="BL60" s="2" t="str">
        <f>IF('[3]Model Check'!F55="","",('[3]Model Check'!F55))</f>
        <v/>
      </c>
      <c r="BM60" s="2" t="str">
        <f>IF('[3]Model Check'!G55="","",('[3]Model Check'!G55))</f>
        <v/>
      </c>
      <c r="BN60" s="2" t="str">
        <f>IF('[3]Model Check'!H55="","",('[3]Model Check'!H55))</f>
        <v/>
      </c>
      <c r="BO60" s="2" t="str">
        <f>IF('[3]Model Check'!I55="","",('[3]Model Check'!I55))</f>
        <v/>
      </c>
      <c r="BP60" s="2" t="str">
        <f>IF('[3]Model Check'!J55="","",('[3]Model Check'!J55))</f>
        <v/>
      </c>
      <c r="BQ60" s="2" t="str">
        <f>IF('[3]Model Check'!K55="","",('[3]Model Check'!K55))</f>
        <v/>
      </c>
      <c r="BR60" s="2" t="str">
        <f>IF('[3]Model Check'!L55="","",('[3]Model Check'!L55))</f>
        <v/>
      </c>
      <c r="BS60" s="2" t="str">
        <f>IF('[3]Model Check'!M55="","",('[3]Model Check'!M55))</f>
        <v/>
      </c>
      <c r="BT60" s="2" t="str">
        <f>IF('[3]Model Check'!N55="","",('[3]Model Check'!N55))</f>
        <v/>
      </c>
    </row>
    <row r="61" spans="3:72" ht="18" customHeight="1" x14ac:dyDescent="0.25">
      <c r="C61" s="4"/>
      <c r="E61" s="2" t="str">
        <f t="shared" si="7"/>
        <v/>
      </c>
      <c r="G61" s="8" t="str">
        <f t="shared" si="1"/>
        <v/>
      </c>
      <c r="J61" s="4"/>
      <c r="L61" s="2" t="str">
        <f t="shared" si="9"/>
        <v/>
      </c>
      <c r="N61" s="8" t="str">
        <f t="shared" si="6"/>
        <v/>
      </c>
      <c r="Q61" s="4"/>
      <c r="S61" s="2" t="str">
        <f t="shared" si="8"/>
        <v/>
      </c>
      <c r="U61" s="8" t="str">
        <f t="shared" si="3"/>
        <v/>
      </c>
      <c r="BI61" s="2" t="str">
        <f>IF('[3]Model Check'!C56="","",('[3]Model Check'!C56))</f>
        <v/>
      </c>
      <c r="BJ61" s="2" t="str">
        <f>IF('[3]Model Check'!D56="","",('[3]Model Check'!D56))</f>
        <v/>
      </c>
      <c r="BK61" s="2" t="str">
        <f>IF('[3]Model Check'!E56="","",('[3]Model Check'!E56))</f>
        <v/>
      </c>
      <c r="BL61" s="2" t="str">
        <f>IF('[3]Model Check'!F56="","",('[3]Model Check'!F56))</f>
        <v/>
      </c>
      <c r="BM61" s="2" t="str">
        <f>IF('[3]Model Check'!G56="","",('[3]Model Check'!G56))</f>
        <v/>
      </c>
      <c r="BN61" s="2" t="str">
        <f>IF('[3]Model Check'!H56="","",('[3]Model Check'!H56))</f>
        <v/>
      </c>
      <c r="BO61" s="2" t="str">
        <f>IF('[3]Model Check'!I56="","",('[3]Model Check'!I56))</f>
        <v/>
      </c>
      <c r="BP61" s="2" t="str">
        <f>IF('[3]Model Check'!J56="","",('[3]Model Check'!J56))</f>
        <v/>
      </c>
      <c r="BQ61" s="2" t="str">
        <f>IF('[3]Model Check'!K56="","",('[3]Model Check'!K56))</f>
        <v/>
      </c>
      <c r="BR61" s="2" t="str">
        <f>IF('[3]Model Check'!L56="","",('[3]Model Check'!L56))</f>
        <v/>
      </c>
      <c r="BS61" s="2" t="str">
        <f>IF('[3]Model Check'!M56="","",('[3]Model Check'!M56))</f>
        <v/>
      </c>
      <c r="BT61" s="2" t="str">
        <f>IF('[3]Model Check'!N56="","",('[3]Model Check'!N56))</f>
        <v/>
      </c>
    </row>
    <row r="62" spans="3:72" ht="18" customHeight="1" x14ac:dyDescent="0.25">
      <c r="C62" s="4"/>
      <c r="E62" s="2" t="str">
        <f t="shared" si="7"/>
        <v/>
      </c>
      <c r="G62" s="8" t="str">
        <f t="shared" si="1"/>
        <v/>
      </c>
      <c r="J62" s="4"/>
      <c r="L62" s="2" t="str">
        <f t="shared" si="9"/>
        <v/>
      </c>
      <c r="N62" s="8" t="str">
        <f t="shared" si="6"/>
        <v/>
      </c>
      <c r="Q62" s="4"/>
      <c r="S62" s="2" t="str">
        <f t="shared" si="8"/>
        <v/>
      </c>
      <c r="U62" s="8" t="str">
        <f t="shared" si="3"/>
        <v/>
      </c>
      <c r="BI62" s="2" t="str">
        <f>IF('[3]Model Check'!C57="","",('[3]Model Check'!C57))</f>
        <v/>
      </c>
      <c r="BJ62" s="2" t="str">
        <f>IF('[3]Model Check'!D57="","",('[3]Model Check'!D57))</f>
        <v/>
      </c>
      <c r="BK62" s="2" t="str">
        <f>IF('[3]Model Check'!E57="","",('[3]Model Check'!E57))</f>
        <v/>
      </c>
      <c r="BL62" s="2" t="str">
        <f>IF('[3]Model Check'!F57="","",('[3]Model Check'!F57))</f>
        <v/>
      </c>
      <c r="BM62" s="2" t="str">
        <f>IF('[3]Model Check'!G57="","",('[3]Model Check'!G57))</f>
        <v/>
      </c>
      <c r="BN62" s="2" t="str">
        <f>IF('[3]Model Check'!H57="","",('[3]Model Check'!H57))</f>
        <v/>
      </c>
      <c r="BO62" s="2" t="str">
        <f>IF('[3]Model Check'!I57="","",('[3]Model Check'!I57))</f>
        <v/>
      </c>
      <c r="BP62" s="2" t="str">
        <f>IF('[3]Model Check'!J57="","",('[3]Model Check'!J57))</f>
        <v/>
      </c>
      <c r="BQ62" s="2" t="str">
        <f>IF('[3]Model Check'!K57="","",('[3]Model Check'!K57))</f>
        <v/>
      </c>
      <c r="BR62" s="2" t="str">
        <f>IF('[3]Model Check'!L57="","",('[3]Model Check'!L57))</f>
        <v/>
      </c>
      <c r="BS62" s="2" t="str">
        <f>IF('[3]Model Check'!M57="","",('[3]Model Check'!M57))</f>
        <v/>
      </c>
      <c r="BT62" s="2" t="str">
        <f>IF('[3]Model Check'!N57="","",('[3]Model Check'!N57))</f>
        <v/>
      </c>
    </row>
    <row r="63" spans="3:72" ht="18" customHeight="1" x14ac:dyDescent="0.25">
      <c r="C63" s="4"/>
      <c r="E63" s="2" t="str">
        <f t="shared" si="7"/>
        <v/>
      </c>
      <c r="G63" s="8" t="str">
        <f t="shared" si="1"/>
        <v/>
      </c>
      <c r="J63" s="4"/>
      <c r="L63" s="2" t="str">
        <f t="shared" si="9"/>
        <v/>
      </c>
      <c r="N63" s="8" t="str">
        <f t="shared" si="6"/>
        <v/>
      </c>
      <c r="Q63" s="4"/>
      <c r="S63" s="2" t="str">
        <f t="shared" si="8"/>
        <v/>
      </c>
      <c r="U63" s="8" t="str">
        <f t="shared" si="3"/>
        <v/>
      </c>
      <c r="BI63" s="2" t="str">
        <f>IF('[3]Model Check'!C58="","",('[3]Model Check'!C58))</f>
        <v/>
      </c>
      <c r="BJ63" s="2" t="str">
        <f>IF('[3]Model Check'!D58="","",('[3]Model Check'!D58))</f>
        <v/>
      </c>
      <c r="BK63" s="2" t="str">
        <f>IF('[3]Model Check'!E58="","",('[3]Model Check'!E58))</f>
        <v/>
      </c>
      <c r="BL63" s="2" t="str">
        <f>IF('[3]Model Check'!F58="","",('[3]Model Check'!F58))</f>
        <v/>
      </c>
      <c r="BM63" s="2" t="str">
        <f>IF('[3]Model Check'!G58="","",('[3]Model Check'!G58))</f>
        <v/>
      </c>
      <c r="BN63" s="2" t="str">
        <f>IF('[3]Model Check'!H58="","",('[3]Model Check'!H58))</f>
        <v/>
      </c>
      <c r="BO63" s="2" t="str">
        <f>IF('[3]Model Check'!I58="","",('[3]Model Check'!I58))</f>
        <v/>
      </c>
      <c r="BP63" s="2" t="str">
        <f>IF('[3]Model Check'!J58="","",('[3]Model Check'!J58))</f>
        <v/>
      </c>
      <c r="BQ63" s="2" t="str">
        <f>IF('[3]Model Check'!K58="","",('[3]Model Check'!K58))</f>
        <v/>
      </c>
      <c r="BR63" s="2" t="str">
        <f>IF('[3]Model Check'!L58="","",('[3]Model Check'!L58))</f>
        <v/>
      </c>
      <c r="BS63" s="2" t="str">
        <f>IF('[3]Model Check'!M58="","",('[3]Model Check'!M58))</f>
        <v/>
      </c>
      <c r="BT63" s="2" t="str">
        <f>IF('[3]Model Check'!N58="","",('[3]Model Check'!N58))</f>
        <v/>
      </c>
    </row>
    <row r="64" spans="3:72" ht="18" customHeight="1" x14ac:dyDescent="0.25">
      <c r="C64" s="4"/>
      <c r="E64" s="2" t="str">
        <f t="shared" si="7"/>
        <v/>
      </c>
      <c r="G64" s="8" t="str">
        <f t="shared" si="1"/>
        <v/>
      </c>
      <c r="J64" s="4"/>
      <c r="L64" s="2" t="str">
        <f t="shared" si="9"/>
        <v/>
      </c>
      <c r="N64" s="8" t="str">
        <f t="shared" si="6"/>
        <v/>
      </c>
      <c r="Q64" s="4"/>
      <c r="S64" s="2" t="str">
        <f t="shared" si="8"/>
        <v/>
      </c>
      <c r="U64" s="8" t="str">
        <f t="shared" si="3"/>
        <v/>
      </c>
      <c r="BI64" s="2" t="str">
        <f>IF('[3]Model Check'!C59="","",('[3]Model Check'!C59))</f>
        <v/>
      </c>
      <c r="BJ64" s="2" t="str">
        <f>IF('[3]Model Check'!D59="","",('[3]Model Check'!D59))</f>
        <v/>
      </c>
      <c r="BK64" s="2" t="str">
        <f>IF('[3]Model Check'!E59="","",('[3]Model Check'!E59))</f>
        <v/>
      </c>
      <c r="BL64" s="2" t="str">
        <f>IF('[3]Model Check'!F59="","",('[3]Model Check'!F59))</f>
        <v/>
      </c>
      <c r="BM64" s="2" t="str">
        <f>IF('[3]Model Check'!G59="","",('[3]Model Check'!G59))</f>
        <v/>
      </c>
      <c r="BN64" s="2" t="str">
        <f>IF('[3]Model Check'!H59="","",('[3]Model Check'!H59))</f>
        <v/>
      </c>
      <c r="BO64" s="2" t="str">
        <f>IF('[3]Model Check'!I59="","",('[3]Model Check'!I59))</f>
        <v/>
      </c>
      <c r="BP64" s="2" t="str">
        <f>IF('[3]Model Check'!J59="","",('[3]Model Check'!J59))</f>
        <v/>
      </c>
      <c r="BQ64" s="2" t="str">
        <f>IF('[3]Model Check'!K59="","",('[3]Model Check'!K59))</f>
        <v/>
      </c>
      <c r="BR64" s="2" t="str">
        <f>IF('[3]Model Check'!L59="","",('[3]Model Check'!L59))</f>
        <v/>
      </c>
      <c r="BS64" s="2" t="str">
        <f>IF('[3]Model Check'!M59="","",('[3]Model Check'!M59))</f>
        <v/>
      </c>
      <c r="BT64" s="2" t="str">
        <f>IF('[3]Model Check'!N59="","",('[3]Model Check'!N59))</f>
        <v/>
      </c>
    </row>
    <row r="65" spans="3:72" ht="18" customHeight="1" x14ac:dyDescent="0.25">
      <c r="C65" s="4"/>
      <c r="E65" s="2" t="str">
        <f t="shared" si="7"/>
        <v/>
      </c>
      <c r="G65" s="8" t="str">
        <f t="shared" si="1"/>
        <v/>
      </c>
      <c r="J65" s="4"/>
      <c r="L65" s="2" t="str">
        <f t="shared" si="9"/>
        <v/>
      </c>
      <c r="N65" s="8" t="str">
        <f t="shared" si="6"/>
        <v/>
      </c>
      <c r="Q65" s="4"/>
      <c r="S65" s="2" t="str">
        <f t="shared" si="8"/>
        <v/>
      </c>
      <c r="U65" s="8" t="str">
        <f t="shared" si="3"/>
        <v/>
      </c>
      <c r="BI65" s="2" t="str">
        <f>IF('[3]Model Check'!C60="","",('[3]Model Check'!C60))</f>
        <v/>
      </c>
      <c r="BJ65" s="2" t="str">
        <f>IF('[3]Model Check'!D60="","",('[3]Model Check'!D60))</f>
        <v/>
      </c>
      <c r="BK65" s="2" t="str">
        <f>IF('[3]Model Check'!E60="","",('[3]Model Check'!E60))</f>
        <v/>
      </c>
      <c r="BL65" s="2" t="str">
        <f>IF('[3]Model Check'!F60="","",('[3]Model Check'!F60))</f>
        <v/>
      </c>
      <c r="BM65" s="2" t="str">
        <f>IF('[3]Model Check'!G60="","",('[3]Model Check'!G60))</f>
        <v/>
      </c>
      <c r="BN65" s="2" t="str">
        <f>IF('[3]Model Check'!H60="","",('[3]Model Check'!H60))</f>
        <v/>
      </c>
      <c r="BO65" s="2" t="str">
        <f>IF('[3]Model Check'!I60="","",('[3]Model Check'!I60))</f>
        <v/>
      </c>
      <c r="BP65" s="2" t="str">
        <f>IF('[3]Model Check'!J60="","",('[3]Model Check'!J60))</f>
        <v/>
      </c>
      <c r="BQ65" s="2" t="str">
        <f>IF('[3]Model Check'!K60="","",('[3]Model Check'!K60))</f>
        <v/>
      </c>
      <c r="BR65" s="2" t="str">
        <f>IF('[3]Model Check'!L60="","",('[3]Model Check'!L60))</f>
        <v/>
      </c>
      <c r="BS65" s="2" t="str">
        <f>IF('[3]Model Check'!M60="","",('[3]Model Check'!M60))</f>
        <v/>
      </c>
      <c r="BT65" s="2" t="str">
        <f>IF('[3]Model Check'!N60="","",('[3]Model Check'!N60))</f>
        <v/>
      </c>
    </row>
    <row r="66" spans="3:72" ht="18" customHeight="1" x14ac:dyDescent="0.25">
      <c r="C66" s="4"/>
      <c r="E66" s="2" t="str">
        <f t="shared" si="7"/>
        <v/>
      </c>
      <c r="G66" s="8" t="str">
        <f t="shared" si="1"/>
        <v/>
      </c>
      <c r="J66" s="4"/>
      <c r="L66" s="2" t="str">
        <f t="shared" si="9"/>
        <v/>
      </c>
      <c r="N66" s="8" t="str">
        <f t="shared" si="6"/>
        <v/>
      </c>
      <c r="Q66" s="4"/>
      <c r="S66" s="2" t="str">
        <f t="shared" si="8"/>
        <v/>
      </c>
      <c r="U66" s="8" t="str">
        <f t="shared" si="3"/>
        <v/>
      </c>
      <c r="BI66" s="2" t="str">
        <f>IF('[3]Model Check'!C61="","",('[3]Model Check'!C61))</f>
        <v/>
      </c>
      <c r="BJ66" s="2" t="str">
        <f>IF('[3]Model Check'!D61="","",('[3]Model Check'!D61))</f>
        <v/>
      </c>
      <c r="BK66" s="2" t="str">
        <f>IF('[3]Model Check'!E61="","",('[3]Model Check'!E61))</f>
        <v/>
      </c>
      <c r="BL66" s="2" t="str">
        <f>IF('[3]Model Check'!F61="","",('[3]Model Check'!F61))</f>
        <v/>
      </c>
      <c r="BM66" s="2" t="str">
        <f>IF('[3]Model Check'!G61="","",('[3]Model Check'!G61))</f>
        <v/>
      </c>
      <c r="BN66" s="2" t="str">
        <f>IF('[3]Model Check'!H61="","",('[3]Model Check'!H61))</f>
        <v/>
      </c>
      <c r="BO66" s="2" t="str">
        <f>IF('[3]Model Check'!I61="","",('[3]Model Check'!I61))</f>
        <v/>
      </c>
      <c r="BP66" s="2" t="str">
        <f>IF('[3]Model Check'!J61="","",('[3]Model Check'!J61))</f>
        <v/>
      </c>
      <c r="BQ66" s="2" t="str">
        <f>IF('[3]Model Check'!K61="","",('[3]Model Check'!K61))</f>
        <v/>
      </c>
      <c r="BR66" s="2" t="str">
        <f>IF('[3]Model Check'!L61="","",('[3]Model Check'!L61))</f>
        <v/>
      </c>
      <c r="BS66" s="2" t="str">
        <f>IF('[3]Model Check'!M61="","",('[3]Model Check'!M61))</f>
        <v/>
      </c>
      <c r="BT66" s="2" t="str">
        <f>IF('[3]Model Check'!N61="","",('[3]Model Check'!N61))</f>
        <v/>
      </c>
    </row>
    <row r="67" spans="3:72" ht="18" customHeight="1" x14ac:dyDescent="0.25">
      <c r="C67" s="4"/>
      <c r="E67" s="2" t="str">
        <f t="shared" si="7"/>
        <v/>
      </c>
      <c r="G67" s="8" t="str">
        <f t="shared" si="1"/>
        <v/>
      </c>
      <c r="J67" s="4"/>
      <c r="L67" s="2" t="str">
        <f t="shared" si="9"/>
        <v/>
      </c>
      <c r="N67" s="8" t="str">
        <f t="shared" si="6"/>
        <v/>
      </c>
      <c r="Q67" s="4"/>
      <c r="S67" s="2" t="str">
        <f t="shared" si="8"/>
        <v/>
      </c>
      <c r="U67" s="8" t="str">
        <f t="shared" si="3"/>
        <v/>
      </c>
      <c r="BI67" s="2" t="str">
        <f>IF('[3]Model Check'!C62="","",('[3]Model Check'!C62))</f>
        <v/>
      </c>
      <c r="BJ67" s="2" t="str">
        <f>IF('[3]Model Check'!D62="","",('[3]Model Check'!D62))</f>
        <v/>
      </c>
      <c r="BK67" s="2" t="str">
        <f>IF('[3]Model Check'!E62="","",('[3]Model Check'!E62))</f>
        <v/>
      </c>
      <c r="BL67" s="2" t="str">
        <f>IF('[3]Model Check'!F62="","",('[3]Model Check'!F62))</f>
        <v/>
      </c>
      <c r="BM67" s="2" t="str">
        <f>IF('[3]Model Check'!G62="","",('[3]Model Check'!G62))</f>
        <v/>
      </c>
      <c r="BN67" s="2" t="str">
        <f>IF('[3]Model Check'!H62="","",('[3]Model Check'!H62))</f>
        <v/>
      </c>
      <c r="BO67" s="2" t="str">
        <f>IF('[3]Model Check'!I62="","",('[3]Model Check'!I62))</f>
        <v/>
      </c>
      <c r="BP67" s="2" t="str">
        <f>IF('[3]Model Check'!J62="","",('[3]Model Check'!J62))</f>
        <v/>
      </c>
      <c r="BQ67" s="2" t="str">
        <f>IF('[3]Model Check'!K62="","",('[3]Model Check'!K62))</f>
        <v/>
      </c>
      <c r="BR67" s="2" t="str">
        <f>IF('[3]Model Check'!L62="","",('[3]Model Check'!L62))</f>
        <v/>
      </c>
      <c r="BS67" s="2" t="str">
        <f>IF('[3]Model Check'!M62="","",('[3]Model Check'!M62))</f>
        <v/>
      </c>
      <c r="BT67" s="2" t="str">
        <f>IF('[3]Model Check'!N62="","",('[3]Model Check'!N62))</f>
        <v/>
      </c>
    </row>
    <row r="68" spans="3:72" ht="18" customHeight="1" x14ac:dyDescent="0.25">
      <c r="C68" s="4"/>
      <c r="E68" s="2" t="str">
        <f t="shared" si="7"/>
        <v/>
      </c>
      <c r="G68" s="8" t="str">
        <f t="shared" si="1"/>
        <v/>
      </c>
      <c r="J68" s="4"/>
      <c r="L68" s="2" t="str">
        <f t="shared" si="9"/>
        <v/>
      </c>
      <c r="N68" s="8" t="str">
        <f t="shared" si="6"/>
        <v/>
      </c>
      <c r="Q68" s="4"/>
      <c r="S68" s="2" t="str">
        <f t="shared" si="8"/>
        <v/>
      </c>
      <c r="U68" s="8" t="str">
        <f t="shared" si="3"/>
        <v/>
      </c>
      <c r="BI68" s="2" t="str">
        <f>IF('[3]Model Check'!C63="","",('[3]Model Check'!C63))</f>
        <v/>
      </c>
      <c r="BJ68" s="2" t="str">
        <f>IF('[3]Model Check'!D63="","",('[3]Model Check'!D63))</f>
        <v/>
      </c>
      <c r="BK68" s="2" t="str">
        <f>IF('[3]Model Check'!E63="","",('[3]Model Check'!E63))</f>
        <v/>
      </c>
      <c r="BL68" s="2" t="str">
        <f>IF('[3]Model Check'!F63="","",('[3]Model Check'!F63))</f>
        <v/>
      </c>
      <c r="BM68" s="2" t="str">
        <f>IF('[3]Model Check'!G63="","",('[3]Model Check'!G63))</f>
        <v/>
      </c>
      <c r="BN68" s="2" t="str">
        <f>IF('[3]Model Check'!H63="","",('[3]Model Check'!H63))</f>
        <v/>
      </c>
      <c r="BO68" s="2" t="str">
        <f>IF('[3]Model Check'!I63="","",('[3]Model Check'!I63))</f>
        <v/>
      </c>
      <c r="BP68" s="2" t="str">
        <f>IF('[3]Model Check'!J63="","",('[3]Model Check'!J63))</f>
        <v/>
      </c>
      <c r="BQ68" s="2" t="str">
        <f>IF('[3]Model Check'!K63="","",('[3]Model Check'!K63))</f>
        <v/>
      </c>
      <c r="BR68" s="2" t="str">
        <f>IF('[3]Model Check'!L63="","",('[3]Model Check'!L63))</f>
        <v/>
      </c>
      <c r="BS68" s="2" t="str">
        <f>IF('[3]Model Check'!M63="","",('[3]Model Check'!M63))</f>
        <v/>
      </c>
      <c r="BT68" s="2" t="str">
        <f>IF('[3]Model Check'!N63="","",('[3]Model Check'!N63))</f>
        <v/>
      </c>
    </row>
    <row r="69" spans="3:72" ht="18" customHeight="1" x14ac:dyDescent="0.25">
      <c r="C69" s="4"/>
      <c r="E69" s="2" t="str">
        <f t="shared" si="7"/>
        <v/>
      </c>
      <c r="G69" s="8" t="str">
        <f t="shared" si="1"/>
        <v/>
      </c>
      <c r="J69" s="4"/>
      <c r="L69" s="2" t="str">
        <f t="shared" si="9"/>
        <v/>
      </c>
      <c r="N69" s="8" t="str">
        <f t="shared" si="6"/>
        <v/>
      </c>
      <c r="Q69" s="4"/>
      <c r="S69" s="2" t="str">
        <f t="shared" si="8"/>
        <v/>
      </c>
      <c r="U69" s="8" t="str">
        <f t="shared" si="3"/>
        <v/>
      </c>
      <c r="BI69" s="2" t="str">
        <f>IF('[3]Model Check'!C64="","",('[3]Model Check'!C64))</f>
        <v/>
      </c>
      <c r="BJ69" s="2" t="str">
        <f>IF('[3]Model Check'!D64="","",('[3]Model Check'!D64))</f>
        <v/>
      </c>
      <c r="BK69" s="2" t="str">
        <f>IF('[3]Model Check'!E64="","",('[3]Model Check'!E64))</f>
        <v/>
      </c>
      <c r="BL69" s="2" t="str">
        <f>IF('[3]Model Check'!F64="","",('[3]Model Check'!F64))</f>
        <v/>
      </c>
      <c r="BM69" s="2" t="str">
        <f>IF('[3]Model Check'!G64="","",('[3]Model Check'!G64))</f>
        <v/>
      </c>
      <c r="BN69" s="2" t="str">
        <f>IF('[3]Model Check'!H64="","",('[3]Model Check'!H64))</f>
        <v/>
      </c>
      <c r="BO69" s="2" t="str">
        <f>IF('[3]Model Check'!I64="","",('[3]Model Check'!I64))</f>
        <v/>
      </c>
      <c r="BP69" s="2" t="str">
        <f>IF('[3]Model Check'!J64="","",('[3]Model Check'!J64))</f>
        <v/>
      </c>
      <c r="BQ69" s="2" t="str">
        <f>IF('[3]Model Check'!K64="","",('[3]Model Check'!K64))</f>
        <v/>
      </c>
      <c r="BR69" s="2" t="str">
        <f>IF('[3]Model Check'!L64="","",('[3]Model Check'!L64))</f>
        <v/>
      </c>
      <c r="BS69" s="2" t="str">
        <f>IF('[3]Model Check'!M64="","",('[3]Model Check'!M64))</f>
        <v/>
      </c>
      <c r="BT69" s="2" t="str">
        <f>IF('[3]Model Check'!N64="","",('[3]Model Check'!N64))</f>
        <v/>
      </c>
    </row>
    <row r="70" spans="3:72" ht="18" customHeight="1" x14ac:dyDescent="0.25">
      <c r="C70" s="4"/>
      <c r="E70" s="2" t="str">
        <f t="shared" si="7"/>
        <v/>
      </c>
      <c r="G70" s="8" t="str">
        <f t="shared" si="1"/>
        <v/>
      </c>
      <c r="J70" s="4"/>
      <c r="L70" s="2" t="str">
        <f t="shared" si="9"/>
        <v/>
      </c>
      <c r="N70" s="8" t="str">
        <f t="shared" si="6"/>
        <v/>
      </c>
      <c r="Q70" s="4"/>
      <c r="S70" s="2" t="str">
        <f t="shared" si="8"/>
        <v/>
      </c>
      <c r="U70" s="8" t="str">
        <f t="shared" si="3"/>
        <v/>
      </c>
      <c r="BI70" s="2" t="str">
        <f>IF('[3]Model Check'!C65="","",('[3]Model Check'!C65))</f>
        <v/>
      </c>
      <c r="BJ70" s="2" t="str">
        <f>IF('[3]Model Check'!D65="","",('[3]Model Check'!D65))</f>
        <v/>
      </c>
      <c r="BK70" s="2" t="str">
        <f>IF('[3]Model Check'!E65="","",('[3]Model Check'!E65))</f>
        <v/>
      </c>
      <c r="BL70" s="2" t="str">
        <f>IF('[3]Model Check'!F65="","",('[3]Model Check'!F65))</f>
        <v/>
      </c>
      <c r="BM70" s="2" t="str">
        <f>IF('[3]Model Check'!G65="","",('[3]Model Check'!G65))</f>
        <v/>
      </c>
      <c r="BN70" s="2" t="str">
        <f>IF('[3]Model Check'!H65="","",('[3]Model Check'!H65))</f>
        <v/>
      </c>
      <c r="BO70" s="2" t="str">
        <f>IF('[3]Model Check'!I65="","",('[3]Model Check'!I65))</f>
        <v/>
      </c>
      <c r="BP70" s="2" t="str">
        <f>IF('[3]Model Check'!J65="","",('[3]Model Check'!J65))</f>
        <v/>
      </c>
      <c r="BQ70" s="2" t="str">
        <f>IF('[3]Model Check'!K65="","",('[3]Model Check'!K65))</f>
        <v/>
      </c>
      <c r="BR70" s="2" t="str">
        <f>IF('[3]Model Check'!L65="","",('[3]Model Check'!L65))</f>
        <v/>
      </c>
      <c r="BS70" s="2" t="str">
        <f>IF('[3]Model Check'!M65="","",('[3]Model Check'!M65))</f>
        <v/>
      </c>
      <c r="BT70" s="2" t="str">
        <f>IF('[3]Model Check'!N65="","",('[3]Model Check'!N65))</f>
        <v/>
      </c>
    </row>
    <row r="71" spans="3:72" ht="18" customHeight="1" x14ac:dyDescent="0.25">
      <c r="C71" s="4"/>
      <c r="E71" s="2" t="str">
        <f t="shared" si="7"/>
        <v/>
      </c>
      <c r="G71" s="8" t="str">
        <f t="shared" si="1"/>
        <v/>
      </c>
      <c r="J71" s="4"/>
      <c r="L71" s="2" t="str">
        <f t="shared" si="9"/>
        <v/>
      </c>
      <c r="N71" s="8" t="str">
        <f t="shared" si="6"/>
        <v/>
      </c>
      <c r="Q71" s="4"/>
      <c r="S71" s="2" t="str">
        <f t="shared" si="8"/>
        <v/>
      </c>
      <c r="U71" s="8" t="str">
        <f t="shared" si="3"/>
        <v/>
      </c>
      <c r="BI71" s="2" t="str">
        <f>IF('[3]Model Check'!C66="","",('[3]Model Check'!C66))</f>
        <v/>
      </c>
      <c r="BJ71" s="2" t="str">
        <f>IF('[3]Model Check'!D66="","",('[3]Model Check'!D66))</f>
        <v/>
      </c>
      <c r="BK71" s="2" t="str">
        <f>IF('[3]Model Check'!E66="","",('[3]Model Check'!E66))</f>
        <v/>
      </c>
      <c r="BL71" s="2" t="str">
        <f>IF('[3]Model Check'!F66="","",('[3]Model Check'!F66))</f>
        <v/>
      </c>
      <c r="BM71" s="2" t="str">
        <f>IF('[3]Model Check'!G66="","",('[3]Model Check'!G66))</f>
        <v/>
      </c>
      <c r="BN71" s="2" t="str">
        <f>IF('[3]Model Check'!H66="","",('[3]Model Check'!H66))</f>
        <v/>
      </c>
      <c r="BO71" s="2" t="str">
        <f>IF('[3]Model Check'!I66="","",('[3]Model Check'!I66))</f>
        <v/>
      </c>
      <c r="BP71" s="2" t="str">
        <f>IF('[3]Model Check'!J66="","",('[3]Model Check'!J66))</f>
        <v/>
      </c>
      <c r="BQ71" s="2" t="str">
        <f>IF('[3]Model Check'!K66="","",('[3]Model Check'!K66))</f>
        <v/>
      </c>
      <c r="BR71" s="2" t="str">
        <f>IF('[3]Model Check'!L66="","",('[3]Model Check'!L66))</f>
        <v/>
      </c>
      <c r="BS71" s="2" t="str">
        <f>IF('[3]Model Check'!M66="","",('[3]Model Check'!M66))</f>
        <v/>
      </c>
      <c r="BT71" s="2" t="str">
        <f>IF('[3]Model Check'!N66="","",('[3]Model Check'!N66))</f>
        <v/>
      </c>
    </row>
    <row r="72" spans="3:72" ht="18" customHeight="1" x14ac:dyDescent="0.25">
      <c r="C72" s="4"/>
      <c r="E72" s="2" t="str">
        <f t="shared" si="7"/>
        <v/>
      </c>
      <c r="G72" s="8" t="str">
        <f t="shared" si="1"/>
        <v/>
      </c>
      <c r="J72" s="4"/>
      <c r="L72" s="2" t="str">
        <f t="shared" si="9"/>
        <v/>
      </c>
      <c r="N72" s="8" t="str">
        <f t="shared" si="6"/>
        <v/>
      </c>
      <c r="Q72" s="4"/>
      <c r="S72" s="2" t="str">
        <f t="shared" si="8"/>
        <v/>
      </c>
      <c r="U72" s="8" t="str">
        <f t="shared" si="3"/>
        <v/>
      </c>
      <c r="BI72" s="2" t="str">
        <f>IF('[3]Model Check'!C67="","",('[3]Model Check'!C67))</f>
        <v/>
      </c>
      <c r="BJ72" s="2" t="str">
        <f>IF('[3]Model Check'!D67="","",('[3]Model Check'!D67))</f>
        <v/>
      </c>
      <c r="BK72" s="2" t="str">
        <f>IF('[3]Model Check'!E67="","",('[3]Model Check'!E67))</f>
        <v/>
      </c>
      <c r="BL72" s="2" t="str">
        <f>IF('[3]Model Check'!F67="","",('[3]Model Check'!F67))</f>
        <v/>
      </c>
      <c r="BM72" s="2" t="str">
        <f>IF('[3]Model Check'!G67="","",('[3]Model Check'!G67))</f>
        <v/>
      </c>
      <c r="BN72" s="2" t="str">
        <f>IF('[3]Model Check'!H67="","",('[3]Model Check'!H67))</f>
        <v/>
      </c>
      <c r="BO72" s="2" t="str">
        <f>IF('[3]Model Check'!I67="","",('[3]Model Check'!I67))</f>
        <v/>
      </c>
      <c r="BP72" s="2" t="str">
        <f>IF('[3]Model Check'!J67="","",('[3]Model Check'!J67))</f>
        <v/>
      </c>
      <c r="BQ72" s="2" t="str">
        <f>IF('[3]Model Check'!K67="","",('[3]Model Check'!K67))</f>
        <v/>
      </c>
      <c r="BR72" s="2" t="str">
        <f>IF('[3]Model Check'!L67="","",('[3]Model Check'!L67))</f>
        <v/>
      </c>
      <c r="BS72" s="2" t="str">
        <f>IF('[3]Model Check'!M67="","",('[3]Model Check'!M67))</f>
        <v/>
      </c>
      <c r="BT72" s="2" t="str">
        <f>IF('[3]Model Check'!N67="","",('[3]Model Check'!N67))</f>
        <v/>
      </c>
    </row>
    <row r="73" spans="3:72" ht="18" customHeight="1" x14ac:dyDescent="0.25">
      <c r="C73" s="4"/>
      <c r="E73" s="2" t="str">
        <f t="shared" si="7"/>
        <v/>
      </c>
      <c r="G73" s="8" t="str">
        <f t="shared" si="1"/>
        <v/>
      </c>
      <c r="J73" s="4"/>
      <c r="L73" s="2" t="str">
        <f t="shared" si="9"/>
        <v/>
      </c>
      <c r="N73" s="8" t="str">
        <f t="shared" si="6"/>
        <v/>
      </c>
      <c r="Q73" s="4"/>
      <c r="S73" s="2" t="str">
        <f t="shared" si="8"/>
        <v/>
      </c>
      <c r="U73" s="8" t="str">
        <f t="shared" si="3"/>
        <v/>
      </c>
      <c r="BI73" s="2" t="str">
        <f>IF('[3]Model Check'!C68="","",('[3]Model Check'!C68))</f>
        <v/>
      </c>
      <c r="BJ73" s="2" t="str">
        <f>IF('[3]Model Check'!D68="","",('[3]Model Check'!D68))</f>
        <v/>
      </c>
      <c r="BK73" s="2" t="str">
        <f>IF('[3]Model Check'!E68="","",('[3]Model Check'!E68))</f>
        <v/>
      </c>
      <c r="BL73" s="2" t="str">
        <f>IF('[3]Model Check'!F68="","",('[3]Model Check'!F68))</f>
        <v/>
      </c>
      <c r="BM73" s="2" t="str">
        <f>IF('[3]Model Check'!G68="","",('[3]Model Check'!G68))</f>
        <v/>
      </c>
      <c r="BN73" s="2" t="str">
        <f>IF('[3]Model Check'!H68="","",('[3]Model Check'!H68))</f>
        <v/>
      </c>
      <c r="BO73" s="2" t="str">
        <f>IF('[3]Model Check'!I68="","",('[3]Model Check'!I68))</f>
        <v/>
      </c>
      <c r="BP73" s="2" t="str">
        <f>IF('[3]Model Check'!J68="","",('[3]Model Check'!J68))</f>
        <v/>
      </c>
      <c r="BQ73" s="2" t="str">
        <f>IF('[3]Model Check'!K68="","",('[3]Model Check'!K68))</f>
        <v/>
      </c>
      <c r="BR73" s="2" t="str">
        <f>IF('[3]Model Check'!L68="","",('[3]Model Check'!L68))</f>
        <v/>
      </c>
      <c r="BS73" s="2" t="str">
        <f>IF('[3]Model Check'!M68="","",('[3]Model Check'!M68))</f>
        <v/>
      </c>
      <c r="BT73" s="2" t="str">
        <f>IF('[3]Model Check'!N68="","",('[3]Model Check'!N68))</f>
        <v/>
      </c>
    </row>
    <row r="74" spans="3:72" ht="18" customHeight="1" x14ac:dyDescent="0.25">
      <c r="C74" s="4"/>
      <c r="E74" s="2" t="str">
        <f t="shared" si="7"/>
        <v/>
      </c>
      <c r="G74" s="8" t="str">
        <f t="shared" si="1"/>
        <v/>
      </c>
      <c r="J74" s="4"/>
      <c r="L74" s="2" t="str">
        <f t="shared" si="9"/>
        <v/>
      </c>
      <c r="N74" s="8" t="str">
        <f t="shared" si="6"/>
        <v/>
      </c>
      <c r="Q74" s="4"/>
      <c r="S74" s="2" t="str">
        <f t="shared" si="8"/>
        <v/>
      </c>
      <c r="U74" s="8" t="str">
        <f t="shared" si="3"/>
        <v/>
      </c>
      <c r="BI74" s="2" t="str">
        <f>IF('[3]Model Check'!C69="","",('[3]Model Check'!C69))</f>
        <v/>
      </c>
      <c r="BJ74" s="2" t="str">
        <f>IF('[3]Model Check'!D69="","",('[3]Model Check'!D69))</f>
        <v/>
      </c>
      <c r="BK74" s="2" t="str">
        <f>IF('[3]Model Check'!E69="","",('[3]Model Check'!E69))</f>
        <v/>
      </c>
      <c r="BL74" s="2" t="str">
        <f>IF('[3]Model Check'!F69="","",('[3]Model Check'!F69))</f>
        <v/>
      </c>
      <c r="BM74" s="2" t="str">
        <f>IF('[3]Model Check'!G69="","",('[3]Model Check'!G69))</f>
        <v/>
      </c>
      <c r="BN74" s="2" t="str">
        <f>IF('[3]Model Check'!H69="","",('[3]Model Check'!H69))</f>
        <v/>
      </c>
      <c r="BO74" s="2" t="str">
        <f>IF('[3]Model Check'!I69="","",('[3]Model Check'!I69))</f>
        <v/>
      </c>
      <c r="BP74" s="2" t="str">
        <f>IF('[3]Model Check'!J69="","",('[3]Model Check'!J69))</f>
        <v/>
      </c>
      <c r="BQ74" s="2" t="str">
        <f>IF('[3]Model Check'!K69="","",('[3]Model Check'!K69))</f>
        <v/>
      </c>
      <c r="BR74" s="2" t="str">
        <f>IF('[3]Model Check'!L69="","",('[3]Model Check'!L69))</f>
        <v/>
      </c>
      <c r="BS74" s="2" t="str">
        <f>IF('[3]Model Check'!M69="","",('[3]Model Check'!M69))</f>
        <v/>
      </c>
      <c r="BT74" s="2" t="str">
        <f>IF('[3]Model Check'!N69="","",('[3]Model Check'!N69))</f>
        <v/>
      </c>
    </row>
    <row r="75" spans="3:72" ht="18" customHeight="1" x14ac:dyDescent="0.25">
      <c r="C75" s="4"/>
      <c r="E75" s="2" t="str">
        <f t="shared" si="7"/>
        <v/>
      </c>
      <c r="G75" s="8" t="str">
        <f t="shared" si="1"/>
        <v/>
      </c>
      <c r="J75" s="4"/>
      <c r="L75" s="2" t="str">
        <f t="shared" si="9"/>
        <v/>
      </c>
      <c r="N75" s="8" t="str">
        <f t="shared" si="6"/>
        <v/>
      </c>
      <c r="Q75" s="4"/>
      <c r="S75" s="2" t="str">
        <f t="shared" si="8"/>
        <v/>
      </c>
      <c r="U75" s="8" t="str">
        <f t="shared" si="3"/>
        <v/>
      </c>
      <c r="BI75" s="2" t="str">
        <f>IF('[3]Model Check'!C70="","",('[3]Model Check'!C70))</f>
        <v/>
      </c>
      <c r="BJ75" s="2" t="str">
        <f>IF('[3]Model Check'!D70="","",('[3]Model Check'!D70))</f>
        <v/>
      </c>
      <c r="BK75" s="2" t="str">
        <f>IF('[3]Model Check'!E70="","",('[3]Model Check'!E70))</f>
        <v/>
      </c>
      <c r="BL75" s="2" t="str">
        <f>IF('[3]Model Check'!F70="","",('[3]Model Check'!F70))</f>
        <v/>
      </c>
      <c r="BM75" s="2" t="str">
        <f>IF('[3]Model Check'!G70="","",('[3]Model Check'!G70))</f>
        <v/>
      </c>
      <c r="BN75" s="2" t="str">
        <f>IF('[3]Model Check'!H70="","",('[3]Model Check'!H70))</f>
        <v/>
      </c>
      <c r="BO75" s="2" t="str">
        <f>IF('[3]Model Check'!I70="","",('[3]Model Check'!I70))</f>
        <v/>
      </c>
      <c r="BP75" s="2" t="str">
        <f>IF('[3]Model Check'!J70="","",('[3]Model Check'!J70))</f>
        <v/>
      </c>
      <c r="BQ75" s="2" t="str">
        <f>IF('[3]Model Check'!K70="","",('[3]Model Check'!K70))</f>
        <v/>
      </c>
      <c r="BR75" s="2" t="str">
        <f>IF('[3]Model Check'!L70="","",('[3]Model Check'!L70))</f>
        <v/>
      </c>
      <c r="BS75" s="2" t="str">
        <f>IF('[3]Model Check'!M70="","",('[3]Model Check'!M70))</f>
        <v/>
      </c>
      <c r="BT75" s="2" t="str">
        <f>IF('[3]Model Check'!N70="","",('[3]Model Check'!N70))</f>
        <v/>
      </c>
    </row>
    <row r="76" spans="3:72" ht="18" customHeight="1" x14ac:dyDescent="0.25">
      <c r="C76" s="4"/>
      <c r="E76" s="2" t="str">
        <f t="shared" si="7"/>
        <v/>
      </c>
      <c r="G76" s="8" t="str">
        <f t="shared" si="1"/>
        <v/>
      </c>
      <c r="J76" s="4"/>
      <c r="L76" s="2" t="str">
        <f t="shared" si="9"/>
        <v/>
      </c>
      <c r="N76" s="8" t="str">
        <f t="shared" si="6"/>
        <v/>
      </c>
      <c r="Q76" s="4"/>
      <c r="S76" s="2" t="str">
        <f t="shared" si="8"/>
        <v/>
      </c>
      <c r="U76" s="8" t="str">
        <f t="shared" si="3"/>
        <v/>
      </c>
      <c r="BI76" s="2" t="str">
        <f>IF('[3]Model Check'!C71="","",('[3]Model Check'!C71))</f>
        <v/>
      </c>
      <c r="BJ76" s="2" t="str">
        <f>IF('[3]Model Check'!D71="","",('[3]Model Check'!D71))</f>
        <v/>
      </c>
      <c r="BK76" s="2" t="str">
        <f>IF('[3]Model Check'!E71="","",('[3]Model Check'!E71))</f>
        <v/>
      </c>
      <c r="BL76" s="2" t="str">
        <f>IF('[3]Model Check'!F71="","",('[3]Model Check'!F71))</f>
        <v/>
      </c>
      <c r="BM76" s="2" t="str">
        <f>IF('[3]Model Check'!G71="","",('[3]Model Check'!G71))</f>
        <v/>
      </c>
      <c r="BN76" s="2" t="str">
        <f>IF('[3]Model Check'!H71="","",('[3]Model Check'!H71))</f>
        <v/>
      </c>
      <c r="BO76" s="2" t="str">
        <f>IF('[3]Model Check'!I71="","",('[3]Model Check'!I71))</f>
        <v/>
      </c>
      <c r="BP76" s="2" t="str">
        <f>IF('[3]Model Check'!J71="","",('[3]Model Check'!J71))</f>
        <v/>
      </c>
      <c r="BQ76" s="2" t="str">
        <f>IF('[3]Model Check'!K71="","",('[3]Model Check'!K71))</f>
        <v/>
      </c>
      <c r="BR76" s="2" t="str">
        <f>IF('[3]Model Check'!L71="","",('[3]Model Check'!L71))</f>
        <v/>
      </c>
      <c r="BS76" s="2" t="str">
        <f>IF('[3]Model Check'!M71="","",('[3]Model Check'!M71))</f>
        <v/>
      </c>
      <c r="BT76" s="2" t="str">
        <f>IF('[3]Model Check'!N71="","",('[3]Model Check'!N71))</f>
        <v/>
      </c>
    </row>
    <row r="77" spans="3:72" ht="18" customHeight="1" x14ac:dyDescent="0.25">
      <c r="C77" s="4"/>
      <c r="E77" s="2" t="str">
        <f t="shared" si="7"/>
        <v/>
      </c>
      <c r="G77" s="8" t="str">
        <f t="shared" si="1"/>
        <v/>
      </c>
      <c r="J77" s="4"/>
      <c r="L77" s="2" t="str">
        <f t="shared" si="9"/>
        <v/>
      </c>
      <c r="N77" s="8" t="str">
        <f t="shared" si="6"/>
        <v/>
      </c>
      <c r="Q77" s="4"/>
      <c r="S77" s="2" t="str">
        <f t="shared" si="8"/>
        <v/>
      </c>
      <c r="U77" s="8" t="str">
        <f t="shared" si="3"/>
        <v/>
      </c>
      <c r="BI77" s="2" t="str">
        <f>IF('[3]Model Check'!C72="","",('[3]Model Check'!C72))</f>
        <v/>
      </c>
      <c r="BJ77" s="2" t="str">
        <f>IF('[3]Model Check'!D72="","",('[3]Model Check'!D72))</f>
        <v/>
      </c>
      <c r="BK77" s="2" t="str">
        <f>IF('[3]Model Check'!E72="","",('[3]Model Check'!E72))</f>
        <v/>
      </c>
      <c r="BL77" s="2" t="str">
        <f>IF('[3]Model Check'!F72="","",('[3]Model Check'!F72))</f>
        <v/>
      </c>
      <c r="BM77" s="2" t="str">
        <f>IF('[3]Model Check'!G72="","",('[3]Model Check'!G72))</f>
        <v/>
      </c>
      <c r="BN77" s="2" t="str">
        <f>IF('[3]Model Check'!H72="","",('[3]Model Check'!H72))</f>
        <v/>
      </c>
      <c r="BO77" s="2" t="str">
        <f>IF('[3]Model Check'!I72="","",('[3]Model Check'!I72))</f>
        <v/>
      </c>
      <c r="BP77" s="2" t="str">
        <f>IF('[3]Model Check'!J72="","",('[3]Model Check'!J72))</f>
        <v/>
      </c>
      <c r="BQ77" s="2" t="str">
        <f>IF('[3]Model Check'!K72="","",('[3]Model Check'!K72))</f>
        <v/>
      </c>
      <c r="BR77" s="2" t="str">
        <f>IF('[3]Model Check'!L72="","",('[3]Model Check'!L72))</f>
        <v/>
      </c>
      <c r="BS77" s="2" t="str">
        <f>IF('[3]Model Check'!M72="","",('[3]Model Check'!M72))</f>
        <v/>
      </c>
      <c r="BT77" s="2" t="str">
        <f>IF('[3]Model Check'!N72="","",('[3]Model Check'!N72))</f>
        <v/>
      </c>
    </row>
    <row r="78" spans="3:72" ht="18" customHeight="1" x14ac:dyDescent="0.25">
      <c r="C78" s="4"/>
      <c r="E78" s="2" t="str">
        <f t="shared" si="7"/>
        <v/>
      </c>
      <c r="G78" s="8" t="str">
        <f t="shared" si="1"/>
        <v/>
      </c>
      <c r="J78" s="4"/>
      <c r="L78" s="2" t="str">
        <f t="shared" si="9"/>
        <v/>
      </c>
      <c r="N78" s="8" t="str">
        <f t="shared" si="6"/>
        <v/>
      </c>
      <c r="Q78" s="4"/>
      <c r="S78" s="2" t="str">
        <f t="shared" si="8"/>
        <v/>
      </c>
      <c r="U78" s="8" t="str">
        <f t="shared" si="3"/>
        <v/>
      </c>
      <c r="BI78" s="2" t="str">
        <f>IF('[3]Model Check'!C73="","",('[3]Model Check'!C73))</f>
        <v/>
      </c>
      <c r="BJ78" s="2" t="str">
        <f>IF('[3]Model Check'!D73="","",('[3]Model Check'!D73))</f>
        <v/>
      </c>
      <c r="BK78" s="2" t="str">
        <f>IF('[3]Model Check'!E73="","",('[3]Model Check'!E73))</f>
        <v/>
      </c>
      <c r="BL78" s="2" t="str">
        <f>IF('[3]Model Check'!F73="","",('[3]Model Check'!F73))</f>
        <v/>
      </c>
      <c r="BM78" s="2" t="str">
        <f>IF('[3]Model Check'!G73="","",('[3]Model Check'!G73))</f>
        <v/>
      </c>
      <c r="BN78" s="2" t="str">
        <f>IF('[3]Model Check'!H73="","",('[3]Model Check'!H73))</f>
        <v/>
      </c>
      <c r="BO78" s="2" t="str">
        <f>IF('[3]Model Check'!I73="","",('[3]Model Check'!I73))</f>
        <v/>
      </c>
      <c r="BP78" s="2" t="str">
        <f>IF('[3]Model Check'!J73="","",('[3]Model Check'!J73))</f>
        <v/>
      </c>
      <c r="BQ78" s="2" t="str">
        <f>IF('[3]Model Check'!K73="","",('[3]Model Check'!K73))</f>
        <v/>
      </c>
      <c r="BR78" s="2" t="str">
        <f>IF('[3]Model Check'!L73="","",('[3]Model Check'!L73))</f>
        <v/>
      </c>
      <c r="BS78" s="2" t="str">
        <f>IF('[3]Model Check'!M73="","",('[3]Model Check'!M73))</f>
        <v/>
      </c>
      <c r="BT78" s="2" t="str">
        <f>IF('[3]Model Check'!N73="","",('[3]Model Check'!N73))</f>
        <v/>
      </c>
    </row>
    <row r="79" spans="3:72" ht="18" customHeight="1" x14ac:dyDescent="0.25">
      <c r="C79" s="4"/>
      <c r="E79" s="2" t="str">
        <f t="shared" si="7"/>
        <v/>
      </c>
      <c r="G79" s="8" t="str">
        <f t="shared" ref="G79:G100" si="10">IF((E79= "")+(F79=""),"",E79/F79)</f>
        <v/>
      </c>
      <c r="J79" s="4"/>
      <c r="L79" s="2" t="str">
        <f t="shared" si="9"/>
        <v/>
      </c>
      <c r="N79" s="8" t="str">
        <f t="shared" si="6"/>
        <v/>
      </c>
      <c r="Q79" s="4"/>
      <c r="S79" s="2" t="str">
        <f t="shared" si="8"/>
        <v/>
      </c>
      <c r="U79" s="8" t="str">
        <f t="shared" ref="U79:U100" si="11">IF((S79= "")+(T79=""),"",S79/T79)</f>
        <v/>
      </c>
      <c r="BI79" s="2" t="str">
        <f>IF('[3]Model Check'!C74="","",('[3]Model Check'!C74))</f>
        <v/>
      </c>
      <c r="BJ79" s="2" t="str">
        <f>IF('[3]Model Check'!D74="","",('[3]Model Check'!D74))</f>
        <v/>
      </c>
      <c r="BK79" s="2" t="str">
        <f>IF('[3]Model Check'!E74="","",('[3]Model Check'!E74))</f>
        <v/>
      </c>
      <c r="BL79" s="2" t="str">
        <f>IF('[3]Model Check'!F74="","",('[3]Model Check'!F74))</f>
        <v/>
      </c>
      <c r="BM79" s="2" t="str">
        <f>IF('[3]Model Check'!G74="","",('[3]Model Check'!G74))</f>
        <v/>
      </c>
      <c r="BN79" s="2" t="str">
        <f>IF('[3]Model Check'!H74="","",('[3]Model Check'!H74))</f>
        <v/>
      </c>
      <c r="BO79" s="2" t="str">
        <f>IF('[3]Model Check'!I74="","",('[3]Model Check'!I74))</f>
        <v/>
      </c>
      <c r="BP79" s="2" t="str">
        <f>IF('[3]Model Check'!J74="","",('[3]Model Check'!J74))</f>
        <v/>
      </c>
      <c r="BQ79" s="2" t="str">
        <f>IF('[3]Model Check'!K74="","",('[3]Model Check'!K74))</f>
        <v/>
      </c>
      <c r="BR79" s="2" t="str">
        <f>IF('[3]Model Check'!L74="","",('[3]Model Check'!L74))</f>
        <v/>
      </c>
      <c r="BS79" s="2" t="str">
        <f>IF('[3]Model Check'!M74="","",('[3]Model Check'!M74))</f>
        <v/>
      </c>
      <c r="BT79" s="2" t="str">
        <f>IF('[3]Model Check'!N74="","",('[3]Model Check'!N74))</f>
        <v/>
      </c>
    </row>
    <row r="80" spans="3:72" ht="18" customHeight="1" x14ac:dyDescent="0.25">
      <c r="C80" s="4"/>
      <c r="E80" s="2" t="str">
        <f t="shared" ref="E80:E100" si="12">IF(D80-D79&gt;0,D80-D79,"")</f>
        <v/>
      </c>
      <c r="G80" s="8" t="str">
        <f t="shared" si="10"/>
        <v/>
      </c>
      <c r="J80" s="4"/>
      <c r="L80" s="2" t="str">
        <f t="shared" si="9"/>
        <v/>
      </c>
      <c r="N80" s="8" t="str">
        <f t="shared" si="6"/>
        <v/>
      </c>
      <c r="Q80" s="4"/>
      <c r="S80" s="2" t="str">
        <f t="shared" ref="S80:S100" si="13">IF(R80-R79&gt;0,R80-R79,"")</f>
        <v/>
      </c>
      <c r="U80" s="8" t="str">
        <f t="shared" si="11"/>
        <v/>
      </c>
      <c r="BI80" s="2" t="str">
        <f>IF('[3]Model Check'!C75="","",('[3]Model Check'!C75))</f>
        <v/>
      </c>
      <c r="BJ80" s="2" t="str">
        <f>IF('[3]Model Check'!D75="","",('[3]Model Check'!D75))</f>
        <v/>
      </c>
      <c r="BK80" s="2" t="str">
        <f>IF('[3]Model Check'!E75="","",('[3]Model Check'!E75))</f>
        <v/>
      </c>
      <c r="BL80" s="2" t="str">
        <f>IF('[3]Model Check'!F75="","",('[3]Model Check'!F75))</f>
        <v/>
      </c>
      <c r="BM80" s="2" t="str">
        <f>IF('[3]Model Check'!G75="","",('[3]Model Check'!G75))</f>
        <v/>
      </c>
      <c r="BN80" s="2" t="str">
        <f>IF('[3]Model Check'!H75="","",('[3]Model Check'!H75))</f>
        <v/>
      </c>
      <c r="BO80" s="2" t="str">
        <f>IF('[3]Model Check'!I75="","",('[3]Model Check'!I75))</f>
        <v/>
      </c>
      <c r="BP80" s="2" t="str">
        <f>IF('[3]Model Check'!J75="","",('[3]Model Check'!J75))</f>
        <v/>
      </c>
      <c r="BQ80" s="2" t="str">
        <f>IF('[3]Model Check'!K75="","",('[3]Model Check'!K75))</f>
        <v/>
      </c>
      <c r="BR80" s="2" t="str">
        <f>IF('[3]Model Check'!L75="","",('[3]Model Check'!L75))</f>
        <v/>
      </c>
      <c r="BS80" s="2" t="str">
        <f>IF('[3]Model Check'!M75="","",('[3]Model Check'!M75))</f>
        <v/>
      </c>
      <c r="BT80" s="2" t="str">
        <f>IF('[3]Model Check'!N75="","",('[3]Model Check'!N75))</f>
        <v/>
      </c>
    </row>
    <row r="81" spans="3:72" ht="18" customHeight="1" x14ac:dyDescent="0.25">
      <c r="C81" s="4"/>
      <c r="E81" s="2" t="str">
        <f t="shared" si="12"/>
        <v/>
      </c>
      <c r="G81" s="8" t="str">
        <f t="shared" si="10"/>
        <v/>
      </c>
      <c r="J81" s="4"/>
      <c r="L81" s="2" t="str">
        <f t="shared" si="9"/>
        <v/>
      </c>
      <c r="N81" s="8" t="str">
        <f t="shared" si="6"/>
        <v/>
      </c>
      <c r="Q81" s="4"/>
      <c r="S81" s="2" t="str">
        <f t="shared" si="13"/>
        <v/>
      </c>
      <c r="U81" s="8" t="str">
        <f t="shared" si="11"/>
        <v/>
      </c>
      <c r="BI81" s="2" t="str">
        <f>IF('[3]Model Check'!C76="","",('[3]Model Check'!C76))</f>
        <v/>
      </c>
      <c r="BJ81" s="2" t="str">
        <f>IF('[3]Model Check'!D76="","",('[3]Model Check'!D76))</f>
        <v/>
      </c>
      <c r="BK81" s="2" t="str">
        <f>IF('[3]Model Check'!E76="","",('[3]Model Check'!E76))</f>
        <v/>
      </c>
      <c r="BL81" s="2" t="str">
        <f>IF('[3]Model Check'!F76="","",('[3]Model Check'!F76))</f>
        <v/>
      </c>
      <c r="BM81" s="2" t="str">
        <f>IF('[3]Model Check'!G76="","",('[3]Model Check'!G76))</f>
        <v/>
      </c>
      <c r="BN81" s="2" t="str">
        <f>IF('[3]Model Check'!H76="","",('[3]Model Check'!H76))</f>
        <v/>
      </c>
      <c r="BO81" s="2" t="str">
        <f>IF('[3]Model Check'!I76="","",('[3]Model Check'!I76))</f>
        <v/>
      </c>
      <c r="BP81" s="2" t="str">
        <f>IF('[3]Model Check'!J76="","",('[3]Model Check'!J76))</f>
        <v/>
      </c>
      <c r="BQ81" s="2" t="str">
        <f>IF('[3]Model Check'!K76="","",('[3]Model Check'!K76))</f>
        <v/>
      </c>
      <c r="BR81" s="2" t="str">
        <f>IF('[3]Model Check'!L76="","",('[3]Model Check'!L76))</f>
        <v/>
      </c>
      <c r="BS81" s="2" t="str">
        <f>IF('[3]Model Check'!M76="","",('[3]Model Check'!M76))</f>
        <v/>
      </c>
      <c r="BT81" s="2" t="str">
        <f>IF('[3]Model Check'!N76="","",('[3]Model Check'!N76))</f>
        <v/>
      </c>
    </row>
    <row r="82" spans="3:72" ht="18" customHeight="1" x14ac:dyDescent="0.25">
      <c r="C82" s="4"/>
      <c r="E82" s="2" t="str">
        <f t="shared" si="12"/>
        <v/>
      </c>
      <c r="G82" s="8" t="str">
        <f t="shared" si="10"/>
        <v/>
      </c>
      <c r="J82" s="4"/>
      <c r="L82" s="2" t="str">
        <f t="shared" si="9"/>
        <v/>
      </c>
      <c r="N82" s="8" t="str">
        <f t="shared" si="6"/>
        <v/>
      </c>
      <c r="Q82" s="4"/>
      <c r="S82" s="2" t="str">
        <f t="shared" si="13"/>
        <v/>
      </c>
      <c r="U82" s="8" t="str">
        <f t="shared" si="11"/>
        <v/>
      </c>
      <c r="BI82" s="2" t="str">
        <f>IF('[3]Model Check'!C77="","",('[3]Model Check'!C77))</f>
        <v/>
      </c>
      <c r="BJ82" s="2" t="str">
        <f>IF('[3]Model Check'!D77="","",('[3]Model Check'!D77))</f>
        <v/>
      </c>
      <c r="BK82" s="2" t="str">
        <f>IF('[3]Model Check'!E77="","",('[3]Model Check'!E77))</f>
        <v/>
      </c>
      <c r="BL82" s="2" t="str">
        <f>IF('[3]Model Check'!F77="","",('[3]Model Check'!F77))</f>
        <v/>
      </c>
      <c r="BM82" s="2" t="str">
        <f>IF('[3]Model Check'!G77="","",('[3]Model Check'!G77))</f>
        <v/>
      </c>
      <c r="BN82" s="2" t="str">
        <f>IF('[3]Model Check'!H77="","",('[3]Model Check'!H77))</f>
        <v/>
      </c>
      <c r="BO82" s="2" t="str">
        <f>IF('[3]Model Check'!I77="","",('[3]Model Check'!I77))</f>
        <v/>
      </c>
      <c r="BP82" s="2" t="str">
        <f>IF('[3]Model Check'!J77="","",('[3]Model Check'!J77))</f>
        <v/>
      </c>
      <c r="BQ82" s="2" t="str">
        <f>IF('[3]Model Check'!K77="","",('[3]Model Check'!K77))</f>
        <v/>
      </c>
      <c r="BR82" s="2" t="str">
        <f>IF('[3]Model Check'!L77="","",('[3]Model Check'!L77))</f>
        <v/>
      </c>
      <c r="BS82" s="2" t="str">
        <f>IF('[3]Model Check'!M77="","",('[3]Model Check'!M77))</f>
        <v/>
      </c>
      <c r="BT82" s="2" t="str">
        <f>IF('[3]Model Check'!N77="","",('[3]Model Check'!N77))</f>
        <v/>
      </c>
    </row>
    <row r="83" spans="3:72" ht="18" customHeight="1" x14ac:dyDescent="0.25">
      <c r="C83" s="4"/>
      <c r="E83" s="2" t="str">
        <f t="shared" si="12"/>
        <v/>
      </c>
      <c r="G83" s="8" t="str">
        <f t="shared" si="10"/>
        <v/>
      </c>
      <c r="J83" s="4"/>
      <c r="L83" s="2" t="str">
        <f t="shared" si="9"/>
        <v/>
      </c>
      <c r="N83" s="8" t="str">
        <f t="shared" si="6"/>
        <v/>
      </c>
      <c r="Q83" s="4"/>
      <c r="S83" s="2" t="str">
        <f t="shared" si="13"/>
        <v/>
      </c>
      <c r="U83" s="8" t="str">
        <f t="shared" si="11"/>
        <v/>
      </c>
      <c r="BI83" s="2" t="str">
        <f>IF('[3]Model Check'!C78="","",('[3]Model Check'!C78))</f>
        <v/>
      </c>
      <c r="BJ83" s="2" t="str">
        <f>IF('[3]Model Check'!D78="","",('[3]Model Check'!D78))</f>
        <v/>
      </c>
      <c r="BK83" s="2" t="str">
        <f>IF('[3]Model Check'!E78="","",('[3]Model Check'!E78))</f>
        <v/>
      </c>
      <c r="BL83" s="2" t="str">
        <f>IF('[3]Model Check'!F78="","",('[3]Model Check'!F78))</f>
        <v/>
      </c>
      <c r="BM83" s="2" t="str">
        <f>IF('[3]Model Check'!G78="","",('[3]Model Check'!G78))</f>
        <v/>
      </c>
      <c r="BN83" s="2" t="str">
        <f>IF('[3]Model Check'!H78="","",('[3]Model Check'!H78))</f>
        <v/>
      </c>
      <c r="BO83" s="2" t="str">
        <f>IF('[3]Model Check'!I78="","",('[3]Model Check'!I78))</f>
        <v/>
      </c>
      <c r="BP83" s="2" t="str">
        <f>IF('[3]Model Check'!J78="","",('[3]Model Check'!J78))</f>
        <v/>
      </c>
      <c r="BQ83" s="2" t="str">
        <f>IF('[3]Model Check'!K78="","",('[3]Model Check'!K78))</f>
        <v/>
      </c>
      <c r="BR83" s="2" t="str">
        <f>IF('[3]Model Check'!L78="","",('[3]Model Check'!L78))</f>
        <v/>
      </c>
      <c r="BS83" s="2" t="str">
        <f>IF('[3]Model Check'!M78="","",('[3]Model Check'!M78))</f>
        <v/>
      </c>
      <c r="BT83" s="2" t="str">
        <f>IF('[3]Model Check'!N78="","",('[3]Model Check'!N78))</f>
        <v/>
      </c>
    </row>
    <row r="84" spans="3:72" ht="18" customHeight="1" x14ac:dyDescent="0.25">
      <c r="C84" s="4"/>
      <c r="E84" s="2" t="str">
        <f t="shared" si="12"/>
        <v/>
      </c>
      <c r="G84" s="8" t="str">
        <f t="shared" si="10"/>
        <v/>
      </c>
      <c r="J84" s="4"/>
      <c r="L84" s="2" t="str">
        <f t="shared" si="9"/>
        <v/>
      </c>
      <c r="N84" s="8" t="str">
        <f t="shared" si="6"/>
        <v/>
      </c>
      <c r="Q84" s="4"/>
      <c r="S84" s="2" t="str">
        <f t="shared" si="13"/>
        <v/>
      </c>
      <c r="U84" s="8" t="str">
        <f t="shared" si="11"/>
        <v/>
      </c>
      <c r="BI84" s="2" t="str">
        <f>IF('[3]Model Check'!C79="","",('[3]Model Check'!C79))</f>
        <v/>
      </c>
      <c r="BJ84" s="2" t="str">
        <f>IF('[3]Model Check'!D79="","",('[3]Model Check'!D79))</f>
        <v/>
      </c>
      <c r="BK84" s="2" t="str">
        <f>IF('[3]Model Check'!E79="","",('[3]Model Check'!E79))</f>
        <v/>
      </c>
      <c r="BL84" s="2" t="str">
        <f>IF('[3]Model Check'!F79="","",('[3]Model Check'!F79))</f>
        <v/>
      </c>
      <c r="BM84" s="2" t="str">
        <f>IF('[3]Model Check'!G79="","",('[3]Model Check'!G79))</f>
        <v/>
      </c>
      <c r="BN84" s="2" t="str">
        <f>IF('[3]Model Check'!H79="","",('[3]Model Check'!H79))</f>
        <v/>
      </c>
      <c r="BO84" s="2" t="str">
        <f>IF('[3]Model Check'!I79="","",('[3]Model Check'!I79))</f>
        <v/>
      </c>
      <c r="BP84" s="2" t="str">
        <f>IF('[3]Model Check'!J79="","",('[3]Model Check'!J79))</f>
        <v/>
      </c>
      <c r="BQ84" s="2" t="str">
        <f>IF('[3]Model Check'!K79="","",('[3]Model Check'!K79))</f>
        <v/>
      </c>
      <c r="BR84" s="2" t="str">
        <f>IF('[3]Model Check'!L79="","",('[3]Model Check'!L79))</f>
        <v/>
      </c>
      <c r="BS84" s="2" t="str">
        <f>IF('[3]Model Check'!M79="","",('[3]Model Check'!M79))</f>
        <v/>
      </c>
      <c r="BT84" s="2" t="str">
        <f>IF('[3]Model Check'!N79="","",('[3]Model Check'!N79))</f>
        <v/>
      </c>
    </row>
    <row r="85" spans="3:72" ht="18" customHeight="1" x14ac:dyDescent="0.25">
      <c r="C85" s="4"/>
      <c r="E85" s="2" t="str">
        <f t="shared" si="12"/>
        <v/>
      </c>
      <c r="G85" s="8" t="str">
        <f t="shared" si="10"/>
        <v/>
      </c>
      <c r="J85" s="4"/>
      <c r="L85" s="2" t="str">
        <f t="shared" si="9"/>
        <v/>
      </c>
      <c r="N85" s="8" t="str">
        <f t="shared" si="6"/>
        <v/>
      </c>
      <c r="Q85" s="4"/>
      <c r="S85" s="2" t="str">
        <f t="shared" si="13"/>
        <v/>
      </c>
      <c r="U85" s="8" t="str">
        <f t="shared" si="11"/>
        <v/>
      </c>
      <c r="BI85" s="2" t="str">
        <f>IF('[3]Model Check'!C80="","",('[3]Model Check'!C80))</f>
        <v/>
      </c>
      <c r="BJ85" s="2" t="str">
        <f>IF('[3]Model Check'!D80="","",('[3]Model Check'!D80))</f>
        <v/>
      </c>
      <c r="BK85" s="2" t="str">
        <f>IF('[3]Model Check'!E80="","",('[3]Model Check'!E80))</f>
        <v/>
      </c>
      <c r="BL85" s="2" t="str">
        <f>IF('[3]Model Check'!F80="","",('[3]Model Check'!F80))</f>
        <v/>
      </c>
      <c r="BM85" s="2" t="str">
        <f>IF('[3]Model Check'!G80="","",('[3]Model Check'!G80))</f>
        <v/>
      </c>
      <c r="BN85" s="2" t="str">
        <f>IF('[3]Model Check'!H80="","",('[3]Model Check'!H80))</f>
        <v/>
      </c>
      <c r="BO85" s="2" t="str">
        <f>IF('[3]Model Check'!I80="","",('[3]Model Check'!I80))</f>
        <v/>
      </c>
      <c r="BP85" s="2" t="str">
        <f>IF('[3]Model Check'!J80="","",('[3]Model Check'!J80))</f>
        <v/>
      </c>
      <c r="BQ85" s="2" t="str">
        <f>IF('[3]Model Check'!K80="","",('[3]Model Check'!K80))</f>
        <v/>
      </c>
      <c r="BR85" s="2" t="str">
        <f>IF('[3]Model Check'!L80="","",('[3]Model Check'!L80))</f>
        <v/>
      </c>
      <c r="BS85" s="2" t="str">
        <f>IF('[3]Model Check'!M80="","",('[3]Model Check'!M80))</f>
        <v/>
      </c>
      <c r="BT85" s="2" t="str">
        <f>IF('[3]Model Check'!N80="","",('[3]Model Check'!N80))</f>
        <v/>
      </c>
    </row>
    <row r="86" spans="3:72" ht="18" customHeight="1" x14ac:dyDescent="0.25">
      <c r="C86" s="4"/>
      <c r="E86" s="2" t="str">
        <f t="shared" si="12"/>
        <v/>
      </c>
      <c r="G86" s="8" t="str">
        <f t="shared" si="10"/>
        <v/>
      </c>
      <c r="J86" s="4"/>
      <c r="L86" s="2" t="str">
        <f t="shared" ref="L86:L100" si="14">IF(K86&gt;0,K86*9.81,"")</f>
        <v/>
      </c>
      <c r="N86" s="8" t="str">
        <f t="shared" ref="N86:N100" si="15">IF((L86= "")+(M86=""),"",L86/M86)</f>
        <v/>
      </c>
      <c r="Q86" s="4"/>
      <c r="S86" s="2" t="str">
        <f t="shared" si="13"/>
        <v/>
      </c>
      <c r="U86" s="8" t="str">
        <f t="shared" si="11"/>
        <v/>
      </c>
      <c r="BI86" s="2" t="str">
        <f>IF('[3]Model Check'!C81="","",('[3]Model Check'!C81))</f>
        <v/>
      </c>
      <c r="BJ86" s="2" t="str">
        <f>IF('[3]Model Check'!D81="","",('[3]Model Check'!D81))</f>
        <v/>
      </c>
      <c r="BK86" s="2" t="str">
        <f>IF('[3]Model Check'!E81="","",('[3]Model Check'!E81))</f>
        <v/>
      </c>
      <c r="BL86" s="2" t="str">
        <f>IF('[3]Model Check'!F81="","",('[3]Model Check'!F81))</f>
        <v/>
      </c>
      <c r="BM86" s="2" t="str">
        <f>IF('[3]Model Check'!G81="","",('[3]Model Check'!G81))</f>
        <v/>
      </c>
      <c r="BN86" s="2" t="str">
        <f>IF('[3]Model Check'!H81="","",('[3]Model Check'!H81))</f>
        <v/>
      </c>
      <c r="BO86" s="2" t="str">
        <f>IF('[3]Model Check'!I81="","",('[3]Model Check'!I81))</f>
        <v/>
      </c>
      <c r="BP86" s="2" t="str">
        <f>IF('[3]Model Check'!J81="","",('[3]Model Check'!J81))</f>
        <v/>
      </c>
      <c r="BQ86" s="2" t="str">
        <f>IF('[3]Model Check'!K81="","",('[3]Model Check'!K81))</f>
        <v/>
      </c>
      <c r="BR86" s="2" t="str">
        <f>IF('[3]Model Check'!L81="","",('[3]Model Check'!L81))</f>
        <v/>
      </c>
      <c r="BS86" s="2" t="str">
        <f>IF('[3]Model Check'!M81="","",('[3]Model Check'!M81))</f>
        <v/>
      </c>
      <c r="BT86" s="2" t="str">
        <f>IF('[3]Model Check'!N81="","",('[3]Model Check'!N81))</f>
        <v/>
      </c>
    </row>
    <row r="87" spans="3:72" ht="18" customHeight="1" x14ac:dyDescent="0.25">
      <c r="C87" s="4"/>
      <c r="E87" s="2" t="str">
        <f t="shared" si="12"/>
        <v/>
      </c>
      <c r="G87" s="8" t="str">
        <f t="shared" si="10"/>
        <v/>
      </c>
      <c r="J87" s="4"/>
      <c r="L87" s="2" t="str">
        <f t="shared" si="14"/>
        <v/>
      </c>
      <c r="N87" s="8" t="str">
        <f t="shared" si="15"/>
        <v/>
      </c>
      <c r="Q87" s="4"/>
      <c r="S87" s="2" t="str">
        <f t="shared" si="13"/>
        <v/>
      </c>
      <c r="U87" s="8" t="str">
        <f t="shared" si="11"/>
        <v/>
      </c>
      <c r="BI87" s="2" t="str">
        <f>IF('[3]Model Check'!C82="","",('[3]Model Check'!C82))</f>
        <v/>
      </c>
      <c r="BJ87" s="2" t="str">
        <f>IF('[3]Model Check'!D82="","",('[3]Model Check'!D82))</f>
        <v/>
      </c>
      <c r="BK87" s="2" t="str">
        <f>IF('[3]Model Check'!E82="","",('[3]Model Check'!E82))</f>
        <v/>
      </c>
      <c r="BL87" s="2" t="str">
        <f>IF('[3]Model Check'!F82="","",('[3]Model Check'!F82))</f>
        <v/>
      </c>
      <c r="BM87" s="2" t="str">
        <f>IF('[3]Model Check'!G82="","",('[3]Model Check'!G82))</f>
        <v/>
      </c>
      <c r="BN87" s="2" t="str">
        <f>IF('[3]Model Check'!H82="","",('[3]Model Check'!H82))</f>
        <v/>
      </c>
      <c r="BO87" s="2" t="str">
        <f>IF('[3]Model Check'!I82="","",('[3]Model Check'!I82))</f>
        <v/>
      </c>
      <c r="BP87" s="2" t="str">
        <f>IF('[3]Model Check'!J82="","",('[3]Model Check'!J82))</f>
        <v/>
      </c>
      <c r="BQ87" s="2" t="str">
        <f>IF('[3]Model Check'!K82="","",('[3]Model Check'!K82))</f>
        <v/>
      </c>
      <c r="BR87" s="2" t="str">
        <f>IF('[3]Model Check'!L82="","",('[3]Model Check'!L82))</f>
        <v/>
      </c>
      <c r="BS87" s="2" t="str">
        <f>IF('[3]Model Check'!M82="","",('[3]Model Check'!M82))</f>
        <v/>
      </c>
      <c r="BT87" s="2" t="str">
        <f>IF('[3]Model Check'!N82="","",('[3]Model Check'!N82))</f>
        <v/>
      </c>
    </row>
    <row r="88" spans="3:72" ht="18" customHeight="1" x14ac:dyDescent="0.25">
      <c r="C88" s="4"/>
      <c r="E88" s="2" t="str">
        <f t="shared" si="12"/>
        <v/>
      </c>
      <c r="G88" s="8" t="str">
        <f t="shared" si="10"/>
        <v/>
      </c>
      <c r="J88" s="4"/>
      <c r="L88" s="2" t="str">
        <f t="shared" si="14"/>
        <v/>
      </c>
      <c r="N88" s="8" t="str">
        <f t="shared" si="15"/>
        <v/>
      </c>
      <c r="Q88" s="4"/>
      <c r="S88" s="2" t="str">
        <f t="shared" si="13"/>
        <v/>
      </c>
      <c r="U88" s="8" t="str">
        <f t="shared" si="11"/>
        <v/>
      </c>
      <c r="BI88" s="2" t="str">
        <f>IF('[3]Model Check'!C83="","",('[3]Model Check'!C83))</f>
        <v/>
      </c>
      <c r="BJ88" s="2" t="str">
        <f>IF('[3]Model Check'!D83="","",('[3]Model Check'!D83))</f>
        <v/>
      </c>
      <c r="BK88" s="2" t="str">
        <f>IF('[3]Model Check'!E83="","",('[3]Model Check'!E83))</f>
        <v/>
      </c>
      <c r="BL88" s="2" t="str">
        <f>IF('[3]Model Check'!F83="","",('[3]Model Check'!F83))</f>
        <v/>
      </c>
      <c r="BM88" s="2" t="str">
        <f>IF('[3]Model Check'!G83="","",('[3]Model Check'!G83))</f>
        <v/>
      </c>
      <c r="BN88" s="2" t="str">
        <f>IF('[3]Model Check'!H83="","",('[3]Model Check'!H83))</f>
        <v/>
      </c>
      <c r="BO88" s="2" t="str">
        <f>IF('[3]Model Check'!I83="","",('[3]Model Check'!I83))</f>
        <v/>
      </c>
      <c r="BP88" s="2" t="str">
        <f>IF('[3]Model Check'!J83="","",('[3]Model Check'!J83))</f>
        <v/>
      </c>
      <c r="BQ88" s="2" t="str">
        <f>IF('[3]Model Check'!K83="","",('[3]Model Check'!K83))</f>
        <v/>
      </c>
      <c r="BR88" s="2" t="str">
        <f>IF('[3]Model Check'!L83="","",('[3]Model Check'!L83))</f>
        <v/>
      </c>
      <c r="BS88" s="2" t="str">
        <f>IF('[3]Model Check'!M83="","",('[3]Model Check'!M83))</f>
        <v/>
      </c>
      <c r="BT88" s="2" t="str">
        <f>IF('[3]Model Check'!N83="","",('[3]Model Check'!N83))</f>
        <v/>
      </c>
    </row>
    <row r="89" spans="3:72" ht="18" customHeight="1" x14ac:dyDescent="0.25">
      <c r="C89" s="4"/>
      <c r="E89" s="2" t="str">
        <f t="shared" si="12"/>
        <v/>
      </c>
      <c r="G89" s="8" t="str">
        <f t="shared" si="10"/>
        <v/>
      </c>
      <c r="J89" s="4"/>
      <c r="L89" s="2" t="str">
        <f t="shared" si="14"/>
        <v/>
      </c>
      <c r="N89" s="8" t="str">
        <f t="shared" si="15"/>
        <v/>
      </c>
      <c r="Q89" s="4"/>
      <c r="S89" s="2" t="str">
        <f t="shared" si="13"/>
        <v/>
      </c>
      <c r="U89" s="8" t="str">
        <f t="shared" si="11"/>
        <v/>
      </c>
      <c r="BI89" s="2" t="str">
        <f>IF('[3]Model Check'!C84="","",('[3]Model Check'!C84))</f>
        <v/>
      </c>
      <c r="BJ89" s="2" t="str">
        <f>IF('[3]Model Check'!D84="","",('[3]Model Check'!D84))</f>
        <v/>
      </c>
      <c r="BK89" s="2" t="str">
        <f>IF('[3]Model Check'!E84="","",('[3]Model Check'!E84))</f>
        <v/>
      </c>
      <c r="BL89" s="2" t="str">
        <f>IF('[3]Model Check'!F84="","",('[3]Model Check'!F84))</f>
        <v/>
      </c>
      <c r="BM89" s="2" t="str">
        <f>IF('[3]Model Check'!G84="","",('[3]Model Check'!G84))</f>
        <v/>
      </c>
      <c r="BN89" s="2" t="str">
        <f>IF('[3]Model Check'!H84="","",('[3]Model Check'!H84))</f>
        <v/>
      </c>
      <c r="BO89" s="2" t="str">
        <f>IF('[3]Model Check'!I84="","",('[3]Model Check'!I84))</f>
        <v/>
      </c>
      <c r="BP89" s="2" t="str">
        <f>IF('[3]Model Check'!J84="","",('[3]Model Check'!J84))</f>
        <v/>
      </c>
      <c r="BQ89" s="2" t="str">
        <f>IF('[3]Model Check'!K84="","",('[3]Model Check'!K84))</f>
        <v/>
      </c>
      <c r="BR89" s="2" t="str">
        <f>IF('[3]Model Check'!L84="","",('[3]Model Check'!L84))</f>
        <v/>
      </c>
      <c r="BS89" s="2" t="str">
        <f>IF('[3]Model Check'!M84="","",('[3]Model Check'!M84))</f>
        <v/>
      </c>
      <c r="BT89" s="2" t="str">
        <f>IF('[3]Model Check'!N84="","",('[3]Model Check'!N84))</f>
        <v/>
      </c>
    </row>
    <row r="90" spans="3:72" ht="18" customHeight="1" x14ac:dyDescent="0.25">
      <c r="C90" s="4"/>
      <c r="E90" s="2" t="str">
        <f t="shared" si="12"/>
        <v/>
      </c>
      <c r="G90" s="8" t="str">
        <f t="shared" si="10"/>
        <v/>
      </c>
      <c r="J90" s="4"/>
      <c r="L90" s="2" t="str">
        <f t="shared" si="14"/>
        <v/>
      </c>
      <c r="N90" s="8" t="str">
        <f t="shared" si="15"/>
        <v/>
      </c>
      <c r="Q90" s="4"/>
      <c r="S90" s="2" t="str">
        <f t="shared" si="13"/>
        <v/>
      </c>
      <c r="U90" s="8" t="str">
        <f t="shared" si="11"/>
        <v/>
      </c>
      <c r="BI90" s="2" t="str">
        <f>IF('[3]Model Check'!C85="","",('[3]Model Check'!C85))</f>
        <v/>
      </c>
      <c r="BJ90" s="2" t="str">
        <f>IF('[3]Model Check'!D85="","",('[3]Model Check'!D85))</f>
        <v/>
      </c>
      <c r="BK90" s="2" t="str">
        <f>IF('[3]Model Check'!E85="","",('[3]Model Check'!E85))</f>
        <v/>
      </c>
      <c r="BL90" s="2" t="str">
        <f>IF('[3]Model Check'!F85="","",('[3]Model Check'!F85))</f>
        <v/>
      </c>
      <c r="BM90" s="2" t="str">
        <f>IF('[3]Model Check'!G85="","",('[3]Model Check'!G85))</f>
        <v/>
      </c>
      <c r="BN90" s="2" t="str">
        <f>IF('[3]Model Check'!H85="","",('[3]Model Check'!H85))</f>
        <v/>
      </c>
      <c r="BO90" s="2" t="str">
        <f>IF('[3]Model Check'!I85="","",('[3]Model Check'!I85))</f>
        <v/>
      </c>
      <c r="BP90" s="2" t="str">
        <f>IF('[3]Model Check'!J85="","",('[3]Model Check'!J85))</f>
        <v/>
      </c>
      <c r="BQ90" s="2" t="str">
        <f>IF('[3]Model Check'!K85="","",('[3]Model Check'!K85))</f>
        <v/>
      </c>
      <c r="BR90" s="2" t="str">
        <f>IF('[3]Model Check'!L85="","",('[3]Model Check'!L85))</f>
        <v/>
      </c>
      <c r="BS90" s="2" t="str">
        <f>IF('[3]Model Check'!M85="","",('[3]Model Check'!M85))</f>
        <v/>
      </c>
      <c r="BT90" s="2" t="str">
        <f>IF('[3]Model Check'!N85="","",('[3]Model Check'!N85))</f>
        <v/>
      </c>
    </row>
    <row r="91" spans="3:72" ht="18" customHeight="1" x14ac:dyDescent="0.25">
      <c r="C91" s="4"/>
      <c r="E91" s="2" t="str">
        <f t="shared" si="12"/>
        <v/>
      </c>
      <c r="G91" s="8" t="str">
        <f t="shared" si="10"/>
        <v/>
      </c>
      <c r="J91" s="4"/>
      <c r="L91" s="2" t="str">
        <f t="shared" si="14"/>
        <v/>
      </c>
      <c r="N91" s="8" t="str">
        <f t="shared" si="15"/>
        <v/>
      </c>
      <c r="Q91" s="4"/>
      <c r="S91" s="2" t="str">
        <f t="shared" si="13"/>
        <v/>
      </c>
      <c r="U91" s="8" t="str">
        <f t="shared" si="11"/>
        <v/>
      </c>
      <c r="BI91" s="2" t="str">
        <f>IF('[3]Model Check'!C86="","",('[3]Model Check'!C86))</f>
        <v/>
      </c>
      <c r="BJ91" s="2" t="str">
        <f>IF('[3]Model Check'!D86="","",('[3]Model Check'!D86))</f>
        <v/>
      </c>
      <c r="BK91" s="2" t="str">
        <f>IF('[3]Model Check'!E86="","",('[3]Model Check'!E86))</f>
        <v/>
      </c>
      <c r="BL91" s="2" t="str">
        <f>IF('[3]Model Check'!F86="","",('[3]Model Check'!F86))</f>
        <v/>
      </c>
      <c r="BM91" s="2" t="str">
        <f>IF('[3]Model Check'!G86="","",('[3]Model Check'!G86))</f>
        <v/>
      </c>
      <c r="BN91" s="2" t="str">
        <f>IF('[3]Model Check'!H86="","",('[3]Model Check'!H86))</f>
        <v/>
      </c>
      <c r="BO91" s="2" t="str">
        <f>IF('[3]Model Check'!I86="","",('[3]Model Check'!I86))</f>
        <v/>
      </c>
      <c r="BP91" s="2" t="str">
        <f>IF('[3]Model Check'!J86="","",('[3]Model Check'!J86))</f>
        <v/>
      </c>
      <c r="BQ91" s="2" t="str">
        <f>IF('[3]Model Check'!K86="","",('[3]Model Check'!K86))</f>
        <v/>
      </c>
      <c r="BR91" s="2" t="str">
        <f>IF('[3]Model Check'!L86="","",('[3]Model Check'!L86))</f>
        <v/>
      </c>
      <c r="BS91" s="2" t="str">
        <f>IF('[3]Model Check'!M86="","",('[3]Model Check'!M86))</f>
        <v/>
      </c>
      <c r="BT91" s="2" t="str">
        <f>IF('[3]Model Check'!N86="","",('[3]Model Check'!N86))</f>
        <v/>
      </c>
    </row>
    <row r="92" spans="3:72" ht="18" customHeight="1" x14ac:dyDescent="0.25">
      <c r="C92" s="4"/>
      <c r="E92" s="2" t="str">
        <f t="shared" si="12"/>
        <v/>
      </c>
      <c r="G92" s="8" t="str">
        <f t="shared" si="10"/>
        <v/>
      </c>
      <c r="J92" s="4"/>
      <c r="L92" s="2" t="str">
        <f t="shared" si="14"/>
        <v/>
      </c>
      <c r="N92" s="8" t="str">
        <f t="shared" si="15"/>
        <v/>
      </c>
      <c r="Q92" s="4"/>
      <c r="S92" s="2" t="str">
        <f t="shared" si="13"/>
        <v/>
      </c>
      <c r="U92" s="8" t="str">
        <f t="shared" si="11"/>
        <v/>
      </c>
      <c r="BI92" s="2" t="str">
        <f>IF('[3]Model Check'!C87="","",('[3]Model Check'!C87))</f>
        <v/>
      </c>
      <c r="BJ92" s="2" t="str">
        <f>IF('[3]Model Check'!D87="","",('[3]Model Check'!D87))</f>
        <v/>
      </c>
      <c r="BK92" s="2" t="str">
        <f>IF('[3]Model Check'!E87="","",('[3]Model Check'!E87))</f>
        <v/>
      </c>
      <c r="BL92" s="2" t="str">
        <f>IF('[3]Model Check'!F87="","",('[3]Model Check'!F87))</f>
        <v/>
      </c>
      <c r="BM92" s="2" t="str">
        <f>IF('[3]Model Check'!G87="","",('[3]Model Check'!G87))</f>
        <v/>
      </c>
      <c r="BN92" s="2" t="str">
        <f>IF('[3]Model Check'!H87="","",('[3]Model Check'!H87))</f>
        <v/>
      </c>
      <c r="BO92" s="2" t="str">
        <f>IF('[3]Model Check'!I87="","",('[3]Model Check'!I87))</f>
        <v/>
      </c>
      <c r="BP92" s="2" t="str">
        <f>IF('[3]Model Check'!J87="","",('[3]Model Check'!J87))</f>
        <v/>
      </c>
      <c r="BQ92" s="2" t="str">
        <f>IF('[3]Model Check'!K87="","",('[3]Model Check'!K87))</f>
        <v/>
      </c>
      <c r="BR92" s="2" t="str">
        <f>IF('[3]Model Check'!L87="","",('[3]Model Check'!L87))</f>
        <v/>
      </c>
      <c r="BS92" s="2" t="str">
        <f>IF('[3]Model Check'!M87="","",('[3]Model Check'!M87))</f>
        <v/>
      </c>
      <c r="BT92" s="2" t="str">
        <f>IF('[3]Model Check'!N87="","",('[3]Model Check'!N87))</f>
        <v/>
      </c>
    </row>
    <row r="93" spans="3:72" ht="18" customHeight="1" x14ac:dyDescent="0.25">
      <c r="C93" s="4"/>
      <c r="E93" s="2" t="str">
        <f t="shared" si="12"/>
        <v/>
      </c>
      <c r="G93" s="8" t="str">
        <f t="shared" si="10"/>
        <v/>
      </c>
      <c r="J93" s="4"/>
      <c r="L93" s="2" t="str">
        <f t="shared" si="14"/>
        <v/>
      </c>
      <c r="N93" s="8" t="str">
        <f t="shared" si="15"/>
        <v/>
      </c>
      <c r="Q93" s="4"/>
      <c r="S93" s="2" t="str">
        <f t="shared" si="13"/>
        <v/>
      </c>
      <c r="U93" s="8" t="str">
        <f t="shared" si="11"/>
        <v/>
      </c>
      <c r="BI93" s="2" t="str">
        <f>IF('[3]Model Check'!C88="","",('[3]Model Check'!C88))</f>
        <v/>
      </c>
      <c r="BJ93" s="2" t="str">
        <f>IF('[3]Model Check'!D88="","",('[3]Model Check'!D88))</f>
        <v/>
      </c>
      <c r="BK93" s="2" t="str">
        <f>IF('[3]Model Check'!E88="","",('[3]Model Check'!E88))</f>
        <v/>
      </c>
      <c r="BL93" s="2" t="str">
        <f>IF('[3]Model Check'!F88="","",('[3]Model Check'!F88))</f>
        <v/>
      </c>
      <c r="BM93" s="2" t="str">
        <f>IF('[3]Model Check'!G88="","",('[3]Model Check'!G88))</f>
        <v/>
      </c>
      <c r="BN93" s="2" t="str">
        <f>IF('[3]Model Check'!H88="","",('[3]Model Check'!H88))</f>
        <v/>
      </c>
      <c r="BO93" s="2" t="str">
        <f>IF('[3]Model Check'!I88="","",('[3]Model Check'!I88))</f>
        <v/>
      </c>
      <c r="BP93" s="2" t="str">
        <f>IF('[3]Model Check'!J88="","",('[3]Model Check'!J88))</f>
        <v/>
      </c>
      <c r="BQ93" s="2" t="str">
        <f>IF('[3]Model Check'!K88="","",('[3]Model Check'!K88))</f>
        <v/>
      </c>
      <c r="BR93" s="2" t="str">
        <f>IF('[3]Model Check'!L88="","",('[3]Model Check'!L88))</f>
        <v/>
      </c>
      <c r="BS93" s="2" t="str">
        <f>IF('[3]Model Check'!M88="","",('[3]Model Check'!M88))</f>
        <v/>
      </c>
      <c r="BT93" s="2" t="str">
        <f>IF('[3]Model Check'!N88="","",('[3]Model Check'!N88))</f>
        <v/>
      </c>
    </row>
    <row r="94" spans="3:72" ht="18" customHeight="1" x14ac:dyDescent="0.25">
      <c r="C94" s="4"/>
      <c r="E94" s="2" t="str">
        <f t="shared" si="12"/>
        <v/>
      </c>
      <c r="G94" s="8" t="str">
        <f t="shared" si="10"/>
        <v/>
      </c>
      <c r="J94" s="4"/>
      <c r="L94" s="2" t="str">
        <f t="shared" si="14"/>
        <v/>
      </c>
      <c r="N94" s="8" t="str">
        <f t="shared" si="15"/>
        <v/>
      </c>
      <c r="Q94" s="4"/>
      <c r="S94" s="2" t="str">
        <f t="shared" si="13"/>
        <v/>
      </c>
      <c r="U94" s="8" t="str">
        <f t="shared" si="11"/>
        <v/>
      </c>
      <c r="BI94" s="2" t="str">
        <f>IF('[3]Model Check'!C89="","",('[3]Model Check'!C89))</f>
        <v/>
      </c>
      <c r="BJ94" s="2" t="str">
        <f>IF('[3]Model Check'!D89="","",('[3]Model Check'!D89))</f>
        <v/>
      </c>
      <c r="BK94" s="2" t="str">
        <f>IF('[3]Model Check'!E89="","",('[3]Model Check'!E89))</f>
        <v/>
      </c>
      <c r="BL94" s="2" t="str">
        <f>IF('[3]Model Check'!F89="","",('[3]Model Check'!F89))</f>
        <v/>
      </c>
      <c r="BM94" s="2" t="str">
        <f>IF('[3]Model Check'!G89="","",('[3]Model Check'!G89))</f>
        <v/>
      </c>
      <c r="BN94" s="2" t="str">
        <f>IF('[3]Model Check'!H89="","",('[3]Model Check'!H89))</f>
        <v/>
      </c>
      <c r="BO94" s="2" t="str">
        <f>IF('[3]Model Check'!I89="","",('[3]Model Check'!I89))</f>
        <v/>
      </c>
      <c r="BP94" s="2" t="str">
        <f>IF('[3]Model Check'!J89="","",('[3]Model Check'!J89))</f>
        <v/>
      </c>
      <c r="BQ94" s="2" t="str">
        <f>IF('[3]Model Check'!K89="","",('[3]Model Check'!K89))</f>
        <v/>
      </c>
      <c r="BR94" s="2" t="str">
        <f>IF('[3]Model Check'!L89="","",('[3]Model Check'!L89))</f>
        <v/>
      </c>
      <c r="BS94" s="2" t="str">
        <f>IF('[3]Model Check'!M89="","",('[3]Model Check'!M89))</f>
        <v/>
      </c>
      <c r="BT94" s="2" t="str">
        <f>IF('[3]Model Check'!N89="","",('[3]Model Check'!N89))</f>
        <v/>
      </c>
    </row>
    <row r="95" spans="3:72" ht="18" customHeight="1" x14ac:dyDescent="0.25">
      <c r="C95" s="4"/>
      <c r="E95" s="2" t="str">
        <f t="shared" si="12"/>
        <v/>
      </c>
      <c r="G95" s="8" t="str">
        <f t="shared" si="10"/>
        <v/>
      </c>
      <c r="J95" s="4"/>
      <c r="L95" s="2" t="str">
        <f t="shared" si="14"/>
        <v/>
      </c>
      <c r="N95" s="8" t="str">
        <f t="shared" si="15"/>
        <v/>
      </c>
      <c r="Q95" s="4"/>
      <c r="S95" s="2" t="str">
        <f t="shared" si="13"/>
        <v/>
      </c>
      <c r="U95" s="8" t="str">
        <f t="shared" si="11"/>
        <v/>
      </c>
      <c r="BI95" s="2" t="str">
        <f>IF('[3]Model Check'!C90="","",('[3]Model Check'!C90))</f>
        <v/>
      </c>
      <c r="BJ95" s="2" t="str">
        <f>IF('[3]Model Check'!D90="","",('[3]Model Check'!D90))</f>
        <v/>
      </c>
      <c r="BK95" s="2" t="str">
        <f>IF('[3]Model Check'!E90="","",('[3]Model Check'!E90))</f>
        <v/>
      </c>
      <c r="BL95" s="2" t="str">
        <f>IF('[3]Model Check'!F90="","",('[3]Model Check'!F90))</f>
        <v/>
      </c>
      <c r="BM95" s="2" t="str">
        <f>IF('[3]Model Check'!G90="","",('[3]Model Check'!G90))</f>
        <v/>
      </c>
      <c r="BN95" s="2" t="str">
        <f>IF('[3]Model Check'!H90="","",('[3]Model Check'!H90))</f>
        <v/>
      </c>
      <c r="BO95" s="2" t="str">
        <f>IF('[3]Model Check'!I90="","",('[3]Model Check'!I90))</f>
        <v/>
      </c>
      <c r="BP95" s="2" t="str">
        <f>IF('[3]Model Check'!J90="","",('[3]Model Check'!J90))</f>
        <v/>
      </c>
      <c r="BQ95" s="2" t="str">
        <f>IF('[3]Model Check'!K90="","",('[3]Model Check'!K90))</f>
        <v/>
      </c>
      <c r="BR95" s="2" t="str">
        <f>IF('[3]Model Check'!L90="","",('[3]Model Check'!L90))</f>
        <v/>
      </c>
      <c r="BS95" s="2" t="str">
        <f>IF('[3]Model Check'!M90="","",('[3]Model Check'!M90))</f>
        <v/>
      </c>
      <c r="BT95" s="2" t="str">
        <f>IF('[3]Model Check'!N90="","",('[3]Model Check'!N90))</f>
        <v/>
      </c>
    </row>
    <row r="96" spans="3:72" ht="18" customHeight="1" x14ac:dyDescent="0.25">
      <c r="C96" s="4"/>
      <c r="E96" s="2" t="str">
        <f t="shared" si="12"/>
        <v/>
      </c>
      <c r="G96" s="8" t="str">
        <f t="shared" si="10"/>
        <v/>
      </c>
      <c r="J96" s="4"/>
      <c r="L96" s="2" t="str">
        <f t="shared" si="14"/>
        <v/>
      </c>
      <c r="N96" s="8" t="str">
        <f t="shared" si="15"/>
        <v/>
      </c>
      <c r="Q96" s="4"/>
      <c r="S96" s="2" t="str">
        <f t="shared" si="13"/>
        <v/>
      </c>
      <c r="U96" s="8" t="str">
        <f t="shared" si="11"/>
        <v/>
      </c>
      <c r="BI96" s="2" t="str">
        <f>IF('[3]Model Check'!C91="","",('[3]Model Check'!C91))</f>
        <v/>
      </c>
      <c r="BJ96" s="2" t="str">
        <f>IF('[3]Model Check'!D91="","",('[3]Model Check'!D91))</f>
        <v/>
      </c>
      <c r="BK96" s="2" t="str">
        <f>IF('[3]Model Check'!E91="","",('[3]Model Check'!E91))</f>
        <v/>
      </c>
      <c r="BL96" s="2" t="str">
        <f>IF('[3]Model Check'!F91="","",('[3]Model Check'!F91))</f>
        <v/>
      </c>
      <c r="BM96" s="2" t="str">
        <f>IF('[3]Model Check'!G91="","",('[3]Model Check'!G91))</f>
        <v/>
      </c>
      <c r="BN96" s="2" t="str">
        <f>IF('[3]Model Check'!H91="","",('[3]Model Check'!H91))</f>
        <v/>
      </c>
      <c r="BO96" s="2" t="str">
        <f>IF('[3]Model Check'!I91="","",('[3]Model Check'!I91))</f>
        <v/>
      </c>
      <c r="BP96" s="2" t="str">
        <f>IF('[3]Model Check'!J91="","",('[3]Model Check'!J91))</f>
        <v/>
      </c>
      <c r="BQ96" s="2" t="str">
        <f>IF('[3]Model Check'!K91="","",('[3]Model Check'!K91))</f>
        <v/>
      </c>
      <c r="BR96" s="2" t="str">
        <f>IF('[3]Model Check'!L91="","",('[3]Model Check'!L91))</f>
        <v/>
      </c>
      <c r="BS96" s="2" t="str">
        <f>IF('[3]Model Check'!M91="","",('[3]Model Check'!M91))</f>
        <v/>
      </c>
      <c r="BT96" s="2" t="str">
        <f>IF('[3]Model Check'!N91="","",('[3]Model Check'!N91))</f>
        <v/>
      </c>
    </row>
    <row r="97" spans="3:72" ht="18" customHeight="1" x14ac:dyDescent="0.25">
      <c r="C97" s="4"/>
      <c r="E97" s="2" t="str">
        <f t="shared" si="12"/>
        <v/>
      </c>
      <c r="G97" s="8" t="str">
        <f t="shared" si="10"/>
        <v/>
      </c>
      <c r="J97" s="4"/>
      <c r="L97" s="2" t="str">
        <f t="shared" si="14"/>
        <v/>
      </c>
      <c r="N97" s="8" t="str">
        <f t="shared" si="15"/>
        <v/>
      </c>
      <c r="Q97" s="4"/>
      <c r="S97" s="2" t="str">
        <f t="shared" si="13"/>
        <v/>
      </c>
      <c r="U97" s="8" t="str">
        <f t="shared" si="11"/>
        <v/>
      </c>
      <c r="BI97" s="2" t="str">
        <f>IF('[3]Model Check'!C92="","",('[3]Model Check'!C92))</f>
        <v/>
      </c>
      <c r="BJ97" s="2" t="str">
        <f>IF('[3]Model Check'!D92="","",('[3]Model Check'!D92))</f>
        <v/>
      </c>
      <c r="BK97" s="2" t="str">
        <f>IF('[3]Model Check'!E92="","",('[3]Model Check'!E92))</f>
        <v/>
      </c>
      <c r="BL97" s="2" t="str">
        <f>IF('[3]Model Check'!F92="","",('[3]Model Check'!F92))</f>
        <v/>
      </c>
      <c r="BM97" s="2" t="str">
        <f>IF('[3]Model Check'!G92="","",('[3]Model Check'!G92))</f>
        <v/>
      </c>
      <c r="BN97" s="2" t="str">
        <f>IF('[3]Model Check'!H92="","",('[3]Model Check'!H92))</f>
        <v/>
      </c>
      <c r="BO97" s="2" t="str">
        <f>IF('[3]Model Check'!I92="","",('[3]Model Check'!I92))</f>
        <v/>
      </c>
      <c r="BP97" s="2" t="str">
        <f>IF('[3]Model Check'!J92="","",('[3]Model Check'!J92))</f>
        <v/>
      </c>
      <c r="BQ97" s="2" t="str">
        <f>IF('[3]Model Check'!K92="","",('[3]Model Check'!K92))</f>
        <v/>
      </c>
      <c r="BR97" s="2" t="str">
        <f>IF('[3]Model Check'!L92="","",('[3]Model Check'!L92))</f>
        <v/>
      </c>
      <c r="BS97" s="2" t="str">
        <f>IF('[3]Model Check'!M92="","",('[3]Model Check'!M92))</f>
        <v/>
      </c>
      <c r="BT97" s="2" t="str">
        <f>IF('[3]Model Check'!N92="","",('[3]Model Check'!N92))</f>
        <v/>
      </c>
    </row>
    <row r="98" spans="3:72" ht="18" customHeight="1" x14ac:dyDescent="0.25">
      <c r="C98" s="4"/>
      <c r="E98" s="2" t="str">
        <f t="shared" si="12"/>
        <v/>
      </c>
      <c r="G98" s="8" t="str">
        <f t="shared" si="10"/>
        <v/>
      </c>
      <c r="J98" s="4"/>
      <c r="L98" s="2" t="str">
        <f t="shared" si="14"/>
        <v/>
      </c>
      <c r="N98" s="8" t="str">
        <f t="shared" si="15"/>
        <v/>
      </c>
      <c r="Q98" s="4"/>
      <c r="S98" s="2" t="str">
        <f t="shared" si="13"/>
        <v/>
      </c>
      <c r="U98" s="8" t="str">
        <f t="shared" si="11"/>
        <v/>
      </c>
      <c r="BI98" s="2" t="str">
        <f>IF('[3]Model Check'!C93="","",('[3]Model Check'!C93))</f>
        <v/>
      </c>
      <c r="BJ98" s="2" t="str">
        <f>IF('[3]Model Check'!D93="","",('[3]Model Check'!D93))</f>
        <v/>
      </c>
      <c r="BK98" s="2" t="str">
        <f>IF('[3]Model Check'!E93="","",('[3]Model Check'!E93))</f>
        <v/>
      </c>
      <c r="BL98" s="2" t="str">
        <f>IF('[3]Model Check'!F93="","",('[3]Model Check'!F93))</f>
        <v/>
      </c>
      <c r="BM98" s="2" t="str">
        <f>IF('[3]Model Check'!G93="","",('[3]Model Check'!G93))</f>
        <v/>
      </c>
      <c r="BN98" s="2" t="str">
        <f>IF('[3]Model Check'!H93="","",('[3]Model Check'!H93))</f>
        <v/>
      </c>
      <c r="BO98" s="2" t="str">
        <f>IF('[3]Model Check'!I93="","",('[3]Model Check'!I93))</f>
        <v/>
      </c>
      <c r="BP98" s="2" t="str">
        <f>IF('[3]Model Check'!J93="","",('[3]Model Check'!J93))</f>
        <v/>
      </c>
      <c r="BQ98" s="2" t="str">
        <f>IF('[3]Model Check'!K93="","",('[3]Model Check'!K93))</f>
        <v/>
      </c>
      <c r="BR98" s="2" t="str">
        <f>IF('[3]Model Check'!L93="","",('[3]Model Check'!L93))</f>
        <v/>
      </c>
      <c r="BS98" s="2" t="str">
        <f>IF('[3]Model Check'!M93="","",('[3]Model Check'!M93))</f>
        <v/>
      </c>
      <c r="BT98" s="2" t="str">
        <f>IF('[3]Model Check'!N93="","",('[3]Model Check'!N93))</f>
        <v/>
      </c>
    </row>
    <row r="99" spans="3:72" ht="18" customHeight="1" x14ac:dyDescent="0.25">
      <c r="C99" s="4"/>
      <c r="E99" s="2" t="str">
        <f t="shared" si="12"/>
        <v/>
      </c>
      <c r="G99" s="8" t="str">
        <f t="shared" si="10"/>
        <v/>
      </c>
      <c r="J99" s="4"/>
      <c r="L99" s="2" t="str">
        <f t="shared" si="14"/>
        <v/>
      </c>
      <c r="N99" s="8" t="str">
        <f t="shared" si="15"/>
        <v/>
      </c>
      <c r="Q99" s="4"/>
      <c r="S99" s="2" t="str">
        <f t="shared" si="13"/>
        <v/>
      </c>
      <c r="U99" s="8" t="str">
        <f t="shared" si="11"/>
        <v/>
      </c>
      <c r="BI99" s="2" t="str">
        <f>IF('[3]Model Check'!C94="","",('[3]Model Check'!C94))</f>
        <v/>
      </c>
      <c r="BJ99" s="2" t="str">
        <f>IF('[3]Model Check'!D94="","",('[3]Model Check'!D94))</f>
        <v/>
      </c>
      <c r="BK99" s="2" t="str">
        <f>IF('[3]Model Check'!E94="","",('[3]Model Check'!E94))</f>
        <v/>
      </c>
      <c r="BL99" s="2" t="str">
        <f>IF('[3]Model Check'!F94="","",('[3]Model Check'!F94))</f>
        <v/>
      </c>
      <c r="BM99" s="2" t="str">
        <f>IF('[3]Model Check'!G94="","",('[3]Model Check'!G94))</f>
        <v/>
      </c>
      <c r="BN99" s="2" t="str">
        <f>IF('[3]Model Check'!H94="","",('[3]Model Check'!H94))</f>
        <v/>
      </c>
      <c r="BO99" s="2" t="str">
        <f>IF('[3]Model Check'!I94="","",('[3]Model Check'!I94))</f>
        <v/>
      </c>
      <c r="BP99" s="2" t="str">
        <f>IF('[3]Model Check'!J94="","",('[3]Model Check'!J94))</f>
        <v/>
      </c>
      <c r="BQ99" s="2" t="str">
        <f>IF('[3]Model Check'!K94="","",('[3]Model Check'!K94))</f>
        <v/>
      </c>
      <c r="BR99" s="2" t="str">
        <f>IF('[3]Model Check'!L94="","",('[3]Model Check'!L94))</f>
        <v/>
      </c>
      <c r="BS99" s="2" t="str">
        <f>IF('[3]Model Check'!M94="","",('[3]Model Check'!M94))</f>
        <v/>
      </c>
      <c r="BT99" s="2" t="str">
        <f>IF('[3]Model Check'!N94="","",('[3]Model Check'!N94))</f>
        <v/>
      </c>
    </row>
    <row r="100" spans="3:72" ht="18" customHeight="1" x14ac:dyDescent="0.25">
      <c r="C100" s="4"/>
      <c r="E100" s="2" t="str">
        <f t="shared" si="12"/>
        <v/>
      </c>
      <c r="G100" s="8" t="str">
        <f t="shared" si="10"/>
        <v/>
      </c>
      <c r="J100" s="4"/>
      <c r="L100" s="2" t="str">
        <f t="shared" si="14"/>
        <v/>
      </c>
      <c r="N100" s="8" t="str">
        <f t="shared" si="15"/>
        <v/>
      </c>
      <c r="Q100" s="4"/>
      <c r="S100" s="2" t="str">
        <f t="shared" si="13"/>
        <v/>
      </c>
      <c r="U100" s="8" t="str">
        <f t="shared" si="11"/>
        <v/>
      </c>
      <c r="BI100" s="2" t="str">
        <f>IF('[3]Model Check'!C95="","",('[3]Model Check'!C95))</f>
        <v/>
      </c>
      <c r="BJ100" s="2" t="str">
        <f>IF('[3]Model Check'!D95="","",('[3]Model Check'!D95))</f>
        <v/>
      </c>
      <c r="BK100" s="2" t="str">
        <f>IF('[3]Model Check'!E95="","",('[3]Model Check'!E95))</f>
        <v/>
      </c>
      <c r="BL100" s="2" t="str">
        <f>IF('[3]Model Check'!F95="","",('[3]Model Check'!F95))</f>
        <v/>
      </c>
      <c r="BM100" s="2" t="str">
        <f>IF('[3]Model Check'!G95="","",('[3]Model Check'!G95))</f>
        <v/>
      </c>
      <c r="BN100" s="2" t="str">
        <f>IF('[3]Model Check'!H95="","",('[3]Model Check'!H95))</f>
        <v/>
      </c>
      <c r="BO100" s="2" t="str">
        <f>IF('[3]Model Check'!I95="","",('[3]Model Check'!I95))</f>
        <v/>
      </c>
      <c r="BP100" s="2" t="str">
        <f>IF('[3]Model Check'!J95="","",('[3]Model Check'!J95))</f>
        <v/>
      </c>
      <c r="BQ100" s="2" t="str">
        <f>IF('[3]Model Check'!K95="","",('[3]Model Check'!K95))</f>
        <v/>
      </c>
      <c r="BR100" s="2" t="str">
        <f>IF('[3]Model Check'!L95="","",('[3]Model Check'!L95))</f>
        <v/>
      </c>
      <c r="BS100" s="2" t="str">
        <f>IF('[3]Model Check'!M95="","",('[3]Model Check'!M95))</f>
        <v/>
      </c>
      <c r="BT100" s="2" t="str">
        <f>IF('[3]Model Check'!N95="","",('[3]Model Check'!N95))</f>
        <v/>
      </c>
    </row>
    <row r="101" spans="3:72" ht="18" customHeight="1" x14ac:dyDescent="0.25">
      <c r="BI101" s="2" t="str">
        <f>IF('[3]Model Check'!C96="","",('[3]Model Check'!C96))</f>
        <v/>
      </c>
      <c r="BJ101" s="2" t="str">
        <f>IF('[3]Model Check'!D96="","",('[3]Model Check'!D96))</f>
        <v/>
      </c>
      <c r="BK101" s="2" t="str">
        <f>IF('[3]Model Check'!E96="","",('[3]Model Check'!E96))</f>
        <v/>
      </c>
      <c r="BL101" s="2" t="str">
        <f>IF('[3]Model Check'!F96="","",('[3]Model Check'!F96))</f>
        <v/>
      </c>
      <c r="BM101" s="2" t="str">
        <f>IF('[3]Model Check'!G96="","",('[3]Model Check'!G96))</f>
        <v/>
      </c>
      <c r="BN101" s="2" t="str">
        <f>IF('[3]Model Check'!H96="","",('[3]Model Check'!H96))</f>
        <v/>
      </c>
      <c r="BO101" s="2" t="str">
        <f>IF('[3]Model Check'!I96="","",('[3]Model Check'!I96))</f>
        <v/>
      </c>
      <c r="BP101" s="2" t="str">
        <f>IF('[3]Model Check'!J96="","",('[3]Model Check'!J96))</f>
        <v/>
      </c>
      <c r="BQ101" s="2" t="str">
        <f>IF('[3]Model Check'!K96="","",('[3]Model Check'!K96))</f>
        <v/>
      </c>
      <c r="BR101" s="2" t="str">
        <f>IF('[3]Model Check'!L96="","",('[3]Model Check'!L96))</f>
        <v/>
      </c>
      <c r="BS101" s="2" t="str">
        <f>IF('[3]Model Check'!M96="","",('[3]Model Check'!M96))</f>
        <v/>
      </c>
      <c r="BT101" s="2" t="str">
        <f>IF('[3]Model Check'!N96="","",('[3]Model Check'!N96))</f>
        <v/>
      </c>
    </row>
    <row r="102" spans="3:72" ht="18" customHeight="1" x14ac:dyDescent="0.25">
      <c r="BI102" s="2" t="str">
        <f>IF('[3]Model Check'!C97="","",('[3]Model Check'!C97))</f>
        <v/>
      </c>
      <c r="BJ102" s="2" t="str">
        <f>IF('[3]Model Check'!D97="","",('[3]Model Check'!D97))</f>
        <v/>
      </c>
      <c r="BK102" s="2" t="str">
        <f>IF('[3]Model Check'!E97="","",('[3]Model Check'!E97))</f>
        <v/>
      </c>
      <c r="BL102" s="2" t="str">
        <f>IF('[3]Model Check'!F97="","",('[3]Model Check'!F97))</f>
        <v/>
      </c>
      <c r="BM102" s="2" t="str">
        <f>IF('[3]Model Check'!G97="","",('[3]Model Check'!G97))</f>
        <v/>
      </c>
      <c r="BN102" s="2" t="str">
        <f>IF('[3]Model Check'!H97="","",('[3]Model Check'!H97))</f>
        <v/>
      </c>
      <c r="BO102" s="2" t="str">
        <f>IF('[3]Model Check'!I97="","",('[3]Model Check'!I97))</f>
        <v/>
      </c>
      <c r="BP102" s="2" t="str">
        <f>IF('[3]Model Check'!J97="","",('[3]Model Check'!J97))</f>
        <v/>
      </c>
      <c r="BQ102" s="2" t="str">
        <f>IF('[3]Model Check'!K97="","",('[3]Model Check'!K97))</f>
        <v/>
      </c>
      <c r="BR102" s="2" t="str">
        <f>IF('[3]Model Check'!L97="","",('[3]Model Check'!L97))</f>
        <v/>
      </c>
      <c r="BS102" s="2" t="str">
        <f>IF('[3]Model Check'!M97="","",('[3]Model Check'!M97))</f>
        <v/>
      </c>
      <c r="BT102" s="2" t="str">
        <f>IF('[3]Model Check'!N97="","",('[3]Model Check'!N97))</f>
        <v/>
      </c>
    </row>
    <row r="103" spans="3:72" ht="18" customHeight="1" x14ac:dyDescent="0.25">
      <c r="BI103" s="2" t="str">
        <f>IF('[3]Model Check'!C98="","",('[3]Model Check'!C98))</f>
        <v/>
      </c>
      <c r="BJ103" s="2" t="str">
        <f>IF('[3]Model Check'!D98="","",('[3]Model Check'!D98))</f>
        <v/>
      </c>
      <c r="BK103" s="2" t="str">
        <f>IF('[3]Model Check'!E98="","",('[3]Model Check'!E98))</f>
        <v/>
      </c>
      <c r="BL103" s="2" t="str">
        <f>IF('[3]Model Check'!F98="","",('[3]Model Check'!F98))</f>
        <v/>
      </c>
      <c r="BM103" s="2" t="str">
        <f>IF('[3]Model Check'!G98="","",('[3]Model Check'!G98))</f>
        <v/>
      </c>
      <c r="BN103" s="2" t="str">
        <f>IF('[3]Model Check'!H98="","",('[3]Model Check'!H98))</f>
        <v/>
      </c>
      <c r="BO103" s="2" t="str">
        <f>IF('[3]Model Check'!I98="","",('[3]Model Check'!I98))</f>
        <v/>
      </c>
      <c r="BP103" s="2" t="str">
        <f>IF('[3]Model Check'!J98="","",('[3]Model Check'!J98))</f>
        <v/>
      </c>
      <c r="BQ103" s="2" t="str">
        <f>IF('[3]Model Check'!K98="","",('[3]Model Check'!K98))</f>
        <v/>
      </c>
      <c r="BR103" s="2" t="str">
        <f>IF('[3]Model Check'!L98="","",('[3]Model Check'!L98))</f>
        <v/>
      </c>
      <c r="BS103" s="2" t="str">
        <f>IF('[3]Model Check'!M98="","",('[3]Model Check'!M98))</f>
        <v/>
      </c>
      <c r="BT103" s="2" t="str">
        <f>IF('[3]Model Check'!N98="","",('[3]Model Check'!N98))</f>
        <v/>
      </c>
    </row>
    <row r="104" spans="3:72" ht="18" customHeight="1" x14ac:dyDescent="0.25">
      <c r="BI104" s="2" t="str">
        <f>IF('[3]Model Check'!C99="","",('[3]Model Check'!C99))</f>
        <v/>
      </c>
      <c r="BJ104" s="2" t="str">
        <f>IF('[3]Model Check'!D99="","",('[3]Model Check'!D99))</f>
        <v/>
      </c>
      <c r="BK104" s="2" t="str">
        <f>IF('[3]Model Check'!E99="","",('[3]Model Check'!E99))</f>
        <v/>
      </c>
      <c r="BL104" s="2" t="str">
        <f>IF('[3]Model Check'!F99="","",('[3]Model Check'!F99))</f>
        <v/>
      </c>
      <c r="BM104" s="2" t="str">
        <f>IF('[3]Model Check'!G99="","",('[3]Model Check'!G99))</f>
        <v/>
      </c>
      <c r="BN104" s="2" t="str">
        <f>IF('[3]Model Check'!H99="","",('[3]Model Check'!H99))</f>
        <v/>
      </c>
      <c r="BO104" s="2" t="str">
        <f>IF('[3]Model Check'!I99="","",('[3]Model Check'!I99))</f>
        <v/>
      </c>
      <c r="BP104" s="2" t="str">
        <f>IF('[3]Model Check'!J99="","",('[3]Model Check'!J99))</f>
        <v/>
      </c>
      <c r="BQ104" s="2" t="str">
        <f>IF('[3]Model Check'!K99="","",('[3]Model Check'!K99))</f>
        <v/>
      </c>
      <c r="BR104" s="2" t="str">
        <f>IF('[3]Model Check'!L99="","",('[3]Model Check'!L99))</f>
        <v/>
      </c>
      <c r="BS104" s="2" t="str">
        <f>IF('[3]Model Check'!M99="","",('[3]Model Check'!M99))</f>
        <v/>
      </c>
      <c r="BT104" s="2" t="str">
        <f>IF('[3]Model Check'!N99="","",('[3]Model Check'!N99))</f>
        <v/>
      </c>
    </row>
    <row r="105" spans="3:72" ht="18" customHeight="1" x14ac:dyDescent="0.25">
      <c r="BI105" s="2" t="str">
        <f>IF('[3]Model Check'!C100="","",('[3]Model Check'!C100))</f>
        <v/>
      </c>
      <c r="BJ105" s="2" t="str">
        <f>IF('[3]Model Check'!D100="","",('[3]Model Check'!D100))</f>
        <v/>
      </c>
      <c r="BK105" s="2" t="str">
        <f>IF('[3]Model Check'!E100="","",('[3]Model Check'!E100))</f>
        <v/>
      </c>
      <c r="BL105" s="2" t="str">
        <f>IF('[3]Model Check'!F100="","",('[3]Model Check'!F100))</f>
        <v/>
      </c>
      <c r="BM105" s="2" t="str">
        <f>IF('[3]Model Check'!G100="","",('[3]Model Check'!G100))</f>
        <v/>
      </c>
      <c r="BN105" s="2" t="str">
        <f>IF('[3]Model Check'!H100="","",('[3]Model Check'!H100))</f>
        <v/>
      </c>
      <c r="BO105" s="2" t="str">
        <f>IF('[3]Model Check'!I100="","",('[3]Model Check'!I100))</f>
        <v/>
      </c>
      <c r="BP105" s="2" t="str">
        <f>IF('[3]Model Check'!J100="","",('[3]Model Check'!J100))</f>
        <v/>
      </c>
      <c r="BQ105" s="2" t="str">
        <f>IF('[3]Model Check'!K100="","",('[3]Model Check'!K100))</f>
        <v/>
      </c>
      <c r="BR105" s="2" t="str">
        <f>IF('[3]Model Check'!L100="","",('[3]Model Check'!L100))</f>
        <v/>
      </c>
      <c r="BS105" s="2" t="str">
        <f>IF('[3]Model Check'!M100="","",('[3]Model Check'!M100))</f>
        <v/>
      </c>
      <c r="BT105" s="2" t="str">
        <f>IF('[3]Model Check'!N100="","",('[3]Model Check'!N100))</f>
        <v/>
      </c>
    </row>
    <row r="106" spans="3:72" ht="18" customHeight="1" x14ac:dyDescent="0.25">
      <c r="BI106" s="2" t="str">
        <f>IF('[3]Model Check'!C101="","",('[3]Model Check'!C101))</f>
        <v/>
      </c>
      <c r="BJ106" s="2" t="str">
        <f>IF('[3]Model Check'!D101="","",('[3]Model Check'!D101))</f>
        <v/>
      </c>
      <c r="BK106" s="2" t="str">
        <f>IF('[3]Model Check'!E101="","",('[3]Model Check'!E101))</f>
        <v/>
      </c>
      <c r="BL106" s="2" t="str">
        <f>IF('[3]Model Check'!F101="","",('[3]Model Check'!F101))</f>
        <v/>
      </c>
      <c r="BM106" s="2" t="str">
        <f>IF('[3]Model Check'!G101="","",('[3]Model Check'!G101))</f>
        <v/>
      </c>
      <c r="BN106" s="2" t="str">
        <f>IF('[3]Model Check'!H101="","",('[3]Model Check'!H101))</f>
        <v/>
      </c>
      <c r="BO106" s="2" t="str">
        <f>IF('[3]Model Check'!I101="","",('[3]Model Check'!I101))</f>
        <v/>
      </c>
      <c r="BP106" s="2" t="str">
        <f>IF('[3]Model Check'!J101="","",('[3]Model Check'!J101))</f>
        <v/>
      </c>
      <c r="BQ106" s="2" t="str">
        <f>IF('[3]Model Check'!K101="","",('[3]Model Check'!K101))</f>
        <v/>
      </c>
      <c r="BR106" s="2" t="str">
        <f>IF('[3]Model Check'!L101="","",('[3]Model Check'!L101))</f>
        <v/>
      </c>
      <c r="BS106" s="2" t="str">
        <f>IF('[3]Model Check'!M101="","",('[3]Model Check'!M101))</f>
        <v/>
      </c>
      <c r="BT106" s="2" t="str">
        <f>IF('[3]Model Check'!N101="","",('[3]Model Check'!N101))</f>
        <v/>
      </c>
    </row>
    <row r="107" spans="3:72" ht="18" customHeight="1" x14ac:dyDescent="0.25">
      <c r="BI107" s="2" t="str">
        <f>IF('[3]Model Check'!C102="","",('[3]Model Check'!C102))</f>
        <v/>
      </c>
      <c r="BJ107" s="2" t="str">
        <f>IF('[3]Model Check'!D102="","",('[3]Model Check'!D102))</f>
        <v/>
      </c>
      <c r="BK107" s="2" t="str">
        <f>IF('[3]Model Check'!E102="","",('[3]Model Check'!E102))</f>
        <v/>
      </c>
      <c r="BL107" s="2" t="str">
        <f>IF('[3]Model Check'!F102="","",('[3]Model Check'!F102))</f>
        <v/>
      </c>
      <c r="BM107" s="2" t="str">
        <f>IF('[3]Model Check'!G102="","",('[3]Model Check'!G102))</f>
        <v/>
      </c>
      <c r="BN107" s="2" t="str">
        <f>IF('[3]Model Check'!H102="","",('[3]Model Check'!H102))</f>
        <v/>
      </c>
      <c r="BO107" s="2" t="str">
        <f>IF('[3]Model Check'!I102="","",('[3]Model Check'!I102))</f>
        <v/>
      </c>
      <c r="BP107" s="2" t="str">
        <f>IF('[3]Model Check'!J102="","",('[3]Model Check'!J102))</f>
        <v/>
      </c>
      <c r="BQ107" s="2" t="str">
        <f>IF('[3]Model Check'!K102="","",('[3]Model Check'!K102))</f>
        <v/>
      </c>
      <c r="BR107" s="2" t="str">
        <f>IF('[3]Model Check'!L102="","",('[3]Model Check'!L102))</f>
        <v/>
      </c>
      <c r="BS107" s="2" t="str">
        <f>IF('[3]Model Check'!M102="","",('[3]Model Check'!M102))</f>
        <v/>
      </c>
      <c r="BT107" s="2" t="str">
        <f>IF('[3]Model Check'!N102="","",('[3]Model Check'!N102))</f>
        <v/>
      </c>
    </row>
    <row r="108" spans="3:72" ht="18" customHeight="1" x14ac:dyDescent="0.25">
      <c r="BI108" s="2" t="str">
        <f>IF('[3]Model Check'!C103="","",('[3]Model Check'!C103))</f>
        <v/>
      </c>
      <c r="BJ108" s="2" t="str">
        <f>IF('[3]Model Check'!D103="","",('[3]Model Check'!D103))</f>
        <v/>
      </c>
      <c r="BK108" s="2" t="str">
        <f>IF('[3]Model Check'!E103="","",('[3]Model Check'!E103))</f>
        <v/>
      </c>
      <c r="BL108" s="2" t="str">
        <f>IF('[3]Model Check'!F103="","",('[3]Model Check'!F103))</f>
        <v/>
      </c>
      <c r="BM108" s="2" t="str">
        <f>IF('[3]Model Check'!G103="","",('[3]Model Check'!G103))</f>
        <v/>
      </c>
      <c r="BN108" s="2" t="str">
        <f>IF('[3]Model Check'!H103="","",('[3]Model Check'!H103))</f>
        <v/>
      </c>
      <c r="BO108" s="2" t="str">
        <f>IF('[3]Model Check'!I103="","",('[3]Model Check'!I103))</f>
        <v/>
      </c>
      <c r="BP108" s="2" t="str">
        <f>IF('[3]Model Check'!J103="","",('[3]Model Check'!J103))</f>
        <v/>
      </c>
      <c r="BQ108" s="2" t="str">
        <f>IF('[3]Model Check'!K103="","",('[3]Model Check'!K103))</f>
        <v/>
      </c>
      <c r="BR108" s="2" t="str">
        <f>IF('[3]Model Check'!L103="","",('[3]Model Check'!L103))</f>
        <v/>
      </c>
      <c r="BS108" s="2" t="str">
        <f>IF('[3]Model Check'!M103="","",('[3]Model Check'!M103))</f>
        <v/>
      </c>
      <c r="BT108" s="2" t="str">
        <f>IF('[3]Model Check'!N103="","",('[3]Model Check'!N103))</f>
        <v/>
      </c>
    </row>
    <row r="109" spans="3:72" ht="18" customHeight="1" x14ac:dyDescent="0.25">
      <c r="BI109" s="2" t="str">
        <f>IF('[3]Model Check'!C104="","",('[3]Model Check'!C104))</f>
        <v/>
      </c>
      <c r="BJ109" s="2" t="str">
        <f>IF('[3]Model Check'!D104="","",('[3]Model Check'!D104))</f>
        <v/>
      </c>
      <c r="BK109" s="2" t="str">
        <f>IF('[3]Model Check'!E104="","",('[3]Model Check'!E104))</f>
        <v/>
      </c>
      <c r="BL109" s="2" t="str">
        <f>IF('[3]Model Check'!F104="","",('[3]Model Check'!F104))</f>
        <v/>
      </c>
      <c r="BM109" s="2" t="str">
        <f>IF('[3]Model Check'!G104="","",('[3]Model Check'!G104))</f>
        <v/>
      </c>
      <c r="BN109" s="2" t="str">
        <f>IF('[3]Model Check'!H104="","",('[3]Model Check'!H104))</f>
        <v/>
      </c>
      <c r="BO109" s="2" t="str">
        <f>IF('[3]Model Check'!I104="","",('[3]Model Check'!I104))</f>
        <v/>
      </c>
      <c r="BP109" s="2" t="str">
        <f>IF('[3]Model Check'!J104="","",('[3]Model Check'!J104))</f>
        <v/>
      </c>
      <c r="BQ109" s="2" t="str">
        <f>IF('[3]Model Check'!K104="","",('[3]Model Check'!K104))</f>
        <v/>
      </c>
      <c r="BR109" s="2" t="str">
        <f>IF('[3]Model Check'!L104="","",('[3]Model Check'!L104))</f>
        <v/>
      </c>
      <c r="BS109" s="2" t="str">
        <f>IF('[3]Model Check'!M104="","",('[3]Model Check'!M104))</f>
        <v/>
      </c>
      <c r="BT109" s="2" t="str">
        <f>IF('[3]Model Check'!N104="","",('[3]Model Check'!N104))</f>
        <v/>
      </c>
    </row>
    <row r="110" spans="3:72" ht="18" customHeight="1" x14ac:dyDescent="0.25">
      <c r="BI110" s="2" t="str">
        <f>IF('[3]Model Check'!C105="","",('[3]Model Check'!C105))</f>
        <v/>
      </c>
      <c r="BJ110" s="2" t="str">
        <f>IF('[3]Model Check'!D105="","",('[3]Model Check'!D105))</f>
        <v/>
      </c>
      <c r="BK110" s="2" t="str">
        <f>IF('[3]Model Check'!E105="","",('[3]Model Check'!E105))</f>
        <v/>
      </c>
      <c r="BL110" s="2" t="str">
        <f>IF('[3]Model Check'!F105="","",('[3]Model Check'!F105))</f>
        <v/>
      </c>
      <c r="BM110" s="2" t="str">
        <f>IF('[3]Model Check'!G105="","",('[3]Model Check'!G105))</f>
        <v/>
      </c>
      <c r="BN110" s="2" t="str">
        <f>IF('[3]Model Check'!H105="","",('[3]Model Check'!H105))</f>
        <v/>
      </c>
      <c r="BO110" s="2" t="str">
        <f>IF('[3]Model Check'!I105="","",('[3]Model Check'!I105))</f>
        <v/>
      </c>
      <c r="BP110" s="2" t="str">
        <f>IF('[3]Model Check'!J105="","",('[3]Model Check'!J105))</f>
        <v/>
      </c>
      <c r="BQ110" s="2" t="str">
        <f>IF('[3]Model Check'!K105="","",('[3]Model Check'!K105))</f>
        <v/>
      </c>
      <c r="BR110" s="2" t="str">
        <f>IF('[3]Model Check'!L105="","",('[3]Model Check'!L105))</f>
        <v/>
      </c>
      <c r="BS110" s="2" t="str">
        <f>IF('[3]Model Check'!M105="","",('[3]Model Check'!M105))</f>
        <v/>
      </c>
      <c r="BT110" s="2" t="str">
        <f>IF('[3]Model Check'!N105="","",('[3]Model Check'!N105))</f>
        <v/>
      </c>
    </row>
    <row r="111" spans="3:72" ht="18" customHeight="1" x14ac:dyDescent="0.25">
      <c r="BI111" s="2" t="str">
        <f>IF('[3]Model Check'!C106="","",('[3]Model Check'!C106))</f>
        <v/>
      </c>
      <c r="BJ111" s="2" t="str">
        <f>IF('[3]Model Check'!D106="","",('[3]Model Check'!D106))</f>
        <v/>
      </c>
      <c r="BK111" s="2" t="str">
        <f>IF('[3]Model Check'!E106="","",('[3]Model Check'!E106))</f>
        <v/>
      </c>
      <c r="BL111" s="2" t="str">
        <f>IF('[3]Model Check'!F106="","",('[3]Model Check'!F106))</f>
        <v/>
      </c>
      <c r="BM111" s="2" t="str">
        <f>IF('[3]Model Check'!G106="","",('[3]Model Check'!G106))</f>
        <v/>
      </c>
      <c r="BN111" s="2" t="str">
        <f>IF('[3]Model Check'!H106="","",('[3]Model Check'!H106))</f>
        <v/>
      </c>
      <c r="BO111" s="2" t="str">
        <f>IF('[3]Model Check'!I106="","",('[3]Model Check'!I106))</f>
        <v/>
      </c>
      <c r="BP111" s="2" t="str">
        <f>IF('[3]Model Check'!J106="","",('[3]Model Check'!J106))</f>
        <v/>
      </c>
      <c r="BQ111" s="2" t="str">
        <f>IF('[3]Model Check'!K106="","",('[3]Model Check'!K106))</f>
        <v/>
      </c>
      <c r="BR111" s="2" t="str">
        <f>IF('[3]Model Check'!L106="","",('[3]Model Check'!L106))</f>
        <v/>
      </c>
      <c r="BS111" s="2" t="str">
        <f>IF('[3]Model Check'!M106="","",('[3]Model Check'!M106))</f>
        <v/>
      </c>
      <c r="BT111" s="2" t="str">
        <f>IF('[3]Model Check'!N106="","",('[3]Model Check'!N106))</f>
        <v/>
      </c>
    </row>
    <row r="112" spans="3:72" ht="18" customHeight="1" x14ac:dyDescent="0.25">
      <c r="BI112" s="2" t="str">
        <f>IF('[3]Model Check'!C107="","",('[3]Model Check'!C107))</f>
        <v/>
      </c>
      <c r="BJ112" s="2" t="str">
        <f>IF('[3]Model Check'!D107="","",('[3]Model Check'!D107))</f>
        <v/>
      </c>
      <c r="BK112" s="2" t="str">
        <f>IF('[3]Model Check'!E107="","",('[3]Model Check'!E107))</f>
        <v/>
      </c>
      <c r="BL112" s="2" t="str">
        <f>IF('[3]Model Check'!F107="","",('[3]Model Check'!F107))</f>
        <v/>
      </c>
      <c r="BM112" s="2" t="str">
        <f>IF('[3]Model Check'!G107="","",('[3]Model Check'!G107))</f>
        <v/>
      </c>
      <c r="BN112" s="2" t="str">
        <f>IF('[3]Model Check'!H107="","",('[3]Model Check'!H107))</f>
        <v/>
      </c>
      <c r="BO112" s="2" t="str">
        <f>IF('[3]Model Check'!I107="","",('[3]Model Check'!I107))</f>
        <v/>
      </c>
      <c r="BP112" s="2" t="str">
        <f>IF('[3]Model Check'!J107="","",('[3]Model Check'!J107))</f>
        <v/>
      </c>
      <c r="BQ112" s="2" t="str">
        <f>IF('[3]Model Check'!K107="","",('[3]Model Check'!K107))</f>
        <v/>
      </c>
      <c r="BR112" s="2" t="str">
        <f>IF('[3]Model Check'!L107="","",('[3]Model Check'!L107))</f>
        <v/>
      </c>
      <c r="BS112" s="2" t="str">
        <f>IF('[3]Model Check'!M107="","",('[3]Model Check'!M107))</f>
        <v/>
      </c>
      <c r="BT112" s="2" t="str">
        <f>IF('[3]Model Check'!N107="","",('[3]Model Check'!N107))</f>
        <v/>
      </c>
    </row>
    <row r="113" spans="61:72" ht="18" customHeight="1" x14ac:dyDescent="0.25">
      <c r="BI113" s="2" t="str">
        <f>IF('[3]Model Check'!C108="","",('[3]Model Check'!C108))</f>
        <v/>
      </c>
      <c r="BJ113" s="2" t="str">
        <f>IF('[3]Model Check'!D108="","",('[3]Model Check'!D108))</f>
        <v/>
      </c>
      <c r="BK113" s="2" t="str">
        <f>IF('[3]Model Check'!E108="","",('[3]Model Check'!E108))</f>
        <v/>
      </c>
      <c r="BL113" s="2" t="str">
        <f>IF('[3]Model Check'!F108="","",('[3]Model Check'!F108))</f>
        <v/>
      </c>
      <c r="BM113" s="2" t="str">
        <f>IF('[3]Model Check'!G108="","",('[3]Model Check'!G108))</f>
        <v/>
      </c>
      <c r="BN113" s="2" t="str">
        <f>IF('[3]Model Check'!H108="","",('[3]Model Check'!H108))</f>
        <v/>
      </c>
      <c r="BO113" s="2" t="str">
        <f>IF('[3]Model Check'!I108="","",('[3]Model Check'!I108))</f>
        <v/>
      </c>
      <c r="BP113" s="2" t="str">
        <f>IF('[3]Model Check'!J108="","",('[3]Model Check'!J108))</f>
        <v/>
      </c>
      <c r="BQ113" s="2" t="str">
        <f>IF('[3]Model Check'!K108="","",('[3]Model Check'!K108))</f>
        <v/>
      </c>
      <c r="BR113" s="2" t="str">
        <f>IF('[3]Model Check'!L108="","",('[3]Model Check'!L108))</f>
        <v/>
      </c>
      <c r="BS113" s="2" t="str">
        <f>IF('[3]Model Check'!M108="","",('[3]Model Check'!M108))</f>
        <v/>
      </c>
      <c r="BT113" s="2" t="str">
        <f>IF('[3]Model Check'!N108="","",('[3]Model Check'!N108))</f>
        <v/>
      </c>
    </row>
    <row r="114" spans="61:72" ht="18" customHeight="1" x14ac:dyDescent="0.25">
      <c r="BI114" s="2" t="str">
        <f>IF('[3]Model Check'!C109="","",('[3]Model Check'!C109))</f>
        <v/>
      </c>
      <c r="BJ114" s="2" t="str">
        <f>IF('[3]Model Check'!D109="","",('[3]Model Check'!D109))</f>
        <v/>
      </c>
      <c r="BK114" s="2" t="str">
        <f>IF('[3]Model Check'!E109="","",('[3]Model Check'!E109))</f>
        <v/>
      </c>
      <c r="BL114" s="2" t="str">
        <f>IF('[3]Model Check'!F109="","",('[3]Model Check'!F109))</f>
        <v/>
      </c>
      <c r="BM114" s="2" t="str">
        <f>IF('[3]Model Check'!G109="","",('[3]Model Check'!G109))</f>
        <v/>
      </c>
      <c r="BN114" s="2" t="str">
        <f>IF('[3]Model Check'!H109="","",('[3]Model Check'!H109))</f>
        <v/>
      </c>
      <c r="BO114" s="2" t="str">
        <f>IF('[3]Model Check'!I109="","",('[3]Model Check'!I109))</f>
        <v/>
      </c>
      <c r="BP114" s="2" t="str">
        <f>IF('[3]Model Check'!J109="","",('[3]Model Check'!J109))</f>
        <v/>
      </c>
      <c r="BQ114" s="2" t="str">
        <f>IF('[3]Model Check'!K109="","",('[3]Model Check'!K109))</f>
        <v/>
      </c>
      <c r="BR114" s="2" t="str">
        <f>IF('[3]Model Check'!L109="","",('[3]Model Check'!L109))</f>
        <v/>
      </c>
      <c r="BS114" s="2" t="str">
        <f>IF('[3]Model Check'!M109="","",('[3]Model Check'!M109))</f>
        <v/>
      </c>
      <c r="BT114" s="2" t="str">
        <f>IF('[3]Model Check'!N109="","",('[3]Model Check'!N109))</f>
        <v/>
      </c>
    </row>
    <row r="115" spans="61:72" ht="18" customHeight="1" x14ac:dyDescent="0.25">
      <c r="BI115" s="2" t="str">
        <f>IF('[3]Model Check'!C110="","",('[3]Model Check'!C110))</f>
        <v/>
      </c>
      <c r="BJ115" s="2" t="str">
        <f>IF('[3]Model Check'!D110="","",('[3]Model Check'!D110))</f>
        <v/>
      </c>
      <c r="BK115" s="2" t="str">
        <f>IF('[3]Model Check'!E110="","",('[3]Model Check'!E110))</f>
        <v/>
      </c>
      <c r="BL115" s="2" t="str">
        <f>IF('[3]Model Check'!F110="","",('[3]Model Check'!F110))</f>
        <v/>
      </c>
      <c r="BM115" s="2" t="str">
        <f>IF('[3]Model Check'!G110="","",('[3]Model Check'!G110))</f>
        <v/>
      </c>
      <c r="BN115" s="2" t="str">
        <f>IF('[3]Model Check'!H110="","",('[3]Model Check'!H110))</f>
        <v/>
      </c>
      <c r="BO115" s="2" t="str">
        <f>IF('[3]Model Check'!I110="","",('[3]Model Check'!I110))</f>
        <v/>
      </c>
      <c r="BP115" s="2" t="str">
        <f>IF('[3]Model Check'!J110="","",('[3]Model Check'!J110))</f>
        <v/>
      </c>
      <c r="BQ115" s="2" t="str">
        <f>IF('[3]Model Check'!K110="","",('[3]Model Check'!K110))</f>
        <v/>
      </c>
      <c r="BR115" s="2" t="str">
        <f>IF('[3]Model Check'!L110="","",('[3]Model Check'!L110))</f>
        <v/>
      </c>
      <c r="BS115" s="2" t="str">
        <f>IF('[3]Model Check'!M110="","",('[3]Model Check'!M110))</f>
        <v/>
      </c>
      <c r="BT115" s="2" t="str">
        <f>IF('[3]Model Check'!N110="","",('[3]Model Check'!N110))</f>
        <v/>
      </c>
    </row>
    <row r="116" spans="61:72" ht="18" customHeight="1" x14ac:dyDescent="0.25">
      <c r="BI116" s="2" t="str">
        <f>IF('[3]Model Check'!C111="","",('[3]Model Check'!C111))</f>
        <v/>
      </c>
      <c r="BJ116" s="2" t="str">
        <f>IF('[3]Model Check'!D111="","",('[3]Model Check'!D111))</f>
        <v/>
      </c>
      <c r="BK116" s="2" t="str">
        <f>IF('[3]Model Check'!E111="","",('[3]Model Check'!E111))</f>
        <v/>
      </c>
      <c r="BL116" s="2" t="str">
        <f>IF('[3]Model Check'!F111="","",('[3]Model Check'!F111))</f>
        <v/>
      </c>
      <c r="BM116" s="2" t="str">
        <f>IF('[3]Model Check'!G111="","",('[3]Model Check'!G111))</f>
        <v/>
      </c>
      <c r="BN116" s="2" t="str">
        <f>IF('[3]Model Check'!H111="","",('[3]Model Check'!H111))</f>
        <v/>
      </c>
      <c r="BO116" s="2" t="str">
        <f>IF('[3]Model Check'!I111="","",('[3]Model Check'!I111))</f>
        <v/>
      </c>
      <c r="BP116" s="2" t="str">
        <f>IF('[3]Model Check'!J111="","",('[3]Model Check'!J111))</f>
        <v/>
      </c>
      <c r="BQ116" s="2" t="str">
        <f>IF('[3]Model Check'!K111="","",('[3]Model Check'!K111))</f>
        <v/>
      </c>
      <c r="BR116" s="2" t="str">
        <f>IF('[3]Model Check'!L111="","",('[3]Model Check'!L111))</f>
        <v/>
      </c>
      <c r="BS116" s="2" t="str">
        <f>IF('[3]Model Check'!M111="","",('[3]Model Check'!M111))</f>
        <v/>
      </c>
      <c r="BT116" s="2" t="str">
        <f>IF('[3]Model Check'!N111="","",('[3]Model Check'!N111))</f>
        <v/>
      </c>
    </row>
    <row r="117" spans="61:72" ht="18" customHeight="1" x14ac:dyDescent="0.25">
      <c r="BI117" s="2" t="str">
        <f>IF('[3]Model Check'!C112="","",('[3]Model Check'!C112))</f>
        <v/>
      </c>
      <c r="BJ117" s="2" t="str">
        <f>IF('[3]Model Check'!D112="","",('[3]Model Check'!D112))</f>
        <v/>
      </c>
      <c r="BK117" s="2" t="str">
        <f>IF('[3]Model Check'!E112="","",('[3]Model Check'!E112))</f>
        <v/>
      </c>
      <c r="BL117" s="2" t="str">
        <f>IF('[3]Model Check'!F112="","",('[3]Model Check'!F112))</f>
        <v/>
      </c>
      <c r="BM117" s="2" t="str">
        <f>IF('[3]Model Check'!G112="","",('[3]Model Check'!G112))</f>
        <v/>
      </c>
      <c r="BN117" s="2" t="str">
        <f>IF('[3]Model Check'!H112="","",('[3]Model Check'!H112))</f>
        <v/>
      </c>
      <c r="BO117" s="2" t="str">
        <f>IF('[3]Model Check'!I112="","",('[3]Model Check'!I112))</f>
        <v/>
      </c>
      <c r="BP117" s="2" t="str">
        <f>IF('[3]Model Check'!J112="","",('[3]Model Check'!J112))</f>
        <v/>
      </c>
      <c r="BQ117" s="2" t="str">
        <f>IF('[3]Model Check'!K112="","",('[3]Model Check'!K112))</f>
        <v/>
      </c>
      <c r="BR117" s="2" t="str">
        <f>IF('[3]Model Check'!L112="","",('[3]Model Check'!L112))</f>
        <v/>
      </c>
      <c r="BS117" s="2" t="str">
        <f>IF('[3]Model Check'!M112="","",('[3]Model Check'!M112))</f>
        <v/>
      </c>
      <c r="BT117" s="2" t="str">
        <f>IF('[3]Model Check'!N112="","",('[3]Model Check'!N112))</f>
        <v/>
      </c>
    </row>
    <row r="118" spans="61:72" ht="18" customHeight="1" x14ac:dyDescent="0.25">
      <c r="BI118" s="2" t="str">
        <f>IF('[3]Model Check'!C113="","",('[3]Model Check'!C113))</f>
        <v/>
      </c>
      <c r="BJ118" s="2" t="str">
        <f>IF('[3]Model Check'!D113="","",('[3]Model Check'!D113))</f>
        <v/>
      </c>
      <c r="BK118" s="2" t="str">
        <f>IF('[3]Model Check'!E113="","",('[3]Model Check'!E113))</f>
        <v/>
      </c>
      <c r="BL118" s="2" t="str">
        <f>IF('[3]Model Check'!F113="","",('[3]Model Check'!F113))</f>
        <v/>
      </c>
      <c r="BM118" s="2" t="str">
        <f>IF('[3]Model Check'!G113="","",('[3]Model Check'!G113))</f>
        <v/>
      </c>
      <c r="BN118" s="2" t="str">
        <f>IF('[3]Model Check'!H113="","",('[3]Model Check'!H113))</f>
        <v/>
      </c>
      <c r="BO118" s="2" t="str">
        <f>IF('[3]Model Check'!I113="","",('[3]Model Check'!I113))</f>
        <v/>
      </c>
      <c r="BP118" s="2" t="str">
        <f>IF('[3]Model Check'!J113="","",('[3]Model Check'!J113))</f>
        <v/>
      </c>
      <c r="BQ118" s="2" t="str">
        <f>IF('[3]Model Check'!K113="","",('[3]Model Check'!K113))</f>
        <v/>
      </c>
      <c r="BR118" s="2" t="str">
        <f>IF('[3]Model Check'!L113="","",('[3]Model Check'!L113))</f>
        <v/>
      </c>
      <c r="BS118" s="2" t="str">
        <f>IF('[3]Model Check'!M113="","",('[3]Model Check'!M113))</f>
        <v/>
      </c>
      <c r="BT118" s="2" t="str">
        <f>IF('[3]Model Check'!N113="","",('[3]Model Check'!N113))</f>
        <v/>
      </c>
    </row>
    <row r="119" spans="61:72" ht="18" customHeight="1" x14ac:dyDescent="0.25">
      <c r="BI119" s="2" t="str">
        <f>IF('[3]Model Check'!C114="","",('[3]Model Check'!C114))</f>
        <v/>
      </c>
      <c r="BJ119" s="2" t="str">
        <f>IF('[3]Model Check'!D114="","",('[3]Model Check'!D114))</f>
        <v/>
      </c>
      <c r="BK119" s="2" t="str">
        <f>IF('[3]Model Check'!E114="","",('[3]Model Check'!E114))</f>
        <v/>
      </c>
      <c r="BL119" s="2" t="str">
        <f>IF('[3]Model Check'!F114="","",('[3]Model Check'!F114))</f>
        <v/>
      </c>
      <c r="BM119" s="2" t="str">
        <f>IF('[3]Model Check'!G114="","",('[3]Model Check'!G114))</f>
        <v/>
      </c>
      <c r="BN119" s="2" t="str">
        <f>IF('[3]Model Check'!H114="","",('[3]Model Check'!H114))</f>
        <v/>
      </c>
      <c r="BO119" s="2" t="str">
        <f>IF('[3]Model Check'!I114="","",('[3]Model Check'!I114))</f>
        <v/>
      </c>
      <c r="BP119" s="2" t="str">
        <f>IF('[3]Model Check'!J114="","",('[3]Model Check'!J114))</f>
        <v/>
      </c>
      <c r="BQ119" s="2" t="str">
        <f>IF('[3]Model Check'!K114="","",('[3]Model Check'!K114))</f>
        <v/>
      </c>
      <c r="BR119" s="2" t="str">
        <f>IF('[3]Model Check'!L114="","",('[3]Model Check'!L114))</f>
        <v/>
      </c>
      <c r="BS119" s="2" t="str">
        <f>IF('[3]Model Check'!M114="","",('[3]Model Check'!M114))</f>
        <v/>
      </c>
      <c r="BT119" s="2" t="str">
        <f>IF('[3]Model Check'!N114="","",('[3]Model Check'!N114))</f>
        <v/>
      </c>
    </row>
    <row r="120" spans="61:72" ht="18" customHeight="1" x14ac:dyDescent="0.25">
      <c r="BI120" s="2" t="str">
        <f>IF('[3]Model Check'!C115="","",('[3]Model Check'!C115))</f>
        <v/>
      </c>
      <c r="BJ120" s="2" t="str">
        <f>IF('[3]Model Check'!D115="","",('[3]Model Check'!D115))</f>
        <v/>
      </c>
      <c r="BK120" s="2" t="str">
        <f>IF('[3]Model Check'!E115="","",('[3]Model Check'!E115))</f>
        <v/>
      </c>
      <c r="BL120" s="2" t="str">
        <f>IF('[3]Model Check'!F115="","",('[3]Model Check'!F115))</f>
        <v/>
      </c>
      <c r="BM120" s="2" t="str">
        <f>IF('[3]Model Check'!G115="","",('[3]Model Check'!G115))</f>
        <v/>
      </c>
      <c r="BN120" s="2" t="str">
        <f>IF('[3]Model Check'!H115="","",('[3]Model Check'!H115))</f>
        <v/>
      </c>
      <c r="BO120" s="2" t="str">
        <f>IF('[3]Model Check'!I115="","",('[3]Model Check'!I115))</f>
        <v/>
      </c>
      <c r="BP120" s="2" t="str">
        <f>IF('[3]Model Check'!J115="","",('[3]Model Check'!J115))</f>
        <v/>
      </c>
      <c r="BQ120" s="2" t="str">
        <f>IF('[3]Model Check'!K115="","",('[3]Model Check'!K115))</f>
        <v/>
      </c>
      <c r="BR120" s="2" t="str">
        <f>IF('[3]Model Check'!L115="","",('[3]Model Check'!L115))</f>
        <v/>
      </c>
      <c r="BS120" s="2" t="str">
        <f>IF('[3]Model Check'!M115="","",('[3]Model Check'!M115))</f>
        <v/>
      </c>
      <c r="BT120" s="2" t="str">
        <f>IF('[3]Model Check'!N115="","",('[3]Model Check'!N115))</f>
        <v/>
      </c>
    </row>
    <row r="121" spans="61:72" ht="18" customHeight="1" x14ac:dyDescent="0.25">
      <c r="BI121" s="2" t="str">
        <f>IF('[3]Model Check'!C116="","",('[3]Model Check'!C116))</f>
        <v/>
      </c>
      <c r="BJ121" s="2" t="str">
        <f>IF('[3]Model Check'!D116="","",('[3]Model Check'!D116))</f>
        <v/>
      </c>
      <c r="BK121" s="2" t="str">
        <f>IF('[3]Model Check'!E116="","",('[3]Model Check'!E116))</f>
        <v/>
      </c>
      <c r="BL121" s="2" t="str">
        <f>IF('[3]Model Check'!F116="","",('[3]Model Check'!F116))</f>
        <v/>
      </c>
      <c r="BM121" s="2" t="str">
        <f>IF('[3]Model Check'!G116="","",('[3]Model Check'!G116))</f>
        <v/>
      </c>
      <c r="BN121" s="2" t="str">
        <f>IF('[3]Model Check'!H116="","",('[3]Model Check'!H116))</f>
        <v/>
      </c>
      <c r="BO121" s="2" t="str">
        <f>IF('[3]Model Check'!I116="","",('[3]Model Check'!I116))</f>
        <v/>
      </c>
      <c r="BP121" s="2" t="str">
        <f>IF('[3]Model Check'!J116="","",('[3]Model Check'!J116))</f>
        <v/>
      </c>
      <c r="BQ121" s="2" t="str">
        <f>IF('[3]Model Check'!K116="","",('[3]Model Check'!K116))</f>
        <v/>
      </c>
      <c r="BR121" s="2" t="str">
        <f>IF('[3]Model Check'!L116="","",('[3]Model Check'!L116))</f>
        <v/>
      </c>
      <c r="BS121" s="2" t="str">
        <f>IF('[3]Model Check'!M116="","",('[3]Model Check'!M116))</f>
        <v/>
      </c>
      <c r="BT121" s="2" t="str">
        <f>IF('[3]Model Check'!N116="","",('[3]Model Check'!N116))</f>
        <v/>
      </c>
    </row>
    <row r="122" spans="61:72" ht="18" customHeight="1" x14ac:dyDescent="0.25">
      <c r="BI122" s="2" t="str">
        <f>IF('[3]Model Check'!C117="","",('[3]Model Check'!C117))</f>
        <v/>
      </c>
      <c r="BJ122" s="2" t="str">
        <f>IF('[3]Model Check'!D117="","",('[3]Model Check'!D117))</f>
        <v/>
      </c>
      <c r="BK122" s="2" t="str">
        <f>IF('[3]Model Check'!E117="","",('[3]Model Check'!E117))</f>
        <v/>
      </c>
      <c r="BL122" s="2" t="str">
        <f>IF('[3]Model Check'!F117="","",('[3]Model Check'!F117))</f>
        <v/>
      </c>
      <c r="BM122" s="2" t="str">
        <f>IF('[3]Model Check'!G117="","",('[3]Model Check'!G117))</f>
        <v/>
      </c>
      <c r="BN122" s="2" t="str">
        <f>IF('[3]Model Check'!H117="","",('[3]Model Check'!H117))</f>
        <v/>
      </c>
      <c r="BO122" s="2" t="str">
        <f>IF('[3]Model Check'!I117="","",('[3]Model Check'!I117))</f>
        <v/>
      </c>
      <c r="BP122" s="2" t="str">
        <f>IF('[3]Model Check'!J117="","",('[3]Model Check'!J117))</f>
        <v/>
      </c>
      <c r="BQ122" s="2" t="str">
        <f>IF('[3]Model Check'!K117="","",('[3]Model Check'!K117))</f>
        <v/>
      </c>
      <c r="BR122" s="2" t="str">
        <f>IF('[3]Model Check'!L117="","",('[3]Model Check'!L117))</f>
        <v/>
      </c>
      <c r="BS122" s="2" t="str">
        <f>IF('[3]Model Check'!M117="","",('[3]Model Check'!M117))</f>
        <v/>
      </c>
      <c r="BT122" s="2" t="str">
        <f>IF('[3]Model Check'!N117="","",('[3]Model Check'!N117))</f>
        <v/>
      </c>
    </row>
    <row r="123" spans="61:72" ht="18" customHeight="1" x14ac:dyDescent="0.25">
      <c r="BI123" s="2" t="str">
        <f>IF('[3]Model Check'!C118="","",('[3]Model Check'!C118))</f>
        <v/>
      </c>
      <c r="BJ123" s="2" t="str">
        <f>IF('[3]Model Check'!D118="","",('[3]Model Check'!D118))</f>
        <v/>
      </c>
      <c r="BK123" s="2" t="str">
        <f>IF('[3]Model Check'!E118="","",('[3]Model Check'!E118))</f>
        <v/>
      </c>
      <c r="BL123" s="2" t="str">
        <f>IF('[3]Model Check'!F118="","",('[3]Model Check'!F118))</f>
        <v/>
      </c>
      <c r="BM123" s="2" t="str">
        <f>IF('[3]Model Check'!G118="","",('[3]Model Check'!G118))</f>
        <v/>
      </c>
      <c r="BN123" s="2" t="str">
        <f>IF('[3]Model Check'!H118="","",('[3]Model Check'!H118))</f>
        <v/>
      </c>
      <c r="BO123" s="2" t="str">
        <f>IF('[3]Model Check'!I118="","",('[3]Model Check'!I118))</f>
        <v/>
      </c>
      <c r="BP123" s="2" t="str">
        <f>IF('[3]Model Check'!J118="","",('[3]Model Check'!J118))</f>
        <v/>
      </c>
      <c r="BQ123" s="2" t="str">
        <f>IF('[3]Model Check'!K118="","",('[3]Model Check'!K118))</f>
        <v/>
      </c>
      <c r="BR123" s="2" t="str">
        <f>IF('[3]Model Check'!L118="","",('[3]Model Check'!L118))</f>
        <v/>
      </c>
      <c r="BS123" s="2" t="str">
        <f>IF('[3]Model Check'!M118="","",('[3]Model Check'!M118))</f>
        <v/>
      </c>
      <c r="BT123" s="2" t="str">
        <f>IF('[3]Model Check'!N118="","",('[3]Model Check'!N118))</f>
        <v/>
      </c>
    </row>
    <row r="124" spans="61:72" ht="18" customHeight="1" x14ac:dyDescent="0.25">
      <c r="BI124" s="2" t="str">
        <f>IF('[3]Model Check'!C119="","",('[3]Model Check'!C119))</f>
        <v/>
      </c>
      <c r="BJ124" s="2" t="str">
        <f>IF('[3]Model Check'!D119="","",('[3]Model Check'!D119))</f>
        <v/>
      </c>
      <c r="BK124" s="2" t="str">
        <f>IF('[3]Model Check'!E119="","",('[3]Model Check'!E119))</f>
        <v/>
      </c>
      <c r="BL124" s="2" t="str">
        <f>IF('[3]Model Check'!F119="","",('[3]Model Check'!F119))</f>
        <v/>
      </c>
      <c r="BM124" s="2" t="str">
        <f>IF('[3]Model Check'!G119="","",('[3]Model Check'!G119))</f>
        <v/>
      </c>
      <c r="BN124" s="2" t="str">
        <f>IF('[3]Model Check'!H119="","",('[3]Model Check'!H119))</f>
        <v/>
      </c>
      <c r="BO124" s="2" t="str">
        <f>IF('[3]Model Check'!I119="","",('[3]Model Check'!I119))</f>
        <v/>
      </c>
      <c r="BP124" s="2" t="str">
        <f>IF('[3]Model Check'!J119="","",('[3]Model Check'!J119))</f>
        <v/>
      </c>
      <c r="BQ124" s="2" t="str">
        <f>IF('[3]Model Check'!K119="","",('[3]Model Check'!K119))</f>
        <v/>
      </c>
      <c r="BR124" s="2" t="str">
        <f>IF('[3]Model Check'!L119="","",('[3]Model Check'!L119))</f>
        <v/>
      </c>
      <c r="BS124" s="2" t="str">
        <f>IF('[3]Model Check'!M119="","",('[3]Model Check'!M119))</f>
        <v/>
      </c>
      <c r="BT124" s="2" t="str">
        <f>IF('[3]Model Check'!N119="","",('[3]Model Check'!N119))</f>
        <v/>
      </c>
    </row>
    <row r="125" spans="61:72" ht="18" customHeight="1" x14ac:dyDescent="0.25">
      <c r="BI125" s="2" t="str">
        <f>IF('[3]Model Check'!C120="","",('[3]Model Check'!C120))</f>
        <v/>
      </c>
      <c r="BJ125" s="2" t="str">
        <f>IF('[3]Model Check'!D120="","",('[3]Model Check'!D120))</f>
        <v/>
      </c>
      <c r="BK125" s="2" t="str">
        <f>IF('[3]Model Check'!E120="","",('[3]Model Check'!E120))</f>
        <v/>
      </c>
      <c r="BL125" s="2" t="str">
        <f>IF('[3]Model Check'!F120="","",('[3]Model Check'!F120))</f>
        <v/>
      </c>
      <c r="BM125" s="2" t="str">
        <f>IF('[3]Model Check'!G120="","",('[3]Model Check'!G120))</f>
        <v/>
      </c>
      <c r="BN125" s="2" t="str">
        <f>IF('[3]Model Check'!H120="","",('[3]Model Check'!H120))</f>
        <v/>
      </c>
      <c r="BO125" s="2" t="str">
        <f>IF('[3]Model Check'!I120="","",('[3]Model Check'!I120))</f>
        <v/>
      </c>
      <c r="BP125" s="2" t="str">
        <f>IF('[3]Model Check'!J120="","",('[3]Model Check'!J120))</f>
        <v/>
      </c>
      <c r="BQ125" s="2" t="str">
        <f>IF('[3]Model Check'!K120="","",('[3]Model Check'!K120))</f>
        <v/>
      </c>
      <c r="BR125" s="2" t="str">
        <f>IF('[3]Model Check'!L120="","",('[3]Model Check'!L120))</f>
        <v/>
      </c>
      <c r="BS125" s="2" t="str">
        <f>IF('[3]Model Check'!M120="","",('[3]Model Check'!M120))</f>
        <v/>
      </c>
      <c r="BT125" s="2" t="str">
        <f>IF('[3]Model Check'!N120="","",('[3]Model Check'!N120))</f>
        <v/>
      </c>
    </row>
    <row r="126" spans="61:72" ht="18" customHeight="1" x14ac:dyDescent="0.25">
      <c r="BI126" s="2" t="str">
        <f>IF('[3]Model Check'!C121="","",('[3]Model Check'!C121))</f>
        <v/>
      </c>
      <c r="BJ126" s="2" t="str">
        <f>IF('[3]Model Check'!D121="","",('[3]Model Check'!D121))</f>
        <v/>
      </c>
      <c r="BK126" s="2" t="str">
        <f>IF('[3]Model Check'!E121="","",('[3]Model Check'!E121))</f>
        <v/>
      </c>
      <c r="BL126" s="2" t="str">
        <f>IF('[3]Model Check'!F121="","",('[3]Model Check'!F121))</f>
        <v/>
      </c>
      <c r="BM126" s="2" t="str">
        <f>IF('[3]Model Check'!G121="","",('[3]Model Check'!G121))</f>
        <v/>
      </c>
      <c r="BN126" s="2" t="str">
        <f>IF('[3]Model Check'!H121="","",('[3]Model Check'!H121))</f>
        <v/>
      </c>
      <c r="BO126" s="2" t="str">
        <f>IF('[3]Model Check'!I121="","",('[3]Model Check'!I121))</f>
        <v/>
      </c>
      <c r="BP126" s="2" t="str">
        <f>IF('[3]Model Check'!J121="","",('[3]Model Check'!J121))</f>
        <v/>
      </c>
      <c r="BQ126" s="2" t="str">
        <f>IF('[3]Model Check'!K121="","",('[3]Model Check'!K121))</f>
        <v/>
      </c>
      <c r="BR126" s="2" t="str">
        <f>IF('[3]Model Check'!L121="","",('[3]Model Check'!L121))</f>
        <v/>
      </c>
      <c r="BS126" s="2" t="str">
        <f>IF('[3]Model Check'!M121="","",('[3]Model Check'!M121))</f>
        <v/>
      </c>
      <c r="BT126" s="2" t="str">
        <f>IF('[3]Model Check'!N121="","",('[3]Model Check'!N121))</f>
        <v/>
      </c>
    </row>
    <row r="127" spans="61:72" ht="18" customHeight="1" x14ac:dyDescent="0.25">
      <c r="BI127" s="2" t="str">
        <f>IF('[3]Model Check'!C122="","",('[3]Model Check'!C122))</f>
        <v/>
      </c>
      <c r="BJ127" s="2" t="str">
        <f>IF('[3]Model Check'!D122="","",('[3]Model Check'!D122))</f>
        <v/>
      </c>
      <c r="BK127" s="2" t="str">
        <f>IF('[3]Model Check'!E122="","",('[3]Model Check'!E122))</f>
        <v/>
      </c>
      <c r="BL127" s="2" t="str">
        <f>IF('[3]Model Check'!F122="","",('[3]Model Check'!F122))</f>
        <v/>
      </c>
      <c r="BM127" s="2" t="str">
        <f>IF('[3]Model Check'!G122="","",('[3]Model Check'!G122))</f>
        <v/>
      </c>
      <c r="BN127" s="2" t="str">
        <f>IF('[3]Model Check'!H122="","",('[3]Model Check'!H122))</f>
        <v/>
      </c>
      <c r="BO127" s="2" t="str">
        <f>IF('[3]Model Check'!I122="","",('[3]Model Check'!I122))</f>
        <v/>
      </c>
      <c r="BP127" s="2" t="str">
        <f>IF('[3]Model Check'!J122="","",('[3]Model Check'!J122))</f>
        <v/>
      </c>
      <c r="BQ127" s="2" t="str">
        <f>IF('[3]Model Check'!K122="","",('[3]Model Check'!K122))</f>
        <v/>
      </c>
      <c r="BR127" s="2" t="str">
        <f>IF('[3]Model Check'!L122="","",('[3]Model Check'!L122))</f>
        <v/>
      </c>
      <c r="BS127" s="2" t="str">
        <f>IF('[3]Model Check'!M122="","",('[3]Model Check'!M122))</f>
        <v/>
      </c>
      <c r="BT127" s="2" t="str">
        <f>IF('[3]Model Check'!N122="","",('[3]Model Check'!N122))</f>
        <v/>
      </c>
    </row>
    <row r="128" spans="61:72" ht="18" customHeight="1" x14ac:dyDescent="0.25">
      <c r="BI128" s="2" t="str">
        <f>IF('[3]Model Check'!C123="","",('[3]Model Check'!C123))</f>
        <v/>
      </c>
      <c r="BJ128" s="2" t="str">
        <f>IF('[3]Model Check'!D123="","",('[3]Model Check'!D123))</f>
        <v/>
      </c>
      <c r="BK128" s="2" t="str">
        <f>IF('[3]Model Check'!E123="","",('[3]Model Check'!E123))</f>
        <v/>
      </c>
      <c r="BL128" s="2" t="str">
        <f>IF('[3]Model Check'!F123="","",('[3]Model Check'!F123))</f>
        <v/>
      </c>
      <c r="BM128" s="2" t="str">
        <f>IF('[3]Model Check'!G123="","",('[3]Model Check'!G123))</f>
        <v/>
      </c>
      <c r="BN128" s="2" t="str">
        <f>IF('[3]Model Check'!H123="","",('[3]Model Check'!H123))</f>
        <v/>
      </c>
      <c r="BO128" s="2" t="str">
        <f>IF('[3]Model Check'!I123="","",('[3]Model Check'!I123))</f>
        <v/>
      </c>
      <c r="BP128" s="2" t="str">
        <f>IF('[3]Model Check'!J123="","",('[3]Model Check'!J123))</f>
        <v/>
      </c>
      <c r="BQ128" s="2" t="str">
        <f>IF('[3]Model Check'!K123="","",('[3]Model Check'!K123))</f>
        <v/>
      </c>
      <c r="BR128" s="2" t="str">
        <f>IF('[3]Model Check'!L123="","",('[3]Model Check'!L123))</f>
        <v/>
      </c>
      <c r="BS128" s="2" t="str">
        <f>IF('[3]Model Check'!M123="","",('[3]Model Check'!M123))</f>
        <v/>
      </c>
      <c r="BT128" s="2" t="str">
        <f>IF('[3]Model Check'!N123="","",('[3]Model Check'!N123))</f>
        <v/>
      </c>
    </row>
    <row r="129" spans="61:72" ht="18" customHeight="1" x14ac:dyDescent="0.25">
      <c r="BI129" s="2" t="str">
        <f>IF('[3]Model Check'!C124="","",('[3]Model Check'!C124))</f>
        <v/>
      </c>
      <c r="BJ129" s="2" t="str">
        <f>IF('[3]Model Check'!D124="","",('[3]Model Check'!D124))</f>
        <v/>
      </c>
      <c r="BK129" s="2" t="str">
        <f>IF('[3]Model Check'!E124="","",('[3]Model Check'!E124))</f>
        <v/>
      </c>
      <c r="BL129" s="2" t="str">
        <f>IF('[3]Model Check'!F124="","",('[3]Model Check'!F124))</f>
        <v/>
      </c>
      <c r="BM129" s="2" t="str">
        <f>IF('[3]Model Check'!G124="","",('[3]Model Check'!G124))</f>
        <v/>
      </c>
      <c r="BN129" s="2" t="str">
        <f>IF('[3]Model Check'!H124="","",('[3]Model Check'!H124))</f>
        <v/>
      </c>
      <c r="BO129" s="2" t="str">
        <f>IF('[3]Model Check'!I124="","",('[3]Model Check'!I124))</f>
        <v/>
      </c>
      <c r="BP129" s="2" t="str">
        <f>IF('[3]Model Check'!J124="","",('[3]Model Check'!J124))</f>
        <v/>
      </c>
      <c r="BQ129" s="2" t="str">
        <f>IF('[3]Model Check'!K124="","",('[3]Model Check'!K124))</f>
        <v/>
      </c>
      <c r="BR129" s="2" t="str">
        <f>IF('[3]Model Check'!L124="","",('[3]Model Check'!L124))</f>
        <v/>
      </c>
      <c r="BS129" s="2" t="str">
        <f>IF('[3]Model Check'!M124="","",('[3]Model Check'!M124))</f>
        <v/>
      </c>
      <c r="BT129" s="2" t="str">
        <f>IF('[3]Model Check'!N124="","",('[3]Model Check'!N124))</f>
        <v/>
      </c>
    </row>
    <row r="130" spans="61:72" ht="18" customHeight="1" x14ac:dyDescent="0.25">
      <c r="BI130" s="2" t="str">
        <f>IF('[3]Model Check'!C125="","",('[3]Model Check'!C125))</f>
        <v/>
      </c>
      <c r="BJ130" s="2" t="str">
        <f>IF('[3]Model Check'!D125="","",('[3]Model Check'!D125))</f>
        <v/>
      </c>
      <c r="BK130" s="2" t="str">
        <f>IF('[3]Model Check'!E125="","",('[3]Model Check'!E125))</f>
        <v/>
      </c>
      <c r="BL130" s="2" t="str">
        <f>IF('[3]Model Check'!F125="","",('[3]Model Check'!F125))</f>
        <v/>
      </c>
      <c r="BM130" s="2" t="str">
        <f>IF('[3]Model Check'!G125="","",('[3]Model Check'!G125))</f>
        <v/>
      </c>
      <c r="BN130" s="2" t="str">
        <f>IF('[3]Model Check'!H125="","",('[3]Model Check'!H125))</f>
        <v/>
      </c>
      <c r="BO130" s="2" t="str">
        <f>IF('[3]Model Check'!I125="","",('[3]Model Check'!I125))</f>
        <v/>
      </c>
      <c r="BP130" s="2" t="str">
        <f>IF('[3]Model Check'!J125="","",('[3]Model Check'!J125))</f>
        <v/>
      </c>
      <c r="BQ130" s="2" t="str">
        <f>IF('[3]Model Check'!K125="","",('[3]Model Check'!K125))</f>
        <v/>
      </c>
      <c r="BR130" s="2" t="str">
        <f>IF('[3]Model Check'!L125="","",('[3]Model Check'!L125))</f>
        <v/>
      </c>
      <c r="BS130" s="2" t="str">
        <f>IF('[3]Model Check'!M125="","",('[3]Model Check'!M125))</f>
        <v/>
      </c>
      <c r="BT130" s="2" t="str">
        <f>IF('[3]Model Check'!N125="","",('[3]Model Check'!N125))</f>
        <v/>
      </c>
    </row>
    <row r="131" spans="61:72" ht="18" customHeight="1" x14ac:dyDescent="0.25">
      <c r="BI131" s="2" t="str">
        <f>IF('[3]Model Check'!C126="","",('[3]Model Check'!C126))</f>
        <v/>
      </c>
      <c r="BJ131" s="2" t="str">
        <f>IF('[3]Model Check'!D126="","",('[3]Model Check'!D126))</f>
        <v/>
      </c>
      <c r="BK131" s="2" t="str">
        <f>IF('[3]Model Check'!E126="","",('[3]Model Check'!E126))</f>
        <v/>
      </c>
      <c r="BL131" s="2" t="str">
        <f>IF('[3]Model Check'!F126="","",('[3]Model Check'!F126))</f>
        <v/>
      </c>
      <c r="BM131" s="2" t="str">
        <f>IF('[3]Model Check'!G126="","",('[3]Model Check'!G126))</f>
        <v/>
      </c>
      <c r="BN131" s="2" t="str">
        <f>IF('[3]Model Check'!H126="","",('[3]Model Check'!H126))</f>
        <v/>
      </c>
      <c r="BO131" s="2" t="str">
        <f>IF('[3]Model Check'!I126="","",('[3]Model Check'!I126))</f>
        <v/>
      </c>
      <c r="BP131" s="2" t="str">
        <f>IF('[3]Model Check'!J126="","",('[3]Model Check'!J126))</f>
        <v/>
      </c>
      <c r="BQ131" s="2" t="str">
        <f>IF('[3]Model Check'!K126="","",('[3]Model Check'!K126))</f>
        <v/>
      </c>
      <c r="BR131" s="2" t="str">
        <f>IF('[3]Model Check'!L126="","",('[3]Model Check'!L126))</f>
        <v/>
      </c>
      <c r="BS131" s="2" t="str">
        <f>IF('[3]Model Check'!M126="","",('[3]Model Check'!M126))</f>
        <v/>
      </c>
      <c r="BT131" s="2" t="str">
        <f>IF('[3]Model Check'!N126="","",('[3]Model Check'!N126))</f>
        <v/>
      </c>
    </row>
    <row r="132" spans="61:72" ht="18" customHeight="1" x14ac:dyDescent="0.25">
      <c r="BI132" s="2" t="str">
        <f>IF('[3]Model Check'!C127="","",('[3]Model Check'!C127))</f>
        <v/>
      </c>
      <c r="BJ132" s="2" t="str">
        <f>IF('[3]Model Check'!D127="","",('[3]Model Check'!D127))</f>
        <v/>
      </c>
      <c r="BK132" s="2" t="str">
        <f>IF('[3]Model Check'!E127="","",('[3]Model Check'!E127))</f>
        <v/>
      </c>
      <c r="BL132" s="2" t="str">
        <f>IF('[3]Model Check'!F127="","",('[3]Model Check'!F127))</f>
        <v/>
      </c>
      <c r="BM132" s="2" t="str">
        <f>IF('[3]Model Check'!G127="","",('[3]Model Check'!G127))</f>
        <v/>
      </c>
      <c r="BN132" s="2" t="str">
        <f>IF('[3]Model Check'!H127="","",('[3]Model Check'!H127))</f>
        <v/>
      </c>
      <c r="BO132" s="2" t="str">
        <f>IF('[3]Model Check'!I127="","",('[3]Model Check'!I127))</f>
        <v/>
      </c>
      <c r="BP132" s="2" t="str">
        <f>IF('[3]Model Check'!J127="","",('[3]Model Check'!J127))</f>
        <v/>
      </c>
      <c r="BQ132" s="2" t="str">
        <f>IF('[3]Model Check'!K127="","",('[3]Model Check'!K127))</f>
        <v/>
      </c>
      <c r="BR132" s="2" t="str">
        <f>IF('[3]Model Check'!L127="","",('[3]Model Check'!L127))</f>
        <v/>
      </c>
      <c r="BS132" s="2" t="str">
        <f>IF('[3]Model Check'!M127="","",('[3]Model Check'!M127))</f>
        <v/>
      </c>
      <c r="BT132" s="2" t="str">
        <f>IF('[3]Model Check'!N127="","",('[3]Model Check'!N127))</f>
        <v/>
      </c>
    </row>
    <row r="133" spans="61:72" ht="18" customHeight="1" x14ac:dyDescent="0.25">
      <c r="BI133" s="2" t="str">
        <f>IF('[3]Model Check'!C128="","",('[3]Model Check'!C128))</f>
        <v/>
      </c>
      <c r="BJ133" s="2" t="str">
        <f>IF('[3]Model Check'!D128="","",('[3]Model Check'!D128))</f>
        <v/>
      </c>
      <c r="BK133" s="2" t="str">
        <f>IF('[3]Model Check'!E128="","",('[3]Model Check'!E128))</f>
        <v/>
      </c>
      <c r="BL133" s="2" t="str">
        <f>IF('[3]Model Check'!F128="","",('[3]Model Check'!F128))</f>
        <v/>
      </c>
      <c r="BM133" s="2" t="str">
        <f>IF('[3]Model Check'!G128="","",('[3]Model Check'!G128))</f>
        <v/>
      </c>
      <c r="BN133" s="2" t="str">
        <f>IF('[3]Model Check'!H128="","",('[3]Model Check'!H128))</f>
        <v/>
      </c>
      <c r="BO133" s="2" t="str">
        <f>IF('[3]Model Check'!I128="","",('[3]Model Check'!I128))</f>
        <v/>
      </c>
      <c r="BP133" s="2" t="str">
        <f>IF('[3]Model Check'!J128="","",('[3]Model Check'!J128))</f>
        <v/>
      </c>
      <c r="BQ133" s="2" t="str">
        <f>IF('[3]Model Check'!K128="","",('[3]Model Check'!K128))</f>
        <v/>
      </c>
      <c r="BR133" s="2" t="str">
        <f>IF('[3]Model Check'!L128="","",('[3]Model Check'!L128))</f>
        <v/>
      </c>
      <c r="BS133" s="2" t="str">
        <f>IF('[3]Model Check'!M128="","",('[3]Model Check'!M128))</f>
        <v/>
      </c>
      <c r="BT133" s="2" t="str">
        <f>IF('[3]Model Check'!N128="","",('[3]Model Check'!N128))</f>
        <v/>
      </c>
    </row>
    <row r="134" spans="61:72" ht="18" customHeight="1" x14ac:dyDescent="0.25">
      <c r="BI134" s="2" t="str">
        <f>IF('[3]Model Check'!C129="","",('[3]Model Check'!C129))</f>
        <v/>
      </c>
      <c r="BJ134" s="2" t="str">
        <f>IF('[3]Model Check'!D129="","",('[3]Model Check'!D129))</f>
        <v/>
      </c>
      <c r="BK134" s="2" t="str">
        <f>IF('[3]Model Check'!E129="","",('[3]Model Check'!E129))</f>
        <v/>
      </c>
      <c r="BL134" s="2" t="str">
        <f>IF('[3]Model Check'!F129="","",('[3]Model Check'!F129))</f>
        <v/>
      </c>
      <c r="BM134" s="2" t="str">
        <f>IF('[3]Model Check'!G129="","",('[3]Model Check'!G129))</f>
        <v/>
      </c>
      <c r="BN134" s="2" t="str">
        <f>IF('[3]Model Check'!H129="","",('[3]Model Check'!H129))</f>
        <v/>
      </c>
      <c r="BO134" s="2" t="str">
        <f>IF('[3]Model Check'!I129="","",('[3]Model Check'!I129))</f>
        <v/>
      </c>
      <c r="BP134" s="2" t="str">
        <f>IF('[3]Model Check'!J129="","",('[3]Model Check'!J129))</f>
        <v/>
      </c>
      <c r="BQ134" s="2" t="str">
        <f>IF('[3]Model Check'!K129="","",('[3]Model Check'!K129))</f>
        <v/>
      </c>
      <c r="BR134" s="2" t="str">
        <f>IF('[3]Model Check'!L129="","",('[3]Model Check'!L129))</f>
        <v/>
      </c>
      <c r="BS134" s="2" t="str">
        <f>IF('[3]Model Check'!M129="","",('[3]Model Check'!M129))</f>
        <v/>
      </c>
      <c r="BT134" s="2" t="str">
        <f>IF('[3]Model Check'!N129="","",('[3]Model Check'!N129))</f>
        <v/>
      </c>
    </row>
    <row r="135" spans="61:72" ht="18" customHeight="1" x14ac:dyDescent="0.25">
      <c r="BI135" s="2" t="str">
        <f>IF('[3]Model Check'!C130="","",('[3]Model Check'!C130))</f>
        <v/>
      </c>
      <c r="BJ135" s="2" t="str">
        <f>IF('[3]Model Check'!D130="","",('[3]Model Check'!D130))</f>
        <v/>
      </c>
      <c r="BK135" s="2" t="str">
        <f>IF('[3]Model Check'!E130="","",('[3]Model Check'!E130))</f>
        <v/>
      </c>
      <c r="BL135" s="2" t="str">
        <f>IF('[3]Model Check'!F130="","",('[3]Model Check'!F130))</f>
        <v/>
      </c>
      <c r="BM135" s="2" t="str">
        <f>IF('[3]Model Check'!G130="","",('[3]Model Check'!G130))</f>
        <v/>
      </c>
      <c r="BN135" s="2" t="str">
        <f>IF('[3]Model Check'!H130="","",('[3]Model Check'!H130))</f>
        <v/>
      </c>
      <c r="BO135" s="2" t="str">
        <f>IF('[3]Model Check'!I130="","",('[3]Model Check'!I130))</f>
        <v/>
      </c>
      <c r="BP135" s="2" t="str">
        <f>IF('[3]Model Check'!J130="","",('[3]Model Check'!J130))</f>
        <v/>
      </c>
      <c r="BQ135" s="2" t="str">
        <f>IF('[3]Model Check'!K130="","",('[3]Model Check'!K130))</f>
        <v/>
      </c>
      <c r="BR135" s="2" t="str">
        <f>IF('[3]Model Check'!L130="","",('[3]Model Check'!L130))</f>
        <v/>
      </c>
      <c r="BS135" s="2" t="str">
        <f>IF('[3]Model Check'!M130="","",('[3]Model Check'!M130))</f>
        <v/>
      </c>
      <c r="BT135" s="2" t="str">
        <f>IF('[3]Model Check'!N130="","",('[3]Model Check'!N130))</f>
        <v/>
      </c>
    </row>
    <row r="136" spans="61:72" ht="18" customHeight="1" x14ac:dyDescent="0.25">
      <c r="BI136" s="2" t="str">
        <f>IF('[3]Model Check'!C131="","",('[3]Model Check'!C131))</f>
        <v/>
      </c>
      <c r="BJ136" s="2" t="str">
        <f>IF('[3]Model Check'!D131="","",('[3]Model Check'!D131))</f>
        <v/>
      </c>
      <c r="BK136" s="2" t="str">
        <f>IF('[3]Model Check'!E131="","",('[3]Model Check'!E131))</f>
        <v/>
      </c>
      <c r="BL136" s="2" t="str">
        <f>IF('[3]Model Check'!F131="","",('[3]Model Check'!F131))</f>
        <v/>
      </c>
      <c r="BM136" s="2" t="str">
        <f>IF('[3]Model Check'!G131="","",('[3]Model Check'!G131))</f>
        <v/>
      </c>
      <c r="BN136" s="2" t="str">
        <f>IF('[3]Model Check'!H131="","",('[3]Model Check'!H131))</f>
        <v/>
      </c>
      <c r="BO136" s="2" t="str">
        <f>IF('[3]Model Check'!I131="","",('[3]Model Check'!I131))</f>
        <v/>
      </c>
      <c r="BP136" s="2" t="str">
        <f>IF('[3]Model Check'!J131="","",('[3]Model Check'!J131))</f>
        <v/>
      </c>
      <c r="BQ136" s="2" t="str">
        <f>IF('[3]Model Check'!K131="","",('[3]Model Check'!K131))</f>
        <v/>
      </c>
      <c r="BR136" s="2" t="str">
        <f>IF('[3]Model Check'!L131="","",('[3]Model Check'!L131))</f>
        <v/>
      </c>
      <c r="BS136" s="2" t="str">
        <f>IF('[3]Model Check'!M131="","",('[3]Model Check'!M131))</f>
        <v/>
      </c>
      <c r="BT136" s="2" t="str">
        <f>IF('[3]Model Check'!N131="","",('[3]Model Check'!N131))</f>
        <v/>
      </c>
    </row>
    <row r="137" spans="61:72" ht="18" customHeight="1" x14ac:dyDescent="0.25">
      <c r="BI137" s="2" t="str">
        <f>IF('[3]Model Check'!C132="","",('[3]Model Check'!C132))</f>
        <v/>
      </c>
      <c r="BJ137" s="2" t="str">
        <f>IF('[3]Model Check'!D132="","",('[3]Model Check'!D132))</f>
        <v/>
      </c>
      <c r="BK137" s="2" t="str">
        <f>IF('[3]Model Check'!E132="","",('[3]Model Check'!E132))</f>
        <v/>
      </c>
      <c r="BL137" s="2" t="str">
        <f>IF('[3]Model Check'!F132="","",('[3]Model Check'!F132))</f>
        <v/>
      </c>
      <c r="BM137" s="2" t="str">
        <f>IF('[3]Model Check'!G132="","",('[3]Model Check'!G132))</f>
        <v/>
      </c>
      <c r="BN137" s="2" t="str">
        <f>IF('[3]Model Check'!H132="","",('[3]Model Check'!H132))</f>
        <v/>
      </c>
      <c r="BO137" s="2" t="str">
        <f>IF('[3]Model Check'!I132="","",('[3]Model Check'!I132))</f>
        <v/>
      </c>
      <c r="BP137" s="2" t="str">
        <f>IF('[3]Model Check'!J132="","",('[3]Model Check'!J132))</f>
        <v/>
      </c>
      <c r="BQ137" s="2" t="str">
        <f>IF('[3]Model Check'!K132="","",('[3]Model Check'!K132))</f>
        <v/>
      </c>
      <c r="BR137" s="2" t="str">
        <f>IF('[3]Model Check'!L132="","",('[3]Model Check'!L132))</f>
        <v/>
      </c>
      <c r="BS137" s="2" t="str">
        <f>IF('[3]Model Check'!M132="","",('[3]Model Check'!M132))</f>
        <v/>
      </c>
      <c r="BT137" s="2" t="str">
        <f>IF('[3]Model Check'!N132="","",('[3]Model Check'!N132))</f>
        <v/>
      </c>
    </row>
    <row r="138" spans="61:72" ht="18" customHeight="1" x14ac:dyDescent="0.25">
      <c r="BI138" s="2" t="str">
        <f>IF('[3]Model Check'!C133="","",('[3]Model Check'!C133))</f>
        <v/>
      </c>
      <c r="BJ138" s="2" t="str">
        <f>IF('[3]Model Check'!D133="","",('[3]Model Check'!D133))</f>
        <v/>
      </c>
      <c r="BK138" s="2" t="str">
        <f>IF('[3]Model Check'!E133="","",('[3]Model Check'!E133))</f>
        <v/>
      </c>
      <c r="BL138" s="2" t="str">
        <f>IF('[3]Model Check'!F133="","",('[3]Model Check'!F133))</f>
        <v/>
      </c>
      <c r="BM138" s="2" t="str">
        <f>IF('[3]Model Check'!G133="","",('[3]Model Check'!G133))</f>
        <v/>
      </c>
      <c r="BN138" s="2" t="str">
        <f>IF('[3]Model Check'!H133="","",('[3]Model Check'!H133))</f>
        <v/>
      </c>
      <c r="BO138" s="2" t="str">
        <f>IF('[3]Model Check'!I133="","",('[3]Model Check'!I133))</f>
        <v/>
      </c>
      <c r="BP138" s="2" t="str">
        <f>IF('[3]Model Check'!J133="","",('[3]Model Check'!J133))</f>
        <v/>
      </c>
      <c r="BQ138" s="2" t="str">
        <f>IF('[3]Model Check'!K133="","",('[3]Model Check'!K133))</f>
        <v/>
      </c>
      <c r="BR138" s="2" t="str">
        <f>IF('[3]Model Check'!L133="","",('[3]Model Check'!L133))</f>
        <v/>
      </c>
      <c r="BS138" s="2" t="str">
        <f>IF('[3]Model Check'!M133="","",('[3]Model Check'!M133))</f>
        <v/>
      </c>
      <c r="BT138" s="2" t="str">
        <f>IF('[3]Model Check'!N133="","",('[3]Model Check'!N133))</f>
        <v/>
      </c>
    </row>
    <row r="139" spans="61:72" ht="18" customHeight="1" x14ac:dyDescent="0.25">
      <c r="BI139" s="2" t="str">
        <f>IF('[3]Model Check'!C134="","",('[3]Model Check'!C134))</f>
        <v/>
      </c>
      <c r="BJ139" s="2" t="str">
        <f>IF('[3]Model Check'!D134="","",('[3]Model Check'!D134))</f>
        <v/>
      </c>
      <c r="BK139" s="2" t="str">
        <f>IF('[3]Model Check'!E134="","",('[3]Model Check'!E134))</f>
        <v/>
      </c>
      <c r="BL139" s="2" t="str">
        <f>IF('[3]Model Check'!F134="","",('[3]Model Check'!F134))</f>
        <v/>
      </c>
      <c r="BM139" s="2" t="str">
        <f>IF('[3]Model Check'!G134="","",('[3]Model Check'!G134))</f>
        <v/>
      </c>
      <c r="BN139" s="2" t="str">
        <f>IF('[3]Model Check'!H134="","",('[3]Model Check'!H134))</f>
        <v/>
      </c>
      <c r="BO139" s="2" t="str">
        <f>IF('[3]Model Check'!I134="","",('[3]Model Check'!I134))</f>
        <v/>
      </c>
      <c r="BP139" s="2" t="str">
        <f>IF('[3]Model Check'!J134="","",('[3]Model Check'!J134))</f>
        <v/>
      </c>
      <c r="BQ139" s="2" t="str">
        <f>IF('[3]Model Check'!K134="","",('[3]Model Check'!K134))</f>
        <v/>
      </c>
      <c r="BR139" s="2" t="str">
        <f>IF('[3]Model Check'!L134="","",('[3]Model Check'!L134))</f>
        <v/>
      </c>
      <c r="BS139" s="2" t="str">
        <f>IF('[3]Model Check'!M134="","",('[3]Model Check'!M134))</f>
        <v/>
      </c>
      <c r="BT139" s="2" t="str">
        <f>IF('[3]Model Check'!N134="","",('[3]Model Check'!N134))</f>
        <v/>
      </c>
    </row>
    <row r="140" spans="61:72" ht="18" customHeight="1" x14ac:dyDescent="0.25">
      <c r="BI140" s="2" t="str">
        <f>IF('[3]Model Check'!C135="","",('[3]Model Check'!C135))</f>
        <v/>
      </c>
      <c r="BJ140" s="2" t="str">
        <f>IF('[3]Model Check'!D135="","",('[3]Model Check'!D135))</f>
        <v/>
      </c>
      <c r="BK140" s="2" t="str">
        <f>IF('[3]Model Check'!E135="","",('[3]Model Check'!E135))</f>
        <v/>
      </c>
      <c r="BL140" s="2" t="str">
        <f>IF('[3]Model Check'!F135="","",('[3]Model Check'!F135))</f>
        <v/>
      </c>
      <c r="BM140" s="2" t="str">
        <f>IF('[3]Model Check'!G135="","",('[3]Model Check'!G135))</f>
        <v/>
      </c>
      <c r="BN140" s="2" t="str">
        <f>IF('[3]Model Check'!H135="","",('[3]Model Check'!H135))</f>
        <v/>
      </c>
      <c r="BO140" s="2" t="str">
        <f>IF('[3]Model Check'!I135="","",('[3]Model Check'!I135))</f>
        <v/>
      </c>
      <c r="BP140" s="2" t="str">
        <f>IF('[3]Model Check'!J135="","",('[3]Model Check'!J135))</f>
        <v/>
      </c>
      <c r="BQ140" s="2" t="str">
        <f>IF('[3]Model Check'!K135="","",('[3]Model Check'!K135))</f>
        <v/>
      </c>
      <c r="BR140" s="2" t="str">
        <f>IF('[3]Model Check'!L135="","",('[3]Model Check'!L135))</f>
        <v/>
      </c>
      <c r="BS140" s="2" t="str">
        <f>IF('[3]Model Check'!M135="","",('[3]Model Check'!M135))</f>
        <v/>
      </c>
      <c r="BT140" s="2" t="str">
        <f>IF('[3]Model Check'!N135="","",('[3]Model Check'!N135))</f>
        <v/>
      </c>
    </row>
    <row r="141" spans="61:72" ht="18" customHeight="1" x14ac:dyDescent="0.25">
      <c r="BI141" s="2" t="str">
        <f>IF('[3]Model Check'!C136="","",('[3]Model Check'!C136))</f>
        <v/>
      </c>
      <c r="BJ141" s="2" t="str">
        <f>IF('[3]Model Check'!D136="","",('[3]Model Check'!D136))</f>
        <v/>
      </c>
      <c r="BK141" s="2" t="str">
        <f>IF('[3]Model Check'!E136="","",('[3]Model Check'!E136))</f>
        <v/>
      </c>
      <c r="BL141" s="2" t="str">
        <f>IF('[3]Model Check'!F136="","",('[3]Model Check'!F136))</f>
        <v/>
      </c>
      <c r="BM141" s="2" t="str">
        <f>IF('[3]Model Check'!G136="","",('[3]Model Check'!G136))</f>
        <v/>
      </c>
      <c r="BN141" s="2" t="str">
        <f>IF('[3]Model Check'!H136="","",('[3]Model Check'!H136))</f>
        <v/>
      </c>
      <c r="BO141" s="2" t="str">
        <f>IF('[3]Model Check'!I136="","",('[3]Model Check'!I136))</f>
        <v/>
      </c>
      <c r="BP141" s="2" t="str">
        <f>IF('[3]Model Check'!J136="","",('[3]Model Check'!J136))</f>
        <v/>
      </c>
      <c r="BQ141" s="2" t="str">
        <f>IF('[3]Model Check'!K136="","",('[3]Model Check'!K136))</f>
        <v/>
      </c>
      <c r="BR141" s="2" t="str">
        <f>IF('[3]Model Check'!L136="","",('[3]Model Check'!L136))</f>
        <v/>
      </c>
      <c r="BS141" s="2" t="str">
        <f>IF('[3]Model Check'!M136="","",('[3]Model Check'!M136))</f>
        <v/>
      </c>
      <c r="BT141" s="2" t="str">
        <f>IF('[3]Model Check'!N136="","",('[3]Model Check'!N136))</f>
        <v/>
      </c>
    </row>
    <row r="142" spans="61:72" ht="18" customHeight="1" x14ac:dyDescent="0.25">
      <c r="BI142" s="2" t="str">
        <f>IF('[3]Model Check'!C137="","",('[3]Model Check'!C137))</f>
        <v/>
      </c>
      <c r="BJ142" s="2" t="str">
        <f>IF('[3]Model Check'!D137="","",('[3]Model Check'!D137))</f>
        <v/>
      </c>
      <c r="BK142" s="2" t="str">
        <f>IF('[3]Model Check'!E137="","",('[3]Model Check'!E137))</f>
        <v/>
      </c>
      <c r="BL142" s="2" t="str">
        <f>IF('[3]Model Check'!F137="","",('[3]Model Check'!F137))</f>
        <v/>
      </c>
      <c r="BM142" s="2" t="str">
        <f>IF('[3]Model Check'!G137="","",('[3]Model Check'!G137))</f>
        <v/>
      </c>
      <c r="BN142" s="2" t="str">
        <f>IF('[3]Model Check'!H137="","",('[3]Model Check'!H137))</f>
        <v/>
      </c>
      <c r="BO142" s="2" t="str">
        <f>IF('[3]Model Check'!I137="","",('[3]Model Check'!I137))</f>
        <v/>
      </c>
      <c r="BP142" s="2" t="str">
        <f>IF('[3]Model Check'!J137="","",('[3]Model Check'!J137))</f>
        <v/>
      </c>
      <c r="BQ142" s="2" t="str">
        <f>IF('[3]Model Check'!K137="","",('[3]Model Check'!K137))</f>
        <v/>
      </c>
      <c r="BR142" s="2" t="str">
        <f>IF('[3]Model Check'!L137="","",('[3]Model Check'!L137))</f>
        <v/>
      </c>
      <c r="BS142" s="2" t="str">
        <f>IF('[3]Model Check'!M137="","",('[3]Model Check'!M137))</f>
        <v/>
      </c>
      <c r="BT142" s="2" t="str">
        <f>IF('[3]Model Check'!N137="","",('[3]Model Check'!N137))</f>
        <v/>
      </c>
    </row>
    <row r="143" spans="61:72" ht="18" customHeight="1" x14ac:dyDescent="0.25">
      <c r="BI143" s="2" t="str">
        <f>IF('[3]Model Check'!C138="","",('[3]Model Check'!C138))</f>
        <v/>
      </c>
      <c r="BJ143" s="2" t="str">
        <f>IF('[3]Model Check'!D138="","",('[3]Model Check'!D138))</f>
        <v/>
      </c>
      <c r="BK143" s="2" t="str">
        <f>IF('[3]Model Check'!E138="","",('[3]Model Check'!E138))</f>
        <v/>
      </c>
      <c r="BL143" s="2" t="str">
        <f>IF('[3]Model Check'!F138="","",('[3]Model Check'!F138))</f>
        <v/>
      </c>
      <c r="BM143" s="2" t="str">
        <f>IF('[3]Model Check'!G138="","",('[3]Model Check'!G138))</f>
        <v/>
      </c>
      <c r="BN143" s="2" t="str">
        <f>IF('[3]Model Check'!H138="","",('[3]Model Check'!H138))</f>
        <v/>
      </c>
      <c r="BO143" s="2" t="str">
        <f>IF('[3]Model Check'!I138="","",('[3]Model Check'!I138))</f>
        <v/>
      </c>
      <c r="BP143" s="2" t="str">
        <f>IF('[3]Model Check'!J138="","",('[3]Model Check'!J138))</f>
        <v/>
      </c>
      <c r="BQ143" s="2" t="str">
        <f>IF('[3]Model Check'!K138="","",('[3]Model Check'!K138))</f>
        <v/>
      </c>
      <c r="BR143" s="2" t="str">
        <f>IF('[3]Model Check'!L138="","",('[3]Model Check'!L138))</f>
        <v/>
      </c>
      <c r="BS143" s="2" t="str">
        <f>IF('[3]Model Check'!M138="","",('[3]Model Check'!M138))</f>
        <v/>
      </c>
      <c r="BT143" s="2" t="str">
        <f>IF('[3]Model Check'!N138="","",('[3]Model Check'!N138))</f>
        <v/>
      </c>
    </row>
    <row r="144" spans="61:72" ht="18" customHeight="1" x14ac:dyDescent="0.25">
      <c r="BI144" s="2" t="str">
        <f>IF('[3]Model Check'!C139="","",('[3]Model Check'!C139))</f>
        <v/>
      </c>
      <c r="BJ144" s="2" t="str">
        <f>IF('[3]Model Check'!D139="","",('[3]Model Check'!D139))</f>
        <v/>
      </c>
      <c r="BK144" s="2" t="str">
        <f>IF('[3]Model Check'!E139="","",('[3]Model Check'!E139))</f>
        <v/>
      </c>
      <c r="BL144" s="2" t="str">
        <f>IF('[3]Model Check'!F139="","",('[3]Model Check'!F139))</f>
        <v/>
      </c>
      <c r="BM144" s="2" t="str">
        <f>IF('[3]Model Check'!G139="","",('[3]Model Check'!G139))</f>
        <v/>
      </c>
      <c r="BN144" s="2" t="str">
        <f>IF('[3]Model Check'!H139="","",('[3]Model Check'!H139))</f>
        <v/>
      </c>
      <c r="BO144" s="2" t="str">
        <f>IF('[3]Model Check'!I139="","",('[3]Model Check'!I139))</f>
        <v/>
      </c>
      <c r="BP144" s="2" t="str">
        <f>IF('[3]Model Check'!J139="","",('[3]Model Check'!J139))</f>
        <v/>
      </c>
      <c r="BQ144" s="2" t="str">
        <f>IF('[3]Model Check'!K139="","",('[3]Model Check'!K139))</f>
        <v/>
      </c>
      <c r="BR144" s="2" t="str">
        <f>IF('[3]Model Check'!L139="","",('[3]Model Check'!L139))</f>
        <v/>
      </c>
      <c r="BS144" s="2" t="str">
        <f>IF('[3]Model Check'!M139="","",('[3]Model Check'!M139))</f>
        <v/>
      </c>
      <c r="BT144" s="2" t="str">
        <f>IF('[3]Model Check'!N139="","",('[3]Model Check'!N139))</f>
        <v/>
      </c>
    </row>
    <row r="145" spans="61:72" ht="18" customHeight="1" x14ac:dyDescent="0.25">
      <c r="BI145" s="2" t="str">
        <f>IF('[3]Model Check'!C140="","",('[3]Model Check'!C140))</f>
        <v/>
      </c>
      <c r="BJ145" s="2" t="str">
        <f>IF('[3]Model Check'!D140="","",('[3]Model Check'!D140))</f>
        <v/>
      </c>
      <c r="BK145" s="2" t="str">
        <f>IF('[3]Model Check'!E140="","",('[3]Model Check'!E140))</f>
        <v/>
      </c>
      <c r="BL145" s="2" t="str">
        <f>IF('[3]Model Check'!F140="","",('[3]Model Check'!F140))</f>
        <v/>
      </c>
      <c r="BM145" s="2" t="str">
        <f>IF('[3]Model Check'!G140="","",('[3]Model Check'!G140))</f>
        <v/>
      </c>
      <c r="BN145" s="2" t="str">
        <f>IF('[3]Model Check'!H140="","",('[3]Model Check'!H140))</f>
        <v/>
      </c>
      <c r="BO145" s="2" t="str">
        <f>IF('[3]Model Check'!I140="","",('[3]Model Check'!I140))</f>
        <v/>
      </c>
      <c r="BP145" s="2" t="str">
        <f>IF('[3]Model Check'!J140="","",('[3]Model Check'!J140))</f>
        <v/>
      </c>
      <c r="BQ145" s="2" t="str">
        <f>IF('[3]Model Check'!K140="","",('[3]Model Check'!K140))</f>
        <v/>
      </c>
      <c r="BR145" s="2" t="str">
        <f>IF('[3]Model Check'!L140="","",('[3]Model Check'!L140))</f>
        <v/>
      </c>
      <c r="BS145" s="2" t="str">
        <f>IF('[3]Model Check'!M140="","",('[3]Model Check'!M140))</f>
        <v/>
      </c>
      <c r="BT145" s="2" t="str">
        <f>IF('[3]Model Check'!N140="","",('[3]Model Check'!N140))</f>
        <v/>
      </c>
    </row>
    <row r="146" spans="61:72" ht="18" customHeight="1" x14ac:dyDescent="0.25">
      <c r="BI146" s="2" t="str">
        <f>IF('[3]Model Check'!C141="","",('[3]Model Check'!C141))</f>
        <v/>
      </c>
      <c r="BJ146" s="2" t="str">
        <f>IF('[3]Model Check'!D141="","",('[3]Model Check'!D141))</f>
        <v/>
      </c>
      <c r="BK146" s="2" t="str">
        <f>IF('[3]Model Check'!E141="","",('[3]Model Check'!E141))</f>
        <v/>
      </c>
      <c r="BL146" s="2" t="str">
        <f>IF('[3]Model Check'!F141="","",('[3]Model Check'!F141))</f>
        <v/>
      </c>
      <c r="BM146" s="2" t="str">
        <f>IF('[3]Model Check'!G141="","",('[3]Model Check'!G141))</f>
        <v/>
      </c>
      <c r="BN146" s="2" t="str">
        <f>IF('[3]Model Check'!H141="","",('[3]Model Check'!H141))</f>
        <v/>
      </c>
      <c r="BO146" s="2" t="str">
        <f>IF('[3]Model Check'!I141="","",('[3]Model Check'!I141))</f>
        <v/>
      </c>
      <c r="BP146" s="2" t="str">
        <f>IF('[3]Model Check'!J141="","",('[3]Model Check'!J141))</f>
        <v/>
      </c>
      <c r="BQ146" s="2" t="str">
        <f>IF('[3]Model Check'!K141="","",('[3]Model Check'!K141))</f>
        <v/>
      </c>
      <c r="BR146" s="2" t="str">
        <f>IF('[3]Model Check'!L141="","",('[3]Model Check'!L141))</f>
        <v/>
      </c>
      <c r="BS146" s="2" t="str">
        <f>IF('[3]Model Check'!M141="","",('[3]Model Check'!M141))</f>
        <v/>
      </c>
      <c r="BT146" s="2" t="str">
        <f>IF('[3]Model Check'!N141="","",('[3]Model Check'!N141))</f>
        <v/>
      </c>
    </row>
    <row r="147" spans="61:72" ht="18" customHeight="1" x14ac:dyDescent="0.25">
      <c r="BI147" s="2" t="str">
        <f>IF('[3]Model Check'!C142="","",('[3]Model Check'!C142))</f>
        <v/>
      </c>
      <c r="BJ147" s="2" t="str">
        <f>IF('[3]Model Check'!D142="","",('[3]Model Check'!D142))</f>
        <v/>
      </c>
      <c r="BK147" s="2" t="str">
        <f>IF('[3]Model Check'!E142="","",('[3]Model Check'!E142))</f>
        <v/>
      </c>
      <c r="BL147" s="2" t="str">
        <f>IF('[3]Model Check'!F142="","",('[3]Model Check'!F142))</f>
        <v/>
      </c>
      <c r="BM147" s="2" t="str">
        <f>IF('[3]Model Check'!G142="","",('[3]Model Check'!G142))</f>
        <v/>
      </c>
      <c r="BN147" s="2" t="str">
        <f>IF('[3]Model Check'!H142="","",('[3]Model Check'!H142))</f>
        <v/>
      </c>
      <c r="BO147" s="2" t="str">
        <f>IF('[3]Model Check'!I142="","",('[3]Model Check'!I142))</f>
        <v/>
      </c>
      <c r="BP147" s="2" t="str">
        <f>IF('[3]Model Check'!J142="","",('[3]Model Check'!J142))</f>
        <v/>
      </c>
      <c r="BQ147" s="2" t="str">
        <f>IF('[3]Model Check'!K142="","",('[3]Model Check'!K142))</f>
        <v/>
      </c>
      <c r="BR147" s="2" t="str">
        <f>IF('[3]Model Check'!L142="","",('[3]Model Check'!L142))</f>
        <v/>
      </c>
      <c r="BS147" s="2" t="str">
        <f>IF('[3]Model Check'!M142="","",('[3]Model Check'!M142))</f>
        <v/>
      </c>
      <c r="BT147" s="2" t="str">
        <f>IF('[3]Model Check'!N142="","",('[3]Model Check'!N142))</f>
        <v/>
      </c>
    </row>
    <row r="148" spans="61:72" ht="18" customHeight="1" x14ac:dyDescent="0.25">
      <c r="BI148" s="2" t="str">
        <f>IF('[3]Model Check'!C143="","",('[3]Model Check'!C143))</f>
        <v/>
      </c>
      <c r="BJ148" s="2" t="str">
        <f>IF('[3]Model Check'!D143="","",('[3]Model Check'!D143))</f>
        <v/>
      </c>
      <c r="BK148" s="2" t="str">
        <f>IF('[3]Model Check'!E143="","",('[3]Model Check'!E143))</f>
        <v/>
      </c>
      <c r="BL148" s="2" t="str">
        <f>IF('[3]Model Check'!F143="","",('[3]Model Check'!F143))</f>
        <v/>
      </c>
      <c r="BM148" s="2" t="str">
        <f>IF('[3]Model Check'!G143="","",('[3]Model Check'!G143))</f>
        <v/>
      </c>
      <c r="BN148" s="2" t="str">
        <f>IF('[3]Model Check'!H143="","",('[3]Model Check'!H143))</f>
        <v/>
      </c>
      <c r="BO148" s="2" t="str">
        <f>IF('[3]Model Check'!I143="","",('[3]Model Check'!I143))</f>
        <v/>
      </c>
      <c r="BP148" s="2" t="str">
        <f>IF('[3]Model Check'!J143="","",('[3]Model Check'!J143))</f>
        <v/>
      </c>
      <c r="BQ148" s="2" t="str">
        <f>IF('[3]Model Check'!K143="","",('[3]Model Check'!K143))</f>
        <v/>
      </c>
      <c r="BR148" s="2" t="str">
        <f>IF('[3]Model Check'!L143="","",('[3]Model Check'!L143))</f>
        <v/>
      </c>
      <c r="BS148" s="2" t="str">
        <f>IF('[3]Model Check'!M143="","",('[3]Model Check'!M143))</f>
        <v/>
      </c>
      <c r="BT148" s="2" t="str">
        <f>IF('[3]Model Check'!N143="","",('[3]Model Check'!N143))</f>
        <v/>
      </c>
    </row>
    <row r="149" spans="61:72" ht="18" customHeight="1" x14ac:dyDescent="0.25">
      <c r="BI149" s="2" t="str">
        <f>IF('[3]Model Check'!C144="","",('[3]Model Check'!C144))</f>
        <v/>
      </c>
      <c r="BJ149" s="2" t="str">
        <f>IF('[3]Model Check'!D144="","",('[3]Model Check'!D144))</f>
        <v/>
      </c>
      <c r="BK149" s="2" t="str">
        <f>IF('[3]Model Check'!E144="","",('[3]Model Check'!E144))</f>
        <v/>
      </c>
      <c r="BL149" s="2" t="str">
        <f>IF('[3]Model Check'!F144="","",('[3]Model Check'!F144))</f>
        <v/>
      </c>
      <c r="BM149" s="2" t="str">
        <f>IF('[3]Model Check'!G144="","",('[3]Model Check'!G144))</f>
        <v/>
      </c>
      <c r="BN149" s="2" t="str">
        <f>IF('[3]Model Check'!H144="","",('[3]Model Check'!H144))</f>
        <v/>
      </c>
      <c r="BO149" s="2" t="str">
        <f>IF('[3]Model Check'!I144="","",('[3]Model Check'!I144))</f>
        <v/>
      </c>
      <c r="BP149" s="2" t="str">
        <f>IF('[3]Model Check'!J144="","",('[3]Model Check'!J144))</f>
        <v/>
      </c>
      <c r="BQ149" s="2" t="str">
        <f>IF('[3]Model Check'!K144="","",('[3]Model Check'!K144))</f>
        <v/>
      </c>
      <c r="BR149" s="2" t="str">
        <f>IF('[3]Model Check'!L144="","",('[3]Model Check'!L144))</f>
        <v/>
      </c>
      <c r="BS149" s="2" t="str">
        <f>IF('[3]Model Check'!M144="","",('[3]Model Check'!M144))</f>
        <v/>
      </c>
      <c r="BT149" s="2" t="str">
        <f>IF('[3]Model Check'!N144="","",('[3]Model Check'!N144))</f>
        <v/>
      </c>
    </row>
    <row r="150" spans="61:72" ht="18" customHeight="1" x14ac:dyDescent="0.25">
      <c r="BI150" s="2" t="str">
        <f>IF('[3]Model Check'!C145="","",('[3]Model Check'!C145))</f>
        <v/>
      </c>
      <c r="BJ150" s="2" t="str">
        <f>IF('[3]Model Check'!D145="","",('[3]Model Check'!D145))</f>
        <v/>
      </c>
      <c r="BK150" s="2" t="str">
        <f>IF('[3]Model Check'!E145="","",('[3]Model Check'!E145))</f>
        <v/>
      </c>
      <c r="BL150" s="2" t="str">
        <f>IF('[3]Model Check'!F145="","",('[3]Model Check'!F145))</f>
        <v/>
      </c>
      <c r="BM150" s="2" t="str">
        <f>IF('[3]Model Check'!G145="","",('[3]Model Check'!G145))</f>
        <v/>
      </c>
      <c r="BN150" s="2" t="str">
        <f>IF('[3]Model Check'!H145="","",('[3]Model Check'!H145))</f>
        <v/>
      </c>
      <c r="BO150" s="2" t="str">
        <f>IF('[3]Model Check'!I145="","",('[3]Model Check'!I145))</f>
        <v/>
      </c>
      <c r="BP150" s="2" t="str">
        <f>IF('[3]Model Check'!J145="","",('[3]Model Check'!J145))</f>
        <v/>
      </c>
      <c r="BQ150" s="2" t="str">
        <f>IF('[3]Model Check'!K145="","",('[3]Model Check'!K145))</f>
        <v/>
      </c>
      <c r="BR150" s="2" t="str">
        <f>IF('[3]Model Check'!L145="","",('[3]Model Check'!L145))</f>
        <v/>
      </c>
      <c r="BS150" s="2" t="str">
        <f>IF('[3]Model Check'!M145="","",('[3]Model Check'!M145))</f>
        <v/>
      </c>
      <c r="BT150" s="2" t="str">
        <f>IF('[3]Model Check'!N145="","",('[3]Model Check'!N145))</f>
        <v/>
      </c>
    </row>
    <row r="151" spans="61:72" ht="18" customHeight="1" x14ac:dyDescent="0.25">
      <c r="BI151" s="2" t="str">
        <f>IF('[3]Model Check'!C146="","",('[3]Model Check'!C146))</f>
        <v/>
      </c>
      <c r="BJ151" s="2" t="str">
        <f>IF('[3]Model Check'!D146="","",('[3]Model Check'!D146))</f>
        <v/>
      </c>
      <c r="BK151" s="2" t="str">
        <f>IF('[3]Model Check'!E146="","",('[3]Model Check'!E146))</f>
        <v/>
      </c>
      <c r="BL151" s="2" t="str">
        <f>IF('[3]Model Check'!F146="","",('[3]Model Check'!F146))</f>
        <v/>
      </c>
      <c r="BM151" s="2" t="str">
        <f>IF('[3]Model Check'!G146="","",('[3]Model Check'!G146))</f>
        <v/>
      </c>
      <c r="BN151" s="2" t="str">
        <f>IF('[3]Model Check'!H146="","",('[3]Model Check'!H146))</f>
        <v/>
      </c>
      <c r="BO151" s="2" t="str">
        <f>IF('[3]Model Check'!I146="","",('[3]Model Check'!I146))</f>
        <v/>
      </c>
      <c r="BP151" s="2" t="str">
        <f>IF('[3]Model Check'!J146="","",('[3]Model Check'!J146))</f>
        <v/>
      </c>
      <c r="BQ151" s="2" t="str">
        <f>IF('[3]Model Check'!K146="","",('[3]Model Check'!K146))</f>
        <v/>
      </c>
      <c r="BR151" s="2" t="str">
        <f>IF('[3]Model Check'!L146="","",('[3]Model Check'!L146))</f>
        <v/>
      </c>
      <c r="BS151" s="2" t="str">
        <f>IF('[3]Model Check'!M146="","",('[3]Model Check'!M146))</f>
        <v/>
      </c>
      <c r="BT151" s="2" t="str">
        <f>IF('[3]Model Check'!N146="","",('[3]Model Check'!N146))</f>
        <v/>
      </c>
    </row>
    <row r="152" spans="61:72" ht="18" customHeight="1" x14ac:dyDescent="0.25">
      <c r="BI152" s="2" t="str">
        <f>IF('[3]Model Check'!C147="","",('[3]Model Check'!C147))</f>
        <v/>
      </c>
      <c r="BJ152" s="2" t="str">
        <f>IF('[3]Model Check'!D147="","",('[3]Model Check'!D147))</f>
        <v/>
      </c>
      <c r="BK152" s="2" t="str">
        <f>IF('[3]Model Check'!E147="","",('[3]Model Check'!E147))</f>
        <v/>
      </c>
      <c r="BL152" s="2" t="str">
        <f>IF('[3]Model Check'!F147="","",('[3]Model Check'!F147))</f>
        <v/>
      </c>
      <c r="BM152" s="2" t="str">
        <f>IF('[3]Model Check'!G147="","",('[3]Model Check'!G147))</f>
        <v/>
      </c>
      <c r="BN152" s="2" t="str">
        <f>IF('[3]Model Check'!H147="","",('[3]Model Check'!H147))</f>
        <v/>
      </c>
      <c r="BO152" s="2" t="str">
        <f>IF('[3]Model Check'!I147="","",('[3]Model Check'!I147))</f>
        <v/>
      </c>
      <c r="BP152" s="2" t="str">
        <f>IF('[3]Model Check'!J147="","",('[3]Model Check'!J147))</f>
        <v/>
      </c>
      <c r="BQ152" s="2" t="str">
        <f>IF('[3]Model Check'!K147="","",('[3]Model Check'!K147))</f>
        <v/>
      </c>
      <c r="BR152" s="2" t="str">
        <f>IF('[3]Model Check'!L147="","",('[3]Model Check'!L147))</f>
        <v/>
      </c>
      <c r="BS152" s="2" t="str">
        <f>IF('[3]Model Check'!M147="","",('[3]Model Check'!M147))</f>
        <v/>
      </c>
      <c r="BT152" s="2" t="str">
        <f>IF('[3]Model Check'!N147="","",('[3]Model Check'!N147))</f>
        <v/>
      </c>
    </row>
    <row r="153" spans="61:72" ht="18" customHeight="1" x14ac:dyDescent="0.25">
      <c r="BI153" s="2" t="str">
        <f>IF('[3]Model Check'!C148="","",('[3]Model Check'!C148))</f>
        <v/>
      </c>
      <c r="BJ153" s="2" t="str">
        <f>IF('[3]Model Check'!D148="","",('[3]Model Check'!D148))</f>
        <v/>
      </c>
      <c r="BK153" s="2" t="str">
        <f>IF('[3]Model Check'!E148="","",('[3]Model Check'!E148))</f>
        <v/>
      </c>
      <c r="BL153" s="2" t="str">
        <f>IF('[3]Model Check'!F148="","",('[3]Model Check'!F148))</f>
        <v/>
      </c>
      <c r="BM153" s="2" t="str">
        <f>IF('[3]Model Check'!G148="","",('[3]Model Check'!G148))</f>
        <v/>
      </c>
      <c r="BN153" s="2" t="str">
        <f>IF('[3]Model Check'!H148="","",('[3]Model Check'!H148))</f>
        <v/>
      </c>
      <c r="BO153" s="2" t="str">
        <f>IF('[3]Model Check'!I148="","",('[3]Model Check'!I148))</f>
        <v/>
      </c>
      <c r="BP153" s="2" t="str">
        <f>IF('[3]Model Check'!J148="","",('[3]Model Check'!J148))</f>
        <v/>
      </c>
      <c r="BQ153" s="2" t="str">
        <f>IF('[3]Model Check'!K148="","",('[3]Model Check'!K148))</f>
        <v/>
      </c>
      <c r="BR153" s="2" t="str">
        <f>IF('[3]Model Check'!L148="","",('[3]Model Check'!L148))</f>
        <v/>
      </c>
      <c r="BS153" s="2" t="str">
        <f>IF('[3]Model Check'!M148="","",('[3]Model Check'!M148))</f>
        <v/>
      </c>
      <c r="BT153" s="2" t="str">
        <f>IF('[3]Model Check'!N148="","",('[3]Model Check'!N148))</f>
        <v/>
      </c>
    </row>
    <row r="154" spans="61:72" ht="18" customHeight="1" x14ac:dyDescent="0.25">
      <c r="BI154" s="2" t="str">
        <f>IF('[3]Model Check'!C149="","",('[3]Model Check'!C149))</f>
        <v/>
      </c>
      <c r="BJ154" s="2" t="str">
        <f>IF('[3]Model Check'!D149="","",('[3]Model Check'!D149))</f>
        <v/>
      </c>
      <c r="BK154" s="2" t="str">
        <f>IF('[3]Model Check'!E149="","",('[3]Model Check'!E149))</f>
        <v/>
      </c>
      <c r="BL154" s="2" t="str">
        <f>IF('[3]Model Check'!F149="","",('[3]Model Check'!F149))</f>
        <v/>
      </c>
      <c r="BM154" s="2" t="str">
        <f>IF('[3]Model Check'!G149="","",('[3]Model Check'!G149))</f>
        <v/>
      </c>
      <c r="BN154" s="2" t="str">
        <f>IF('[3]Model Check'!H149="","",('[3]Model Check'!H149))</f>
        <v/>
      </c>
      <c r="BO154" s="2" t="str">
        <f>IF('[3]Model Check'!I149="","",('[3]Model Check'!I149))</f>
        <v/>
      </c>
      <c r="BP154" s="2" t="str">
        <f>IF('[3]Model Check'!J149="","",('[3]Model Check'!J149))</f>
        <v/>
      </c>
      <c r="BQ154" s="2" t="str">
        <f>IF('[3]Model Check'!K149="","",('[3]Model Check'!K149))</f>
        <v/>
      </c>
      <c r="BR154" s="2" t="str">
        <f>IF('[3]Model Check'!L149="","",('[3]Model Check'!L149))</f>
        <v/>
      </c>
      <c r="BS154" s="2" t="str">
        <f>IF('[3]Model Check'!M149="","",('[3]Model Check'!M149))</f>
        <v/>
      </c>
      <c r="BT154" s="2" t="str">
        <f>IF('[3]Model Check'!N149="","",('[3]Model Check'!N149))</f>
        <v/>
      </c>
    </row>
    <row r="155" spans="61:72" ht="18" customHeight="1" x14ac:dyDescent="0.25">
      <c r="BI155" s="2" t="str">
        <f>IF('[3]Model Check'!C150="","",('[3]Model Check'!C150))</f>
        <v/>
      </c>
      <c r="BJ155" s="2" t="str">
        <f>IF('[3]Model Check'!D150="","",('[3]Model Check'!D150))</f>
        <v/>
      </c>
      <c r="BK155" s="2" t="str">
        <f>IF('[3]Model Check'!E150="","",('[3]Model Check'!E150))</f>
        <v/>
      </c>
      <c r="BL155" s="2" t="str">
        <f>IF('[3]Model Check'!F150="","",('[3]Model Check'!F150))</f>
        <v/>
      </c>
      <c r="BM155" s="2" t="str">
        <f>IF('[3]Model Check'!G150="","",('[3]Model Check'!G150))</f>
        <v/>
      </c>
      <c r="BN155" s="2" t="str">
        <f>IF('[3]Model Check'!H150="","",('[3]Model Check'!H150))</f>
        <v/>
      </c>
      <c r="BO155" s="2" t="str">
        <f>IF('[3]Model Check'!I150="","",('[3]Model Check'!I150))</f>
        <v/>
      </c>
      <c r="BP155" s="2" t="str">
        <f>IF('[3]Model Check'!J150="","",('[3]Model Check'!J150))</f>
        <v/>
      </c>
      <c r="BQ155" s="2" t="str">
        <f>IF('[3]Model Check'!K150="","",('[3]Model Check'!K150))</f>
        <v/>
      </c>
      <c r="BR155" s="2" t="str">
        <f>IF('[3]Model Check'!L150="","",('[3]Model Check'!L150))</f>
        <v/>
      </c>
      <c r="BS155" s="2" t="str">
        <f>IF('[3]Model Check'!M150="","",('[3]Model Check'!M150))</f>
        <v/>
      </c>
      <c r="BT155" s="2" t="str">
        <f>IF('[3]Model Check'!N150="","",('[3]Model Check'!N150))</f>
        <v/>
      </c>
    </row>
    <row r="156" spans="61:72" ht="18" customHeight="1" x14ac:dyDescent="0.25">
      <c r="BI156" s="2" t="str">
        <f>IF('[3]Model Check'!C151="","",('[3]Model Check'!C151))</f>
        <v/>
      </c>
      <c r="BJ156" s="2" t="str">
        <f>IF('[3]Model Check'!D151="","",('[3]Model Check'!D151))</f>
        <v/>
      </c>
      <c r="BK156" s="2" t="str">
        <f>IF('[3]Model Check'!E151="","",('[3]Model Check'!E151))</f>
        <v/>
      </c>
      <c r="BL156" s="2" t="str">
        <f>IF('[3]Model Check'!F151="","",('[3]Model Check'!F151))</f>
        <v/>
      </c>
      <c r="BM156" s="2" t="str">
        <f>IF('[3]Model Check'!G151="","",('[3]Model Check'!G151))</f>
        <v/>
      </c>
      <c r="BN156" s="2" t="str">
        <f>IF('[3]Model Check'!H151="","",('[3]Model Check'!H151))</f>
        <v/>
      </c>
      <c r="BO156" s="2" t="str">
        <f>IF('[3]Model Check'!I151="","",('[3]Model Check'!I151))</f>
        <v/>
      </c>
      <c r="BP156" s="2" t="str">
        <f>IF('[3]Model Check'!J151="","",('[3]Model Check'!J151))</f>
        <v/>
      </c>
      <c r="BQ156" s="2" t="str">
        <f>IF('[3]Model Check'!K151="","",('[3]Model Check'!K151))</f>
        <v/>
      </c>
      <c r="BR156" s="2" t="str">
        <f>IF('[3]Model Check'!L151="","",('[3]Model Check'!L151))</f>
        <v/>
      </c>
      <c r="BS156" s="2" t="str">
        <f>IF('[3]Model Check'!M151="","",('[3]Model Check'!M151))</f>
        <v/>
      </c>
      <c r="BT156" s="2" t="str">
        <f>IF('[3]Model Check'!N151="","",('[3]Model Check'!N151))</f>
        <v/>
      </c>
    </row>
    <row r="157" spans="61:72" ht="18" customHeight="1" x14ac:dyDescent="0.25">
      <c r="BI157" s="2" t="str">
        <f>IF('[3]Model Check'!C152="","",('[3]Model Check'!C152))</f>
        <v/>
      </c>
      <c r="BJ157" s="2" t="str">
        <f>IF('[3]Model Check'!D152="","",('[3]Model Check'!D152))</f>
        <v/>
      </c>
      <c r="BK157" s="2" t="str">
        <f>IF('[3]Model Check'!E152="","",('[3]Model Check'!E152))</f>
        <v/>
      </c>
      <c r="BL157" s="2" t="str">
        <f>IF('[3]Model Check'!F152="","",('[3]Model Check'!F152))</f>
        <v/>
      </c>
      <c r="BM157" s="2" t="str">
        <f>IF('[3]Model Check'!G152="","",('[3]Model Check'!G152))</f>
        <v/>
      </c>
      <c r="BN157" s="2" t="str">
        <f>IF('[3]Model Check'!H152="","",('[3]Model Check'!H152))</f>
        <v/>
      </c>
      <c r="BO157" s="2" t="str">
        <f>IF('[3]Model Check'!I152="","",('[3]Model Check'!I152))</f>
        <v/>
      </c>
      <c r="BP157" s="2" t="str">
        <f>IF('[3]Model Check'!J152="","",('[3]Model Check'!J152))</f>
        <v/>
      </c>
      <c r="BQ157" s="2" t="str">
        <f>IF('[3]Model Check'!K152="","",('[3]Model Check'!K152))</f>
        <v/>
      </c>
      <c r="BR157" s="2" t="str">
        <f>IF('[3]Model Check'!L152="","",('[3]Model Check'!L152))</f>
        <v/>
      </c>
      <c r="BS157" s="2" t="str">
        <f>IF('[3]Model Check'!M152="","",('[3]Model Check'!M152))</f>
        <v/>
      </c>
      <c r="BT157" s="2" t="str">
        <f>IF('[3]Model Check'!N152="","",('[3]Model Check'!N152))</f>
        <v/>
      </c>
    </row>
    <row r="158" spans="61:72" ht="18" customHeight="1" x14ac:dyDescent="0.25">
      <c r="BI158" s="2" t="str">
        <f>IF('[3]Model Check'!C153="","",('[3]Model Check'!C153))</f>
        <v/>
      </c>
      <c r="BJ158" s="2" t="str">
        <f>IF('[3]Model Check'!D153="","",('[3]Model Check'!D153))</f>
        <v/>
      </c>
      <c r="BK158" s="2" t="str">
        <f>IF('[3]Model Check'!E153="","",('[3]Model Check'!E153))</f>
        <v/>
      </c>
      <c r="BL158" s="2" t="str">
        <f>IF('[3]Model Check'!F153="","",('[3]Model Check'!F153))</f>
        <v/>
      </c>
      <c r="BM158" s="2" t="str">
        <f>IF('[3]Model Check'!G153="","",('[3]Model Check'!G153))</f>
        <v/>
      </c>
      <c r="BN158" s="2" t="str">
        <f>IF('[3]Model Check'!H153="","",('[3]Model Check'!H153))</f>
        <v/>
      </c>
      <c r="BO158" s="2" t="str">
        <f>IF('[3]Model Check'!I153="","",('[3]Model Check'!I153))</f>
        <v/>
      </c>
      <c r="BP158" s="2" t="str">
        <f>IF('[3]Model Check'!J153="","",('[3]Model Check'!J153))</f>
        <v/>
      </c>
      <c r="BQ158" s="2" t="str">
        <f>IF('[3]Model Check'!K153="","",('[3]Model Check'!K153))</f>
        <v/>
      </c>
      <c r="BR158" s="2" t="str">
        <f>IF('[3]Model Check'!L153="","",('[3]Model Check'!L153))</f>
        <v/>
      </c>
      <c r="BS158" s="2" t="str">
        <f>IF('[3]Model Check'!M153="","",('[3]Model Check'!M153))</f>
        <v/>
      </c>
      <c r="BT158" s="2" t="str">
        <f>IF('[3]Model Check'!N153="","",('[3]Model Check'!N153))</f>
        <v/>
      </c>
    </row>
    <row r="159" spans="61:72" ht="18" customHeight="1" x14ac:dyDescent="0.25">
      <c r="BI159" s="2" t="str">
        <f>IF('[3]Model Check'!C154="","",('[3]Model Check'!C154))</f>
        <v/>
      </c>
      <c r="BJ159" s="2" t="str">
        <f>IF('[3]Model Check'!D154="","",('[3]Model Check'!D154))</f>
        <v/>
      </c>
      <c r="BK159" s="2" t="str">
        <f>IF('[3]Model Check'!E154="","",('[3]Model Check'!E154))</f>
        <v/>
      </c>
      <c r="BL159" s="2" t="str">
        <f>IF('[3]Model Check'!F154="","",('[3]Model Check'!F154))</f>
        <v/>
      </c>
      <c r="BM159" s="2" t="str">
        <f>IF('[3]Model Check'!G154="","",('[3]Model Check'!G154))</f>
        <v/>
      </c>
      <c r="BN159" s="2" t="str">
        <f>IF('[3]Model Check'!H154="","",('[3]Model Check'!H154))</f>
        <v/>
      </c>
      <c r="BO159" s="2" t="str">
        <f>IF('[3]Model Check'!I154="","",('[3]Model Check'!I154))</f>
        <v/>
      </c>
      <c r="BP159" s="2" t="str">
        <f>IF('[3]Model Check'!J154="","",('[3]Model Check'!J154))</f>
        <v/>
      </c>
      <c r="BQ159" s="2" t="str">
        <f>IF('[3]Model Check'!K154="","",('[3]Model Check'!K154))</f>
        <v/>
      </c>
      <c r="BR159" s="2" t="str">
        <f>IF('[3]Model Check'!L154="","",('[3]Model Check'!L154))</f>
        <v/>
      </c>
      <c r="BS159" s="2" t="str">
        <f>IF('[3]Model Check'!M154="","",('[3]Model Check'!M154))</f>
        <v/>
      </c>
      <c r="BT159" s="2" t="str">
        <f>IF('[3]Model Check'!N154="","",('[3]Model Check'!N154))</f>
        <v/>
      </c>
    </row>
    <row r="160" spans="61:72" ht="18" customHeight="1" x14ac:dyDescent="0.25">
      <c r="BI160" s="2" t="str">
        <f>IF('[3]Model Check'!C155="","",('[3]Model Check'!C155))</f>
        <v/>
      </c>
      <c r="BJ160" s="2" t="str">
        <f>IF('[3]Model Check'!D155="","",('[3]Model Check'!D155))</f>
        <v/>
      </c>
      <c r="BK160" s="2" t="str">
        <f>IF('[3]Model Check'!E155="","",('[3]Model Check'!E155))</f>
        <v/>
      </c>
      <c r="BL160" s="2" t="str">
        <f>IF('[3]Model Check'!F155="","",('[3]Model Check'!F155))</f>
        <v/>
      </c>
      <c r="BM160" s="2" t="str">
        <f>IF('[3]Model Check'!G155="","",('[3]Model Check'!G155))</f>
        <v/>
      </c>
      <c r="BN160" s="2" t="str">
        <f>IF('[3]Model Check'!H155="","",('[3]Model Check'!H155))</f>
        <v/>
      </c>
      <c r="BO160" s="2" t="str">
        <f>IF('[3]Model Check'!I155="","",('[3]Model Check'!I155))</f>
        <v/>
      </c>
      <c r="BP160" s="2" t="str">
        <f>IF('[3]Model Check'!J155="","",('[3]Model Check'!J155))</f>
        <v/>
      </c>
      <c r="BQ160" s="2" t="str">
        <f>IF('[3]Model Check'!K155="","",('[3]Model Check'!K155))</f>
        <v/>
      </c>
      <c r="BR160" s="2" t="str">
        <f>IF('[3]Model Check'!L155="","",('[3]Model Check'!L155))</f>
        <v/>
      </c>
      <c r="BS160" s="2" t="str">
        <f>IF('[3]Model Check'!M155="","",('[3]Model Check'!M155))</f>
        <v/>
      </c>
      <c r="BT160" s="2" t="str">
        <f>IF('[3]Model Check'!N155="","",('[3]Model Check'!N155))</f>
        <v/>
      </c>
    </row>
    <row r="161" spans="61:72" ht="18" customHeight="1" x14ac:dyDescent="0.25">
      <c r="BI161" s="2" t="str">
        <f>IF('[3]Model Check'!C156="","",('[3]Model Check'!C156))</f>
        <v/>
      </c>
      <c r="BJ161" s="2" t="str">
        <f>IF('[3]Model Check'!D156="","",('[3]Model Check'!D156))</f>
        <v/>
      </c>
      <c r="BK161" s="2" t="str">
        <f>IF('[3]Model Check'!E156="","",('[3]Model Check'!E156))</f>
        <v/>
      </c>
      <c r="BL161" s="2" t="str">
        <f>IF('[3]Model Check'!F156="","",('[3]Model Check'!F156))</f>
        <v/>
      </c>
      <c r="BM161" s="2" t="str">
        <f>IF('[3]Model Check'!G156="","",('[3]Model Check'!G156))</f>
        <v/>
      </c>
      <c r="BN161" s="2" t="str">
        <f>IF('[3]Model Check'!H156="","",('[3]Model Check'!H156))</f>
        <v/>
      </c>
      <c r="BO161" s="2" t="str">
        <f>IF('[3]Model Check'!I156="","",('[3]Model Check'!I156))</f>
        <v/>
      </c>
      <c r="BP161" s="2" t="str">
        <f>IF('[3]Model Check'!J156="","",('[3]Model Check'!J156))</f>
        <v/>
      </c>
      <c r="BQ161" s="2" t="str">
        <f>IF('[3]Model Check'!K156="","",('[3]Model Check'!K156))</f>
        <v/>
      </c>
      <c r="BR161" s="2" t="str">
        <f>IF('[3]Model Check'!L156="","",('[3]Model Check'!L156))</f>
        <v/>
      </c>
      <c r="BS161" s="2" t="str">
        <f>IF('[3]Model Check'!M156="","",('[3]Model Check'!M156))</f>
        <v/>
      </c>
      <c r="BT161" s="2" t="str">
        <f>IF('[3]Model Check'!N156="","",('[3]Model Check'!N156))</f>
        <v/>
      </c>
    </row>
    <row r="162" spans="61:72" ht="18" customHeight="1" x14ac:dyDescent="0.25">
      <c r="BI162" s="2" t="str">
        <f>IF('[3]Model Check'!C157="","",('[3]Model Check'!C157))</f>
        <v/>
      </c>
      <c r="BJ162" s="2" t="str">
        <f>IF('[3]Model Check'!D157="","",('[3]Model Check'!D157))</f>
        <v/>
      </c>
      <c r="BK162" s="2" t="str">
        <f>IF('[3]Model Check'!E157="","",('[3]Model Check'!E157))</f>
        <v/>
      </c>
      <c r="BL162" s="2" t="str">
        <f>IF('[3]Model Check'!F157="","",('[3]Model Check'!F157))</f>
        <v/>
      </c>
      <c r="BM162" s="2" t="str">
        <f>IF('[3]Model Check'!G157="","",('[3]Model Check'!G157))</f>
        <v/>
      </c>
      <c r="BN162" s="2" t="str">
        <f>IF('[3]Model Check'!H157="","",('[3]Model Check'!H157))</f>
        <v/>
      </c>
      <c r="BO162" s="2" t="str">
        <f>IF('[3]Model Check'!I157="","",('[3]Model Check'!I157))</f>
        <v/>
      </c>
      <c r="BP162" s="2" t="str">
        <f>IF('[3]Model Check'!J157="","",('[3]Model Check'!J157))</f>
        <v/>
      </c>
      <c r="BQ162" s="2" t="str">
        <f>IF('[3]Model Check'!K157="","",('[3]Model Check'!K157))</f>
        <v/>
      </c>
      <c r="BR162" s="2" t="str">
        <f>IF('[3]Model Check'!L157="","",('[3]Model Check'!L157))</f>
        <v/>
      </c>
      <c r="BS162" s="2" t="str">
        <f>IF('[3]Model Check'!M157="","",('[3]Model Check'!M157))</f>
        <v/>
      </c>
      <c r="BT162" s="2" t="str">
        <f>IF('[3]Model Check'!N157="","",('[3]Model Check'!N157))</f>
        <v/>
      </c>
    </row>
    <row r="163" spans="61:72" ht="18" customHeight="1" x14ac:dyDescent="0.25">
      <c r="BI163" s="2" t="str">
        <f>IF('[3]Model Check'!C158="","",('[3]Model Check'!C158))</f>
        <v/>
      </c>
      <c r="BJ163" s="2" t="str">
        <f>IF('[3]Model Check'!D158="","",('[3]Model Check'!D158))</f>
        <v/>
      </c>
      <c r="BK163" s="2" t="str">
        <f>IF('[3]Model Check'!E158="","",('[3]Model Check'!E158))</f>
        <v/>
      </c>
      <c r="BL163" s="2" t="str">
        <f>IF('[3]Model Check'!F158="","",('[3]Model Check'!F158))</f>
        <v/>
      </c>
      <c r="BM163" s="2" t="str">
        <f>IF('[3]Model Check'!G158="","",('[3]Model Check'!G158))</f>
        <v/>
      </c>
      <c r="BN163" s="2" t="str">
        <f>IF('[3]Model Check'!H158="","",('[3]Model Check'!H158))</f>
        <v/>
      </c>
      <c r="BO163" s="2" t="str">
        <f>IF('[3]Model Check'!I158="","",('[3]Model Check'!I158))</f>
        <v/>
      </c>
      <c r="BP163" s="2" t="str">
        <f>IF('[3]Model Check'!J158="","",('[3]Model Check'!J158))</f>
        <v/>
      </c>
      <c r="BQ163" s="2" t="str">
        <f>IF('[3]Model Check'!K158="","",('[3]Model Check'!K158))</f>
        <v/>
      </c>
      <c r="BR163" s="2" t="str">
        <f>IF('[3]Model Check'!L158="","",('[3]Model Check'!L158))</f>
        <v/>
      </c>
      <c r="BS163" s="2" t="str">
        <f>IF('[3]Model Check'!M158="","",('[3]Model Check'!M158))</f>
        <v/>
      </c>
      <c r="BT163" s="2" t="str">
        <f>IF('[3]Model Check'!N158="","",('[3]Model Check'!N158))</f>
        <v/>
      </c>
    </row>
    <row r="164" spans="61:72" ht="18" customHeight="1" x14ac:dyDescent="0.25">
      <c r="BI164" s="2" t="str">
        <f>IF('[3]Model Check'!C159="","",('[3]Model Check'!C159))</f>
        <v/>
      </c>
      <c r="BJ164" s="2" t="str">
        <f>IF('[3]Model Check'!D159="","",('[3]Model Check'!D159))</f>
        <v/>
      </c>
      <c r="BK164" s="2" t="str">
        <f>IF('[3]Model Check'!E159="","",('[3]Model Check'!E159))</f>
        <v/>
      </c>
      <c r="BL164" s="2" t="str">
        <f>IF('[3]Model Check'!F159="","",('[3]Model Check'!F159))</f>
        <v/>
      </c>
      <c r="BM164" s="2" t="str">
        <f>IF('[3]Model Check'!G159="","",('[3]Model Check'!G159))</f>
        <v/>
      </c>
      <c r="BN164" s="2" t="str">
        <f>IF('[3]Model Check'!H159="","",('[3]Model Check'!H159))</f>
        <v/>
      </c>
      <c r="BO164" s="2" t="str">
        <f>IF('[3]Model Check'!I159="","",('[3]Model Check'!I159))</f>
        <v/>
      </c>
      <c r="BP164" s="2" t="str">
        <f>IF('[3]Model Check'!J159="","",('[3]Model Check'!J159))</f>
        <v/>
      </c>
      <c r="BQ164" s="2" t="str">
        <f>IF('[3]Model Check'!K159="","",('[3]Model Check'!K159))</f>
        <v/>
      </c>
      <c r="BR164" s="2" t="str">
        <f>IF('[3]Model Check'!L159="","",('[3]Model Check'!L159))</f>
        <v/>
      </c>
      <c r="BS164" s="2" t="str">
        <f>IF('[3]Model Check'!M159="","",('[3]Model Check'!M159))</f>
        <v/>
      </c>
      <c r="BT164" s="2" t="str">
        <f>IF('[3]Model Check'!N159="","",('[3]Model Check'!N159))</f>
        <v/>
      </c>
    </row>
    <row r="165" spans="61:72" ht="18" customHeight="1" x14ac:dyDescent="0.25">
      <c r="BI165" s="2" t="str">
        <f>IF('[3]Model Check'!C160="","",('[3]Model Check'!C160))</f>
        <v/>
      </c>
      <c r="BJ165" s="2" t="str">
        <f>IF('[3]Model Check'!D160="","",('[3]Model Check'!D160))</f>
        <v/>
      </c>
      <c r="BK165" s="2" t="str">
        <f>IF('[3]Model Check'!E160="","",('[3]Model Check'!E160))</f>
        <v/>
      </c>
      <c r="BL165" s="2" t="str">
        <f>IF('[3]Model Check'!F160="","",('[3]Model Check'!F160))</f>
        <v/>
      </c>
      <c r="BM165" s="2" t="str">
        <f>IF('[3]Model Check'!G160="","",('[3]Model Check'!G160))</f>
        <v/>
      </c>
      <c r="BN165" s="2" t="str">
        <f>IF('[3]Model Check'!H160="","",('[3]Model Check'!H160))</f>
        <v/>
      </c>
      <c r="BO165" s="2" t="str">
        <f>IF('[3]Model Check'!I160="","",('[3]Model Check'!I160))</f>
        <v/>
      </c>
      <c r="BP165" s="2" t="str">
        <f>IF('[3]Model Check'!J160="","",('[3]Model Check'!J160))</f>
        <v/>
      </c>
      <c r="BQ165" s="2" t="str">
        <f>IF('[3]Model Check'!K160="","",('[3]Model Check'!K160))</f>
        <v/>
      </c>
      <c r="BR165" s="2" t="str">
        <f>IF('[3]Model Check'!L160="","",('[3]Model Check'!L160))</f>
        <v/>
      </c>
      <c r="BS165" s="2" t="str">
        <f>IF('[3]Model Check'!M160="","",('[3]Model Check'!M160))</f>
        <v/>
      </c>
      <c r="BT165" s="2" t="str">
        <f>IF('[3]Model Check'!N160="","",('[3]Model Check'!N160))</f>
        <v/>
      </c>
    </row>
    <row r="166" spans="61:72" ht="18" customHeight="1" x14ac:dyDescent="0.25">
      <c r="BI166" s="2" t="str">
        <f>IF('[3]Model Check'!C161="","",('[3]Model Check'!C161))</f>
        <v/>
      </c>
      <c r="BJ166" s="2" t="str">
        <f>IF('[3]Model Check'!D161="","",('[3]Model Check'!D161))</f>
        <v/>
      </c>
      <c r="BK166" s="2" t="str">
        <f>IF('[3]Model Check'!E161="","",('[3]Model Check'!E161))</f>
        <v/>
      </c>
      <c r="BL166" s="2" t="str">
        <f>IF('[3]Model Check'!F161="","",('[3]Model Check'!F161))</f>
        <v/>
      </c>
      <c r="BM166" s="2" t="str">
        <f>IF('[3]Model Check'!G161="","",('[3]Model Check'!G161))</f>
        <v/>
      </c>
      <c r="BN166" s="2" t="str">
        <f>IF('[3]Model Check'!H161="","",('[3]Model Check'!H161))</f>
        <v/>
      </c>
      <c r="BO166" s="2" t="str">
        <f>IF('[3]Model Check'!I161="","",('[3]Model Check'!I161))</f>
        <v/>
      </c>
      <c r="BP166" s="2" t="str">
        <f>IF('[3]Model Check'!J161="","",('[3]Model Check'!J161))</f>
        <v/>
      </c>
      <c r="BQ166" s="2" t="str">
        <f>IF('[3]Model Check'!K161="","",('[3]Model Check'!K161))</f>
        <v/>
      </c>
      <c r="BR166" s="2" t="str">
        <f>IF('[3]Model Check'!L161="","",('[3]Model Check'!L161))</f>
        <v/>
      </c>
      <c r="BS166" s="2" t="str">
        <f>IF('[3]Model Check'!M161="","",('[3]Model Check'!M161))</f>
        <v/>
      </c>
      <c r="BT166" s="2" t="str">
        <f>IF('[3]Model Check'!N161="","",('[3]Model Check'!N161))</f>
        <v/>
      </c>
    </row>
    <row r="167" spans="61:72" ht="18" customHeight="1" x14ac:dyDescent="0.25">
      <c r="BI167" s="2" t="str">
        <f>IF('[3]Model Check'!C162="","",('[3]Model Check'!C162))</f>
        <v/>
      </c>
      <c r="BJ167" s="2" t="str">
        <f>IF('[3]Model Check'!D162="","",('[3]Model Check'!D162))</f>
        <v/>
      </c>
      <c r="BK167" s="2" t="str">
        <f>IF('[3]Model Check'!E162="","",('[3]Model Check'!E162))</f>
        <v/>
      </c>
      <c r="BL167" s="2" t="str">
        <f>IF('[3]Model Check'!F162="","",('[3]Model Check'!F162))</f>
        <v/>
      </c>
      <c r="BM167" s="2" t="str">
        <f>IF('[3]Model Check'!G162="","",('[3]Model Check'!G162))</f>
        <v/>
      </c>
      <c r="BN167" s="2" t="str">
        <f>IF('[3]Model Check'!H162="","",('[3]Model Check'!H162))</f>
        <v/>
      </c>
      <c r="BO167" s="2" t="str">
        <f>IF('[3]Model Check'!I162="","",('[3]Model Check'!I162))</f>
        <v/>
      </c>
      <c r="BP167" s="2" t="str">
        <f>IF('[3]Model Check'!J162="","",('[3]Model Check'!J162))</f>
        <v/>
      </c>
      <c r="BQ167" s="2" t="str">
        <f>IF('[3]Model Check'!K162="","",('[3]Model Check'!K162))</f>
        <v/>
      </c>
      <c r="BR167" s="2" t="str">
        <f>IF('[3]Model Check'!L162="","",('[3]Model Check'!L162))</f>
        <v/>
      </c>
      <c r="BS167" s="2" t="str">
        <f>IF('[3]Model Check'!M162="","",('[3]Model Check'!M162))</f>
        <v/>
      </c>
      <c r="BT167" s="2" t="str">
        <f>IF('[3]Model Check'!N162="","",('[3]Model Check'!N162))</f>
        <v/>
      </c>
    </row>
    <row r="168" spans="61:72" ht="18" customHeight="1" x14ac:dyDescent="0.25">
      <c r="BI168" s="2" t="str">
        <f>IF('[3]Model Check'!C163="","",('[3]Model Check'!C163))</f>
        <v/>
      </c>
      <c r="BJ168" s="2" t="str">
        <f>IF('[3]Model Check'!D163="","",('[3]Model Check'!D163))</f>
        <v/>
      </c>
      <c r="BK168" s="2" t="str">
        <f>IF('[3]Model Check'!E163="","",('[3]Model Check'!E163))</f>
        <v/>
      </c>
      <c r="BL168" s="2" t="str">
        <f>IF('[3]Model Check'!F163="","",('[3]Model Check'!F163))</f>
        <v/>
      </c>
      <c r="BM168" s="2" t="str">
        <f>IF('[3]Model Check'!G163="","",('[3]Model Check'!G163))</f>
        <v/>
      </c>
      <c r="BN168" s="2" t="str">
        <f>IF('[3]Model Check'!H163="","",('[3]Model Check'!H163))</f>
        <v/>
      </c>
      <c r="BO168" s="2" t="str">
        <f>IF('[3]Model Check'!I163="","",('[3]Model Check'!I163))</f>
        <v/>
      </c>
      <c r="BP168" s="2" t="str">
        <f>IF('[3]Model Check'!J163="","",('[3]Model Check'!J163))</f>
        <v/>
      </c>
      <c r="BQ168" s="2" t="str">
        <f>IF('[3]Model Check'!K163="","",('[3]Model Check'!K163))</f>
        <v/>
      </c>
      <c r="BR168" s="2" t="str">
        <f>IF('[3]Model Check'!L163="","",('[3]Model Check'!L163))</f>
        <v/>
      </c>
      <c r="BS168" s="2" t="str">
        <f>IF('[3]Model Check'!M163="","",('[3]Model Check'!M163))</f>
        <v/>
      </c>
      <c r="BT168" s="2" t="str">
        <f>IF('[3]Model Check'!N163="","",('[3]Model Check'!N163))</f>
        <v/>
      </c>
    </row>
    <row r="169" spans="61:72" ht="18" customHeight="1" x14ac:dyDescent="0.25">
      <c r="BI169" s="2" t="str">
        <f>IF('[3]Model Check'!C164="","",('[3]Model Check'!C164))</f>
        <v/>
      </c>
      <c r="BJ169" s="2" t="str">
        <f>IF('[3]Model Check'!D164="","",('[3]Model Check'!D164))</f>
        <v/>
      </c>
      <c r="BK169" s="2" t="str">
        <f>IF('[3]Model Check'!E164="","",('[3]Model Check'!E164))</f>
        <v/>
      </c>
      <c r="BL169" s="2" t="str">
        <f>IF('[3]Model Check'!F164="","",('[3]Model Check'!F164))</f>
        <v/>
      </c>
      <c r="BM169" s="2" t="str">
        <f>IF('[3]Model Check'!G164="","",('[3]Model Check'!G164))</f>
        <v/>
      </c>
      <c r="BN169" s="2" t="str">
        <f>IF('[3]Model Check'!H164="","",('[3]Model Check'!H164))</f>
        <v/>
      </c>
      <c r="BO169" s="2" t="str">
        <f>IF('[3]Model Check'!I164="","",('[3]Model Check'!I164))</f>
        <v/>
      </c>
      <c r="BP169" s="2" t="str">
        <f>IF('[3]Model Check'!J164="","",('[3]Model Check'!J164))</f>
        <v/>
      </c>
      <c r="BQ169" s="2" t="str">
        <f>IF('[3]Model Check'!K164="","",('[3]Model Check'!K164))</f>
        <v/>
      </c>
      <c r="BR169" s="2" t="str">
        <f>IF('[3]Model Check'!L164="","",('[3]Model Check'!L164))</f>
        <v/>
      </c>
      <c r="BS169" s="2" t="str">
        <f>IF('[3]Model Check'!M164="","",('[3]Model Check'!M164))</f>
        <v/>
      </c>
      <c r="BT169" s="2" t="str">
        <f>IF('[3]Model Check'!N164="","",('[3]Model Check'!N164))</f>
        <v/>
      </c>
    </row>
    <row r="170" spans="61:72" ht="18" customHeight="1" x14ac:dyDescent="0.25">
      <c r="BI170" s="2" t="str">
        <f>IF('[3]Model Check'!C165="","",('[3]Model Check'!C165))</f>
        <v/>
      </c>
      <c r="BJ170" s="2" t="str">
        <f>IF('[3]Model Check'!D165="","",('[3]Model Check'!D165))</f>
        <v/>
      </c>
      <c r="BK170" s="2" t="str">
        <f>IF('[3]Model Check'!E165="","",('[3]Model Check'!E165))</f>
        <v/>
      </c>
      <c r="BL170" s="2" t="str">
        <f>IF('[3]Model Check'!F165="","",('[3]Model Check'!F165))</f>
        <v/>
      </c>
      <c r="BM170" s="2" t="str">
        <f>IF('[3]Model Check'!G165="","",('[3]Model Check'!G165))</f>
        <v/>
      </c>
      <c r="BN170" s="2" t="str">
        <f>IF('[3]Model Check'!H165="","",('[3]Model Check'!H165))</f>
        <v/>
      </c>
      <c r="BO170" s="2" t="str">
        <f>IF('[3]Model Check'!I165="","",('[3]Model Check'!I165))</f>
        <v/>
      </c>
      <c r="BP170" s="2" t="str">
        <f>IF('[3]Model Check'!J165="","",('[3]Model Check'!J165))</f>
        <v/>
      </c>
      <c r="BQ170" s="2" t="str">
        <f>IF('[3]Model Check'!K165="","",('[3]Model Check'!K165))</f>
        <v/>
      </c>
      <c r="BR170" s="2" t="str">
        <f>IF('[3]Model Check'!L165="","",('[3]Model Check'!L165))</f>
        <v/>
      </c>
      <c r="BS170" s="2" t="str">
        <f>IF('[3]Model Check'!M165="","",('[3]Model Check'!M165))</f>
        <v/>
      </c>
      <c r="BT170" s="2" t="str">
        <f>IF('[3]Model Check'!N165="","",('[3]Model Check'!N165))</f>
        <v/>
      </c>
    </row>
    <row r="171" spans="61:72" ht="18" customHeight="1" x14ac:dyDescent="0.25">
      <c r="BI171" s="2" t="str">
        <f>IF('[3]Model Check'!C166="","",('[3]Model Check'!C166))</f>
        <v/>
      </c>
      <c r="BJ171" s="2" t="str">
        <f>IF('[3]Model Check'!D166="","",('[3]Model Check'!D166))</f>
        <v/>
      </c>
      <c r="BK171" s="2" t="str">
        <f>IF('[3]Model Check'!E166="","",('[3]Model Check'!E166))</f>
        <v/>
      </c>
      <c r="BL171" s="2" t="str">
        <f>IF('[3]Model Check'!F166="","",('[3]Model Check'!F166))</f>
        <v/>
      </c>
      <c r="BM171" s="2" t="str">
        <f>IF('[3]Model Check'!G166="","",('[3]Model Check'!G166))</f>
        <v/>
      </c>
      <c r="BN171" s="2" t="str">
        <f>IF('[3]Model Check'!H166="","",('[3]Model Check'!H166))</f>
        <v/>
      </c>
      <c r="BO171" s="2" t="str">
        <f>IF('[3]Model Check'!I166="","",('[3]Model Check'!I166))</f>
        <v/>
      </c>
      <c r="BP171" s="2" t="str">
        <f>IF('[3]Model Check'!J166="","",('[3]Model Check'!J166))</f>
        <v/>
      </c>
      <c r="BQ171" s="2" t="str">
        <f>IF('[3]Model Check'!K166="","",('[3]Model Check'!K166))</f>
        <v/>
      </c>
      <c r="BR171" s="2" t="str">
        <f>IF('[3]Model Check'!L166="","",('[3]Model Check'!L166))</f>
        <v/>
      </c>
      <c r="BS171" s="2" t="str">
        <f>IF('[3]Model Check'!M166="","",('[3]Model Check'!M166))</f>
        <v/>
      </c>
      <c r="BT171" s="2" t="str">
        <f>IF('[3]Model Check'!N166="","",('[3]Model Check'!N166))</f>
        <v/>
      </c>
    </row>
    <row r="172" spans="61:72" ht="18" customHeight="1" x14ac:dyDescent="0.25">
      <c r="BI172" s="2" t="str">
        <f>IF('[3]Model Check'!C167="","",('[3]Model Check'!C167))</f>
        <v/>
      </c>
      <c r="BJ172" s="2" t="str">
        <f>IF('[3]Model Check'!D167="","",('[3]Model Check'!D167))</f>
        <v/>
      </c>
      <c r="BK172" s="2" t="str">
        <f>IF('[3]Model Check'!E167="","",('[3]Model Check'!E167))</f>
        <v/>
      </c>
      <c r="BL172" s="2" t="str">
        <f>IF('[3]Model Check'!F167="","",('[3]Model Check'!F167))</f>
        <v/>
      </c>
      <c r="BM172" s="2" t="str">
        <f>IF('[3]Model Check'!G167="","",('[3]Model Check'!G167))</f>
        <v/>
      </c>
      <c r="BN172" s="2" t="str">
        <f>IF('[3]Model Check'!H167="","",('[3]Model Check'!H167))</f>
        <v/>
      </c>
      <c r="BO172" s="2" t="str">
        <f>IF('[3]Model Check'!I167="","",('[3]Model Check'!I167))</f>
        <v/>
      </c>
      <c r="BP172" s="2" t="str">
        <f>IF('[3]Model Check'!J167="","",('[3]Model Check'!J167))</f>
        <v/>
      </c>
      <c r="BQ172" s="2" t="str">
        <f>IF('[3]Model Check'!K167="","",('[3]Model Check'!K167))</f>
        <v/>
      </c>
      <c r="BR172" s="2" t="str">
        <f>IF('[3]Model Check'!L167="","",('[3]Model Check'!L167))</f>
        <v/>
      </c>
      <c r="BS172" s="2" t="str">
        <f>IF('[3]Model Check'!M167="","",('[3]Model Check'!M167))</f>
        <v/>
      </c>
      <c r="BT172" s="2" t="str">
        <f>IF('[3]Model Check'!N167="","",('[3]Model Check'!N167))</f>
        <v/>
      </c>
    </row>
    <row r="173" spans="61:72" ht="18" customHeight="1" x14ac:dyDescent="0.25">
      <c r="BI173" s="2" t="str">
        <f>IF('[3]Model Check'!C168="","",('[3]Model Check'!C168))</f>
        <v/>
      </c>
      <c r="BJ173" s="2" t="str">
        <f>IF('[3]Model Check'!D168="","",('[3]Model Check'!D168))</f>
        <v/>
      </c>
      <c r="BK173" s="2" t="str">
        <f>IF('[3]Model Check'!E168="","",('[3]Model Check'!E168))</f>
        <v/>
      </c>
      <c r="BL173" s="2" t="str">
        <f>IF('[3]Model Check'!F168="","",('[3]Model Check'!F168))</f>
        <v/>
      </c>
      <c r="BM173" s="2" t="str">
        <f>IF('[3]Model Check'!G168="","",('[3]Model Check'!G168))</f>
        <v/>
      </c>
      <c r="BN173" s="2" t="str">
        <f>IF('[3]Model Check'!H168="","",('[3]Model Check'!H168))</f>
        <v/>
      </c>
      <c r="BO173" s="2" t="str">
        <f>IF('[3]Model Check'!I168="","",('[3]Model Check'!I168))</f>
        <v/>
      </c>
      <c r="BP173" s="2" t="str">
        <f>IF('[3]Model Check'!J168="","",('[3]Model Check'!J168))</f>
        <v/>
      </c>
      <c r="BQ173" s="2" t="str">
        <f>IF('[3]Model Check'!K168="","",('[3]Model Check'!K168))</f>
        <v/>
      </c>
      <c r="BR173" s="2" t="str">
        <f>IF('[3]Model Check'!L168="","",('[3]Model Check'!L168))</f>
        <v/>
      </c>
      <c r="BS173" s="2" t="str">
        <f>IF('[3]Model Check'!M168="","",('[3]Model Check'!M168))</f>
        <v/>
      </c>
      <c r="BT173" s="2" t="str">
        <f>IF('[3]Model Check'!N168="","",('[3]Model Check'!N168))</f>
        <v/>
      </c>
    </row>
    <row r="174" spans="61:72" ht="18" customHeight="1" x14ac:dyDescent="0.25">
      <c r="BI174" s="2" t="str">
        <f>IF('[3]Model Check'!C169="","",('[3]Model Check'!C169))</f>
        <v/>
      </c>
      <c r="BJ174" s="2" t="str">
        <f>IF('[3]Model Check'!D169="","",('[3]Model Check'!D169))</f>
        <v/>
      </c>
      <c r="BK174" s="2" t="str">
        <f>IF('[3]Model Check'!E169="","",('[3]Model Check'!E169))</f>
        <v/>
      </c>
      <c r="BL174" s="2" t="str">
        <f>IF('[3]Model Check'!F169="","",('[3]Model Check'!F169))</f>
        <v/>
      </c>
      <c r="BM174" s="2" t="str">
        <f>IF('[3]Model Check'!G169="","",('[3]Model Check'!G169))</f>
        <v/>
      </c>
      <c r="BN174" s="2" t="str">
        <f>IF('[3]Model Check'!H169="","",('[3]Model Check'!H169))</f>
        <v/>
      </c>
      <c r="BO174" s="2" t="str">
        <f>IF('[3]Model Check'!I169="","",('[3]Model Check'!I169))</f>
        <v/>
      </c>
      <c r="BP174" s="2" t="str">
        <f>IF('[3]Model Check'!J169="","",('[3]Model Check'!J169))</f>
        <v/>
      </c>
      <c r="BQ174" s="2" t="str">
        <f>IF('[3]Model Check'!K169="","",('[3]Model Check'!K169))</f>
        <v/>
      </c>
      <c r="BR174" s="2" t="str">
        <f>IF('[3]Model Check'!L169="","",('[3]Model Check'!L169))</f>
        <v/>
      </c>
      <c r="BS174" s="2" t="str">
        <f>IF('[3]Model Check'!M169="","",('[3]Model Check'!M169))</f>
        <v/>
      </c>
      <c r="BT174" s="2" t="str">
        <f>IF('[3]Model Check'!N169="","",('[3]Model Check'!N169))</f>
        <v/>
      </c>
    </row>
    <row r="175" spans="61:72" ht="18" customHeight="1" x14ac:dyDescent="0.25">
      <c r="BI175" s="2" t="str">
        <f>IF('[3]Model Check'!C170="","",('[3]Model Check'!C170))</f>
        <v/>
      </c>
      <c r="BJ175" s="2" t="str">
        <f>IF('[3]Model Check'!D170="","",('[3]Model Check'!D170))</f>
        <v/>
      </c>
      <c r="BK175" s="2" t="str">
        <f>IF('[3]Model Check'!E170="","",('[3]Model Check'!E170))</f>
        <v/>
      </c>
      <c r="BL175" s="2" t="str">
        <f>IF('[3]Model Check'!F170="","",('[3]Model Check'!F170))</f>
        <v/>
      </c>
      <c r="BM175" s="2" t="str">
        <f>IF('[3]Model Check'!G170="","",('[3]Model Check'!G170))</f>
        <v/>
      </c>
      <c r="BN175" s="2" t="str">
        <f>IF('[3]Model Check'!H170="","",('[3]Model Check'!H170))</f>
        <v/>
      </c>
      <c r="BO175" s="2" t="str">
        <f>IF('[3]Model Check'!I170="","",('[3]Model Check'!I170))</f>
        <v/>
      </c>
      <c r="BP175" s="2" t="str">
        <f>IF('[3]Model Check'!J170="","",('[3]Model Check'!J170))</f>
        <v/>
      </c>
      <c r="BQ175" s="2" t="str">
        <f>IF('[3]Model Check'!K170="","",('[3]Model Check'!K170))</f>
        <v/>
      </c>
      <c r="BR175" s="2" t="str">
        <f>IF('[3]Model Check'!L170="","",('[3]Model Check'!L170))</f>
        <v/>
      </c>
      <c r="BS175" s="2" t="str">
        <f>IF('[3]Model Check'!M170="","",('[3]Model Check'!M170))</f>
        <v/>
      </c>
      <c r="BT175" s="2" t="str">
        <f>IF('[3]Model Check'!N170="","",('[3]Model Check'!N170))</f>
        <v/>
      </c>
    </row>
    <row r="176" spans="61:72" ht="18" customHeight="1" x14ac:dyDescent="0.25">
      <c r="BI176" s="2" t="str">
        <f>IF('[3]Model Check'!C171="","",('[3]Model Check'!C171))</f>
        <v/>
      </c>
      <c r="BJ176" s="2" t="str">
        <f>IF('[3]Model Check'!D171="","",('[3]Model Check'!D171))</f>
        <v/>
      </c>
      <c r="BK176" s="2" t="str">
        <f>IF('[3]Model Check'!E171="","",('[3]Model Check'!E171))</f>
        <v/>
      </c>
      <c r="BL176" s="2" t="str">
        <f>IF('[3]Model Check'!F171="","",('[3]Model Check'!F171))</f>
        <v/>
      </c>
      <c r="BM176" s="2" t="str">
        <f>IF('[3]Model Check'!G171="","",('[3]Model Check'!G171))</f>
        <v/>
      </c>
      <c r="BN176" s="2" t="str">
        <f>IF('[3]Model Check'!H171="","",('[3]Model Check'!H171))</f>
        <v/>
      </c>
      <c r="BO176" s="2" t="str">
        <f>IF('[3]Model Check'!I171="","",('[3]Model Check'!I171))</f>
        <v/>
      </c>
      <c r="BP176" s="2" t="str">
        <f>IF('[3]Model Check'!J171="","",('[3]Model Check'!J171))</f>
        <v/>
      </c>
      <c r="BQ176" s="2" t="str">
        <f>IF('[3]Model Check'!K171="","",('[3]Model Check'!K171))</f>
        <v/>
      </c>
      <c r="BR176" s="2" t="str">
        <f>IF('[3]Model Check'!L171="","",('[3]Model Check'!L171))</f>
        <v/>
      </c>
      <c r="BS176" s="2" t="str">
        <f>IF('[3]Model Check'!M171="","",('[3]Model Check'!M171))</f>
        <v/>
      </c>
      <c r="BT176" s="2" t="str">
        <f>IF('[3]Model Check'!N171="","",('[3]Model Check'!N171))</f>
        <v/>
      </c>
    </row>
    <row r="177" spans="61:72" ht="18" customHeight="1" x14ac:dyDescent="0.25">
      <c r="BI177" s="2" t="str">
        <f>IF('[3]Model Check'!C172="","",('[3]Model Check'!C172))</f>
        <v/>
      </c>
      <c r="BJ177" s="2" t="str">
        <f>IF('[3]Model Check'!D172="","",('[3]Model Check'!D172))</f>
        <v/>
      </c>
      <c r="BK177" s="2" t="str">
        <f>IF('[3]Model Check'!E172="","",('[3]Model Check'!E172))</f>
        <v/>
      </c>
      <c r="BL177" s="2" t="str">
        <f>IF('[3]Model Check'!F172="","",('[3]Model Check'!F172))</f>
        <v/>
      </c>
      <c r="BM177" s="2" t="str">
        <f>IF('[3]Model Check'!G172="","",('[3]Model Check'!G172))</f>
        <v/>
      </c>
      <c r="BN177" s="2" t="str">
        <f>IF('[3]Model Check'!H172="","",('[3]Model Check'!H172))</f>
        <v/>
      </c>
      <c r="BO177" s="2" t="str">
        <f>IF('[3]Model Check'!I172="","",('[3]Model Check'!I172))</f>
        <v/>
      </c>
      <c r="BP177" s="2" t="str">
        <f>IF('[3]Model Check'!J172="","",('[3]Model Check'!J172))</f>
        <v/>
      </c>
      <c r="BQ177" s="2" t="str">
        <f>IF('[3]Model Check'!K172="","",('[3]Model Check'!K172))</f>
        <v/>
      </c>
      <c r="BR177" s="2" t="str">
        <f>IF('[3]Model Check'!L172="","",('[3]Model Check'!L172))</f>
        <v/>
      </c>
      <c r="BS177" s="2" t="str">
        <f>IF('[3]Model Check'!M172="","",('[3]Model Check'!M172))</f>
        <v/>
      </c>
      <c r="BT177" s="2" t="str">
        <f>IF('[3]Model Check'!N172="","",('[3]Model Check'!N172))</f>
        <v/>
      </c>
    </row>
    <row r="178" spans="61:72" ht="18" customHeight="1" x14ac:dyDescent="0.25">
      <c r="BI178" s="2" t="str">
        <f>IF('[3]Model Check'!C173="","",('[3]Model Check'!C173))</f>
        <v/>
      </c>
      <c r="BJ178" s="2" t="str">
        <f>IF('[3]Model Check'!D173="","",('[3]Model Check'!D173))</f>
        <v/>
      </c>
      <c r="BK178" s="2" t="str">
        <f>IF('[3]Model Check'!E173="","",('[3]Model Check'!E173))</f>
        <v/>
      </c>
      <c r="BL178" s="2" t="str">
        <f>IF('[3]Model Check'!F173="","",('[3]Model Check'!F173))</f>
        <v/>
      </c>
      <c r="BM178" s="2" t="str">
        <f>IF('[3]Model Check'!G173="","",('[3]Model Check'!G173))</f>
        <v/>
      </c>
      <c r="BN178" s="2" t="str">
        <f>IF('[3]Model Check'!H173="","",('[3]Model Check'!H173))</f>
        <v/>
      </c>
      <c r="BO178" s="2" t="str">
        <f>IF('[3]Model Check'!I173="","",('[3]Model Check'!I173))</f>
        <v/>
      </c>
      <c r="BP178" s="2" t="str">
        <f>IF('[3]Model Check'!J173="","",('[3]Model Check'!J173))</f>
        <v/>
      </c>
      <c r="BQ178" s="2" t="str">
        <f>IF('[3]Model Check'!K173="","",('[3]Model Check'!K173))</f>
        <v/>
      </c>
      <c r="BR178" s="2" t="str">
        <f>IF('[3]Model Check'!L173="","",('[3]Model Check'!L173))</f>
        <v/>
      </c>
      <c r="BS178" s="2" t="str">
        <f>IF('[3]Model Check'!M173="","",('[3]Model Check'!M173))</f>
        <v/>
      </c>
      <c r="BT178" s="2" t="str">
        <f>IF('[3]Model Check'!N173="","",('[3]Model Check'!N173))</f>
        <v/>
      </c>
    </row>
    <row r="179" spans="61:72" ht="18" customHeight="1" x14ac:dyDescent="0.25">
      <c r="BI179" s="2" t="str">
        <f>IF('[3]Model Check'!C174="","",('[3]Model Check'!C174))</f>
        <v/>
      </c>
      <c r="BJ179" s="2" t="str">
        <f>IF('[3]Model Check'!D174="","",('[3]Model Check'!D174))</f>
        <v/>
      </c>
      <c r="BK179" s="2" t="str">
        <f>IF('[3]Model Check'!E174="","",('[3]Model Check'!E174))</f>
        <v/>
      </c>
      <c r="BL179" s="2" t="str">
        <f>IF('[3]Model Check'!F174="","",('[3]Model Check'!F174))</f>
        <v/>
      </c>
      <c r="BM179" s="2" t="str">
        <f>IF('[3]Model Check'!G174="","",('[3]Model Check'!G174))</f>
        <v/>
      </c>
      <c r="BN179" s="2" t="str">
        <f>IF('[3]Model Check'!H174="","",('[3]Model Check'!H174))</f>
        <v/>
      </c>
      <c r="BO179" s="2" t="str">
        <f>IF('[3]Model Check'!I174="","",('[3]Model Check'!I174))</f>
        <v/>
      </c>
      <c r="BP179" s="2" t="str">
        <f>IF('[3]Model Check'!J174="","",('[3]Model Check'!J174))</f>
        <v/>
      </c>
      <c r="BQ179" s="2" t="str">
        <f>IF('[3]Model Check'!K174="","",('[3]Model Check'!K174))</f>
        <v/>
      </c>
      <c r="BR179" s="2" t="str">
        <f>IF('[3]Model Check'!L174="","",('[3]Model Check'!L174))</f>
        <v/>
      </c>
      <c r="BS179" s="2" t="str">
        <f>IF('[3]Model Check'!M174="","",('[3]Model Check'!M174))</f>
        <v/>
      </c>
      <c r="BT179" s="2" t="str">
        <f>IF('[3]Model Check'!N174="","",('[3]Model Check'!N174))</f>
        <v/>
      </c>
    </row>
    <row r="180" spans="61:72" ht="18" customHeight="1" x14ac:dyDescent="0.25">
      <c r="BI180" s="2" t="str">
        <f>IF('[3]Model Check'!C175="","",('[3]Model Check'!C175))</f>
        <v/>
      </c>
      <c r="BJ180" s="2" t="str">
        <f>IF('[3]Model Check'!D175="","",('[3]Model Check'!D175))</f>
        <v/>
      </c>
      <c r="BK180" s="2" t="str">
        <f>IF('[3]Model Check'!E175="","",('[3]Model Check'!E175))</f>
        <v/>
      </c>
      <c r="BL180" s="2" t="str">
        <f>IF('[3]Model Check'!F175="","",('[3]Model Check'!F175))</f>
        <v/>
      </c>
      <c r="BM180" s="2" t="str">
        <f>IF('[3]Model Check'!G175="","",('[3]Model Check'!G175))</f>
        <v/>
      </c>
      <c r="BN180" s="2" t="str">
        <f>IF('[3]Model Check'!H175="","",('[3]Model Check'!H175))</f>
        <v/>
      </c>
      <c r="BO180" s="2" t="str">
        <f>IF('[3]Model Check'!I175="","",('[3]Model Check'!I175))</f>
        <v/>
      </c>
      <c r="BP180" s="2" t="str">
        <f>IF('[3]Model Check'!J175="","",('[3]Model Check'!J175))</f>
        <v/>
      </c>
      <c r="BQ180" s="2" t="str">
        <f>IF('[3]Model Check'!K175="","",('[3]Model Check'!K175))</f>
        <v/>
      </c>
      <c r="BR180" s="2" t="str">
        <f>IF('[3]Model Check'!L175="","",('[3]Model Check'!L175))</f>
        <v/>
      </c>
      <c r="BS180" s="2" t="str">
        <f>IF('[3]Model Check'!M175="","",('[3]Model Check'!M175))</f>
        <v/>
      </c>
      <c r="BT180" s="2" t="str">
        <f>IF('[3]Model Check'!N175="","",('[3]Model Check'!N175))</f>
        <v/>
      </c>
    </row>
    <row r="181" spans="61:72" ht="18" customHeight="1" x14ac:dyDescent="0.25">
      <c r="BI181" s="2" t="str">
        <f>IF('[3]Model Check'!C176="","",('[3]Model Check'!C176))</f>
        <v/>
      </c>
      <c r="BJ181" s="2" t="str">
        <f>IF('[3]Model Check'!D176="","",('[3]Model Check'!D176))</f>
        <v/>
      </c>
      <c r="BK181" s="2" t="str">
        <f>IF('[3]Model Check'!E176="","",('[3]Model Check'!E176))</f>
        <v/>
      </c>
      <c r="BL181" s="2" t="str">
        <f>IF('[3]Model Check'!F176="","",('[3]Model Check'!F176))</f>
        <v/>
      </c>
      <c r="BM181" s="2" t="str">
        <f>IF('[3]Model Check'!G176="","",('[3]Model Check'!G176))</f>
        <v/>
      </c>
      <c r="BN181" s="2" t="str">
        <f>IF('[3]Model Check'!H176="","",('[3]Model Check'!H176))</f>
        <v/>
      </c>
      <c r="BO181" s="2" t="str">
        <f>IF('[3]Model Check'!I176="","",('[3]Model Check'!I176))</f>
        <v/>
      </c>
      <c r="BP181" s="2" t="str">
        <f>IF('[3]Model Check'!J176="","",('[3]Model Check'!J176))</f>
        <v/>
      </c>
      <c r="BQ181" s="2" t="str">
        <f>IF('[3]Model Check'!K176="","",('[3]Model Check'!K176))</f>
        <v/>
      </c>
      <c r="BR181" s="2" t="str">
        <f>IF('[3]Model Check'!L176="","",('[3]Model Check'!L176))</f>
        <v/>
      </c>
      <c r="BS181" s="2" t="str">
        <f>IF('[3]Model Check'!M176="","",('[3]Model Check'!M176))</f>
        <v/>
      </c>
      <c r="BT181" s="2" t="str">
        <f>IF('[3]Model Check'!N176="","",('[3]Model Check'!N176))</f>
        <v/>
      </c>
    </row>
    <row r="182" spans="61:72" ht="18" customHeight="1" x14ac:dyDescent="0.25">
      <c r="BI182" s="2" t="str">
        <f>IF('[3]Model Check'!C177="","",('[3]Model Check'!C177))</f>
        <v/>
      </c>
      <c r="BJ182" s="2" t="str">
        <f>IF('[3]Model Check'!D177="","",('[3]Model Check'!D177))</f>
        <v/>
      </c>
      <c r="BK182" s="2" t="str">
        <f>IF('[3]Model Check'!E177="","",('[3]Model Check'!E177))</f>
        <v/>
      </c>
      <c r="BL182" s="2" t="str">
        <f>IF('[3]Model Check'!F177="","",('[3]Model Check'!F177))</f>
        <v/>
      </c>
      <c r="BM182" s="2" t="str">
        <f>IF('[3]Model Check'!G177="","",('[3]Model Check'!G177))</f>
        <v/>
      </c>
      <c r="BN182" s="2" t="str">
        <f>IF('[3]Model Check'!H177="","",('[3]Model Check'!H177))</f>
        <v/>
      </c>
      <c r="BO182" s="2" t="str">
        <f>IF('[3]Model Check'!I177="","",('[3]Model Check'!I177))</f>
        <v/>
      </c>
      <c r="BP182" s="2" t="str">
        <f>IF('[3]Model Check'!J177="","",('[3]Model Check'!J177))</f>
        <v/>
      </c>
      <c r="BQ182" s="2" t="str">
        <f>IF('[3]Model Check'!K177="","",('[3]Model Check'!K177))</f>
        <v/>
      </c>
      <c r="BR182" s="2" t="str">
        <f>IF('[3]Model Check'!L177="","",('[3]Model Check'!L177))</f>
        <v/>
      </c>
      <c r="BS182" s="2" t="str">
        <f>IF('[3]Model Check'!M177="","",('[3]Model Check'!M177))</f>
        <v/>
      </c>
      <c r="BT182" s="2" t="str">
        <f>IF('[3]Model Check'!N177="","",('[3]Model Check'!N177))</f>
        <v/>
      </c>
    </row>
    <row r="183" spans="61:72" ht="18" customHeight="1" x14ac:dyDescent="0.25">
      <c r="BI183" s="2" t="str">
        <f>IF('[3]Model Check'!C178="","",('[3]Model Check'!C178))</f>
        <v/>
      </c>
      <c r="BJ183" s="2" t="str">
        <f>IF('[3]Model Check'!D178="","",('[3]Model Check'!D178))</f>
        <v/>
      </c>
      <c r="BK183" s="2" t="str">
        <f>IF('[3]Model Check'!E178="","",('[3]Model Check'!E178))</f>
        <v/>
      </c>
      <c r="BL183" s="2" t="str">
        <f>IF('[3]Model Check'!F178="","",('[3]Model Check'!F178))</f>
        <v/>
      </c>
      <c r="BM183" s="2" t="str">
        <f>IF('[3]Model Check'!G178="","",('[3]Model Check'!G178))</f>
        <v/>
      </c>
      <c r="BN183" s="2" t="str">
        <f>IF('[3]Model Check'!H178="","",('[3]Model Check'!H178))</f>
        <v/>
      </c>
      <c r="BO183" s="2" t="str">
        <f>IF('[3]Model Check'!I178="","",('[3]Model Check'!I178))</f>
        <v/>
      </c>
      <c r="BP183" s="2" t="str">
        <f>IF('[3]Model Check'!J178="","",('[3]Model Check'!J178))</f>
        <v/>
      </c>
      <c r="BQ183" s="2" t="str">
        <f>IF('[3]Model Check'!K178="","",('[3]Model Check'!K178))</f>
        <v/>
      </c>
      <c r="BR183" s="2" t="str">
        <f>IF('[3]Model Check'!L178="","",('[3]Model Check'!L178))</f>
        <v/>
      </c>
      <c r="BS183" s="2" t="str">
        <f>IF('[3]Model Check'!M178="","",('[3]Model Check'!M178))</f>
        <v/>
      </c>
      <c r="BT183" s="2" t="str">
        <f>IF('[3]Model Check'!N178="","",('[3]Model Check'!N178))</f>
        <v/>
      </c>
    </row>
    <row r="184" spans="61:72" ht="18" customHeight="1" x14ac:dyDescent="0.25">
      <c r="BI184" s="2" t="str">
        <f>IF('[3]Model Check'!C179="","",('[3]Model Check'!C179))</f>
        <v/>
      </c>
      <c r="BJ184" s="2" t="str">
        <f>IF('[3]Model Check'!D179="","",('[3]Model Check'!D179))</f>
        <v/>
      </c>
      <c r="BK184" s="2" t="str">
        <f>IF('[3]Model Check'!E179="","",('[3]Model Check'!E179))</f>
        <v/>
      </c>
      <c r="BL184" s="2" t="str">
        <f>IF('[3]Model Check'!F179="","",('[3]Model Check'!F179))</f>
        <v/>
      </c>
      <c r="BM184" s="2" t="str">
        <f>IF('[3]Model Check'!G179="","",('[3]Model Check'!G179))</f>
        <v/>
      </c>
      <c r="BN184" s="2" t="str">
        <f>IF('[3]Model Check'!H179="","",('[3]Model Check'!H179))</f>
        <v/>
      </c>
      <c r="BO184" s="2" t="str">
        <f>IF('[3]Model Check'!I179="","",('[3]Model Check'!I179))</f>
        <v/>
      </c>
      <c r="BP184" s="2" t="str">
        <f>IF('[3]Model Check'!J179="","",('[3]Model Check'!J179))</f>
        <v/>
      </c>
      <c r="BQ184" s="2" t="str">
        <f>IF('[3]Model Check'!K179="","",('[3]Model Check'!K179))</f>
        <v/>
      </c>
      <c r="BR184" s="2" t="str">
        <f>IF('[3]Model Check'!L179="","",('[3]Model Check'!L179))</f>
        <v/>
      </c>
      <c r="BS184" s="2" t="str">
        <f>IF('[3]Model Check'!M179="","",('[3]Model Check'!M179))</f>
        <v/>
      </c>
      <c r="BT184" s="2" t="str">
        <f>IF('[3]Model Check'!N179="","",('[3]Model Check'!N179))</f>
        <v/>
      </c>
    </row>
    <row r="185" spans="61:72" ht="18" customHeight="1" x14ac:dyDescent="0.25">
      <c r="BI185" s="2" t="str">
        <f>IF('[3]Model Check'!C180="","",('[3]Model Check'!C180))</f>
        <v/>
      </c>
      <c r="BJ185" s="2" t="str">
        <f>IF('[3]Model Check'!D180="","",('[3]Model Check'!D180))</f>
        <v/>
      </c>
      <c r="BK185" s="2" t="str">
        <f>IF('[3]Model Check'!E180="","",('[3]Model Check'!E180))</f>
        <v/>
      </c>
      <c r="BL185" s="2" t="str">
        <f>IF('[3]Model Check'!F180="","",('[3]Model Check'!F180))</f>
        <v/>
      </c>
      <c r="BM185" s="2" t="str">
        <f>IF('[3]Model Check'!G180="","",('[3]Model Check'!G180))</f>
        <v/>
      </c>
      <c r="BN185" s="2" t="str">
        <f>IF('[3]Model Check'!H180="","",('[3]Model Check'!H180))</f>
        <v/>
      </c>
      <c r="BO185" s="2" t="str">
        <f>IF('[3]Model Check'!I180="","",('[3]Model Check'!I180))</f>
        <v/>
      </c>
      <c r="BP185" s="2" t="str">
        <f>IF('[3]Model Check'!J180="","",('[3]Model Check'!J180))</f>
        <v/>
      </c>
      <c r="BQ185" s="2" t="str">
        <f>IF('[3]Model Check'!K180="","",('[3]Model Check'!K180))</f>
        <v/>
      </c>
      <c r="BR185" s="2" t="str">
        <f>IF('[3]Model Check'!L180="","",('[3]Model Check'!L180))</f>
        <v/>
      </c>
      <c r="BS185" s="2" t="str">
        <f>IF('[3]Model Check'!M180="","",('[3]Model Check'!M180))</f>
        <v/>
      </c>
      <c r="BT185" s="2" t="str">
        <f>IF('[3]Model Check'!N180="","",('[3]Model Check'!N180))</f>
        <v/>
      </c>
    </row>
    <row r="186" spans="61:72" ht="18" customHeight="1" x14ac:dyDescent="0.25">
      <c r="BI186" s="2" t="str">
        <f>IF('[3]Model Check'!C181="","",('[3]Model Check'!C181))</f>
        <v/>
      </c>
      <c r="BJ186" s="2" t="str">
        <f>IF('[3]Model Check'!D181="","",('[3]Model Check'!D181))</f>
        <v/>
      </c>
      <c r="BK186" s="2" t="str">
        <f>IF('[3]Model Check'!E181="","",('[3]Model Check'!E181))</f>
        <v/>
      </c>
      <c r="BL186" s="2" t="str">
        <f>IF('[3]Model Check'!F181="","",('[3]Model Check'!F181))</f>
        <v/>
      </c>
      <c r="BM186" s="2" t="str">
        <f>IF('[3]Model Check'!G181="","",('[3]Model Check'!G181))</f>
        <v/>
      </c>
      <c r="BN186" s="2" t="str">
        <f>IF('[3]Model Check'!H181="","",('[3]Model Check'!H181))</f>
        <v/>
      </c>
      <c r="BO186" s="2" t="str">
        <f>IF('[3]Model Check'!I181="","",('[3]Model Check'!I181))</f>
        <v/>
      </c>
      <c r="BP186" s="2" t="str">
        <f>IF('[3]Model Check'!J181="","",('[3]Model Check'!J181))</f>
        <v/>
      </c>
      <c r="BQ186" s="2" t="str">
        <f>IF('[3]Model Check'!K181="","",('[3]Model Check'!K181))</f>
        <v/>
      </c>
      <c r="BR186" s="2" t="str">
        <f>IF('[3]Model Check'!L181="","",('[3]Model Check'!L181))</f>
        <v/>
      </c>
      <c r="BS186" s="2" t="str">
        <f>IF('[3]Model Check'!M181="","",('[3]Model Check'!M181))</f>
        <v/>
      </c>
      <c r="BT186" s="2" t="str">
        <f>IF('[3]Model Check'!N181="","",('[3]Model Check'!N181))</f>
        <v/>
      </c>
    </row>
    <row r="187" spans="61:72" ht="18" customHeight="1" x14ac:dyDescent="0.25">
      <c r="BI187" s="2" t="str">
        <f>IF('[3]Model Check'!C182="","",('[3]Model Check'!C182))</f>
        <v/>
      </c>
      <c r="BJ187" s="2" t="str">
        <f>IF('[3]Model Check'!D182="","",('[3]Model Check'!D182))</f>
        <v/>
      </c>
      <c r="BK187" s="2" t="str">
        <f>IF('[3]Model Check'!E182="","",('[3]Model Check'!E182))</f>
        <v/>
      </c>
      <c r="BL187" s="2" t="str">
        <f>IF('[3]Model Check'!F182="","",('[3]Model Check'!F182))</f>
        <v/>
      </c>
      <c r="BM187" s="2" t="str">
        <f>IF('[3]Model Check'!G182="","",('[3]Model Check'!G182))</f>
        <v/>
      </c>
      <c r="BN187" s="2" t="str">
        <f>IF('[3]Model Check'!H182="","",('[3]Model Check'!H182))</f>
        <v/>
      </c>
      <c r="BO187" s="2" t="str">
        <f>IF('[3]Model Check'!I182="","",('[3]Model Check'!I182))</f>
        <v/>
      </c>
      <c r="BP187" s="2" t="str">
        <f>IF('[3]Model Check'!J182="","",('[3]Model Check'!J182))</f>
        <v/>
      </c>
      <c r="BQ187" s="2" t="str">
        <f>IF('[3]Model Check'!K182="","",('[3]Model Check'!K182))</f>
        <v/>
      </c>
      <c r="BR187" s="2" t="str">
        <f>IF('[3]Model Check'!L182="","",('[3]Model Check'!L182))</f>
        <v/>
      </c>
      <c r="BS187" s="2" t="str">
        <f>IF('[3]Model Check'!M182="","",('[3]Model Check'!M182))</f>
        <v/>
      </c>
      <c r="BT187" s="2" t="str">
        <f>IF('[3]Model Check'!N182="","",('[3]Model Check'!N182))</f>
        <v/>
      </c>
    </row>
    <row r="188" spans="61:72" ht="18" customHeight="1" x14ac:dyDescent="0.25">
      <c r="BI188" s="2" t="str">
        <f>IF('[3]Model Check'!C183="","",('[3]Model Check'!C183))</f>
        <v/>
      </c>
      <c r="BJ188" s="2" t="str">
        <f>IF('[3]Model Check'!D183="","",('[3]Model Check'!D183))</f>
        <v/>
      </c>
      <c r="BK188" s="2" t="str">
        <f>IF('[3]Model Check'!E183="","",('[3]Model Check'!E183))</f>
        <v/>
      </c>
      <c r="BL188" s="2" t="str">
        <f>IF('[3]Model Check'!F183="","",('[3]Model Check'!F183))</f>
        <v/>
      </c>
      <c r="BM188" s="2" t="str">
        <f>IF('[3]Model Check'!G183="","",('[3]Model Check'!G183))</f>
        <v/>
      </c>
      <c r="BN188" s="2" t="str">
        <f>IF('[3]Model Check'!H183="","",('[3]Model Check'!H183))</f>
        <v/>
      </c>
      <c r="BO188" s="2" t="str">
        <f>IF('[3]Model Check'!I183="","",('[3]Model Check'!I183))</f>
        <v/>
      </c>
      <c r="BP188" s="2" t="str">
        <f>IF('[3]Model Check'!J183="","",('[3]Model Check'!J183))</f>
        <v/>
      </c>
      <c r="BQ188" s="2" t="str">
        <f>IF('[3]Model Check'!K183="","",('[3]Model Check'!K183))</f>
        <v/>
      </c>
      <c r="BR188" s="2" t="str">
        <f>IF('[3]Model Check'!L183="","",('[3]Model Check'!L183))</f>
        <v/>
      </c>
      <c r="BS188" s="2" t="str">
        <f>IF('[3]Model Check'!M183="","",('[3]Model Check'!M183))</f>
        <v/>
      </c>
      <c r="BT188" s="2" t="str">
        <f>IF('[3]Model Check'!N183="","",('[3]Model Check'!N183))</f>
        <v/>
      </c>
    </row>
    <row r="189" spans="61:72" ht="18" customHeight="1" x14ac:dyDescent="0.25">
      <c r="BI189" s="2" t="str">
        <f>IF('[3]Model Check'!C184="","",('[3]Model Check'!C184))</f>
        <v/>
      </c>
      <c r="BJ189" s="2" t="str">
        <f>IF('[3]Model Check'!D184="","",('[3]Model Check'!D184))</f>
        <v/>
      </c>
      <c r="BK189" s="2" t="str">
        <f>IF('[3]Model Check'!E184="","",('[3]Model Check'!E184))</f>
        <v/>
      </c>
      <c r="BL189" s="2" t="str">
        <f>IF('[3]Model Check'!F184="","",('[3]Model Check'!F184))</f>
        <v/>
      </c>
      <c r="BM189" s="2" t="str">
        <f>IF('[3]Model Check'!G184="","",('[3]Model Check'!G184))</f>
        <v/>
      </c>
      <c r="BN189" s="2" t="str">
        <f>IF('[3]Model Check'!H184="","",('[3]Model Check'!H184))</f>
        <v/>
      </c>
      <c r="BO189" s="2" t="str">
        <f>IF('[3]Model Check'!I184="","",('[3]Model Check'!I184))</f>
        <v/>
      </c>
      <c r="BP189" s="2" t="str">
        <f>IF('[3]Model Check'!J184="","",('[3]Model Check'!J184))</f>
        <v/>
      </c>
      <c r="BQ189" s="2" t="str">
        <f>IF('[3]Model Check'!K184="","",('[3]Model Check'!K184))</f>
        <v/>
      </c>
      <c r="BR189" s="2" t="str">
        <f>IF('[3]Model Check'!L184="","",('[3]Model Check'!L184))</f>
        <v/>
      </c>
      <c r="BS189" s="2" t="str">
        <f>IF('[3]Model Check'!M184="","",('[3]Model Check'!M184))</f>
        <v/>
      </c>
      <c r="BT189" s="2" t="str">
        <f>IF('[3]Model Check'!N184="","",('[3]Model Check'!N184))</f>
        <v/>
      </c>
    </row>
    <row r="190" spans="61:72" ht="18" customHeight="1" x14ac:dyDescent="0.25">
      <c r="BI190" s="2" t="str">
        <f>IF('[3]Model Check'!C185="","",('[3]Model Check'!C185))</f>
        <v/>
      </c>
      <c r="BJ190" s="2" t="str">
        <f>IF('[3]Model Check'!D185="","",('[3]Model Check'!D185))</f>
        <v/>
      </c>
      <c r="BK190" s="2" t="str">
        <f>IF('[3]Model Check'!E185="","",('[3]Model Check'!E185))</f>
        <v/>
      </c>
      <c r="BL190" s="2" t="str">
        <f>IF('[3]Model Check'!F185="","",('[3]Model Check'!F185))</f>
        <v/>
      </c>
      <c r="BM190" s="2" t="str">
        <f>IF('[3]Model Check'!G185="","",('[3]Model Check'!G185))</f>
        <v/>
      </c>
      <c r="BN190" s="2" t="str">
        <f>IF('[3]Model Check'!H185="","",('[3]Model Check'!H185))</f>
        <v/>
      </c>
      <c r="BO190" s="2" t="str">
        <f>IF('[3]Model Check'!I185="","",('[3]Model Check'!I185))</f>
        <v/>
      </c>
      <c r="BP190" s="2" t="str">
        <f>IF('[3]Model Check'!J185="","",('[3]Model Check'!J185))</f>
        <v/>
      </c>
      <c r="BQ190" s="2" t="str">
        <f>IF('[3]Model Check'!K185="","",('[3]Model Check'!K185))</f>
        <v/>
      </c>
      <c r="BR190" s="2" t="str">
        <f>IF('[3]Model Check'!L185="","",('[3]Model Check'!L185))</f>
        <v/>
      </c>
      <c r="BS190" s="2" t="str">
        <f>IF('[3]Model Check'!M185="","",('[3]Model Check'!M185))</f>
        <v/>
      </c>
      <c r="BT190" s="2" t="str">
        <f>IF('[3]Model Check'!N185="","",('[3]Model Check'!N185))</f>
        <v/>
      </c>
    </row>
    <row r="191" spans="61:72" ht="18" customHeight="1" x14ac:dyDescent="0.25">
      <c r="BI191" s="2" t="str">
        <f>IF('[3]Model Check'!C186="","",('[3]Model Check'!C186))</f>
        <v/>
      </c>
      <c r="BJ191" s="2" t="str">
        <f>IF('[3]Model Check'!D186="","",('[3]Model Check'!D186))</f>
        <v/>
      </c>
      <c r="BK191" s="2" t="str">
        <f>IF('[3]Model Check'!E186="","",('[3]Model Check'!E186))</f>
        <v/>
      </c>
      <c r="BL191" s="2" t="str">
        <f>IF('[3]Model Check'!F186="","",('[3]Model Check'!F186))</f>
        <v/>
      </c>
      <c r="BM191" s="2" t="str">
        <f>IF('[3]Model Check'!G186="","",('[3]Model Check'!G186))</f>
        <v/>
      </c>
      <c r="BN191" s="2" t="str">
        <f>IF('[3]Model Check'!H186="","",('[3]Model Check'!H186))</f>
        <v/>
      </c>
      <c r="BO191" s="2" t="str">
        <f>IF('[3]Model Check'!I186="","",('[3]Model Check'!I186))</f>
        <v/>
      </c>
      <c r="BP191" s="2" t="str">
        <f>IF('[3]Model Check'!J186="","",('[3]Model Check'!J186))</f>
        <v/>
      </c>
      <c r="BQ191" s="2" t="str">
        <f>IF('[3]Model Check'!K186="","",('[3]Model Check'!K186))</f>
        <v/>
      </c>
      <c r="BR191" s="2" t="str">
        <f>IF('[3]Model Check'!L186="","",('[3]Model Check'!L186))</f>
        <v/>
      </c>
      <c r="BS191" s="2" t="str">
        <f>IF('[3]Model Check'!M186="","",('[3]Model Check'!M186))</f>
        <v/>
      </c>
      <c r="BT191" s="2" t="str">
        <f>IF('[3]Model Check'!N186="","",('[3]Model Check'!N186))</f>
        <v/>
      </c>
    </row>
    <row r="192" spans="61:72" ht="18" customHeight="1" x14ac:dyDescent="0.25">
      <c r="BI192" s="2" t="str">
        <f>IF('[3]Model Check'!C187="","",('[3]Model Check'!C187))</f>
        <v/>
      </c>
      <c r="BJ192" s="2" t="str">
        <f>IF('[3]Model Check'!D187="","",('[3]Model Check'!D187))</f>
        <v/>
      </c>
      <c r="BK192" s="2" t="str">
        <f>IF('[3]Model Check'!E187="","",('[3]Model Check'!E187))</f>
        <v/>
      </c>
      <c r="BL192" s="2" t="str">
        <f>IF('[3]Model Check'!F187="","",('[3]Model Check'!F187))</f>
        <v/>
      </c>
      <c r="BM192" s="2" t="str">
        <f>IF('[3]Model Check'!G187="","",('[3]Model Check'!G187))</f>
        <v/>
      </c>
      <c r="BN192" s="2" t="str">
        <f>IF('[3]Model Check'!H187="","",('[3]Model Check'!H187))</f>
        <v/>
      </c>
      <c r="BO192" s="2" t="str">
        <f>IF('[3]Model Check'!I187="","",('[3]Model Check'!I187))</f>
        <v/>
      </c>
      <c r="BP192" s="2" t="str">
        <f>IF('[3]Model Check'!J187="","",('[3]Model Check'!J187))</f>
        <v/>
      </c>
      <c r="BQ192" s="2" t="str">
        <f>IF('[3]Model Check'!K187="","",('[3]Model Check'!K187))</f>
        <v/>
      </c>
      <c r="BR192" s="2" t="str">
        <f>IF('[3]Model Check'!L187="","",('[3]Model Check'!L187))</f>
        <v/>
      </c>
      <c r="BS192" s="2" t="str">
        <f>IF('[3]Model Check'!M187="","",('[3]Model Check'!M187))</f>
        <v/>
      </c>
      <c r="BT192" s="2" t="str">
        <f>IF('[3]Model Check'!N187="","",('[3]Model Check'!N187))</f>
        <v/>
      </c>
    </row>
    <row r="193" spans="61:72" ht="18" customHeight="1" x14ac:dyDescent="0.25">
      <c r="BI193" s="2" t="str">
        <f>IF('[3]Model Check'!C188="","",('[3]Model Check'!C188))</f>
        <v/>
      </c>
      <c r="BJ193" s="2" t="str">
        <f>IF('[3]Model Check'!D188="","",('[3]Model Check'!D188))</f>
        <v/>
      </c>
      <c r="BK193" s="2" t="str">
        <f>IF('[3]Model Check'!E188="","",('[3]Model Check'!E188))</f>
        <v/>
      </c>
      <c r="BL193" s="2" t="str">
        <f>IF('[3]Model Check'!F188="","",('[3]Model Check'!F188))</f>
        <v/>
      </c>
      <c r="BM193" s="2" t="str">
        <f>IF('[3]Model Check'!G188="","",('[3]Model Check'!G188))</f>
        <v/>
      </c>
      <c r="BN193" s="2" t="str">
        <f>IF('[3]Model Check'!H188="","",('[3]Model Check'!H188))</f>
        <v/>
      </c>
      <c r="BO193" s="2" t="str">
        <f>IF('[3]Model Check'!I188="","",('[3]Model Check'!I188))</f>
        <v/>
      </c>
      <c r="BP193" s="2" t="str">
        <f>IF('[3]Model Check'!J188="","",('[3]Model Check'!J188))</f>
        <v/>
      </c>
      <c r="BQ193" s="2" t="str">
        <f>IF('[3]Model Check'!K188="","",('[3]Model Check'!K188))</f>
        <v/>
      </c>
      <c r="BR193" s="2" t="str">
        <f>IF('[3]Model Check'!L188="","",('[3]Model Check'!L188))</f>
        <v/>
      </c>
      <c r="BS193" s="2" t="str">
        <f>IF('[3]Model Check'!M188="","",('[3]Model Check'!M188))</f>
        <v/>
      </c>
      <c r="BT193" s="2" t="str">
        <f>IF('[3]Model Check'!N188="","",('[3]Model Check'!N188))</f>
        <v/>
      </c>
    </row>
    <row r="194" spans="61:72" ht="18" customHeight="1" x14ac:dyDescent="0.25">
      <c r="BI194" s="2" t="str">
        <f>IF('[3]Model Check'!C189="","",('[3]Model Check'!C189))</f>
        <v/>
      </c>
      <c r="BJ194" s="2" t="str">
        <f>IF('[3]Model Check'!D189="","",('[3]Model Check'!D189))</f>
        <v/>
      </c>
      <c r="BK194" s="2" t="str">
        <f>IF('[3]Model Check'!E189="","",('[3]Model Check'!E189))</f>
        <v/>
      </c>
      <c r="BL194" s="2" t="str">
        <f>IF('[3]Model Check'!F189="","",('[3]Model Check'!F189))</f>
        <v/>
      </c>
      <c r="BM194" s="2" t="str">
        <f>IF('[3]Model Check'!G189="","",('[3]Model Check'!G189))</f>
        <v/>
      </c>
      <c r="BN194" s="2" t="str">
        <f>IF('[3]Model Check'!H189="","",('[3]Model Check'!H189))</f>
        <v/>
      </c>
      <c r="BO194" s="2" t="str">
        <f>IF('[3]Model Check'!I189="","",('[3]Model Check'!I189))</f>
        <v/>
      </c>
      <c r="BP194" s="2" t="str">
        <f>IF('[3]Model Check'!J189="","",('[3]Model Check'!J189))</f>
        <v/>
      </c>
      <c r="BQ194" s="2" t="str">
        <f>IF('[3]Model Check'!K189="","",('[3]Model Check'!K189))</f>
        <v/>
      </c>
      <c r="BR194" s="2" t="str">
        <f>IF('[3]Model Check'!L189="","",('[3]Model Check'!L189))</f>
        <v/>
      </c>
      <c r="BS194" s="2" t="str">
        <f>IF('[3]Model Check'!M189="","",('[3]Model Check'!M189))</f>
        <v/>
      </c>
      <c r="BT194" s="2" t="str">
        <f>IF('[3]Model Check'!N189="","",('[3]Model Check'!N189))</f>
        <v/>
      </c>
    </row>
    <row r="195" spans="61:72" ht="18" customHeight="1" x14ac:dyDescent="0.25">
      <c r="BI195" s="2" t="str">
        <f>IF('[3]Model Check'!C190="","",('[3]Model Check'!C190))</f>
        <v/>
      </c>
      <c r="BJ195" s="2" t="str">
        <f>IF('[3]Model Check'!D190="","",('[3]Model Check'!D190))</f>
        <v/>
      </c>
      <c r="BK195" s="2" t="str">
        <f>IF('[3]Model Check'!E190="","",('[3]Model Check'!E190))</f>
        <v/>
      </c>
      <c r="BL195" s="2" t="str">
        <f>IF('[3]Model Check'!F190="","",('[3]Model Check'!F190))</f>
        <v/>
      </c>
      <c r="BM195" s="2" t="str">
        <f>IF('[3]Model Check'!G190="","",('[3]Model Check'!G190))</f>
        <v/>
      </c>
      <c r="BN195" s="2" t="str">
        <f>IF('[3]Model Check'!H190="","",('[3]Model Check'!H190))</f>
        <v/>
      </c>
      <c r="BO195" s="2" t="str">
        <f>IF('[3]Model Check'!I190="","",('[3]Model Check'!I190))</f>
        <v/>
      </c>
      <c r="BP195" s="2" t="str">
        <f>IF('[3]Model Check'!J190="","",('[3]Model Check'!J190))</f>
        <v/>
      </c>
      <c r="BQ195" s="2" t="str">
        <f>IF('[3]Model Check'!K190="","",('[3]Model Check'!K190))</f>
        <v/>
      </c>
      <c r="BR195" s="2" t="str">
        <f>IF('[3]Model Check'!L190="","",('[3]Model Check'!L190))</f>
        <v/>
      </c>
      <c r="BS195" s="2" t="str">
        <f>IF('[3]Model Check'!M190="","",('[3]Model Check'!M190))</f>
        <v/>
      </c>
      <c r="BT195" s="2" t="str">
        <f>IF('[3]Model Check'!N190="","",('[3]Model Check'!N190))</f>
        <v/>
      </c>
    </row>
    <row r="196" spans="61:72" ht="18" customHeight="1" x14ac:dyDescent="0.25">
      <c r="BI196" s="2" t="str">
        <f>IF('[3]Model Check'!C191="","",('[3]Model Check'!C191))</f>
        <v/>
      </c>
      <c r="BJ196" s="2" t="str">
        <f>IF('[3]Model Check'!D191="","",('[3]Model Check'!D191))</f>
        <v/>
      </c>
      <c r="BK196" s="2" t="str">
        <f>IF('[3]Model Check'!E191="","",('[3]Model Check'!E191))</f>
        <v/>
      </c>
      <c r="BL196" s="2" t="str">
        <f>IF('[3]Model Check'!F191="","",('[3]Model Check'!F191))</f>
        <v/>
      </c>
      <c r="BM196" s="2" t="str">
        <f>IF('[3]Model Check'!G191="","",('[3]Model Check'!G191))</f>
        <v/>
      </c>
      <c r="BN196" s="2" t="str">
        <f>IF('[3]Model Check'!H191="","",('[3]Model Check'!H191))</f>
        <v/>
      </c>
      <c r="BO196" s="2" t="str">
        <f>IF('[3]Model Check'!I191="","",('[3]Model Check'!I191))</f>
        <v/>
      </c>
      <c r="BP196" s="2" t="str">
        <f>IF('[3]Model Check'!J191="","",('[3]Model Check'!J191))</f>
        <v/>
      </c>
      <c r="BQ196" s="2" t="str">
        <f>IF('[3]Model Check'!K191="","",('[3]Model Check'!K191))</f>
        <v/>
      </c>
      <c r="BR196" s="2" t="str">
        <f>IF('[3]Model Check'!L191="","",('[3]Model Check'!L191))</f>
        <v/>
      </c>
      <c r="BS196" s="2" t="str">
        <f>IF('[3]Model Check'!M191="","",('[3]Model Check'!M191))</f>
        <v/>
      </c>
      <c r="BT196" s="2" t="str">
        <f>IF('[3]Model Check'!N191="","",('[3]Model Check'!N191))</f>
        <v/>
      </c>
    </row>
    <row r="197" spans="61:72" ht="18" customHeight="1" x14ac:dyDescent="0.25">
      <c r="BI197" s="2" t="str">
        <f>IF('[3]Model Check'!C192="","",('[3]Model Check'!C192))</f>
        <v/>
      </c>
      <c r="BJ197" s="2" t="str">
        <f>IF('[3]Model Check'!D192="","",('[3]Model Check'!D192))</f>
        <v/>
      </c>
      <c r="BK197" s="2" t="str">
        <f>IF('[3]Model Check'!E192="","",('[3]Model Check'!E192))</f>
        <v/>
      </c>
      <c r="BL197" s="2" t="str">
        <f>IF('[3]Model Check'!F192="","",('[3]Model Check'!F192))</f>
        <v/>
      </c>
      <c r="BM197" s="2" t="str">
        <f>IF('[3]Model Check'!G192="","",('[3]Model Check'!G192))</f>
        <v/>
      </c>
      <c r="BN197" s="2" t="str">
        <f>IF('[3]Model Check'!H192="","",('[3]Model Check'!H192))</f>
        <v/>
      </c>
      <c r="BO197" s="2" t="str">
        <f>IF('[3]Model Check'!I192="","",('[3]Model Check'!I192))</f>
        <v/>
      </c>
      <c r="BP197" s="2" t="str">
        <f>IF('[3]Model Check'!J192="","",('[3]Model Check'!J192))</f>
        <v/>
      </c>
      <c r="BQ197" s="2" t="str">
        <f>IF('[3]Model Check'!K192="","",('[3]Model Check'!K192))</f>
        <v/>
      </c>
      <c r="BR197" s="2" t="str">
        <f>IF('[3]Model Check'!L192="","",('[3]Model Check'!L192))</f>
        <v/>
      </c>
      <c r="BS197" s="2" t="str">
        <f>IF('[3]Model Check'!M192="","",('[3]Model Check'!M192))</f>
        <v/>
      </c>
      <c r="BT197" s="2" t="str">
        <f>IF('[3]Model Check'!N192="","",('[3]Model Check'!N192))</f>
        <v/>
      </c>
    </row>
    <row r="198" spans="61:72" ht="18" customHeight="1" x14ac:dyDescent="0.25">
      <c r="BI198" s="2" t="str">
        <f>IF('[3]Model Check'!C193="","",('[3]Model Check'!C193))</f>
        <v/>
      </c>
      <c r="BJ198" s="2" t="str">
        <f>IF('[3]Model Check'!D193="","",('[3]Model Check'!D193))</f>
        <v/>
      </c>
      <c r="BK198" s="2" t="str">
        <f>IF('[3]Model Check'!E193="","",('[3]Model Check'!E193))</f>
        <v/>
      </c>
      <c r="BL198" s="2" t="str">
        <f>IF('[3]Model Check'!F193="","",('[3]Model Check'!F193))</f>
        <v/>
      </c>
      <c r="BM198" s="2" t="str">
        <f>IF('[3]Model Check'!G193="","",('[3]Model Check'!G193))</f>
        <v/>
      </c>
      <c r="BN198" s="2" t="str">
        <f>IF('[3]Model Check'!H193="","",('[3]Model Check'!H193))</f>
        <v/>
      </c>
      <c r="BO198" s="2" t="str">
        <f>IF('[3]Model Check'!I193="","",('[3]Model Check'!I193))</f>
        <v/>
      </c>
      <c r="BP198" s="2" t="str">
        <f>IF('[3]Model Check'!J193="","",('[3]Model Check'!J193))</f>
        <v/>
      </c>
      <c r="BQ198" s="2" t="str">
        <f>IF('[3]Model Check'!K193="","",('[3]Model Check'!K193))</f>
        <v/>
      </c>
      <c r="BR198" s="2" t="str">
        <f>IF('[3]Model Check'!L193="","",('[3]Model Check'!L193))</f>
        <v/>
      </c>
      <c r="BS198" s="2" t="str">
        <f>IF('[3]Model Check'!M193="","",('[3]Model Check'!M193))</f>
        <v/>
      </c>
      <c r="BT198" s="2" t="str">
        <f>IF('[3]Model Check'!N193="","",('[3]Model Check'!N193))</f>
        <v/>
      </c>
    </row>
    <row r="199" spans="61:72" ht="18" customHeight="1" x14ac:dyDescent="0.25">
      <c r="BI199" s="2" t="str">
        <f>IF('[3]Model Check'!C194="","",('[3]Model Check'!C194))</f>
        <v/>
      </c>
      <c r="BJ199" s="2" t="str">
        <f>IF('[3]Model Check'!D194="","",('[3]Model Check'!D194))</f>
        <v/>
      </c>
      <c r="BK199" s="2" t="str">
        <f>IF('[3]Model Check'!E194="","",('[3]Model Check'!E194))</f>
        <v/>
      </c>
      <c r="BL199" s="2" t="str">
        <f>IF('[3]Model Check'!F194="","",('[3]Model Check'!F194))</f>
        <v/>
      </c>
      <c r="BM199" s="2" t="str">
        <f>IF('[3]Model Check'!G194="","",('[3]Model Check'!G194))</f>
        <v/>
      </c>
      <c r="BN199" s="2" t="str">
        <f>IF('[3]Model Check'!H194="","",('[3]Model Check'!H194))</f>
        <v/>
      </c>
      <c r="BO199" s="2" t="str">
        <f>IF('[3]Model Check'!I194="","",('[3]Model Check'!I194))</f>
        <v/>
      </c>
      <c r="BP199" s="2" t="str">
        <f>IF('[3]Model Check'!J194="","",('[3]Model Check'!J194))</f>
        <v/>
      </c>
      <c r="BQ199" s="2" t="str">
        <f>IF('[3]Model Check'!K194="","",('[3]Model Check'!K194))</f>
        <v/>
      </c>
      <c r="BR199" s="2" t="str">
        <f>IF('[3]Model Check'!L194="","",('[3]Model Check'!L194))</f>
        <v/>
      </c>
      <c r="BS199" s="2" t="str">
        <f>IF('[3]Model Check'!M194="","",('[3]Model Check'!M194))</f>
        <v/>
      </c>
      <c r="BT199" s="2" t="str">
        <f>IF('[3]Model Check'!N194="","",('[3]Model Check'!N194))</f>
        <v/>
      </c>
    </row>
    <row r="200" spans="61:72" ht="18" customHeight="1" x14ac:dyDescent="0.25">
      <c r="BI200" s="2" t="str">
        <f>IF('[3]Model Check'!C195="","",('[3]Model Check'!C195))</f>
        <v/>
      </c>
      <c r="BJ200" s="2" t="str">
        <f>IF('[3]Model Check'!D195="","",('[3]Model Check'!D195))</f>
        <v/>
      </c>
      <c r="BK200" s="2" t="str">
        <f>IF('[3]Model Check'!E195="","",('[3]Model Check'!E195))</f>
        <v/>
      </c>
      <c r="BL200" s="2" t="str">
        <f>IF('[3]Model Check'!F195="","",('[3]Model Check'!F195))</f>
        <v/>
      </c>
      <c r="BM200" s="2" t="str">
        <f>IF('[3]Model Check'!G195="","",('[3]Model Check'!G195))</f>
        <v/>
      </c>
      <c r="BN200" s="2" t="str">
        <f>IF('[3]Model Check'!H195="","",('[3]Model Check'!H195))</f>
        <v/>
      </c>
      <c r="BO200" s="2" t="str">
        <f>IF('[3]Model Check'!I195="","",('[3]Model Check'!I195))</f>
        <v/>
      </c>
      <c r="BP200" s="2" t="str">
        <f>IF('[3]Model Check'!J195="","",('[3]Model Check'!J195))</f>
        <v/>
      </c>
      <c r="BQ200" s="2" t="str">
        <f>IF('[3]Model Check'!K195="","",('[3]Model Check'!K195))</f>
        <v/>
      </c>
      <c r="BR200" s="2" t="str">
        <f>IF('[3]Model Check'!L195="","",('[3]Model Check'!L195))</f>
        <v/>
      </c>
      <c r="BS200" s="2" t="str">
        <f>IF('[3]Model Check'!M195="","",('[3]Model Check'!M195))</f>
        <v/>
      </c>
      <c r="BT200" s="2" t="str">
        <f>IF('[3]Model Check'!N195="","",('[3]Model Check'!N195))</f>
        <v/>
      </c>
    </row>
    <row r="201" spans="61:72" ht="18" customHeight="1" x14ac:dyDescent="0.25">
      <c r="BI201" s="2" t="str">
        <f>IF('[3]Model Check'!C196="","",('[3]Model Check'!C196))</f>
        <v/>
      </c>
      <c r="BJ201" s="2" t="str">
        <f>IF('[3]Model Check'!D196="","",('[3]Model Check'!D196))</f>
        <v/>
      </c>
      <c r="BK201" s="2" t="str">
        <f>IF('[3]Model Check'!E196="","",('[3]Model Check'!E196))</f>
        <v/>
      </c>
      <c r="BL201" s="2" t="str">
        <f>IF('[3]Model Check'!F196="","",('[3]Model Check'!F196))</f>
        <v/>
      </c>
      <c r="BM201" s="2" t="str">
        <f>IF('[3]Model Check'!G196="","",('[3]Model Check'!G196))</f>
        <v/>
      </c>
      <c r="BN201" s="2" t="str">
        <f>IF('[3]Model Check'!H196="","",('[3]Model Check'!H196))</f>
        <v/>
      </c>
      <c r="BO201" s="2" t="str">
        <f>IF('[3]Model Check'!I196="","",('[3]Model Check'!I196))</f>
        <v/>
      </c>
      <c r="BP201" s="2" t="str">
        <f>IF('[3]Model Check'!J196="","",('[3]Model Check'!J196))</f>
        <v/>
      </c>
      <c r="BQ201" s="2" t="str">
        <f>IF('[3]Model Check'!K196="","",('[3]Model Check'!K196))</f>
        <v/>
      </c>
      <c r="BR201" s="2" t="str">
        <f>IF('[3]Model Check'!L196="","",('[3]Model Check'!L196))</f>
        <v/>
      </c>
      <c r="BS201" s="2" t="str">
        <f>IF('[3]Model Check'!M196="","",('[3]Model Check'!M196))</f>
        <v/>
      </c>
      <c r="BT201" s="2" t="str">
        <f>IF('[3]Model Check'!N196="","",('[3]Model Check'!N196))</f>
        <v/>
      </c>
    </row>
    <row r="202" spans="61:72" ht="18" customHeight="1" x14ac:dyDescent="0.25">
      <c r="BI202" s="2" t="str">
        <f>IF('[3]Model Check'!C197="","",('[3]Model Check'!C197))</f>
        <v/>
      </c>
      <c r="BJ202" s="2" t="str">
        <f>IF('[3]Model Check'!D197="","",('[3]Model Check'!D197))</f>
        <v/>
      </c>
      <c r="BK202" s="2" t="str">
        <f>IF('[3]Model Check'!E197="","",('[3]Model Check'!E197))</f>
        <v/>
      </c>
      <c r="BL202" s="2" t="str">
        <f>IF('[3]Model Check'!F197="","",('[3]Model Check'!F197))</f>
        <v/>
      </c>
      <c r="BM202" s="2" t="str">
        <f>IF('[3]Model Check'!G197="","",('[3]Model Check'!G197))</f>
        <v/>
      </c>
      <c r="BN202" s="2" t="str">
        <f>IF('[3]Model Check'!H197="","",('[3]Model Check'!H197))</f>
        <v/>
      </c>
      <c r="BO202" s="2" t="str">
        <f>IF('[3]Model Check'!I197="","",('[3]Model Check'!I197))</f>
        <v/>
      </c>
      <c r="BP202" s="2" t="str">
        <f>IF('[3]Model Check'!J197="","",('[3]Model Check'!J197))</f>
        <v/>
      </c>
      <c r="BQ202" s="2" t="str">
        <f>IF('[3]Model Check'!K197="","",('[3]Model Check'!K197))</f>
        <v/>
      </c>
      <c r="BR202" s="2" t="str">
        <f>IF('[3]Model Check'!L197="","",('[3]Model Check'!L197))</f>
        <v/>
      </c>
      <c r="BS202" s="2" t="str">
        <f>IF('[3]Model Check'!M197="","",('[3]Model Check'!M197))</f>
        <v/>
      </c>
      <c r="BT202" s="2" t="str">
        <f>IF('[3]Model Check'!N197="","",('[3]Model Check'!N197))</f>
        <v/>
      </c>
    </row>
    <row r="203" spans="61:72" ht="18" customHeight="1" x14ac:dyDescent="0.25">
      <c r="BI203" s="2" t="str">
        <f>IF('[3]Model Check'!C198="","",('[3]Model Check'!C198))</f>
        <v/>
      </c>
      <c r="BJ203" s="2" t="str">
        <f>IF('[3]Model Check'!D198="","",('[3]Model Check'!D198))</f>
        <v/>
      </c>
      <c r="BK203" s="2" t="str">
        <f>IF('[3]Model Check'!E198="","",('[3]Model Check'!E198))</f>
        <v/>
      </c>
      <c r="BL203" s="2" t="str">
        <f>IF('[3]Model Check'!F198="","",('[3]Model Check'!F198))</f>
        <v/>
      </c>
      <c r="BM203" s="2" t="str">
        <f>IF('[3]Model Check'!G198="","",('[3]Model Check'!G198))</f>
        <v/>
      </c>
      <c r="BN203" s="2" t="str">
        <f>IF('[3]Model Check'!H198="","",('[3]Model Check'!H198))</f>
        <v/>
      </c>
      <c r="BO203" s="2" t="str">
        <f>IF('[3]Model Check'!I198="","",('[3]Model Check'!I198))</f>
        <v/>
      </c>
      <c r="BP203" s="2" t="str">
        <f>IF('[3]Model Check'!J198="","",('[3]Model Check'!J198))</f>
        <v/>
      </c>
      <c r="BQ203" s="2" t="str">
        <f>IF('[3]Model Check'!K198="","",('[3]Model Check'!K198))</f>
        <v/>
      </c>
      <c r="BR203" s="2" t="str">
        <f>IF('[3]Model Check'!L198="","",('[3]Model Check'!L198))</f>
        <v/>
      </c>
      <c r="BS203" s="2" t="str">
        <f>IF('[3]Model Check'!M198="","",('[3]Model Check'!M198))</f>
        <v/>
      </c>
      <c r="BT203" s="2" t="str">
        <f>IF('[3]Model Check'!N198="","",('[3]Model Check'!N198))</f>
        <v/>
      </c>
    </row>
    <row r="204" spans="61:72" ht="18" customHeight="1" x14ac:dyDescent="0.25">
      <c r="BI204" s="2" t="str">
        <f>IF('[3]Model Check'!C199="","",('[3]Model Check'!C199))</f>
        <v/>
      </c>
      <c r="BJ204" s="2" t="str">
        <f>IF('[3]Model Check'!D199="","",('[3]Model Check'!D199))</f>
        <v/>
      </c>
      <c r="BK204" s="2" t="str">
        <f>IF('[3]Model Check'!E199="","",('[3]Model Check'!E199))</f>
        <v/>
      </c>
      <c r="BL204" s="2" t="str">
        <f>IF('[3]Model Check'!F199="","",('[3]Model Check'!F199))</f>
        <v/>
      </c>
      <c r="BM204" s="2" t="str">
        <f>IF('[3]Model Check'!G199="","",('[3]Model Check'!G199))</f>
        <v/>
      </c>
      <c r="BN204" s="2" t="str">
        <f>IF('[3]Model Check'!H199="","",('[3]Model Check'!H199))</f>
        <v/>
      </c>
      <c r="BO204" s="2" t="str">
        <f>IF('[3]Model Check'!I199="","",('[3]Model Check'!I199))</f>
        <v/>
      </c>
      <c r="BP204" s="2" t="str">
        <f>IF('[3]Model Check'!J199="","",('[3]Model Check'!J199))</f>
        <v/>
      </c>
      <c r="BQ204" s="2" t="str">
        <f>IF('[3]Model Check'!K199="","",('[3]Model Check'!K199))</f>
        <v/>
      </c>
      <c r="BR204" s="2" t="str">
        <f>IF('[3]Model Check'!L199="","",('[3]Model Check'!L199))</f>
        <v/>
      </c>
      <c r="BS204" s="2" t="str">
        <f>IF('[3]Model Check'!M199="","",('[3]Model Check'!M199))</f>
        <v/>
      </c>
      <c r="BT204" s="2" t="str">
        <f>IF('[3]Model Check'!N199="","",('[3]Model Check'!N199))</f>
        <v/>
      </c>
    </row>
    <row r="205" spans="61:72" ht="18" customHeight="1" x14ac:dyDescent="0.25">
      <c r="BI205" s="2" t="str">
        <f>IF('[3]Model Check'!C200="","",('[3]Model Check'!C200))</f>
        <v/>
      </c>
      <c r="BJ205" s="2" t="str">
        <f>IF('[3]Model Check'!D200="","",('[3]Model Check'!D200))</f>
        <v/>
      </c>
      <c r="BK205" s="2" t="str">
        <f>IF('[3]Model Check'!E200="","",('[3]Model Check'!E200))</f>
        <v/>
      </c>
      <c r="BL205" s="2" t="str">
        <f>IF('[3]Model Check'!F200="","",('[3]Model Check'!F200))</f>
        <v/>
      </c>
      <c r="BM205" s="2" t="str">
        <f>IF('[3]Model Check'!G200="","",('[3]Model Check'!G200))</f>
        <v/>
      </c>
      <c r="BN205" s="2" t="str">
        <f>IF('[3]Model Check'!H200="","",('[3]Model Check'!H200))</f>
        <v/>
      </c>
      <c r="BO205" s="2" t="str">
        <f>IF('[3]Model Check'!I200="","",('[3]Model Check'!I200))</f>
        <v/>
      </c>
      <c r="BP205" s="2" t="str">
        <f>IF('[3]Model Check'!J200="","",('[3]Model Check'!J200))</f>
        <v/>
      </c>
      <c r="BQ205" s="2" t="str">
        <f>IF('[3]Model Check'!K200="","",('[3]Model Check'!K200))</f>
        <v/>
      </c>
      <c r="BR205" s="2" t="str">
        <f>IF('[3]Model Check'!L200="","",('[3]Model Check'!L200))</f>
        <v/>
      </c>
      <c r="BS205" s="2" t="str">
        <f>IF('[3]Model Check'!M200="","",('[3]Model Check'!M200))</f>
        <v/>
      </c>
      <c r="BT205" s="2" t="str">
        <f>IF('[3]Model Check'!N200="","",('[3]Model Check'!N200))</f>
        <v/>
      </c>
    </row>
    <row r="206" spans="61:72" ht="18" customHeight="1" x14ac:dyDescent="0.25">
      <c r="BI206" s="2" t="str">
        <f>IF('[3]Model Check'!C201="","",('[3]Model Check'!C201))</f>
        <v/>
      </c>
      <c r="BJ206" s="2" t="str">
        <f>IF('[3]Model Check'!D201="","",('[3]Model Check'!D201))</f>
        <v/>
      </c>
      <c r="BK206" s="2" t="str">
        <f>IF('[3]Model Check'!E201="","",('[3]Model Check'!E201))</f>
        <v/>
      </c>
      <c r="BL206" s="2" t="str">
        <f>IF('[3]Model Check'!F201="","",('[3]Model Check'!F201))</f>
        <v/>
      </c>
      <c r="BM206" s="2" t="str">
        <f>IF('[3]Model Check'!G201="","",('[3]Model Check'!G201))</f>
        <v/>
      </c>
      <c r="BN206" s="2" t="str">
        <f>IF('[3]Model Check'!H201="","",('[3]Model Check'!H201))</f>
        <v/>
      </c>
      <c r="BO206" s="2" t="str">
        <f>IF('[3]Model Check'!I201="","",('[3]Model Check'!I201))</f>
        <v/>
      </c>
      <c r="BP206" s="2" t="str">
        <f>IF('[3]Model Check'!J201="","",('[3]Model Check'!J201))</f>
        <v/>
      </c>
      <c r="BQ206" s="2" t="str">
        <f>IF('[3]Model Check'!K201="","",('[3]Model Check'!K201))</f>
        <v/>
      </c>
      <c r="BR206" s="2" t="str">
        <f>IF('[3]Model Check'!L201="","",('[3]Model Check'!L201))</f>
        <v/>
      </c>
      <c r="BS206" s="2" t="str">
        <f>IF('[3]Model Check'!M201="","",('[3]Model Check'!M201))</f>
        <v/>
      </c>
      <c r="BT206" s="2" t="str">
        <f>IF('[3]Model Check'!N201="","",('[3]Model Check'!N201))</f>
        <v/>
      </c>
    </row>
    <row r="207" spans="61:72" ht="18" customHeight="1" x14ac:dyDescent="0.25">
      <c r="BI207" s="2" t="str">
        <f>IF('[3]Model Check'!C202="","",('[3]Model Check'!C202))</f>
        <v/>
      </c>
      <c r="BJ207" s="2" t="str">
        <f>IF('[3]Model Check'!D202="","",('[3]Model Check'!D202))</f>
        <v/>
      </c>
      <c r="BK207" s="2" t="str">
        <f>IF('[3]Model Check'!E202="","",('[3]Model Check'!E202))</f>
        <v/>
      </c>
      <c r="BL207" s="2" t="str">
        <f>IF('[3]Model Check'!F202="","",('[3]Model Check'!F202))</f>
        <v/>
      </c>
      <c r="BM207" s="2" t="str">
        <f>IF('[3]Model Check'!G202="","",('[3]Model Check'!G202))</f>
        <v/>
      </c>
      <c r="BN207" s="2" t="str">
        <f>IF('[3]Model Check'!H202="","",('[3]Model Check'!H202))</f>
        <v/>
      </c>
      <c r="BO207" s="2" t="str">
        <f>IF('[3]Model Check'!I202="","",('[3]Model Check'!I202))</f>
        <v/>
      </c>
      <c r="BP207" s="2" t="str">
        <f>IF('[3]Model Check'!J202="","",('[3]Model Check'!J202))</f>
        <v/>
      </c>
      <c r="BQ207" s="2" t="str">
        <f>IF('[3]Model Check'!K202="","",('[3]Model Check'!K202))</f>
        <v/>
      </c>
      <c r="BR207" s="2" t="str">
        <f>IF('[3]Model Check'!L202="","",('[3]Model Check'!L202))</f>
        <v/>
      </c>
      <c r="BS207" s="2" t="str">
        <f>IF('[3]Model Check'!M202="","",('[3]Model Check'!M202))</f>
        <v/>
      </c>
      <c r="BT207" s="2" t="str">
        <f>IF('[3]Model Check'!N202="","",('[3]Model Check'!N202))</f>
        <v/>
      </c>
    </row>
    <row r="208" spans="61:72" ht="18" customHeight="1" x14ac:dyDescent="0.25">
      <c r="BI208" s="2" t="str">
        <f>IF('[3]Model Check'!C203="","",('[3]Model Check'!C203))</f>
        <v/>
      </c>
      <c r="BJ208" s="2" t="str">
        <f>IF('[3]Model Check'!D203="","",('[3]Model Check'!D203))</f>
        <v/>
      </c>
      <c r="BK208" s="2" t="str">
        <f>IF('[3]Model Check'!E203="","",('[3]Model Check'!E203))</f>
        <v/>
      </c>
      <c r="BL208" s="2" t="str">
        <f>IF('[3]Model Check'!F203="","",('[3]Model Check'!F203))</f>
        <v/>
      </c>
      <c r="BM208" s="2" t="str">
        <f>IF('[3]Model Check'!G203="","",('[3]Model Check'!G203))</f>
        <v/>
      </c>
      <c r="BN208" s="2" t="str">
        <f>IF('[3]Model Check'!H203="","",('[3]Model Check'!H203))</f>
        <v/>
      </c>
      <c r="BO208" s="2" t="str">
        <f>IF('[3]Model Check'!I203="","",('[3]Model Check'!I203))</f>
        <v/>
      </c>
      <c r="BP208" s="2" t="str">
        <f>IF('[3]Model Check'!J203="","",('[3]Model Check'!J203))</f>
        <v/>
      </c>
      <c r="BQ208" s="2" t="str">
        <f>IF('[3]Model Check'!K203="","",('[3]Model Check'!K203))</f>
        <v/>
      </c>
      <c r="BR208" s="2" t="str">
        <f>IF('[3]Model Check'!L203="","",('[3]Model Check'!L203))</f>
        <v/>
      </c>
      <c r="BS208" s="2" t="str">
        <f>IF('[3]Model Check'!M203="","",('[3]Model Check'!M203))</f>
        <v/>
      </c>
      <c r="BT208" s="2" t="str">
        <f>IF('[3]Model Check'!N203="","",('[3]Model Check'!N203))</f>
        <v/>
      </c>
    </row>
    <row r="209" spans="61:72" ht="18" customHeight="1" x14ac:dyDescent="0.25">
      <c r="BI209" s="2" t="str">
        <f>IF('[3]Model Check'!C204="","",('[3]Model Check'!C204))</f>
        <v/>
      </c>
      <c r="BJ209" s="2" t="str">
        <f>IF('[3]Model Check'!D204="","",('[3]Model Check'!D204))</f>
        <v/>
      </c>
      <c r="BK209" s="2" t="str">
        <f>IF('[3]Model Check'!E204="","",('[3]Model Check'!E204))</f>
        <v/>
      </c>
      <c r="BL209" s="2" t="str">
        <f>IF('[3]Model Check'!F204="","",('[3]Model Check'!F204))</f>
        <v/>
      </c>
      <c r="BM209" s="2" t="str">
        <f>IF('[3]Model Check'!G204="","",('[3]Model Check'!G204))</f>
        <v/>
      </c>
      <c r="BN209" s="2" t="str">
        <f>IF('[3]Model Check'!H204="","",('[3]Model Check'!H204))</f>
        <v/>
      </c>
      <c r="BO209" s="2" t="str">
        <f>IF('[3]Model Check'!I204="","",('[3]Model Check'!I204))</f>
        <v/>
      </c>
      <c r="BP209" s="2" t="str">
        <f>IF('[3]Model Check'!J204="","",('[3]Model Check'!J204))</f>
        <v/>
      </c>
      <c r="BQ209" s="2" t="str">
        <f>IF('[3]Model Check'!K204="","",('[3]Model Check'!K204))</f>
        <v/>
      </c>
      <c r="BR209" s="2" t="str">
        <f>IF('[3]Model Check'!L204="","",('[3]Model Check'!L204))</f>
        <v/>
      </c>
      <c r="BS209" s="2" t="str">
        <f>IF('[3]Model Check'!M204="","",('[3]Model Check'!M204))</f>
        <v/>
      </c>
      <c r="BT209" s="2" t="str">
        <f>IF('[3]Model Check'!N204="","",('[3]Model Check'!N204))</f>
        <v/>
      </c>
    </row>
    <row r="210" spans="61:72" ht="18" customHeight="1" x14ac:dyDescent="0.25">
      <c r="BI210" s="2" t="str">
        <f>IF('[3]Model Check'!C205="","",('[3]Model Check'!C205))</f>
        <v/>
      </c>
      <c r="BJ210" s="2" t="str">
        <f>IF('[3]Model Check'!D205="","",('[3]Model Check'!D205))</f>
        <v/>
      </c>
      <c r="BK210" s="2" t="str">
        <f>IF('[3]Model Check'!E205="","",('[3]Model Check'!E205))</f>
        <v/>
      </c>
      <c r="BL210" s="2" t="str">
        <f>IF('[3]Model Check'!F205="","",('[3]Model Check'!F205))</f>
        <v/>
      </c>
      <c r="BM210" s="2" t="str">
        <f>IF('[3]Model Check'!G205="","",('[3]Model Check'!G205))</f>
        <v/>
      </c>
      <c r="BN210" s="2" t="str">
        <f>IF('[3]Model Check'!H205="","",('[3]Model Check'!H205))</f>
        <v/>
      </c>
      <c r="BO210" s="2" t="str">
        <f>IF('[3]Model Check'!I205="","",('[3]Model Check'!I205))</f>
        <v/>
      </c>
      <c r="BP210" s="2" t="str">
        <f>IF('[3]Model Check'!J205="","",('[3]Model Check'!J205))</f>
        <v/>
      </c>
      <c r="BQ210" s="2" t="str">
        <f>IF('[3]Model Check'!K205="","",('[3]Model Check'!K205))</f>
        <v/>
      </c>
      <c r="BR210" s="2" t="str">
        <f>IF('[3]Model Check'!L205="","",('[3]Model Check'!L205))</f>
        <v/>
      </c>
      <c r="BS210" s="2" t="str">
        <f>IF('[3]Model Check'!M205="","",('[3]Model Check'!M205))</f>
        <v/>
      </c>
      <c r="BT210" s="2" t="str">
        <f>IF('[3]Model Check'!N205="","",('[3]Model Check'!N205))</f>
        <v/>
      </c>
    </row>
    <row r="211" spans="61:72" ht="18" customHeight="1" x14ac:dyDescent="0.25">
      <c r="BI211" s="2" t="str">
        <f>IF('[3]Model Check'!C206="","",('[3]Model Check'!C206))</f>
        <v/>
      </c>
      <c r="BJ211" s="2" t="str">
        <f>IF('[3]Model Check'!D206="","",('[3]Model Check'!D206))</f>
        <v/>
      </c>
      <c r="BK211" s="2" t="str">
        <f>IF('[3]Model Check'!E206="","",('[3]Model Check'!E206))</f>
        <v/>
      </c>
      <c r="BL211" s="2" t="str">
        <f>IF('[3]Model Check'!F206="","",('[3]Model Check'!F206))</f>
        <v/>
      </c>
      <c r="BM211" s="2" t="str">
        <f>IF('[3]Model Check'!G206="","",('[3]Model Check'!G206))</f>
        <v/>
      </c>
      <c r="BN211" s="2" t="str">
        <f>IF('[3]Model Check'!H206="","",('[3]Model Check'!H206))</f>
        <v/>
      </c>
      <c r="BO211" s="2" t="str">
        <f>IF('[3]Model Check'!I206="","",('[3]Model Check'!I206))</f>
        <v/>
      </c>
      <c r="BP211" s="2" t="str">
        <f>IF('[3]Model Check'!J206="","",('[3]Model Check'!J206))</f>
        <v/>
      </c>
      <c r="BQ211" s="2" t="str">
        <f>IF('[3]Model Check'!K206="","",('[3]Model Check'!K206))</f>
        <v/>
      </c>
      <c r="BR211" s="2" t="str">
        <f>IF('[3]Model Check'!L206="","",('[3]Model Check'!L206))</f>
        <v/>
      </c>
      <c r="BS211" s="2" t="str">
        <f>IF('[3]Model Check'!M206="","",('[3]Model Check'!M206))</f>
        <v/>
      </c>
      <c r="BT211" s="2" t="str">
        <f>IF('[3]Model Check'!N206="","",('[3]Model Check'!N206))</f>
        <v/>
      </c>
    </row>
    <row r="212" spans="61:72" ht="18" customHeight="1" x14ac:dyDescent="0.25">
      <c r="BI212" s="2" t="str">
        <f>IF('[3]Model Check'!C207="","",('[3]Model Check'!C207))</f>
        <v/>
      </c>
      <c r="BJ212" s="2" t="str">
        <f>IF('[3]Model Check'!D207="","",('[3]Model Check'!D207))</f>
        <v/>
      </c>
      <c r="BK212" s="2" t="str">
        <f>IF('[3]Model Check'!E207="","",('[3]Model Check'!E207))</f>
        <v/>
      </c>
      <c r="BL212" s="2" t="str">
        <f>IF('[3]Model Check'!F207="","",('[3]Model Check'!F207))</f>
        <v/>
      </c>
      <c r="BM212" s="2" t="str">
        <f>IF('[3]Model Check'!G207="","",('[3]Model Check'!G207))</f>
        <v/>
      </c>
      <c r="BN212" s="2" t="str">
        <f>IF('[3]Model Check'!H207="","",('[3]Model Check'!H207))</f>
        <v/>
      </c>
      <c r="BO212" s="2" t="str">
        <f>IF('[3]Model Check'!I207="","",('[3]Model Check'!I207))</f>
        <v/>
      </c>
      <c r="BP212" s="2" t="str">
        <f>IF('[3]Model Check'!J207="","",('[3]Model Check'!J207))</f>
        <v/>
      </c>
      <c r="BQ212" s="2" t="str">
        <f>IF('[3]Model Check'!K207="","",('[3]Model Check'!K207))</f>
        <v/>
      </c>
      <c r="BR212" s="2" t="str">
        <f>IF('[3]Model Check'!L207="","",('[3]Model Check'!L207))</f>
        <v/>
      </c>
      <c r="BS212" s="2" t="str">
        <f>IF('[3]Model Check'!M207="","",('[3]Model Check'!M207))</f>
        <v/>
      </c>
      <c r="BT212" s="2" t="str">
        <f>IF('[3]Model Check'!N207="","",('[3]Model Check'!N207))</f>
        <v/>
      </c>
    </row>
    <row r="213" spans="61:72" ht="18" customHeight="1" x14ac:dyDescent="0.25">
      <c r="BI213" s="2" t="str">
        <f>IF('[3]Model Check'!C208="","",('[3]Model Check'!C208))</f>
        <v/>
      </c>
      <c r="BJ213" s="2" t="str">
        <f>IF('[3]Model Check'!D208="","",('[3]Model Check'!D208))</f>
        <v/>
      </c>
      <c r="BK213" s="2" t="str">
        <f>IF('[3]Model Check'!E208="","",('[3]Model Check'!E208))</f>
        <v/>
      </c>
      <c r="BL213" s="2" t="str">
        <f>IF('[3]Model Check'!F208="","",('[3]Model Check'!F208))</f>
        <v/>
      </c>
      <c r="BM213" s="2" t="str">
        <f>IF('[3]Model Check'!G208="","",('[3]Model Check'!G208))</f>
        <v/>
      </c>
      <c r="BN213" s="2" t="str">
        <f>IF('[3]Model Check'!H208="","",('[3]Model Check'!H208))</f>
        <v/>
      </c>
      <c r="BO213" s="2" t="str">
        <f>IF('[3]Model Check'!I208="","",('[3]Model Check'!I208))</f>
        <v/>
      </c>
      <c r="BP213" s="2" t="str">
        <f>IF('[3]Model Check'!J208="","",('[3]Model Check'!J208))</f>
        <v/>
      </c>
      <c r="BQ213" s="2" t="str">
        <f>IF('[3]Model Check'!K208="","",('[3]Model Check'!K208))</f>
        <v/>
      </c>
      <c r="BR213" s="2" t="str">
        <f>IF('[3]Model Check'!L208="","",('[3]Model Check'!L208))</f>
        <v/>
      </c>
      <c r="BS213" s="2" t="str">
        <f>IF('[3]Model Check'!M208="","",('[3]Model Check'!M208))</f>
        <v/>
      </c>
      <c r="BT213" s="2" t="str">
        <f>IF('[3]Model Check'!N208="","",('[3]Model Check'!N208))</f>
        <v/>
      </c>
    </row>
    <row r="214" spans="61:72" ht="18" customHeight="1" x14ac:dyDescent="0.25">
      <c r="BI214" s="2" t="str">
        <f>IF('[3]Model Check'!C209="","",('[3]Model Check'!C209))</f>
        <v/>
      </c>
      <c r="BJ214" s="2" t="str">
        <f>IF('[3]Model Check'!D209="","",('[3]Model Check'!D209))</f>
        <v/>
      </c>
      <c r="BK214" s="2" t="str">
        <f>IF('[3]Model Check'!E209="","",('[3]Model Check'!E209))</f>
        <v/>
      </c>
      <c r="BL214" s="2" t="str">
        <f>IF('[3]Model Check'!F209="","",('[3]Model Check'!F209))</f>
        <v/>
      </c>
      <c r="BM214" s="2" t="str">
        <f>IF('[3]Model Check'!G209="","",('[3]Model Check'!G209))</f>
        <v/>
      </c>
      <c r="BN214" s="2" t="str">
        <f>IF('[3]Model Check'!H209="","",('[3]Model Check'!H209))</f>
        <v/>
      </c>
      <c r="BO214" s="2" t="str">
        <f>IF('[3]Model Check'!I209="","",('[3]Model Check'!I209))</f>
        <v/>
      </c>
      <c r="BP214" s="2" t="str">
        <f>IF('[3]Model Check'!J209="","",('[3]Model Check'!J209))</f>
        <v/>
      </c>
      <c r="BQ214" s="2" t="str">
        <f>IF('[3]Model Check'!K209="","",('[3]Model Check'!K209))</f>
        <v/>
      </c>
      <c r="BR214" s="2" t="str">
        <f>IF('[3]Model Check'!L209="","",('[3]Model Check'!L209))</f>
        <v/>
      </c>
      <c r="BS214" s="2" t="str">
        <f>IF('[3]Model Check'!M209="","",('[3]Model Check'!M209))</f>
        <v/>
      </c>
      <c r="BT214" s="2" t="str">
        <f>IF('[3]Model Check'!N209="","",('[3]Model Check'!N209))</f>
        <v/>
      </c>
    </row>
    <row r="215" spans="61:72" ht="18" customHeight="1" x14ac:dyDescent="0.25">
      <c r="BI215" s="2" t="str">
        <f>IF('[3]Model Check'!C210="","",('[3]Model Check'!C210))</f>
        <v/>
      </c>
      <c r="BJ215" s="2" t="str">
        <f>IF('[3]Model Check'!D210="","",('[3]Model Check'!D210))</f>
        <v/>
      </c>
      <c r="BK215" s="2" t="str">
        <f>IF('[3]Model Check'!E210="","",('[3]Model Check'!E210))</f>
        <v/>
      </c>
      <c r="BL215" s="2" t="str">
        <f>IF('[3]Model Check'!F210="","",('[3]Model Check'!F210))</f>
        <v/>
      </c>
      <c r="BM215" s="2" t="str">
        <f>IF('[3]Model Check'!G210="","",('[3]Model Check'!G210))</f>
        <v/>
      </c>
      <c r="BN215" s="2" t="str">
        <f>IF('[3]Model Check'!H210="","",('[3]Model Check'!H210))</f>
        <v/>
      </c>
      <c r="BO215" s="2" t="str">
        <f>IF('[3]Model Check'!I210="","",('[3]Model Check'!I210))</f>
        <v/>
      </c>
      <c r="BP215" s="2" t="str">
        <f>IF('[3]Model Check'!J210="","",('[3]Model Check'!J210))</f>
        <v/>
      </c>
      <c r="BQ215" s="2" t="str">
        <f>IF('[3]Model Check'!K210="","",('[3]Model Check'!K210))</f>
        <v/>
      </c>
      <c r="BR215" s="2" t="str">
        <f>IF('[3]Model Check'!L210="","",('[3]Model Check'!L210))</f>
        <v/>
      </c>
      <c r="BS215" s="2" t="str">
        <f>IF('[3]Model Check'!M210="","",('[3]Model Check'!M210))</f>
        <v/>
      </c>
      <c r="BT215" s="2" t="str">
        <f>IF('[3]Model Check'!N210="","",('[3]Model Check'!N210))</f>
        <v/>
      </c>
    </row>
    <row r="216" spans="61:72" ht="18" customHeight="1" x14ac:dyDescent="0.25">
      <c r="BI216" s="2" t="str">
        <f>IF('[3]Model Check'!C211="","",('[3]Model Check'!C211))</f>
        <v/>
      </c>
      <c r="BJ216" s="2" t="str">
        <f>IF('[3]Model Check'!D211="","",('[3]Model Check'!D211))</f>
        <v/>
      </c>
      <c r="BK216" s="2" t="str">
        <f>IF('[3]Model Check'!E211="","",('[3]Model Check'!E211))</f>
        <v/>
      </c>
      <c r="BL216" s="2" t="str">
        <f>IF('[3]Model Check'!F211="","",('[3]Model Check'!F211))</f>
        <v/>
      </c>
      <c r="BM216" s="2" t="str">
        <f>IF('[3]Model Check'!G211="","",('[3]Model Check'!G211))</f>
        <v/>
      </c>
      <c r="BN216" s="2" t="str">
        <f>IF('[3]Model Check'!H211="","",('[3]Model Check'!H211))</f>
        <v/>
      </c>
      <c r="BO216" s="2" t="str">
        <f>IF('[3]Model Check'!I211="","",('[3]Model Check'!I211))</f>
        <v/>
      </c>
      <c r="BP216" s="2" t="str">
        <f>IF('[3]Model Check'!J211="","",('[3]Model Check'!J211))</f>
        <v/>
      </c>
      <c r="BQ216" s="2" t="str">
        <f>IF('[3]Model Check'!K211="","",('[3]Model Check'!K211))</f>
        <v/>
      </c>
      <c r="BR216" s="2" t="str">
        <f>IF('[3]Model Check'!L211="","",('[3]Model Check'!L211))</f>
        <v/>
      </c>
      <c r="BS216" s="2" t="str">
        <f>IF('[3]Model Check'!M211="","",('[3]Model Check'!M211))</f>
        <v/>
      </c>
      <c r="BT216" s="2" t="str">
        <f>IF('[3]Model Check'!N211="","",('[3]Model Check'!N211))</f>
        <v/>
      </c>
    </row>
    <row r="217" spans="61:72" ht="18" customHeight="1" x14ac:dyDescent="0.25">
      <c r="BI217" s="2" t="str">
        <f>IF('[3]Model Check'!C212="","",('[3]Model Check'!C212))</f>
        <v/>
      </c>
      <c r="BJ217" s="2" t="str">
        <f>IF('[3]Model Check'!D212="","",('[3]Model Check'!D212))</f>
        <v/>
      </c>
      <c r="BK217" s="2" t="str">
        <f>IF('[3]Model Check'!E212="","",('[3]Model Check'!E212))</f>
        <v/>
      </c>
      <c r="BL217" s="2" t="str">
        <f>IF('[3]Model Check'!F212="","",('[3]Model Check'!F212))</f>
        <v/>
      </c>
      <c r="BM217" s="2" t="str">
        <f>IF('[3]Model Check'!G212="","",('[3]Model Check'!G212))</f>
        <v/>
      </c>
      <c r="BN217" s="2" t="str">
        <f>IF('[3]Model Check'!H212="","",('[3]Model Check'!H212))</f>
        <v/>
      </c>
      <c r="BO217" s="2" t="str">
        <f>IF('[3]Model Check'!I212="","",('[3]Model Check'!I212))</f>
        <v/>
      </c>
      <c r="BP217" s="2" t="str">
        <f>IF('[3]Model Check'!J212="","",('[3]Model Check'!J212))</f>
        <v/>
      </c>
      <c r="BQ217" s="2" t="str">
        <f>IF('[3]Model Check'!K212="","",('[3]Model Check'!K212))</f>
        <v/>
      </c>
      <c r="BR217" s="2" t="str">
        <f>IF('[3]Model Check'!L212="","",('[3]Model Check'!L212))</f>
        <v/>
      </c>
      <c r="BS217" s="2" t="str">
        <f>IF('[3]Model Check'!M212="","",('[3]Model Check'!M212))</f>
        <v/>
      </c>
      <c r="BT217" s="2" t="str">
        <f>IF('[3]Model Check'!N212="","",('[3]Model Check'!N212))</f>
        <v/>
      </c>
    </row>
    <row r="218" spans="61:72" ht="18" customHeight="1" x14ac:dyDescent="0.25">
      <c r="BI218" s="2" t="str">
        <f>IF('[3]Model Check'!C213="","",('[3]Model Check'!C213))</f>
        <v/>
      </c>
      <c r="BJ218" s="2" t="str">
        <f>IF('[3]Model Check'!D213="","",('[3]Model Check'!D213))</f>
        <v/>
      </c>
      <c r="BK218" s="2" t="str">
        <f>IF('[3]Model Check'!E213="","",('[3]Model Check'!E213))</f>
        <v/>
      </c>
      <c r="BL218" s="2" t="str">
        <f>IF('[3]Model Check'!F213="","",('[3]Model Check'!F213))</f>
        <v/>
      </c>
      <c r="BM218" s="2" t="str">
        <f>IF('[3]Model Check'!G213="","",('[3]Model Check'!G213))</f>
        <v/>
      </c>
      <c r="BN218" s="2" t="str">
        <f>IF('[3]Model Check'!H213="","",('[3]Model Check'!H213))</f>
        <v/>
      </c>
      <c r="BO218" s="2" t="str">
        <f>IF('[3]Model Check'!I213="","",('[3]Model Check'!I213))</f>
        <v/>
      </c>
      <c r="BP218" s="2" t="str">
        <f>IF('[3]Model Check'!J213="","",('[3]Model Check'!J213))</f>
        <v/>
      </c>
      <c r="BQ218" s="2" t="str">
        <f>IF('[3]Model Check'!K213="","",('[3]Model Check'!K213))</f>
        <v/>
      </c>
      <c r="BR218" s="2" t="str">
        <f>IF('[3]Model Check'!L213="","",('[3]Model Check'!L213))</f>
        <v/>
      </c>
      <c r="BS218" s="2" t="str">
        <f>IF('[3]Model Check'!M213="","",('[3]Model Check'!M213))</f>
        <v/>
      </c>
      <c r="BT218" s="2" t="str">
        <f>IF('[3]Model Check'!N213="","",('[3]Model Check'!N213))</f>
        <v/>
      </c>
    </row>
    <row r="219" spans="61:72" ht="18" customHeight="1" x14ac:dyDescent="0.25">
      <c r="BI219" s="2" t="str">
        <f>IF('[3]Model Check'!C214="","",('[3]Model Check'!C214))</f>
        <v/>
      </c>
      <c r="BJ219" s="2" t="str">
        <f>IF('[3]Model Check'!D214="","",('[3]Model Check'!D214))</f>
        <v/>
      </c>
      <c r="BK219" s="2" t="str">
        <f>IF('[3]Model Check'!E214="","",('[3]Model Check'!E214))</f>
        <v/>
      </c>
      <c r="BL219" s="2" t="str">
        <f>IF('[3]Model Check'!F214="","",('[3]Model Check'!F214))</f>
        <v/>
      </c>
      <c r="BM219" s="2" t="str">
        <f>IF('[3]Model Check'!G214="","",('[3]Model Check'!G214))</f>
        <v/>
      </c>
      <c r="BN219" s="2" t="str">
        <f>IF('[3]Model Check'!H214="","",('[3]Model Check'!H214))</f>
        <v/>
      </c>
      <c r="BO219" s="2" t="str">
        <f>IF('[3]Model Check'!I214="","",('[3]Model Check'!I214))</f>
        <v/>
      </c>
      <c r="BP219" s="2" t="str">
        <f>IF('[3]Model Check'!J214="","",('[3]Model Check'!J214))</f>
        <v/>
      </c>
      <c r="BQ219" s="2" t="str">
        <f>IF('[3]Model Check'!K214="","",('[3]Model Check'!K214))</f>
        <v/>
      </c>
      <c r="BR219" s="2" t="str">
        <f>IF('[3]Model Check'!L214="","",('[3]Model Check'!L214))</f>
        <v/>
      </c>
      <c r="BS219" s="2" t="str">
        <f>IF('[3]Model Check'!M214="","",('[3]Model Check'!M214))</f>
        <v/>
      </c>
      <c r="BT219" s="2" t="str">
        <f>IF('[3]Model Check'!N214="","",('[3]Model Check'!N214))</f>
        <v/>
      </c>
    </row>
    <row r="220" spans="61:72" ht="18" customHeight="1" x14ac:dyDescent="0.25">
      <c r="BI220" s="2" t="str">
        <f>IF('[3]Model Check'!C215="","",('[3]Model Check'!C215))</f>
        <v/>
      </c>
      <c r="BJ220" s="2" t="str">
        <f>IF('[3]Model Check'!D215="","",('[3]Model Check'!D215))</f>
        <v/>
      </c>
      <c r="BK220" s="2" t="str">
        <f>IF('[3]Model Check'!E215="","",('[3]Model Check'!E215))</f>
        <v/>
      </c>
      <c r="BL220" s="2" t="str">
        <f>IF('[3]Model Check'!F215="","",('[3]Model Check'!F215))</f>
        <v/>
      </c>
      <c r="BM220" s="2" t="str">
        <f>IF('[3]Model Check'!G215="","",('[3]Model Check'!G215))</f>
        <v/>
      </c>
      <c r="BN220" s="2" t="str">
        <f>IF('[3]Model Check'!H215="","",('[3]Model Check'!H215))</f>
        <v/>
      </c>
      <c r="BO220" s="2" t="str">
        <f>IF('[3]Model Check'!I215="","",('[3]Model Check'!I215))</f>
        <v/>
      </c>
      <c r="BP220" s="2" t="str">
        <f>IF('[3]Model Check'!J215="","",('[3]Model Check'!J215))</f>
        <v/>
      </c>
      <c r="BQ220" s="2" t="str">
        <f>IF('[3]Model Check'!K215="","",('[3]Model Check'!K215))</f>
        <v/>
      </c>
      <c r="BR220" s="2" t="str">
        <f>IF('[3]Model Check'!L215="","",('[3]Model Check'!L215))</f>
        <v/>
      </c>
      <c r="BS220" s="2" t="str">
        <f>IF('[3]Model Check'!M215="","",('[3]Model Check'!M215))</f>
        <v/>
      </c>
      <c r="BT220" s="2" t="str">
        <f>IF('[3]Model Check'!N215="","",('[3]Model Check'!N215))</f>
        <v/>
      </c>
    </row>
    <row r="221" spans="61:72" ht="18" customHeight="1" x14ac:dyDescent="0.25">
      <c r="BI221" s="2" t="str">
        <f>IF('[3]Model Check'!C216="","",('[3]Model Check'!C216))</f>
        <v/>
      </c>
      <c r="BJ221" s="2" t="str">
        <f>IF('[3]Model Check'!D216="","",('[3]Model Check'!D216))</f>
        <v/>
      </c>
      <c r="BK221" s="2" t="str">
        <f>IF('[3]Model Check'!E216="","",('[3]Model Check'!E216))</f>
        <v/>
      </c>
      <c r="BL221" s="2" t="str">
        <f>IF('[3]Model Check'!F216="","",('[3]Model Check'!F216))</f>
        <v/>
      </c>
      <c r="BM221" s="2" t="str">
        <f>IF('[3]Model Check'!G216="","",('[3]Model Check'!G216))</f>
        <v/>
      </c>
      <c r="BN221" s="2" t="str">
        <f>IF('[3]Model Check'!H216="","",('[3]Model Check'!H216))</f>
        <v/>
      </c>
      <c r="BO221" s="2" t="str">
        <f>IF('[3]Model Check'!I216="","",('[3]Model Check'!I216))</f>
        <v/>
      </c>
      <c r="BP221" s="2" t="str">
        <f>IF('[3]Model Check'!J216="","",('[3]Model Check'!J216))</f>
        <v/>
      </c>
      <c r="BQ221" s="2" t="str">
        <f>IF('[3]Model Check'!K216="","",('[3]Model Check'!K216))</f>
        <v/>
      </c>
      <c r="BR221" s="2" t="str">
        <f>IF('[3]Model Check'!L216="","",('[3]Model Check'!L216))</f>
        <v/>
      </c>
      <c r="BS221" s="2" t="str">
        <f>IF('[3]Model Check'!M216="","",('[3]Model Check'!M216))</f>
        <v/>
      </c>
      <c r="BT221" s="2" t="str">
        <f>IF('[3]Model Check'!N216="","",('[3]Model Check'!N216))</f>
        <v/>
      </c>
    </row>
    <row r="222" spans="61:72" ht="18" customHeight="1" x14ac:dyDescent="0.25">
      <c r="BI222" s="2" t="str">
        <f>IF('[3]Model Check'!C217="","",('[3]Model Check'!C217))</f>
        <v/>
      </c>
      <c r="BJ222" s="2" t="str">
        <f>IF('[3]Model Check'!D217="","",('[3]Model Check'!D217))</f>
        <v/>
      </c>
      <c r="BK222" s="2" t="str">
        <f>IF('[3]Model Check'!E217="","",('[3]Model Check'!E217))</f>
        <v/>
      </c>
      <c r="BL222" s="2" t="str">
        <f>IF('[3]Model Check'!F217="","",('[3]Model Check'!F217))</f>
        <v/>
      </c>
      <c r="BM222" s="2" t="str">
        <f>IF('[3]Model Check'!G217="","",('[3]Model Check'!G217))</f>
        <v/>
      </c>
      <c r="BN222" s="2" t="str">
        <f>IF('[3]Model Check'!H217="","",('[3]Model Check'!H217))</f>
        <v/>
      </c>
      <c r="BO222" s="2" t="str">
        <f>IF('[3]Model Check'!I217="","",('[3]Model Check'!I217))</f>
        <v/>
      </c>
      <c r="BP222" s="2" t="str">
        <f>IF('[3]Model Check'!J217="","",('[3]Model Check'!J217))</f>
        <v/>
      </c>
      <c r="BQ222" s="2" t="str">
        <f>IF('[3]Model Check'!K217="","",('[3]Model Check'!K217))</f>
        <v/>
      </c>
      <c r="BR222" s="2" t="str">
        <f>IF('[3]Model Check'!L217="","",('[3]Model Check'!L217))</f>
        <v/>
      </c>
      <c r="BS222" s="2" t="str">
        <f>IF('[3]Model Check'!M217="","",('[3]Model Check'!M217))</f>
        <v/>
      </c>
      <c r="BT222" s="2" t="str">
        <f>IF('[3]Model Check'!N217="","",('[3]Model Check'!N217))</f>
        <v/>
      </c>
    </row>
    <row r="223" spans="61:72" ht="18" customHeight="1" x14ac:dyDescent="0.25">
      <c r="BI223" s="2" t="str">
        <f>IF('[3]Model Check'!C218="","",('[3]Model Check'!C218))</f>
        <v/>
      </c>
      <c r="BJ223" s="2" t="str">
        <f>IF('[3]Model Check'!D218="","",('[3]Model Check'!D218))</f>
        <v/>
      </c>
      <c r="BK223" s="2" t="str">
        <f>IF('[3]Model Check'!E218="","",('[3]Model Check'!E218))</f>
        <v/>
      </c>
      <c r="BL223" s="2" t="str">
        <f>IF('[3]Model Check'!F218="","",('[3]Model Check'!F218))</f>
        <v/>
      </c>
      <c r="BM223" s="2" t="str">
        <f>IF('[3]Model Check'!G218="","",('[3]Model Check'!G218))</f>
        <v/>
      </c>
      <c r="BN223" s="2" t="str">
        <f>IF('[3]Model Check'!H218="","",('[3]Model Check'!H218))</f>
        <v/>
      </c>
      <c r="BO223" s="2" t="str">
        <f>IF('[3]Model Check'!I218="","",('[3]Model Check'!I218))</f>
        <v/>
      </c>
      <c r="BP223" s="2" t="str">
        <f>IF('[3]Model Check'!J218="","",('[3]Model Check'!J218))</f>
        <v/>
      </c>
      <c r="BQ223" s="2" t="str">
        <f>IF('[3]Model Check'!K218="","",('[3]Model Check'!K218))</f>
        <v/>
      </c>
      <c r="BR223" s="2" t="str">
        <f>IF('[3]Model Check'!L218="","",('[3]Model Check'!L218))</f>
        <v/>
      </c>
      <c r="BS223" s="2" t="str">
        <f>IF('[3]Model Check'!M218="","",('[3]Model Check'!M218))</f>
        <v/>
      </c>
      <c r="BT223" s="2" t="str">
        <f>IF('[3]Model Check'!N218="","",('[3]Model Check'!N218))</f>
        <v/>
      </c>
    </row>
    <row r="224" spans="61:72" ht="18" customHeight="1" x14ac:dyDescent="0.25">
      <c r="BI224" s="2" t="str">
        <f>IF('[3]Model Check'!C219="","",('[3]Model Check'!C219))</f>
        <v/>
      </c>
      <c r="BJ224" s="2" t="str">
        <f>IF('[3]Model Check'!D219="","",('[3]Model Check'!D219))</f>
        <v/>
      </c>
      <c r="BK224" s="2" t="str">
        <f>IF('[3]Model Check'!E219="","",('[3]Model Check'!E219))</f>
        <v/>
      </c>
      <c r="BL224" s="2" t="str">
        <f>IF('[3]Model Check'!F219="","",('[3]Model Check'!F219))</f>
        <v/>
      </c>
      <c r="BM224" s="2" t="str">
        <f>IF('[3]Model Check'!G219="","",('[3]Model Check'!G219))</f>
        <v/>
      </c>
      <c r="BN224" s="2" t="str">
        <f>IF('[3]Model Check'!H219="","",('[3]Model Check'!H219))</f>
        <v/>
      </c>
      <c r="BO224" s="2" t="str">
        <f>IF('[3]Model Check'!I219="","",('[3]Model Check'!I219))</f>
        <v/>
      </c>
      <c r="BP224" s="2" t="str">
        <f>IF('[3]Model Check'!J219="","",('[3]Model Check'!J219))</f>
        <v/>
      </c>
      <c r="BQ224" s="2" t="str">
        <f>IF('[3]Model Check'!K219="","",('[3]Model Check'!K219))</f>
        <v/>
      </c>
      <c r="BR224" s="2" t="str">
        <f>IF('[3]Model Check'!L219="","",('[3]Model Check'!L219))</f>
        <v/>
      </c>
      <c r="BS224" s="2" t="str">
        <f>IF('[3]Model Check'!M219="","",('[3]Model Check'!M219))</f>
        <v/>
      </c>
      <c r="BT224" s="2" t="str">
        <f>IF('[3]Model Check'!N219="","",('[3]Model Check'!N219))</f>
        <v/>
      </c>
    </row>
    <row r="225" spans="61:72" ht="18" customHeight="1" x14ac:dyDescent="0.25">
      <c r="BI225" s="2" t="str">
        <f>IF('[3]Model Check'!C220="","",('[3]Model Check'!C220))</f>
        <v/>
      </c>
      <c r="BJ225" s="2" t="str">
        <f>IF('[3]Model Check'!D220="","",('[3]Model Check'!D220))</f>
        <v/>
      </c>
      <c r="BK225" s="2" t="str">
        <f>IF('[3]Model Check'!E220="","",('[3]Model Check'!E220))</f>
        <v/>
      </c>
      <c r="BL225" s="2" t="str">
        <f>IF('[3]Model Check'!F220="","",('[3]Model Check'!F220))</f>
        <v/>
      </c>
      <c r="BM225" s="2" t="str">
        <f>IF('[3]Model Check'!G220="","",('[3]Model Check'!G220))</f>
        <v/>
      </c>
      <c r="BN225" s="2" t="str">
        <f>IF('[3]Model Check'!H220="","",('[3]Model Check'!H220))</f>
        <v/>
      </c>
      <c r="BO225" s="2" t="str">
        <f>IF('[3]Model Check'!I220="","",('[3]Model Check'!I220))</f>
        <v/>
      </c>
      <c r="BP225" s="2" t="str">
        <f>IF('[3]Model Check'!J220="","",('[3]Model Check'!J220))</f>
        <v/>
      </c>
      <c r="BQ225" s="2" t="str">
        <f>IF('[3]Model Check'!K220="","",('[3]Model Check'!K220))</f>
        <v/>
      </c>
      <c r="BR225" s="2" t="str">
        <f>IF('[3]Model Check'!L220="","",('[3]Model Check'!L220))</f>
        <v/>
      </c>
      <c r="BS225" s="2" t="str">
        <f>IF('[3]Model Check'!M220="","",('[3]Model Check'!M220))</f>
        <v/>
      </c>
      <c r="BT225" s="2" t="str">
        <f>IF('[3]Model Check'!N220="","",('[3]Model Check'!N220))</f>
        <v/>
      </c>
    </row>
    <row r="226" spans="61:72" ht="18" customHeight="1" x14ac:dyDescent="0.25">
      <c r="BI226" s="2" t="str">
        <f>IF('[3]Model Check'!C221="","",('[3]Model Check'!C221))</f>
        <v/>
      </c>
      <c r="BJ226" s="2" t="str">
        <f>IF('[3]Model Check'!D221="","",('[3]Model Check'!D221))</f>
        <v/>
      </c>
      <c r="BK226" s="2" t="str">
        <f>IF('[3]Model Check'!E221="","",('[3]Model Check'!E221))</f>
        <v/>
      </c>
      <c r="BL226" s="2" t="str">
        <f>IF('[3]Model Check'!F221="","",('[3]Model Check'!F221))</f>
        <v/>
      </c>
      <c r="BM226" s="2" t="str">
        <f>IF('[3]Model Check'!G221="","",('[3]Model Check'!G221))</f>
        <v/>
      </c>
      <c r="BN226" s="2" t="str">
        <f>IF('[3]Model Check'!H221="","",('[3]Model Check'!H221))</f>
        <v/>
      </c>
      <c r="BO226" s="2" t="str">
        <f>IF('[3]Model Check'!I221="","",('[3]Model Check'!I221))</f>
        <v/>
      </c>
      <c r="BP226" s="2" t="str">
        <f>IF('[3]Model Check'!J221="","",('[3]Model Check'!J221))</f>
        <v/>
      </c>
      <c r="BQ226" s="2" t="str">
        <f>IF('[3]Model Check'!K221="","",('[3]Model Check'!K221))</f>
        <v/>
      </c>
      <c r="BR226" s="2" t="str">
        <f>IF('[3]Model Check'!L221="","",('[3]Model Check'!L221))</f>
        <v/>
      </c>
      <c r="BS226" s="2" t="str">
        <f>IF('[3]Model Check'!M221="","",('[3]Model Check'!M221))</f>
        <v/>
      </c>
      <c r="BT226" s="2" t="str">
        <f>IF('[3]Model Check'!N221="","",('[3]Model Check'!N221))</f>
        <v/>
      </c>
    </row>
    <row r="227" spans="61:72" ht="18" customHeight="1" x14ac:dyDescent="0.25">
      <c r="BI227" s="2" t="str">
        <f>IF('[3]Model Check'!C222="","",('[3]Model Check'!C222))</f>
        <v/>
      </c>
      <c r="BJ227" s="2" t="str">
        <f>IF('[3]Model Check'!D222="","",('[3]Model Check'!D222))</f>
        <v/>
      </c>
      <c r="BK227" s="2" t="str">
        <f>IF('[3]Model Check'!E222="","",('[3]Model Check'!E222))</f>
        <v/>
      </c>
      <c r="BL227" s="2" t="str">
        <f>IF('[3]Model Check'!F222="","",('[3]Model Check'!F222))</f>
        <v/>
      </c>
      <c r="BM227" s="2" t="str">
        <f>IF('[3]Model Check'!G222="","",('[3]Model Check'!G222))</f>
        <v/>
      </c>
      <c r="BN227" s="2" t="str">
        <f>IF('[3]Model Check'!H222="","",('[3]Model Check'!H222))</f>
        <v/>
      </c>
      <c r="BO227" s="2" t="str">
        <f>IF('[3]Model Check'!I222="","",('[3]Model Check'!I222))</f>
        <v/>
      </c>
      <c r="BP227" s="2" t="str">
        <f>IF('[3]Model Check'!J222="","",('[3]Model Check'!J222))</f>
        <v/>
      </c>
      <c r="BQ227" s="2" t="str">
        <f>IF('[3]Model Check'!K222="","",('[3]Model Check'!K222))</f>
        <v/>
      </c>
      <c r="BR227" s="2" t="str">
        <f>IF('[3]Model Check'!L222="","",('[3]Model Check'!L222))</f>
        <v/>
      </c>
      <c r="BS227" s="2" t="str">
        <f>IF('[3]Model Check'!M222="","",('[3]Model Check'!M222))</f>
        <v/>
      </c>
      <c r="BT227" s="2" t="str">
        <f>IF('[3]Model Check'!N222="","",('[3]Model Check'!N222))</f>
        <v/>
      </c>
    </row>
    <row r="228" spans="61:72" ht="18" customHeight="1" x14ac:dyDescent="0.25">
      <c r="BI228" s="2" t="str">
        <f>IF('[3]Model Check'!C223="","",('[3]Model Check'!C223))</f>
        <v/>
      </c>
      <c r="BJ228" s="2" t="str">
        <f>IF('[3]Model Check'!D223="","",('[3]Model Check'!D223))</f>
        <v/>
      </c>
      <c r="BK228" s="2" t="str">
        <f>IF('[3]Model Check'!E223="","",('[3]Model Check'!E223))</f>
        <v/>
      </c>
      <c r="BL228" s="2" t="str">
        <f>IF('[3]Model Check'!F223="","",('[3]Model Check'!F223))</f>
        <v/>
      </c>
      <c r="BM228" s="2" t="str">
        <f>IF('[3]Model Check'!G223="","",('[3]Model Check'!G223))</f>
        <v/>
      </c>
      <c r="BN228" s="2" t="str">
        <f>IF('[3]Model Check'!H223="","",('[3]Model Check'!H223))</f>
        <v/>
      </c>
      <c r="BO228" s="2" t="str">
        <f>IF('[3]Model Check'!I223="","",('[3]Model Check'!I223))</f>
        <v/>
      </c>
      <c r="BP228" s="2" t="str">
        <f>IF('[3]Model Check'!J223="","",('[3]Model Check'!J223))</f>
        <v/>
      </c>
      <c r="BQ228" s="2" t="str">
        <f>IF('[3]Model Check'!K223="","",('[3]Model Check'!K223))</f>
        <v/>
      </c>
      <c r="BR228" s="2" t="str">
        <f>IF('[3]Model Check'!L223="","",('[3]Model Check'!L223))</f>
        <v/>
      </c>
      <c r="BS228" s="2" t="str">
        <f>IF('[3]Model Check'!M223="","",('[3]Model Check'!M223))</f>
        <v/>
      </c>
      <c r="BT228" s="2" t="str">
        <f>IF('[3]Model Check'!N223="","",('[3]Model Check'!N223))</f>
        <v/>
      </c>
    </row>
    <row r="229" spans="61:72" ht="18" customHeight="1" x14ac:dyDescent="0.25">
      <c r="BI229" s="2" t="str">
        <f>IF('[3]Model Check'!C224="","",('[3]Model Check'!C224))</f>
        <v/>
      </c>
      <c r="BJ229" s="2" t="str">
        <f>IF('[3]Model Check'!D224="","",('[3]Model Check'!D224))</f>
        <v/>
      </c>
      <c r="BK229" s="2" t="str">
        <f>IF('[3]Model Check'!E224="","",('[3]Model Check'!E224))</f>
        <v/>
      </c>
      <c r="BL229" s="2" t="str">
        <f>IF('[3]Model Check'!F224="","",('[3]Model Check'!F224))</f>
        <v/>
      </c>
      <c r="BM229" s="2" t="str">
        <f>IF('[3]Model Check'!G224="","",('[3]Model Check'!G224))</f>
        <v/>
      </c>
      <c r="BN229" s="2" t="str">
        <f>IF('[3]Model Check'!H224="","",('[3]Model Check'!H224))</f>
        <v/>
      </c>
      <c r="BO229" s="2" t="str">
        <f>IF('[3]Model Check'!I224="","",('[3]Model Check'!I224))</f>
        <v/>
      </c>
      <c r="BP229" s="2" t="str">
        <f>IF('[3]Model Check'!J224="","",('[3]Model Check'!J224))</f>
        <v/>
      </c>
      <c r="BQ229" s="2" t="str">
        <f>IF('[3]Model Check'!K224="","",('[3]Model Check'!K224))</f>
        <v/>
      </c>
      <c r="BR229" s="2" t="str">
        <f>IF('[3]Model Check'!L224="","",('[3]Model Check'!L224))</f>
        <v/>
      </c>
      <c r="BS229" s="2" t="str">
        <f>IF('[3]Model Check'!M224="","",('[3]Model Check'!M224))</f>
        <v/>
      </c>
      <c r="BT229" s="2" t="str">
        <f>IF('[3]Model Check'!N224="","",('[3]Model Check'!N224))</f>
        <v/>
      </c>
    </row>
    <row r="230" spans="61:72" ht="18" customHeight="1" x14ac:dyDescent="0.25">
      <c r="BI230" s="2" t="str">
        <f>IF('[3]Model Check'!C225="","",('[3]Model Check'!C225))</f>
        <v/>
      </c>
      <c r="BJ230" s="2" t="str">
        <f>IF('[3]Model Check'!D225="","",('[3]Model Check'!D225))</f>
        <v/>
      </c>
      <c r="BK230" s="2" t="str">
        <f>IF('[3]Model Check'!E225="","",('[3]Model Check'!E225))</f>
        <v/>
      </c>
      <c r="BL230" s="2" t="str">
        <f>IF('[3]Model Check'!F225="","",('[3]Model Check'!F225))</f>
        <v/>
      </c>
      <c r="BM230" s="2" t="str">
        <f>IF('[3]Model Check'!G225="","",('[3]Model Check'!G225))</f>
        <v/>
      </c>
      <c r="BN230" s="2" t="str">
        <f>IF('[3]Model Check'!H225="","",('[3]Model Check'!H225))</f>
        <v/>
      </c>
      <c r="BO230" s="2" t="str">
        <f>IF('[3]Model Check'!I225="","",('[3]Model Check'!I225))</f>
        <v/>
      </c>
      <c r="BP230" s="2" t="str">
        <f>IF('[3]Model Check'!J225="","",('[3]Model Check'!J225))</f>
        <v/>
      </c>
      <c r="BQ230" s="2" t="str">
        <f>IF('[3]Model Check'!K225="","",('[3]Model Check'!K225))</f>
        <v/>
      </c>
      <c r="BR230" s="2" t="str">
        <f>IF('[3]Model Check'!L225="","",('[3]Model Check'!L225))</f>
        <v/>
      </c>
      <c r="BS230" s="2" t="str">
        <f>IF('[3]Model Check'!M225="","",('[3]Model Check'!M225))</f>
        <v/>
      </c>
      <c r="BT230" s="2" t="str">
        <f>IF('[3]Model Check'!N225="","",('[3]Model Check'!N225))</f>
        <v/>
      </c>
    </row>
    <row r="231" spans="61:72" ht="18" customHeight="1" x14ac:dyDescent="0.25">
      <c r="BI231" s="2" t="str">
        <f>IF('[3]Model Check'!C226="","",('[3]Model Check'!C226))</f>
        <v/>
      </c>
      <c r="BJ231" s="2" t="str">
        <f>IF('[3]Model Check'!D226="","",('[3]Model Check'!D226))</f>
        <v/>
      </c>
      <c r="BK231" s="2" t="str">
        <f>IF('[3]Model Check'!E226="","",('[3]Model Check'!E226))</f>
        <v/>
      </c>
      <c r="BL231" s="2" t="str">
        <f>IF('[3]Model Check'!F226="","",('[3]Model Check'!F226))</f>
        <v/>
      </c>
      <c r="BM231" s="2" t="str">
        <f>IF('[3]Model Check'!G226="","",('[3]Model Check'!G226))</f>
        <v/>
      </c>
      <c r="BN231" s="2" t="str">
        <f>IF('[3]Model Check'!H226="","",('[3]Model Check'!H226))</f>
        <v/>
      </c>
      <c r="BO231" s="2" t="str">
        <f>IF('[3]Model Check'!I226="","",('[3]Model Check'!I226))</f>
        <v/>
      </c>
      <c r="BP231" s="2" t="str">
        <f>IF('[3]Model Check'!J226="","",('[3]Model Check'!J226))</f>
        <v/>
      </c>
      <c r="BQ231" s="2" t="str">
        <f>IF('[3]Model Check'!K226="","",('[3]Model Check'!K226))</f>
        <v/>
      </c>
      <c r="BR231" s="2" t="str">
        <f>IF('[3]Model Check'!L226="","",('[3]Model Check'!L226))</f>
        <v/>
      </c>
      <c r="BS231" s="2" t="str">
        <f>IF('[3]Model Check'!M226="","",('[3]Model Check'!M226))</f>
        <v/>
      </c>
      <c r="BT231" s="2" t="str">
        <f>IF('[3]Model Check'!N226="","",('[3]Model Check'!N226))</f>
        <v/>
      </c>
    </row>
    <row r="232" spans="61:72" ht="18" customHeight="1" x14ac:dyDescent="0.25">
      <c r="BI232" s="2" t="str">
        <f>IF('[3]Model Check'!C227="","",('[3]Model Check'!C227))</f>
        <v/>
      </c>
      <c r="BJ232" s="2" t="str">
        <f>IF('[3]Model Check'!D227="","",('[3]Model Check'!D227))</f>
        <v/>
      </c>
      <c r="BK232" s="2" t="str">
        <f>IF('[3]Model Check'!E227="","",('[3]Model Check'!E227))</f>
        <v/>
      </c>
      <c r="BL232" s="2" t="str">
        <f>IF('[3]Model Check'!F227="","",('[3]Model Check'!F227))</f>
        <v/>
      </c>
      <c r="BM232" s="2" t="str">
        <f>IF('[3]Model Check'!G227="","",('[3]Model Check'!G227))</f>
        <v/>
      </c>
      <c r="BN232" s="2" t="str">
        <f>IF('[3]Model Check'!H227="","",('[3]Model Check'!H227))</f>
        <v/>
      </c>
      <c r="BO232" s="2" t="str">
        <f>IF('[3]Model Check'!I227="","",('[3]Model Check'!I227))</f>
        <v/>
      </c>
      <c r="BP232" s="2" t="str">
        <f>IF('[3]Model Check'!J227="","",('[3]Model Check'!J227))</f>
        <v/>
      </c>
      <c r="BQ232" s="2" t="str">
        <f>IF('[3]Model Check'!K227="","",('[3]Model Check'!K227))</f>
        <v/>
      </c>
      <c r="BR232" s="2" t="str">
        <f>IF('[3]Model Check'!L227="","",('[3]Model Check'!L227))</f>
        <v/>
      </c>
      <c r="BS232" s="2" t="str">
        <f>IF('[3]Model Check'!M227="","",('[3]Model Check'!M227))</f>
        <v/>
      </c>
      <c r="BT232" s="2" t="str">
        <f>IF('[3]Model Check'!N227="","",('[3]Model Check'!N227))</f>
        <v/>
      </c>
    </row>
    <row r="233" spans="61:72" ht="18" customHeight="1" x14ac:dyDescent="0.25">
      <c r="BI233" s="2" t="str">
        <f>IF('[3]Model Check'!C228="","",('[3]Model Check'!C228))</f>
        <v/>
      </c>
      <c r="BJ233" s="2" t="str">
        <f>IF('[3]Model Check'!D228="","",('[3]Model Check'!D228))</f>
        <v/>
      </c>
      <c r="BK233" s="2" t="str">
        <f>IF('[3]Model Check'!E228="","",('[3]Model Check'!E228))</f>
        <v/>
      </c>
      <c r="BL233" s="2" t="str">
        <f>IF('[3]Model Check'!F228="","",('[3]Model Check'!F228))</f>
        <v/>
      </c>
      <c r="BM233" s="2" t="str">
        <f>IF('[3]Model Check'!G228="","",('[3]Model Check'!G228))</f>
        <v/>
      </c>
      <c r="BN233" s="2" t="str">
        <f>IF('[3]Model Check'!H228="","",('[3]Model Check'!H228))</f>
        <v/>
      </c>
      <c r="BO233" s="2" t="str">
        <f>IF('[3]Model Check'!I228="","",('[3]Model Check'!I228))</f>
        <v/>
      </c>
      <c r="BP233" s="2" t="str">
        <f>IF('[3]Model Check'!J228="","",('[3]Model Check'!J228))</f>
        <v/>
      </c>
      <c r="BQ233" s="2" t="str">
        <f>IF('[3]Model Check'!K228="","",('[3]Model Check'!K228))</f>
        <v/>
      </c>
      <c r="BR233" s="2" t="str">
        <f>IF('[3]Model Check'!L228="","",('[3]Model Check'!L228))</f>
        <v/>
      </c>
      <c r="BS233" s="2" t="str">
        <f>IF('[3]Model Check'!M228="","",('[3]Model Check'!M228))</f>
        <v/>
      </c>
      <c r="BT233" s="2" t="str">
        <f>IF('[3]Model Check'!N228="","",('[3]Model Check'!N228))</f>
        <v/>
      </c>
    </row>
    <row r="234" spans="61:72" ht="18" customHeight="1" x14ac:dyDescent="0.25">
      <c r="BI234" s="2" t="str">
        <f>IF('[3]Model Check'!C229="","",('[3]Model Check'!C229))</f>
        <v/>
      </c>
      <c r="BJ234" s="2" t="str">
        <f>IF('[3]Model Check'!D229="","",('[3]Model Check'!D229))</f>
        <v/>
      </c>
      <c r="BK234" s="2" t="str">
        <f>IF('[3]Model Check'!E229="","",('[3]Model Check'!E229))</f>
        <v/>
      </c>
      <c r="BL234" s="2" t="str">
        <f>IF('[3]Model Check'!F229="","",('[3]Model Check'!F229))</f>
        <v/>
      </c>
      <c r="BM234" s="2" t="str">
        <f>IF('[3]Model Check'!G229="","",('[3]Model Check'!G229))</f>
        <v/>
      </c>
      <c r="BN234" s="2" t="str">
        <f>IF('[3]Model Check'!H229="","",('[3]Model Check'!H229))</f>
        <v/>
      </c>
      <c r="BO234" s="2" t="str">
        <f>IF('[3]Model Check'!I229="","",('[3]Model Check'!I229))</f>
        <v/>
      </c>
      <c r="BP234" s="2" t="str">
        <f>IF('[3]Model Check'!J229="","",('[3]Model Check'!J229))</f>
        <v/>
      </c>
      <c r="BQ234" s="2" t="str">
        <f>IF('[3]Model Check'!K229="","",('[3]Model Check'!K229))</f>
        <v/>
      </c>
      <c r="BR234" s="2" t="str">
        <f>IF('[3]Model Check'!L229="","",('[3]Model Check'!L229))</f>
        <v/>
      </c>
      <c r="BS234" s="2" t="str">
        <f>IF('[3]Model Check'!M229="","",('[3]Model Check'!M229))</f>
        <v/>
      </c>
      <c r="BT234" s="2" t="str">
        <f>IF('[3]Model Check'!N229="","",('[3]Model Check'!N229))</f>
        <v/>
      </c>
    </row>
    <row r="235" spans="61:72" ht="18" customHeight="1" x14ac:dyDescent="0.25">
      <c r="BI235" s="2" t="str">
        <f>IF('[3]Model Check'!C230="","",('[3]Model Check'!C230))</f>
        <v/>
      </c>
      <c r="BJ235" s="2" t="str">
        <f>IF('[3]Model Check'!D230="","",('[3]Model Check'!D230))</f>
        <v/>
      </c>
      <c r="BK235" s="2" t="str">
        <f>IF('[3]Model Check'!E230="","",('[3]Model Check'!E230))</f>
        <v/>
      </c>
      <c r="BL235" s="2" t="str">
        <f>IF('[3]Model Check'!F230="","",('[3]Model Check'!F230))</f>
        <v/>
      </c>
      <c r="BM235" s="2" t="str">
        <f>IF('[3]Model Check'!G230="","",('[3]Model Check'!G230))</f>
        <v/>
      </c>
      <c r="BN235" s="2" t="str">
        <f>IF('[3]Model Check'!H230="","",('[3]Model Check'!H230))</f>
        <v/>
      </c>
      <c r="BO235" s="2" t="str">
        <f>IF('[3]Model Check'!I230="","",('[3]Model Check'!I230))</f>
        <v/>
      </c>
      <c r="BP235" s="2" t="str">
        <f>IF('[3]Model Check'!J230="","",('[3]Model Check'!J230))</f>
        <v/>
      </c>
      <c r="BQ235" s="2" t="str">
        <f>IF('[3]Model Check'!K230="","",('[3]Model Check'!K230))</f>
        <v/>
      </c>
      <c r="BR235" s="2" t="str">
        <f>IF('[3]Model Check'!L230="","",('[3]Model Check'!L230))</f>
        <v/>
      </c>
      <c r="BS235" s="2" t="str">
        <f>IF('[3]Model Check'!M230="","",('[3]Model Check'!M230))</f>
        <v/>
      </c>
      <c r="BT235" s="2" t="str">
        <f>IF('[3]Model Check'!N230="","",('[3]Model Check'!N230))</f>
        <v/>
      </c>
    </row>
    <row r="236" spans="61:72" ht="18" customHeight="1" x14ac:dyDescent="0.25">
      <c r="BI236" s="2" t="str">
        <f>IF('[3]Model Check'!C231="","",('[3]Model Check'!C231))</f>
        <v/>
      </c>
      <c r="BJ236" s="2" t="str">
        <f>IF('[3]Model Check'!D231="","",('[3]Model Check'!D231))</f>
        <v/>
      </c>
      <c r="BK236" s="2" t="str">
        <f>IF('[3]Model Check'!E231="","",('[3]Model Check'!E231))</f>
        <v/>
      </c>
      <c r="BL236" s="2" t="str">
        <f>IF('[3]Model Check'!F231="","",('[3]Model Check'!F231))</f>
        <v/>
      </c>
      <c r="BM236" s="2" t="str">
        <f>IF('[3]Model Check'!G231="","",('[3]Model Check'!G231))</f>
        <v/>
      </c>
      <c r="BN236" s="2" t="str">
        <f>IF('[3]Model Check'!H231="","",('[3]Model Check'!H231))</f>
        <v/>
      </c>
      <c r="BO236" s="2" t="str">
        <f>IF('[3]Model Check'!I231="","",('[3]Model Check'!I231))</f>
        <v/>
      </c>
      <c r="BP236" s="2" t="str">
        <f>IF('[3]Model Check'!J231="","",('[3]Model Check'!J231))</f>
        <v/>
      </c>
      <c r="BQ236" s="2" t="str">
        <f>IF('[3]Model Check'!K231="","",('[3]Model Check'!K231))</f>
        <v/>
      </c>
      <c r="BR236" s="2" t="str">
        <f>IF('[3]Model Check'!L231="","",('[3]Model Check'!L231))</f>
        <v/>
      </c>
      <c r="BS236" s="2" t="str">
        <f>IF('[3]Model Check'!M231="","",('[3]Model Check'!M231))</f>
        <v/>
      </c>
      <c r="BT236" s="2" t="str">
        <f>IF('[3]Model Check'!N231="","",('[3]Model Check'!N231))</f>
        <v/>
      </c>
    </row>
  </sheetData>
  <mergeCells count="28">
    <mergeCell ref="W13:X13"/>
    <mergeCell ref="V2:X2"/>
    <mergeCell ref="Y7:Z7"/>
    <mergeCell ref="V7:X7"/>
    <mergeCell ref="AB2:AD2"/>
    <mergeCell ref="V3:X3"/>
    <mergeCell ref="V4:X4"/>
    <mergeCell ref="V5:X5"/>
    <mergeCell ref="V6:X6"/>
    <mergeCell ref="Y6:Z6"/>
    <mergeCell ref="AE6:AF6"/>
    <mergeCell ref="AE7:AF7"/>
    <mergeCell ref="AB3:AD3"/>
    <mergeCell ref="AB4:AD4"/>
    <mergeCell ref="AB5:AD5"/>
    <mergeCell ref="AB6:AD6"/>
    <mergeCell ref="AB7:AD7"/>
    <mergeCell ref="AQ36:AX36"/>
    <mergeCell ref="AZ13:BG13"/>
    <mergeCell ref="AZ36:BG36"/>
    <mergeCell ref="AG13:AH13"/>
    <mergeCell ref="AG10:AH10"/>
    <mergeCell ref="AG11:AH11"/>
    <mergeCell ref="AR6:AU6"/>
    <mergeCell ref="AQ5:AQ6"/>
    <mergeCell ref="AQ2:AQ4"/>
    <mergeCell ref="AR5:AU5"/>
    <mergeCell ref="AQ13:AX13"/>
  </mergeCells>
  <phoneticPr fontId="2" type="noConversion"/>
  <pageMargins left="0.7" right="0.7" top="0.75" bottom="0.75" header="0.3" footer="0.3"/>
  <pageSetup paperSize="9" orientation="portrait" r:id="rId1"/>
  <ignoredErrors>
    <ignoredError sqref="AS3:AS4 AT3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 filterMode="1"/>
  <dimension ref="A1:I2071"/>
  <sheetViews>
    <sheetView workbookViewId="0">
      <selection activeCell="D3" sqref="D3:D207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</row>
    <row r="3" spans="1:9" x14ac:dyDescent="0.25">
      <c r="A3" s="1" t="s">
        <v>157</v>
      </c>
      <c r="B3" s="1" t="s">
        <v>9</v>
      </c>
      <c r="C3" s="1" t="s">
        <v>10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-180.84</v>
      </c>
      <c r="F6" s="1">
        <v>0</v>
      </c>
      <c r="G6" s="1">
        <v>2983.846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-180.84</v>
      </c>
      <c r="F7" s="1">
        <v>0</v>
      </c>
      <c r="G7" s="1">
        <v>2983.846</v>
      </c>
      <c r="H7" s="1">
        <v>0</v>
      </c>
      <c r="I7" s="1">
        <v>-723.35699999999997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-180.84</v>
      </c>
      <c r="F8" s="1">
        <v>0</v>
      </c>
      <c r="G8" s="1">
        <v>2441.3290000000002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-180.84</v>
      </c>
      <c r="F9" s="1">
        <v>0</v>
      </c>
      <c r="G9" s="1">
        <v>2441.3290000000002</v>
      </c>
      <c r="H9" s="1">
        <v>0</v>
      </c>
      <c r="I9" s="1">
        <v>-723.35699999999997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-218.59</v>
      </c>
      <c r="G10" s="1">
        <v>-4328.0910000000003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-218.59</v>
      </c>
      <c r="G11" s="1">
        <v>-4328.0910000000003</v>
      </c>
      <c r="H11" s="1">
        <v>874.36199999999997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-218.59</v>
      </c>
      <c r="G12" s="1">
        <v>-3541.1660000000002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-218.59</v>
      </c>
      <c r="G13" s="1">
        <v>-3541.1660000000002</v>
      </c>
      <c r="H13" s="1">
        <v>874.36199999999997</v>
      </c>
      <c r="I13" s="1">
        <v>0</v>
      </c>
    </row>
    <row r="14" spans="1:9" hidden="1" x14ac:dyDescent="0.25">
      <c r="A14" s="1" t="s">
        <v>157</v>
      </c>
      <c r="B14" s="1" t="s">
        <v>321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321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322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322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323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324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325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326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326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109.33</v>
      </c>
      <c r="F34" s="1">
        <v>0</v>
      </c>
      <c r="G34" s="1">
        <v>1804.0119999999999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109.33</v>
      </c>
      <c r="F35" s="1">
        <v>0</v>
      </c>
      <c r="G35" s="1">
        <v>1804.0119999999999</v>
      </c>
      <c r="H35" s="1">
        <v>0</v>
      </c>
      <c r="I35" s="1">
        <v>437.33600000000001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242.18</v>
      </c>
      <c r="G36" s="1">
        <v>4795.2110000000002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242.18</v>
      </c>
      <c r="G37" s="1">
        <v>4795.2110000000002</v>
      </c>
      <c r="H37" s="1">
        <v>968.72900000000004</v>
      </c>
      <c r="I37" s="1">
        <v>0</v>
      </c>
    </row>
    <row r="38" spans="1:9" hidden="1" x14ac:dyDescent="0.25">
      <c r="A38" s="1" t="s">
        <v>157</v>
      </c>
      <c r="B38" s="1" t="s">
        <v>13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13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31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31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32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34</v>
      </c>
      <c r="C46" s="1" t="s">
        <v>25</v>
      </c>
      <c r="D46" s="1">
        <v>0</v>
      </c>
      <c r="E46" s="1">
        <v>-180.84</v>
      </c>
      <c r="F46" s="1">
        <v>0</v>
      </c>
      <c r="G46" s="1">
        <v>2983.846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34</v>
      </c>
      <c r="C47" s="1" t="s">
        <v>10</v>
      </c>
      <c r="D47" s="1">
        <v>0</v>
      </c>
      <c r="E47" s="1">
        <v>-180.84</v>
      </c>
      <c r="F47" s="1">
        <v>0</v>
      </c>
      <c r="G47" s="1">
        <v>2983.846</v>
      </c>
      <c r="H47" s="1">
        <v>0</v>
      </c>
      <c r="I47" s="1">
        <v>-723.35699999999997</v>
      </c>
    </row>
    <row r="48" spans="1:9" hidden="1" x14ac:dyDescent="0.25">
      <c r="A48" s="1" t="s">
        <v>157</v>
      </c>
      <c r="B48" s="1" t="s">
        <v>35</v>
      </c>
      <c r="C48" s="1" t="s">
        <v>25</v>
      </c>
      <c r="D48" s="1">
        <v>0</v>
      </c>
      <c r="E48" s="1">
        <v>-180.84</v>
      </c>
      <c r="F48" s="1">
        <v>0</v>
      </c>
      <c r="G48" s="1">
        <v>2441.3290000000002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35</v>
      </c>
      <c r="C49" s="1" t="s">
        <v>10</v>
      </c>
      <c r="D49" s="1">
        <v>0</v>
      </c>
      <c r="E49" s="1">
        <v>-180.84</v>
      </c>
      <c r="F49" s="1">
        <v>0</v>
      </c>
      <c r="G49" s="1">
        <v>2441.3290000000002</v>
      </c>
      <c r="H49" s="1">
        <v>0</v>
      </c>
      <c r="I49" s="1">
        <v>-723.35699999999997</v>
      </c>
    </row>
    <row r="50" spans="1:9" hidden="1" x14ac:dyDescent="0.25">
      <c r="A50" s="1" t="s">
        <v>157</v>
      </c>
      <c r="B50" s="1" t="s">
        <v>36</v>
      </c>
      <c r="C50" s="1" t="s">
        <v>25</v>
      </c>
      <c r="D50" s="1">
        <v>0</v>
      </c>
      <c r="E50" s="1">
        <v>180.84</v>
      </c>
      <c r="F50" s="1">
        <v>0</v>
      </c>
      <c r="G50" s="1">
        <v>-2983.846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36</v>
      </c>
      <c r="C51" s="1" t="s">
        <v>10</v>
      </c>
      <c r="D51" s="1">
        <v>0</v>
      </c>
      <c r="E51" s="1">
        <v>180.84</v>
      </c>
      <c r="F51" s="1">
        <v>0</v>
      </c>
      <c r="G51" s="1">
        <v>-2983.846</v>
      </c>
      <c r="H51" s="1">
        <v>0</v>
      </c>
      <c r="I51" s="1">
        <v>723.35699999999997</v>
      </c>
    </row>
    <row r="52" spans="1:9" hidden="1" x14ac:dyDescent="0.25">
      <c r="A52" s="1" t="s">
        <v>157</v>
      </c>
      <c r="B52" s="1" t="s">
        <v>37</v>
      </c>
      <c r="C52" s="1" t="s">
        <v>25</v>
      </c>
      <c r="D52" s="1">
        <v>0</v>
      </c>
      <c r="E52" s="1">
        <v>180.84</v>
      </c>
      <c r="F52" s="1">
        <v>0</v>
      </c>
      <c r="G52" s="1">
        <v>-2441.3290000000002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37</v>
      </c>
      <c r="C53" s="1" t="s">
        <v>10</v>
      </c>
      <c r="D53" s="1">
        <v>0</v>
      </c>
      <c r="E53" s="1">
        <v>180.84</v>
      </c>
      <c r="F53" s="1">
        <v>0</v>
      </c>
      <c r="G53" s="1">
        <v>-2441.3290000000002</v>
      </c>
      <c r="H53" s="1">
        <v>0</v>
      </c>
      <c r="I53" s="1">
        <v>723.35699999999997</v>
      </c>
    </row>
    <row r="54" spans="1:9" hidden="1" x14ac:dyDescent="0.25">
      <c r="A54" s="1" t="s">
        <v>157</v>
      </c>
      <c r="B54" s="1" t="s">
        <v>38</v>
      </c>
      <c r="C54" s="1" t="s">
        <v>25</v>
      </c>
      <c r="D54" s="1">
        <v>0</v>
      </c>
      <c r="E54" s="1">
        <v>0</v>
      </c>
      <c r="F54" s="1">
        <v>-218.59</v>
      </c>
      <c r="G54" s="1">
        <v>-4328.0910000000003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38</v>
      </c>
      <c r="C55" s="1" t="s">
        <v>10</v>
      </c>
      <c r="D55" s="1">
        <v>0</v>
      </c>
      <c r="E55" s="1">
        <v>0</v>
      </c>
      <c r="F55" s="1">
        <v>-218.59</v>
      </c>
      <c r="G55" s="1">
        <v>-4328.0910000000003</v>
      </c>
      <c r="H55" s="1">
        <v>874.36199999999997</v>
      </c>
      <c r="I55" s="1">
        <v>0</v>
      </c>
    </row>
    <row r="56" spans="1:9" hidden="1" x14ac:dyDescent="0.25">
      <c r="A56" s="1" t="s">
        <v>157</v>
      </c>
      <c r="B56" s="1" t="s">
        <v>39</v>
      </c>
      <c r="C56" s="1" t="s">
        <v>25</v>
      </c>
      <c r="D56" s="1">
        <v>0</v>
      </c>
      <c r="E56" s="1">
        <v>0</v>
      </c>
      <c r="F56" s="1">
        <v>-218.59</v>
      </c>
      <c r="G56" s="1">
        <v>-3541.1660000000002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39</v>
      </c>
      <c r="C57" s="1" t="s">
        <v>10</v>
      </c>
      <c r="D57" s="1">
        <v>0</v>
      </c>
      <c r="E57" s="1">
        <v>0</v>
      </c>
      <c r="F57" s="1">
        <v>-218.59</v>
      </c>
      <c r="G57" s="1">
        <v>-3541.1660000000002</v>
      </c>
      <c r="H57" s="1">
        <v>874.36199999999997</v>
      </c>
      <c r="I57" s="1">
        <v>0</v>
      </c>
    </row>
    <row r="58" spans="1:9" hidden="1" x14ac:dyDescent="0.25">
      <c r="A58" s="1" t="s">
        <v>157</v>
      </c>
      <c r="B58" s="1" t="s">
        <v>40</v>
      </c>
      <c r="C58" s="1" t="s">
        <v>25</v>
      </c>
      <c r="D58" s="1">
        <v>0</v>
      </c>
      <c r="E58" s="1">
        <v>0</v>
      </c>
      <c r="F58" s="1">
        <v>218.59</v>
      </c>
      <c r="G58" s="1">
        <v>4328.0910000000003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40</v>
      </c>
      <c r="C59" s="1" t="s">
        <v>10</v>
      </c>
      <c r="D59" s="1">
        <v>0</v>
      </c>
      <c r="E59" s="1">
        <v>0</v>
      </c>
      <c r="F59" s="1">
        <v>218.59</v>
      </c>
      <c r="G59" s="1">
        <v>4328.0910000000003</v>
      </c>
      <c r="H59" s="1">
        <v>-874.36199999999997</v>
      </c>
      <c r="I59" s="1">
        <v>0</v>
      </c>
    </row>
    <row r="60" spans="1:9" hidden="1" x14ac:dyDescent="0.25">
      <c r="A60" s="1" t="s">
        <v>157</v>
      </c>
      <c r="B60" s="1" t="s">
        <v>41</v>
      </c>
      <c r="C60" s="1" t="s">
        <v>25</v>
      </c>
      <c r="D60" s="1">
        <v>0</v>
      </c>
      <c r="E60" s="1">
        <v>0</v>
      </c>
      <c r="F60" s="1">
        <v>218.59</v>
      </c>
      <c r="G60" s="1">
        <v>3541.1660000000002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41</v>
      </c>
      <c r="C61" s="1" t="s">
        <v>10</v>
      </c>
      <c r="D61" s="1">
        <v>0</v>
      </c>
      <c r="E61" s="1">
        <v>0</v>
      </c>
      <c r="F61" s="1">
        <v>218.59</v>
      </c>
      <c r="G61" s="1">
        <v>3541.1660000000002</v>
      </c>
      <c r="H61" s="1">
        <v>-874.36199999999997</v>
      </c>
      <c r="I61" s="1">
        <v>0</v>
      </c>
    </row>
    <row r="62" spans="1:9" hidden="1" x14ac:dyDescent="0.25">
      <c r="A62" s="1" t="s">
        <v>157</v>
      </c>
      <c r="B62" s="1" t="s">
        <v>42</v>
      </c>
      <c r="C62" s="1" t="s">
        <v>25</v>
      </c>
      <c r="D62" s="1">
        <v>0</v>
      </c>
      <c r="E62" s="1">
        <v>-180.84</v>
      </c>
      <c r="F62" s="1">
        <v>0</v>
      </c>
      <c r="G62" s="1">
        <v>2983.846</v>
      </c>
      <c r="H62" s="1">
        <v>0</v>
      </c>
      <c r="I62" s="1">
        <v>0</v>
      </c>
    </row>
    <row r="63" spans="1:9" hidden="1" x14ac:dyDescent="0.25">
      <c r="A63" s="1" t="s">
        <v>157</v>
      </c>
      <c r="B63" s="1" t="s">
        <v>42</v>
      </c>
      <c r="C63" s="1" t="s">
        <v>10</v>
      </c>
      <c r="D63" s="1">
        <v>0</v>
      </c>
      <c r="E63" s="1">
        <v>-180.84</v>
      </c>
      <c r="F63" s="1">
        <v>0</v>
      </c>
      <c r="G63" s="1">
        <v>2983.846</v>
      </c>
      <c r="H63" s="1">
        <v>0</v>
      </c>
      <c r="I63" s="1">
        <v>-723.35699999999997</v>
      </c>
    </row>
    <row r="64" spans="1:9" hidden="1" x14ac:dyDescent="0.25">
      <c r="A64" s="1" t="s">
        <v>157</v>
      </c>
      <c r="B64" s="1" t="s">
        <v>43</v>
      </c>
      <c r="C64" s="1" t="s">
        <v>25</v>
      </c>
      <c r="D64" s="1">
        <v>0</v>
      </c>
      <c r="E64" s="1">
        <v>-180.84</v>
      </c>
      <c r="F64" s="1">
        <v>0</v>
      </c>
      <c r="G64" s="1">
        <v>2441.3290000000002</v>
      </c>
      <c r="H64" s="1">
        <v>0</v>
      </c>
      <c r="I64" s="1">
        <v>0</v>
      </c>
    </row>
    <row r="65" spans="1:9" hidden="1" x14ac:dyDescent="0.25">
      <c r="A65" s="1" t="s">
        <v>157</v>
      </c>
      <c r="B65" s="1" t="s">
        <v>43</v>
      </c>
      <c r="C65" s="1" t="s">
        <v>10</v>
      </c>
      <c r="D65" s="1">
        <v>0</v>
      </c>
      <c r="E65" s="1">
        <v>-180.84</v>
      </c>
      <c r="F65" s="1">
        <v>0</v>
      </c>
      <c r="G65" s="1">
        <v>2441.3290000000002</v>
      </c>
      <c r="H65" s="1">
        <v>0</v>
      </c>
      <c r="I65" s="1">
        <v>-723.35699999999997</v>
      </c>
    </row>
    <row r="66" spans="1:9" hidden="1" x14ac:dyDescent="0.25">
      <c r="A66" s="1" t="s">
        <v>157</v>
      </c>
      <c r="B66" s="1" t="s">
        <v>44</v>
      </c>
      <c r="C66" s="1" t="s">
        <v>25</v>
      </c>
      <c r="D66" s="1">
        <v>0</v>
      </c>
      <c r="E66" s="1">
        <v>180.84</v>
      </c>
      <c r="F66" s="1">
        <v>0</v>
      </c>
      <c r="G66" s="1">
        <v>-2983.846</v>
      </c>
      <c r="H66" s="1">
        <v>0</v>
      </c>
      <c r="I66" s="1">
        <v>0</v>
      </c>
    </row>
    <row r="67" spans="1:9" hidden="1" x14ac:dyDescent="0.25">
      <c r="A67" s="1" t="s">
        <v>157</v>
      </c>
      <c r="B67" s="1" t="s">
        <v>44</v>
      </c>
      <c r="C67" s="1" t="s">
        <v>10</v>
      </c>
      <c r="D67" s="1">
        <v>0</v>
      </c>
      <c r="E67" s="1">
        <v>180.84</v>
      </c>
      <c r="F67" s="1">
        <v>0</v>
      </c>
      <c r="G67" s="1">
        <v>-2983.846</v>
      </c>
      <c r="H67" s="1">
        <v>0</v>
      </c>
      <c r="I67" s="1">
        <v>723.35699999999997</v>
      </c>
    </row>
    <row r="68" spans="1:9" hidden="1" x14ac:dyDescent="0.25">
      <c r="A68" s="1" t="s">
        <v>157</v>
      </c>
      <c r="B68" s="1" t="s">
        <v>45</v>
      </c>
      <c r="C68" s="1" t="s">
        <v>25</v>
      </c>
      <c r="D68" s="1">
        <v>0</v>
      </c>
      <c r="E68" s="1">
        <v>180.84</v>
      </c>
      <c r="F68" s="1">
        <v>0</v>
      </c>
      <c r="G68" s="1">
        <v>-2441.3290000000002</v>
      </c>
      <c r="H68" s="1">
        <v>0</v>
      </c>
      <c r="I68" s="1">
        <v>0</v>
      </c>
    </row>
    <row r="69" spans="1:9" hidden="1" x14ac:dyDescent="0.25">
      <c r="A69" s="1" t="s">
        <v>157</v>
      </c>
      <c r="B69" s="1" t="s">
        <v>45</v>
      </c>
      <c r="C69" s="1" t="s">
        <v>10</v>
      </c>
      <c r="D69" s="1">
        <v>0</v>
      </c>
      <c r="E69" s="1">
        <v>180.84</v>
      </c>
      <c r="F69" s="1">
        <v>0</v>
      </c>
      <c r="G69" s="1">
        <v>-2441.3290000000002</v>
      </c>
      <c r="H69" s="1">
        <v>0</v>
      </c>
      <c r="I69" s="1">
        <v>723.35699999999997</v>
      </c>
    </row>
    <row r="70" spans="1:9" hidden="1" x14ac:dyDescent="0.25">
      <c r="A70" s="1" t="s">
        <v>157</v>
      </c>
      <c r="B70" s="1" t="s">
        <v>46</v>
      </c>
      <c r="C70" s="1" t="s">
        <v>25</v>
      </c>
      <c r="D70" s="1">
        <v>0</v>
      </c>
      <c r="E70" s="1">
        <v>0</v>
      </c>
      <c r="F70" s="1">
        <v>-218.59</v>
      </c>
      <c r="G70" s="1">
        <v>-4328.0910000000003</v>
      </c>
      <c r="H70" s="1">
        <v>0</v>
      </c>
      <c r="I70" s="1">
        <v>0</v>
      </c>
    </row>
    <row r="71" spans="1:9" hidden="1" x14ac:dyDescent="0.25">
      <c r="A71" s="1" t="s">
        <v>157</v>
      </c>
      <c r="B71" s="1" t="s">
        <v>46</v>
      </c>
      <c r="C71" s="1" t="s">
        <v>10</v>
      </c>
      <c r="D71" s="1">
        <v>0</v>
      </c>
      <c r="E71" s="1">
        <v>0</v>
      </c>
      <c r="F71" s="1">
        <v>-218.59</v>
      </c>
      <c r="G71" s="1">
        <v>-4328.0910000000003</v>
      </c>
      <c r="H71" s="1">
        <v>874.36199999999997</v>
      </c>
      <c r="I71" s="1">
        <v>0</v>
      </c>
    </row>
    <row r="72" spans="1:9" hidden="1" x14ac:dyDescent="0.25">
      <c r="A72" s="1" t="s">
        <v>157</v>
      </c>
      <c r="B72" s="1" t="s">
        <v>47</v>
      </c>
      <c r="C72" s="1" t="s">
        <v>25</v>
      </c>
      <c r="D72" s="1">
        <v>0</v>
      </c>
      <c r="E72" s="1">
        <v>0</v>
      </c>
      <c r="F72" s="1">
        <v>-218.59</v>
      </c>
      <c r="G72" s="1">
        <v>-3541.1660000000002</v>
      </c>
      <c r="H72" s="1">
        <v>0</v>
      </c>
      <c r="I72" s="1">
        <v>0</v>
      </c>
    </row>
    <row r="73" spans="1:9" hidden="1" x14ac:dyDescent="0.25">
      <c r="A73" s="1" t="s">
        <v>157</v>
      </c>
      <c r="B73" s="1" t="s">
        <v>47</v>
      </c>
      <c r="C73" s="1" t="s">
        <v>10</v>
      </c>
      <c r="D73" s="1">
        <v>0</v>
      </c>
      <c r="E73" s="1">
        <v>0</v>
      </c>
      <c r="F73" s="1">
        <v>-218.59</v>
      </c>
      <c r="G73" s="1">
        <v>-3541.1660000000002</v>
      </c>
      <c r="H73" s="1">
        <v>874.36199999999997</v>
      </c>
      <c r="I73" s="1">
        <v>0</v>
      </c>
    </row>
    <row r="74" spans="1:9" hidden="1" x14ac:dyDescent="0.25">
      <c r="A74" s="1" t="s">
        <v>157</v>
      </c>
      <c r="B74" s="1" t="s">
        <v>48</v>
      </c>
      <c r="C74" s="1" t="s">
        <v>25</v>
      </c>
      <c r="D74" s="1">
        <v>0</v>
      </c>
      <c r="E74" s="1">
        <v>0</v>
      </c>
      <c r="F74" s="1">
        <v>218.59</v>
      </c>
      <c r="G74" s="1">
        <v>4328.0910000000003</v>
      </c>
      <c r="H74" s="1">
        <v>0</v>
      </c>
      <c r="I74" s="1">
        <v>0</v>
      </c>
    </row>
    <row r="75" spans="1:9" hidden="1" x14ac:dyDescent="0.25">
      <c r="A75" s="1" t="s">
        <v>157</v>
      </c>
      <c r="B75" s="1" t="s">
        <v>48</v>
      </c>
      <c r="C75" s="1" t="s">
        <v>10</v>
      </c>
      <c r="D75" s="1">
        <v>0</v>
      </c>
      <c r="E75" s="1">
        <v>0</v>
      </c>
      <c r="F75" s="1">
        <v>218.59</v>
      </c>
      <c r="G75" s="1">
        <v>4328.0910000000003</v>
      </c>
      <c r="H75" s="1">
        <v>-874.36199999999997</v>
      </c>
      <c r="I75" s="1">
        <v>0</v>
      </c>
    </row>
    <row r="76" spans="1:9" hidden="1" x14ac:dyDescent="0.25">
      <c r="A76" s="1" t="s">
        <v>157</v>
      </c>
      <c r="B76" s="1" t="s">
        <v>49</v>
      </c>
      <c r="C76" s="1" t="s">
        <v>25</v>
      </c>
      <c r="D76" s="1">
        <v>0</v>
      </c>
      <c r="E76" s="1">
        <v>0</v>
      </c>
      <c r="F76" s="1">
        <v>218.59</v>
      </c>
      <c r="G76" s="1">
        <v>3541.1660000000002</v>
      </c>
      <c r="H76" s="1">
        <v>0</v>
      </c>
      <c r="I76" s="1">
        <v>0</v>
      </c>
    </row>
    <row r="77" spans="1:9" hidden="1" x14ac:dyDescent="0.25">
      <c r="A77" s="1" t="s">
        <v>157</v>
      </c>
      <c r="B77" s="1" t="s">
        <v>49</v>
      </c>
      <c r="C77" s="1" t="s">
        <v>10</v>
      </c>
      <c r="D77" s="1">
        <v>0</v>
      </c>
      <c r="E77" s="1">
        <v>0</v>
      </c>
      <c r="F77" s="1">
        <v>218.59</v>
      </c>
      <c r="G77" s="1">
        <v>3541.1660000000002</v>
      </c>
      <c r="H77" s="1">
        <v>-874.36199999999997</v>
      </c>
      <c r="I77" s="1">
        <v>0</v>
      </c>
    </row>
    <row r="78" spans="1:9" hidden="1" x14ac:dyDescent="0.25">
      <c r="A78" s="1" t="s">
        <v>157</v>
      </c>
      <c r="B78" s="1" t="s">
        <v>50</v>
      </c>
      <c r="C78" s="1" t="s">
        <v>25</v>
      </c>
      <c r="D78" s="1">
        <v>0</v>
      </c>
      <c r="E78" s="1">
        <v>-54.25</v>
      </c>
      <c r="F78" s="1">
        <v>0</v>
      </c>
      <c r="G78" s="1">
        <v>895.154</v>
      </c>
      <c r="H78" s="1">
        <v>0</v>
      </c>
      <c r="I78" s="1">
        <v>0</v>
      </c>
    </row>
    <row r="79" spans="1:9" hidden="1" x14ac:dyDescent="0.25">
      <c r="A79" s="1" t="s">
        <v>157</v>
      </c>
      <c r="B79" s="1" t="s">
        <v>50</v>
      </c>
      <c r="C79" s="1" t="s">
        <v>10</v>
      </c>
      <c r="D79" s="1">
        <v>0</v>
      </c>
      <c r="E79" s="1">
        <v>-54.25</v>
      </c>
      <c r="F79" s="1">
        <v>0</v>
      </c>
      <c r="G79" s="1">
        <v>895.154</v>
      </c>
      <c r="H79" s="1">
        <v>0</v>
      </c>
      <c r="I79" s="1">
        <v>-217.00700000000001</v>
      </c>
    </row>
    <row r="80" spans="1:9" hidden="1" x14ac:dyDescent="0.25">
      <c r="A80" s="1" t="s">
        <v>157</v>
      </c>
      <c r="B80" s="1" t="s">
        <v>51</v>
      </c>
      <c r="C80" s="1" t="s">
        <v>25</v>
      </c>
      <c r="D80" s="1">
        <v>0</v>
      </c>
      <c r="E80" s="1">
        <v>-54.25</v>
      </c>
      <c r="F80" s="1">
        <v>0</v>
      </c>
      <c r="G80" s="1">
        <v>732.399</v>
      </c>
      <c r="H80" s="1">
        <v>0</v>
      </c>
      <c r="I80" s="1">
        <v>0</v>
      </c>
    </row>
    <row r="81" spans="1:9" hidden="1" x14ac:dyDescent="0.25">
      <c r="A81" s="1" t="s">
        <v>157</v>
      </c>
      <c r="B81" s="1" t="s">
        <v>51</v>
      </c>
      <c r="C81" s="1" t="s">
        <v>10</v>
      </c>
      <c r="D81" s="1">
        <v>0</v>
      </c>
      <c r="E81" s="1">
        <v>-54.25</v>
      </c>
      <c r="F81" s="1">
        <v>0</v>
      </c>
      <c r="G81" s="1">
        <v>732.399</v>
      </c>
      <c r="H81" s="1">
        <v>0</v>
      </c>
      <c r="I81" s="1">
        <v>-217.00700000000001</v>
      </c>
    </row>
    <row r="82" spans="1:9" hidden="1" x14ac:dyDescent="0.25">
      <c r="A82" s="1" t="s">
        <v>157</v>
      </c>
      <c r="B82" s="1" t="s">
        <v>52</v>
      </c>
      <c r="C82" s="1" t="s">
        <v>25</v>
      </c>
      <c r="D82" s="1">
        <v>0</v>
      </c>
      <c r="E82" s="1">
        <v>54.25</v>
      </c>
      <c r="F82" s="1">
        <v>0</v>
      </c>
      <c r="G82" s="1">
        <v>-895.154</v>
      </c>
      <c r="H82" s="1">
        <v>0</v>
      </c>
      <c r="I82" s="1">
        <v>0</v>
      </c>
    </row>
    <row r="83" spans="1:9" hidden="1" x14ac:dyDescent="0.25">
      <c r="A83" s="1" t="s">
        <v>157</v>
      </c>
      <c r="B83" s="1" t="s">
        <v>52</v>
      </c>
      <c r="C83" s="1" t="s">
        <v>10</v>
      </c>
      <c r="D83" s="1">
        <v>0</v>
      </c>
      <c r="E83" s="1">
        <v>54.25</v>
      </c>
      <c r="F83" s="1">
        <v>0</v>
      </c>
      <c r="G83" s="1">
        <v>-895.154</v>
      </c>
      <c r="H83" s="1">
        <v>0</v>
      </c>
      <c r="I83" s="1">
        <v>217.00700000000001</v>
      </c>
    </row>
    <row r="84" spans="1:9" hidden="1" x14ac:dyDescent="0.25">
      <c r="A84" s="1" t="s">
        <v>157</v>
      </c>
      <c r="B84" s="1" t="s">
        <v>53</v>
      </c>
      <c r="C84" s="1" t="s">
        <v>25</v>
      </c>
      <c r="D84" s="1">
        <v>0</v>
      </c>
      <c r="E84" s="1">
        <v>54.25</v>
      </c>
      <c r="F84" s="1">
        <v>0</v>
      </c>
      <c r="G84" s="1">
        <v>-732.399</v>
      </c>
      <c r="H84" s="1">
        <v>0</v>
      </c>
      <c r="I84" s="1">
        <v>0</v>
      </c>
    </row>
    <row r="85" spans="1:9" hidden="1" x14ac:dyDescent="0.25">
      <c r="A85" s="1" t="s">
        <v>157</v>
      </c>
      <c r="B85" s="1" t="s">
        <v>53</v>
      </c>
      <c r="C85" s="1" t="s">
        <v>10</v>
      </c>
      <c r="D85" s="1">
        <v>0</v>
      </c>
      <c r="E85" s="1">
        <v>54.25</v>
      </c>
      <c r="F85" s="1">
        <v>0</v>
      </c>
      <c r="G85" s="1">
        <v>-732.399</v>
      </c>
      <c r="H85" s="1">
        <v>0</v>
      </c>
      <c r="I85" s="1">
        <v>217.00700000000001</v>
      </c>
    </row>
    <row r="86" spans="1:9" hidden="1" x14ac:dyDescent="0.25">
      <c r="A86" s="1" t="s">
        <v>157</v>
      </c>
      <c r="B86" s="1" t="s">
        <v>54</v>
      </c>
      <c r="C86" s="1" t="s">
        <v>25</v>
      </c>
      <c r="D86" s="1">
        <v>0</v>
      </c>
      <c r="E86" s="1">
        <v>0</v>
      </c>
      <c r="F86" s="1">
        <v>-65.58</v>
      </c>
      <c r="G86" s="1">
        <v>-1298.4269999999999</v>
      </c>
      <c r="H86" s="1">
        <v>0</v>
      </c>
      <c r="I86" s="1">
        <v>0</v>
      </c>
    </row>
    <row r="87" spans="1:9" hidden="1" x14ac:dyDescent="0.25">
      <c r="A87" s="1" t="s">
        <v>157</v>
      </c>
      <c r="B87" s="1" t="s">
        <v>54</v>
      </c>
      <c r="C87" s="1" t="s">
        <v>10</v>
      </c>
      <c r="D87" s="1">
        <v>0</v>
      </c>
      <c r="E87" s="1">
        <v>0</v>
      </c>
      <c r="F87" s="1">
        <v>-65.58</v>
      </c>
      <c r="G87" s="1">
        <v>-1298.4269999999999</v>
      </c>
      <c r="H87" s="1">
        <v>262.30900000000003</v>
      </c>
      <c r="I87" s="1">
        <v>0</v>
      </c>
    </row>
    <row r="88" spans="1:9" hidden="1" x14ac:dyDescent="0.25">
      <c r="A88" s="1" t="s">
        <v>157</v>
      </c>
      <c r="B88" s="1" t="s">
        <v>55</v>
      </c>
      <c r="C88" s="1" t="s">
        <v>25</v>
      </c>
      <c r="D88" s="1">
        <v>0</v>
      </c>
      <c r="E88" s="1">
        <v>0</v>
      </c>
      <c r="F88" s="1">
        <v>-65.58</v>
      </c>
      <c r="G88" s="1">
        <v>-1062.3499999999999</v>
      </c>
      <c r="H88" s="1">
        <v>0</v>
      </c>
      <c r="I88" s="1">
        <v>0</v>
      </c>
    </row>
    <row r="89" spans="1:9" hidden="1" x14ac:dyDescent="0.25">
      <c r="A89" s="1" t="s">
        <v>157</v>
      </c>
      <c r="B89" s="1" t="s">
        <v>55</v>
      </c>
      <c r="C89" s="1" t="s">
        <v>10</v>
      </c>
      <c r="D89" s="1">
        <v>0</v>
      </c>
      <c r="E89" s="1">
        <v>0</v>
      </c>
      <c r="F89" s="1">
        <v>-65.58</v>
      </c>
      <c r="G89" s="1">
        <v>-1062.3499999999999</v>
      </c>
      <c r="H89" s="1">
        <v>262.30900000000003</v>
      </c>
      <c r="I89" s="1">
        <v>0</v>
      </c>
    </row>
    <row r="90" spans="1:9" hidden="1" x14ac:dyDescent="0.25">
      <c r="A90" s="1" t="s">
        <v>157</v>
      </c>
      <c r="B90" s="1" t="s">
        <v>56</v>
      </c>
      <c r="C90" s="1" t="s">
        <v>25</v>
      </c>
      <c r="D90" s="1">
        <v>0</v>
      </c>
      <c r="E90" s="1">
        <v>0</v>
      </c>
      <c r="F90" s="1">
        <v>65.58</v>
      </c>
      <c r="G90" s="1">
        <v>1298.4269999999999</v>
      </c>
      <c r="H90" s="1">
        <v>0</v>
      </c>
      <c r="I90" s="1">
        <v>0</v>
      </c>
    </row>
    <row r="91" spans="1:9" hidden="1" x14ac:dyDescent="0.25">
      <c r="A91" s="1" t="s">
        <v>157</v>
      </c>
      <c r="B91" s="1" t="s">
        <v>56</v>
      </c>
      <c r="C91" s="1" t="s">
        <v>10</v>
      </c>
      <c r="D91" s="1">
        <v>0</v>
      </c>
      <c r="E91" s="1">
        <v>0</v>
      </c>
      <c r="F91" s="1">
        <v>65.58</v>
      </c>
      <c r="G91" s="1">
        <v>1298.4269999999999</v>
      </c>
      <c r="H91" s="1">
        <v>-262.30900000000003</v>
      </c>
      <c r="I91" s="1">
        <v>0</v>
      </c>
    </row>
    <row r="92" spans="1:9" hidden="1" x14ac:dyDescent="0.25">
      <c r="A92" s="1" t="s">
        <v>157</v>
      </c>
      <c r="B92" s="1" t="s">
        <v>57</v>
      </c>
      <c r="C92" s="1" t="s">
        <v>25</v>
      </c>
      <c r="D92" s="1">
        <v>0</v>
      </c>
      <c r="E92" s="1">
        <v>0</v>
      </c>
      <c r="F92" s="1">
        <v>65.58</v>
      </c>
      <c r="G92" s="1">
        <v>1062.3499999999999</v>
      </c>
      <c r="H92" s="1">
        <v>0</v>
      </c>
      <c r="I92" s="1">
        <v>0</v>
      </c>
    </row>
    <row r="93" spans="1:9" hidden="1" x14ac:dyDescent="0.25">
      <c r="A93" s="1" t="s">
        <v>157</v>
      </c>
      <c r="B93" s="1" t="s">
        <v>57</v>
      </c>
      <c r="C93" s="1" t="s">
        <v>10</v>
      </c>
      <c r="D93" s="1">
        <v>0</v>
      </c>
      <c r="E93" s="1">
        <v>0</v>
      </c>
      <c r="F93" s="1">
        <v>65.58</v>
      </c>
      <c r="G93" s="1">
        <v>1062.3499999999999</v>
      </c>
      <c r="H93" s="1">
        <v>-262.30900000000003</v>
      </c>
      <c r="I93" s="1">
        <v>0</v>
      </c>
    </row>
    <row r="94" spans="1:9" hidden="1" x14ac:dyDescent="0.25">
      <c r="A94" s="1" t="s">
        <v>157</v>
      </c>
      <c r="B94" s="1" t="s">
        <v>58</v>
      </c>
      <c r="C94" s="1" t="s">
        <v>25</v>
      </c>
      <c r="D94" s="1">
        <v>0</v>
      </c>
      <c r="E94" s="1">
        <v>-54.25</v>
      </c>
      <c r="F94" s="1">
        <v>0</v>
      </c>
      <c r="G94" s="1">
        <v>895.154</v>
      </c>
      <c r="H94" s="1">
        <v>0</v>
      </c>
      <c r="I94" s="1">
        <v>0</v>
      </c>
    </row>
    <row r="95" spans="1:9" hidden="1" x14ac:dyDescent="0.25">
      <c r="A95" s="1" t="s">
        <v>157</v>
      </c>
      <c r="B95" s="1" t="s">
        <v>58</v>
      </c>
      <c r="C95" s="1" t="s">
        <v>10</v>
      </c>
      <c r="D95" s="1">
        <v>0</v>
      </c>
      <c r="E95" s="1">
        <v>-54.25</v>
      </c>
      <c r="F95" s="1">
        <v>0</v>
      </c>
      <c r="G95" s="1">
        <v>895.154</v>
      </c>
      <c r="H95" s="1">
        <v>0</v>
      </c>
      <c r="I95" s="1">
        <v>-217.00700000000001</v>
      </c>
    </row>
    <row r="96" spans="1:9" hidden="1" x14ac:dyDescent="0.25">
      <c r="A96" s="1" t="s">
        <v>157</v>
      </c>
      <c r="B96" s="1" t="s">
        <v>59</v>
      </c>
      <c r="C96" s="1" t="s">
        <v>25</v>
      </c>
      <c r="D96" s="1">
        <v>0</v>
      </c>
      <c r="E96" s="1">
        <v>-54.25</v>
      </c>
      <c r="F96" s="1">
        <v>0</v>
      </c>
      <c r="G96" s="1">
        <v>732.399</v>
      </c>
      <c r="H96" s="1">
        <v>0</v>
      </c>
      <c r="I96" s="1">
        <v>0</v>
      </c>
    </row>
    <row r="97" spans="1:9" hidden="1" x14ac:dyDescent="0.25">
      <c r="A97" s="1" t="s">
        <v>157</v>
      </c>
      <c r="B97" s="1" t="s">
        <v>59</v>
      </c>
      <c r="C97" s="1" t="s">
        <v>10</v>
      </c>
      <c r="D97" s="1">
        <v>0</v>
      </c>
      <c r="E97" s="1">
        <v>-54.25</v>
      </c>
      <c r="F97" s="1">
        <v>0</v>
      </c>
      <c r="G97" s="1">
        <v>732.399</v>
      </c>
      <c r="H97" s="1">
        <v>0</v>
      </c>
      <c r="I97" s="1">
        <v>-217.00700000000001</v>
      </c>
    </row>
    <row r="98" spans="1:9" hidden="1" x14ac:dyDescent="0.25">
      <c r="A98" s="1" t="s">
        <v>157</v>
      </c>
      <c r="B98" s="1" t="s">
        <v>60</v>
      </c>
      <c r="C98" s="1" t="s">
        <v>25</v>
      </c>
      <c r="D98" s="1">
        <v>0</v>
      </c>
      <c r="E98" s="1">
        <v>54.25</v>
      </c>
      <c r="F98" s="1">
        <v>0</v>
      </c>
      <c r="G98" s="1">
        <v>-895.154</v>
      </c>
      <c r="H98" s="1">
        <v>0</v>
      </c>
      <c r="I98" s="1">
        <v>0</v>
      </c>
    </row>
    <row r="99" spans="1:9" hidden="1" x14ac:dyDescent="0.25">
      <c r="A99" s="1" t="s">
        <v>157</v>
      </c>
      <c r="B99" s="1" t="s">
        <v>60</v>
      </c>
      <c r="C99" s="1" t="s">
        <v>10</v>
      </c>
      <c r="D99" s="1">
        <v>0</v>
      </c>
      <c r="E99" s="1">
        <v>54.25</v>
      </c>
      <c r="F99" s="1">
        <v>0</v>
      </c>
      <c r="G99" s="1">
        <v>-895.154</v>
      </c>
      <c r="H99" s="1">
        <v>0</v>
      </c>
      <c r="I99" s="1">
        <v>217.00700000000001</v>
      </c>
    </row>
    <row r="100" spans="1:9" hidden="1" x14ac:dyDescent="0.25">
      <c r="A100" s="1" t="s">
        <v>157</v>
      </c>
      <c r="B100" s="1" t="s">
        <v>61</v>
      </c>
      <c r="C100" s="1" t="s">
        <v>25</v>
      </c>
      <c r="D100" s="1">
        <v>0</v>
      </c>
      <c r="E100" s="1">
        <v>54.25</v>
      </c>
      <c r="F100" s="1">
        <v>0</v>
      </c>
      <c r="G100" s="1">
        <v>-732.399</v>
      </c>
      <c r="H100" s="1">
        <v>0</v>
      </c>
      <c r="I100" s="1">
        <v>0</v>
      </c>
    </row>
    <row r="101" spans="1:9" hidden="1" x14ac:dyDescent="0.25">
      <c r="A101" s="1" t="s">
        <v>157</v>
      </c>
      <c r="B101" s="1" t="s">
        <v>61</v>
      </c>
      <c r="C101" s="1" t="s">
        <v>10</v>
      </c>
      <c r="D101" s="1">
        <v>0</v>
      </c>
      <c r="E101" s="1">
        <v>54.25</v>
      </c>
      <c r="F101" s="1">
        <v>0</v>
      </c>
      <c r="G101" s="1">
        <v>-732.399</v>
      </c>
      <c r="H101" s="1">
        <v>0</v>
      </c>
      <c r="I101" s="1">
        <v>217.00700000000001</v>
      </c>
    </row>
    <row r="102" spans="1:9" hidden="1" x14ac:dyDescent="0.25">
      <c r="A102" s="1" t="s">
        <v>157</v>
      </c>
      <c r="B102" s="1" t="s">
        <v>62</v>
      </c>
      <c r="C102" s="1" t="s">
        <v>25</v>
      </c>
      <c r="D102" s="1">
        <v>0</v>
      </c>
      <c r="E102" s="1">
        <v>0</v>
      </c>
      <c r="F102" s="1">
        <v>-65.58</v>
      </c>
      <c r="G102" s="1">
        <v>-1298.4269999999999</v>
      </c>
      <c r="H102" s="1">
        <v>0</v>
      </c>
      <c r="I102" s="1">
        <v>0</v>
      </c>
    </row>
    <row r="103" spans="1:9" hidden="1" x14ac:dyDescent="0.25">
      <c r="A103" s="1" t="s">
        <v>157</v>
      </c>
      <c r="B103" s="1" t="s">
        <v>62</v>
      </c>
      <c r="C103" s="1" t="s">
        <v>10</v>
      </c>
      <c r="D103" s="1">
        <v>0</v>
      </c>
      <c r="E103" s="1">
        <v>0</v>
      </c>
      <c r="F103" s="1">
        <v>-65.58</v>
      </c>
      <c r="G103" s="1">
        <v>-1298.4269999999999</v>
      </c>
      <c r="H103" s="1">
        <v>262.30900000000003</v>
      </c>
      <c r="I103" s="1">
        <v>0</v>
      </c>
    </row>
    <row r="104" spans="1:9" hidden="1" x14ac:dyDescent="0.25">
      <c r="A104" s="1" t="s">
        <v>157</v>
      </c>
      <c r="B104" s="1" t="s">
        <v>63</v>
      </c>
      <c r="C104" s="1" t="s">
        <v>25</v>
      </c>
      <c r="D104" s="1">
        <v>0</v>
      </c>
      <c r="E104" s="1">
        <v>0</v>
      </c>
      <c r="F104" s="1">
        <v>-65.58</v>
      </c>
      <c r="G104" s="1">
        <v>-1062.3499999999999</v>
      </c>
      <c r="H104" s="1">
        <v>0</v>
      </c>
      <c r="I104" s="1">
        <v>0</v>
      </c>
    </row>
    <row r="105" spans="1:9" hidden="1" x14ac:dyDescent="0.25">
      <c r="A105" s="1" t="s">
        <v>157</v>
      </c>
      <c r="B105" s="1" t="s">
        <v>63</v>
      </c>
      <c r="C105" s="1" t="s">
        <v>10</v>
      </c>
      <c r="D105" s="1">
        <v>0</v>
      </c>
      <c r="E105" s="1">
        <v>0</v>
      </c>
      <c r="F105" s="1">
        <v>-65.58</v>
      </c>
      <c r="G105" s="1">
        <v>-1062.3499999999999</v>
      </c>
      <c r="H105" s="1">
        <v>262.30900000000003</v>
      </c>
      <c r="I105" s="1">
        <v>0</v>
      </c>
    </row>
    <row r="106" spans="1:9" hidden="1" x14ac:dyDescent="0.25">
      <c r="A106" s="1" t="s">
        <v>157</v>
      </c>
      <c r="B106" s="1" t="s">
        <v>64</v>
      </c>
      <c r="C106" s="1" t="s">
        <v>25</v>
      </c>
      <c r="D106" s="1">
        <v>0</v>
      </c>
      <c r="E106" s="1">
        <v>0</v>
      </c>
      <c r="F106" s="1">
        <v>65.58</v>
      </c>
      <c r="G106" s="1">
        <v>1298.4269999999999</v>
      </c>
      <c r="H106" s="1">
        <v>0</v>
      </c>
      <c r="I106" s="1">
        <v>0</v>
      </c>
    </row>
    <row r="107" spans="1:9" hidden="1" x14ac:dyDescent="0.25">
      <c r="A107" s="1" t="s">
        <v>157</v>
      </c>
      <c r="B107" s="1" t="s">
        <v>64</v>
      </c>
      <c r="C107" s="1" t="s">
        <v>10</v>
      </c>
      <c r="D107" s="1">
        <v>0</v>
      </c>
      <c r="E107" s="1">
        <v>0</v>
      </c>
      <c r="F107" s="1">
        <v>65.58</v>
      </c>
      <c r="G107" s="1">
        <v>1298.4269999999999</v>
      </c>
      <c r="H107" s="1">
        <v>-262.30900000000003</v>
      </c>
      <c r="I107" s="1">
        <v>0</v>
      </c>
    </row>
    <row r="108" spans="1:9" hidden="1" x14ac:dyDescent="0.25">
      <c r="A108" s="1" t="s">
        <v>157</v>
      </c>
      <c r="B108" s="1" t="s">
        <v>65</v>
      </c>
      <c r="C108" s="1" t="s">
        <v>25</v>
      </c>
      <c r="D108" s="1">
        <v>0</v>
      </c>
      <c r="E108" s="1">
        <v>0</v>
      </c>
      <c r="F108" s="1">
        <v>65.58</v>
      </c>
      <c r="G108" s="1">
        <v>1062.3499999999999</v>
      </c>
      <c r="H108" s="1">
        <v>0</v>
      </c>
      <c r="I108" s="1">
        <v>0</v>
      </c>
    </row>
    <row r="109" spans="1:9" hidden="1" x14ac:dyDescent="0.25">
      <c r="A109" s="1" t="s">
        <v>157</v>
      </c>
      <c r="B109" s="1" t="s">
        <v>65</v>
      </c>
      <c r="C109" s="1" t="s">
        <v>10</v>
      </c>
      <c r="D109" s="1">
        <v>0</v>
      </c>
      <c r="E109" s="1">
        <v>0</v>
      </c>
      <c r="F109" s="1">
        <v>65.58</v>
      </c>
      <c r="G109" s="1">
        <v>1062.3499999999999</v>
      </c>
      <c r="H109" s="1">
        <v>-262.30900000000003</v>
      </c>
      <c r="I109" s="1">
        <v>0</v>
      </c>
    </row>
    <row r="110" spans="1:9" hidden="1" x14ac:dyDescent="0.25">
      <c r="A110" s="1" t="s">
        <v>157</v>
      </c>
      <c r="B110" s="1" t="s">
        <v>66</v>
      </c>
      <c r="C110" s="1" t="s">
        <v>25</v>
      </c>
      <c r="D110" s="1">
        <v>0</v>
      </c>
      <c r="E110" s="1">
        <v>-180.84</v>
      </c>
      <c r="F110" s="1">
        <v>0</v>
      </c>
      <c r="G110" s="1">
        <v>2983.846</v>
      </c>
      <c r="H110" s="1">
        <v>0</v>
      </c>
      <c r="I110" s="1">
        <v>0</v>
      </c>
    </row>
    <row r="111" spans="1:9" hidden="1" x14ac:dyDescent="0.25">
      <c r="A111" s="1" t="s">
        <v>157</v>
      </c>
      <c r="B111" s="1" t="s">
        <v>66</v>
      </c>
      <c r="C111" s="1" t="s">
        <v>10</v>
      </c>
      <c r="D111" s="1">
        <v>0</v>
      </c>
      <c r="E111" s="1">
        <v>-180.84</v>
      </c>
      <c r="F111" s="1">
        <v>0</v>
      </c>
      <c r="G111" s="1">
        <v>2983.846</v>
      </c>
      <c r="H111" s="1">
        <v>0</v>
      </c>
      <c r="I111" s="1">
        <v>-723.35699999999997</v>
      </c>
    </row>
    <row r="112" spans="1:9" hidden="1" x14ac:dyDescent="0.25">
      <c r="A112" s="1" t="s">
        <v>157</v>
      </c>
      <c r="B112" s="1" t="s">
        <v>67</v>
      </c>
      <c r="C112" s="1" t="s">
        <v>25</v>
      </c>
      <c r="D112" s="1">
        <v>0</v>
      </c>
      <c r="E112" s="1">
        <v>-180.84</v>
      </c>
      <c r="F112" s="1">
        <v>0</v>
      </c>
      <c r="G112" s="1">
        <v>2441.3290000000002</v>
      </c>
      <c r="H112" s="1">
        <v>0</v>
      </c>
      <c r="I112" s="1">
        <v>0</v>
      </c>
    </row>
    <row r="113" spans="1:9" hidden="1" x14ac:dyDescent="0.25">
      <c r="A113" s="1" t="s">
        <v>157</v>
      </c>
      <c r="B113" s="1" t="s">
        <v>67</v>
      </c>
      <c r="C113" s="1" t="s">
        <v>10</v>
      </c>
      <c r="D113" s="1">
        <v>0</v>
      </c>
      <c r="E113" s="1">
        <v>-180.84</v>
      </c>
      <c r="F113" s="1">
        <v>0</v>
      </c>
      <c r="G113" s="1">
        <v>2441.3290000000002</v>
      </c>
      <c r="H113" s="1">
        <v>0</v>
      </c>
      <c r="I113" s="1">
        <v>-723.35699999999997</v>
      </c>
    </row>
    <row r="114" spans="1:9" hidden="1" x14ac:dyDescent="0.25">
      <c r="A114" s="1" t="s">
        <v>157</v>
      </c>
      <c r="B114" s="1" t="s">
        <v>68</v>
      </c>
      <c r="C114" s="1" t="s">
        <v>25</v>
      </c>
      <c r="D114" s="1">
        <v>0</v>
      </c>
      <c r="E114" s="1">
        <v>180.84</v>
      </c>
      <c r="F114" s="1">
        <v>0</v>
      </c>
      <c r="G114" s="1">
        <v>-2983.846</v>
      </c>
      <c r="H114" s="1">
        <v>0</v>
      </c>
      <c r="I114" s="1">
        <v>0</v>
      </c>
    </row>
    <row r="115" spans="1:9" hidden="1" x14ac:dyDescent="0.25">
      <c r="A115" s="1" t="s">
        <v>157</v>
      </c>
      <c r="B115" s="1" t="s">
        <v>68</v>
      </c>
      <c r="C115" s="1" t="s">
        <v>10</v>
      </c>
      <c r="D115" s="1">
        <v>0</v>
      </c>
      <c r="E115" s="1">
        <v>180.84</v>
      </c>
      <c r="F115" s="1">
        <v>0</v>
      </c>
      <c r="G115" s="1">
        <v>-2983.846</v>
      </c>
      <c r="H115" s="1">
        <v>0</v>
      </c>
      <c r="I115" s="1">
        <v>723.35699999999997</v>
      </c>
    </row>
    <row r="116" spans="1:9" hidden="1" x14ac:dyDescent="0.25">
      <c r="A116" s="1" t="s">
        <v>157</v>
      </c>
      <c r="B116" s="1" t="s">
        <v>69</v>
      </c>
      <c r="C116" s="1" t="s">
        <v>25</v>
      </c>
      <c r="D116" s="1">
        <v>0</v>
      </c>
      <c r="E116" s="1">
        <v>180.84</v>
      </c>
      <c r="F116" s="1">
        <v>0</v>
      </c>
      <c r="G116" s="1">
        <v>-2441.3290000000002</v>
      </c>
      <c r="H116" s="1">
        <v>0</v>
      </c>
      <c r="I116" s="1">
        <v>0</v>
      </c>
    </row>
    <row r="117" spans="1:9" hidden="1" x14ac:dyDescent="0.25">
      <c r="A117" s="1" t="s">
        <v>157</v>
      </c>
      <c r="B117" s="1" t="s">
        <v>69</v>
      </c>
      <c r="C117" s="1" t="s">
        <v>10</v>
      </c>
      <c r="D117" s="1">
        <v>0</v>
      </c>
      <c r="E117" s="1">
        <v>180.84</v>
      </c>
      <c r="F117" s="1">
        <v>0</v>
      </c>
      <c r="G117" s="1">
        <v>-2441.3290000000002</v>
      </c>
      <c r="H117" s="1">
        <v>0</v>
      </c>
      <c r="I117" s="1">
        <v>723.35699999999997</v>
      </c>
    </row>
    <row r="118" spans="1:9" hidden="1" x14ac:dyDescent="0.25">
      <c r="A118" s="1" t="s">
        <v>157</v>
      </c>
      <c r="B118" s="1" t="s">
        <v>70</v>
      </c>
      <c r="C118" s="1" t="s">
        <v>25</v>
      </c>
      <c r="D118" s="1">
        <v>0</v>
      </c>
      <c r="E118" s="1">
        <v>0</v>
      </c>
      <c r="F118" s="1">
        <v>-218.59</v>
      </c>
      <c r="G118" s="1">
        <v>-4328.0910000000003</v>
      </c>
      <c r="H118" s="1">
        <v>0</v>
      </c>
      <c r="I118" s="1">
        <v>0</v>
      </c>
    </row>
    <row r="119" spans="1:9" hidden="1" x14ac:dyDescent="0.25">
      <c r="A119" s="1" t="s">
        <v>157</v>
      </c>
      <c r="B119" s="1" t="s">
        <v>70</v>
      </c>
      <c r="C119" s="1" t="s">
        <v>10</v>
      </c>
      <c r="D119" s="1">
        <v>0</v>
      </c>
      <c r="E119" s="1">
        <v>0</v>
      </c>
      <c r="F119" s="1">
        <v>-218.59</v>
      </c>
      <c r="G119" s="1">
        <v>-4328.0910000000003</v>
      </c>
      <c r="H119" s="1">
        <v>874.36199999999997</v>
      </c>
      <c r="I119" s="1">
        <v>0</v>
      </c>
    </row>
    <row r="120" spans="1:9" hidden="1" x14ac:dyDescent="0.25">
      <c r="A120" s="1" t="s">
        <v>157</v>
      </c>
      <c r="B120" s="1" t="s">
        <v>71</v>
      </c>
      <c r="C120" s="1" t="s">
        <v>25</v>
      </c>
      <c r="D120" s="1">
        <v>0</v>
      </c>
      <c r="E120" s="1">
        <v>0</v>
      </c>
      <c r="F120" s="1">
        <v>-218.59</v>
      </c>
      <c r="G120" s="1">
        <v>-3541.1660000000002</v>
      </c>
      <c r="H120" s="1">
        <v>0</v>
      </c>
      <c r="I120" s="1">
        <v>0</v>
      </c>
    </row>
    <row r="121" spans="1:9" hidden="1" x14ac:dyDescent="0.25">
      <c r="A121" s="1" t="s">
        <v>157</v>
      </c>
      <c r="B121" s="1" t="s">
        <v>71</v>
      </c>
      <c r="C121" s="1" t="s">
        <v>10</v>
      </c>
      <c r="D121" s="1">
        <v>0</v>
      </c>
      <c r="E121" s="1">
        <v>0</v>
      </c>
      <c r="F121" s="1">
        <v>-218.59</v>
      </c>
      <c r="G121" s="1">
        <v>-3541.1660000000002</v>
      </c>
      <c r="H121" s="1">
        <v>874.36199999999997</v>
      </c>
      <c r="I121" s="1">
        <v>0</v>
      </c>
    </row>
    <row r="122" spans="1:9" hidden="1" x14ac:dyDescent="0.25">
      <c r="A122" s="1" t="s">
        <v>157</v>
      </c>
      <c r="B122" s="1" t="s">
        <v>72</v>
      </c>
      <c r="C122" s="1" t="s">
        <v>25</v>
      </c>
      <c r="D122" s="1">
        <v>0</v>
      </c>
      <c r="E122" s="1">
        <v>0</v>
      </c>
      <c r="F122" s="1">
        <v>218.59</v>
      </c>
      <c r="G122" s="1">
        <v>4328.0910000000003</v>
      </c>
      <c r="H122" s="1">
        <v>0</v>
      </c>
      <c r="I122" s="1">
        <v>0</v>
      </c>
    </row>
    <row r="123" spans="1:9" hidden="1" x14ac:dyDescent="0.25">
      <c r="A123" s="1" t="s">
        <v>157</v>
      </c>
      <c r="B123" s="1" t="s">
        <v>72</v>
      </c>
      <c r="C123" s="1" t="s">
        <v>10</v>
      </c>
      <c r="D123" s="1">
        <v>0</v>
      </c>
      <c r="E123" s="1">
        <v>0</v>
      </c>
      <c r="F123" s="1">
        <v>218.59</v>
      </c>
      <c r="G123" s="1">
        <v>4328.0910000000003</v>
      </c>
      <c r="H123" s="1">
        <v>-874.36199999999997</v>
      </c>
      <c r="I123" s="1">
        <v>0</v>
      </c>
    </row>
    <row r="124" spans="1:9" hidden="1" x14ac:dyDescent="0.25">
      <c r="A124" s="1" t="s">
        <v>157</v>
      </c>
      <c r="B124" s="1" t="s">
        <v>73</v>
      </c>
      <c r="C124" s="1" t="s">
        <v>25</v>
      </c>
      <c r="D124" s="1">
        <v>0</v>
      </c>
      <c r="E124" s="1">
        <v>0</v>
      </c>
      <c r="F124" s="1">
        <v>218.59</v>
      </c>
      <c r="G124" s="1">
        <v>3541.1660000000002</v>
      </c>
      <c r="H124" s="1">
        <v>0</v>
      </c>
      <c r="I124" s="1">
        <v>0</v>
      </c>
    </row>
    <row r="125" spans="1:9" hidden="1" x14ac:dyDescent="0.25">
      <c r="A125" s="1" t="s">
        <v>157</v>
      </c>
      <c r="B125" s="1" t="s">
        <v>73</v>
      </c>
      <c r="C125" s="1" t="s">
        <v>10</v>
      </c>
      <c r="D125" s="1">
        <v>0</v>
      </c>
      <c r="E125" s="1">
        <v>0</v>
      </c>
      <c r="F125" s="1">
        <v>218.59</v>
      </c>
      <c r="G125" s="1">
        <v>3541.1660000000002</v>
      </c>
      <c r="H125" s="1">
        <v>-874.36199999999997</v>
      </c>
      <c r="I125" s="1">
        <v>0</v>
      </c>
    </row>
    <row r="126" spans="1:9" hidden="1" x14ac:dyDescent="0.25">
      <c r="A126" s="1" t="s">
        <v>157</v>
      </c>
      <c r="B126" s="1" t="s">
        <v>74</v>
      </c>
      <c r="C126" s="1" t="s">
        <v>25</v>
      </c>
      <c r="D126" s="1">
        <v>0</v>
      </c>
      <c r="E126" s="1">
        <v>-180.84</v>
      </c>
      <c r="F126" s="1">
        <v>0</v>
      </c>
      <c r="G126" s="1">
        <v>2983.846</v>
      </c>
      <c r="H126" s="1">
        <v>0</v>
      </c>
      <c r="I126" s="1">
        <v>0</v>
      </c>
    </row>
    <row r="127" spans="1:9" hidden="1" x14ac:dyDescent="0.25">
      <c r="A127" s="1" t="s">
        <v>157</v>
      </c>
      <c r="B127" s="1" t="s">
        <v>74</v>
      </c>
      <c r="C127" s="1" t="s">
        <v>10</v>
      </c>
      <c r="D127" s="1">
        <v>0</v>
      </c>
      <c r="E127" s="1">
        <v>-180.84</v>
      </c>
      <c r="F127" s="1">
        <v>0</v>
      </c>
      <c r="G127" s="1">
        <v>2983.846</v>
      </c>
      <c r="H127" s="1">
        <v>0</v>
      </c>
      <c r="I127" s="1">
        <v>-723.35699999999997</v>
      </c>
    </row>
    <row r="128" spans="1:9" hidden="1" x14ac:dyDescent="0.25">
      <c r="A128" s="1" t="s">
        <v>157</v>
      </c>
      <c r="B128" s="1" t="s">
        <v>75</v>
      </c>
      <c r="C128" s="1" t="s">
        <v>25</v>
      </c>
      <c r="D128" s="1">
        <v>0</v>
      </c>
      <c r="E128" s="1">
        <v>-180.84</v>
      </c>
      <c r="F128" s="1">
        <v>0</v>
      </c>
      <c r="G128" s="1">
        <v>2441.3290000000002</v>
      </c>
      <c r="H128" s="1">
        <v>0</v>
      </c>
      <c r="I128" s="1">
        <v>0</v>
      </c>
    </row>
    <row r="129" spans="1:9" hidden="1" x14ac:dyDescent="0.25">
      <c r="A129" s="1" t="s">
        <v>157</v>
      </c>
      <c r="B129" s="1" t="s">
        <v>75</v>
      </c>
      <c r="C129" s="1" t="s">
        <v>10</v>
      </c>
      <c r="D129" s="1">
        <v>0</v>
      </c>
      <c r="E129" s="1">
        <v>-180.84</v>
      </c>
      <c r="F129" s="1">
        <v>0</v>
      </c>
      <c r="G129" s="1">
        <v>2441.3290000000002</v>
      </c>
      <c r="H129" s="1">
        <v>0</v>
      </c>
      <c r="I129" s="1">
        <v>-723.35699999999997</v>
      </c>
    </row>
    <row r="130" spans="1:9" hidden="1" x14ac:dyDescent="0.25">
      <c r="A130" s="1" t="s">
        <v>157</v>
      </c>
      <c r="B130" s="1" t="s">
        <v>76</v>
      </c>
      <c r="C130" s="1" t="s">
        <v>25</v>
      </c>
      <c r="D130" s="1">
        <v>0</v>
      </c>
      <c r="E130" s="1">
        <v>180.84</v>
      </c>
      <c r="F130" s="1">
        <v>0</v>
      </c>
      <c r="G130" s="1">
        <v>-2983.846</v>
      </c>
      <c r="H130" s="1">
        <v>0</v>
      </c>
      <c r="I130" s="1">
        <v>0</v>
      </c>
    </row>
    <row r="131" spans="1:9" hidden="1" x14ac:dyDescent="0.25">
      <c r="A131" s="1" t="s">
        <v>157</v>
      </c>
      <c r="B131" s="1" t="s">
        <v>76</v>
      </c>
      <c r="C131" s="1" t="s">
        <v>10</v>
      </c>
      <c r="D131" s="1">
        <v>0</v>
      </c>
      <c r="E131" s="1">
        <v>180.84</v>
      </c>
      <c r="F131" s="1">
        <v>0</v>
      </c>
      <c r="G131" s="1">
        <v>-2983.846</v>
      </c>
      <c r="H131" s="1">
        <v>0</v>
      </c>
      <c r="I131" s="1">
        <v>723.35699999999997</v>
      </c>
    </row>
    <row r="132" spans="1:9" hidden="1" x14ac:dyDescent="0.25">
      <c r="A132" s="1" t="s">
        <v>157</v>
      </c>
      <c r="B132" s="1" t="s">
        <v>77</v>
      </c>
      <c r="C132" s="1" t="s">
        <v>25</v>
      </c>
      <c r="D132" s="1">
        <v>0</v>
      </c>
      <c r="E132" s="1">
        <v>180.84</v>
      </c>
      <c r="F132" s="1">
        <v>0</v>
      </c>
      <c r="G132" s="1">
        <v>-2441.3290000000002</v>
      </c>
      <c r="H132" s="1">
        <v>0</v>
      </c>
      <c r="I132" s="1">
        <v>0</v>
      </c>
    </row>
    <row r="133" spans="1:9" hidden="1" x14ac:dyDescent="0.25">
      <c r="A133" s="1" t="s">
        <v>157</v>
      </c>
      <c r="B133" s="1" t="s">
        <v>77</v>
      </c>
      <c r="C133" s="1" t="s">
        <v>10</v>
      </c>
      <c r="D133" s="1">
        <v>0</v>
      </c>
      <c r="E133" s="1">
        <v>180.84</v>
      </c>
      <c r="F133" s="1">
        <v>0</v>
      </c>
      <c r="G133" s="1">
        <v>-2441.3290000000002</v>
      </c>
      <c r="H133" s="1">
        <v>0</v>
      </c>
      <c r="I133" s="1">
        <v>723.35699999999997</v>
      </c>
    </row>
    <row r="134" spans="1:9" hidden="1" x14ac:dyDescent="0.25">
      <c r="A134" s="1" t="s">
        <v>157</v>
      </c>
      <c r="B134" s="1" t="s">
        <v>78</v>
      </c>
      <c r="C134" s="1" t="s">
        <v>25</v>
      </c>
      <c r="D134" s="1">
        <v>0</v>
      </c>
      <c r="E134" s="1">
        <v>0</v>
      </c>
      <c r="F134" s="1">
        <v>-218.59</v>
      </c>
      <c r="G134" s="1">
        <v>-4328.0910000000003</v>
      </c>
      <c r="H134" s="1">
        <v>0</v>
      </c>
      <c r="I134" s="1">
        <v>0</v>
      </c>
    </row>
    <row r="135" spans="1:9" hidden="1" x14ac:dyDescent="0.25">
      <c r="A135" s="1" t="s">
        <v>157</v>
      </c>
      <c r="B135" s="1" t="s">
        <v>78</v>
      </c>
      <c r="C135" s="1" t="s">
        <v>10</v>
      </c>
      <c r="D135" s="1">
        <v>0</v>
      </c>
      <c r="E135" s="1">
        <v>0</v>
      </c>
      <c r="F135" s="1">
        <v>-218.59</v>
      </c>
      <c r="G135" s="1">
        <v>-4328.0910000000003</v>
      </c>
      <c r="H135" s="1">
        <v>874.36199999999997</v>
      </c>
      <c r="I135" s="1">
        <v>0</v>
      </c>
    </row>
    <row r="136" spans="1:9" hidden="1" x14ac:dyDescent="0.25">
      <c r="A136" s="1" t="s">
        <v>157</v>
      </c>
      <c r="B136" s="1" t="s">
        <v>79</v>
      </c>
      <c r="C136" s="1" t="s">
        <v>25</v>
      </c>
      <c r="D136" s="1">
        <v>0</v>
      </c>
      <c r="E136" s="1">
        <v>0</v>
      </c>
      <c r="F136" s="1">
        <v>-218.59</v>
      </c>
      <c r="G136" s="1">
        <v>-3541.1660000000002</v>
      </c>
      <c r="H136" s="1">
        <v>0</v>
      </c>
      <c r="I136" s="1">
        <v>0</v>
      </c>
    </row>
    <row r="137" spans="1:9" hidden="1" x14ac:dyDescent="0.25">
      <c r="A137" s="1" t="s">
        <v>157</v>
      </c>
      <c r="B137" s="1" t="s">
        <v>79</v>
      </c>
      <c r="C137" s="1" t="s">
        <v>10</v>
      </c>
      <c r="D137" s="1">
        <v>0</v>
      </c>
      <c r="E137" s="1">
        <v>0</v>
      </c>
      <c r="F137" s="1">
        <v>-218.59</v>
      </c>
      <c r="G137" s="1">
        <v>-3541.1660000000002</v>
      </c>
      <c r="H137" s="1">
        <v>874.36199999999997</v>
      </c>
      <c r="I137" s="1">
        <v>0</v>
      </c>
    </row>
    <row r="138" spans="1:9" hidden="1" x14ac:dyDescent="0.25">
      <c r="A138" s="1" t="s">
        <v>157</v>
      </c>
      <c r="B138" s="1" t="s">
        <v>80</v>
      </c>
      <c r="C138" s="1" t="s">
        <v>25</v>
      </c>
      <c r="D138" s="1">
        <v>0</v>
      </c>
      <c r="E138" s="1">
        <v>0</v>
      </c>
      <c r="F138" s="1">
        <v>218.59</v>
      </c>
      <c r="G138" s="1">
        <v>4328.0910000000003</v>
      </c>
      <c r="H138" s="1">
        <v>0</v>
      </c>
      <c r="I138" s="1">
        <v>0</v>
      </c>
    </row>
    <row r="139" spans="1:9" hidden="1" x14ac:dyDescent="0.25">
      <c r="A139" s="1" t="s">
        <v>157</v>
      </c>
      <c r="B139" s="1" t="s">
        <v>80</v>
      </c>
      <c r="C139" s="1" t="s">
        <v>10</v>
      </c>
      <c r="D139" s="1">
        <v>0</v>
      </c>
      <c r="E139" s="1">
        <v>0</v>
      </c>
      <c r="F139" s="1">
        <v>218.59</v>
      </c>
      <c r="G139" s="1">
        <v>4328.0910000000003</v>
      </c>
      <c r="H139" s="1">
        <v>-874.36199999999997</v>
      </c>
      <c r="I139" s="1">
        <v>0</v>
      </c>
    </row>
    <row r="140" spans="1:9" hidden="1" x14ac:dyDescent="0.25">
      <c r="A140" s="1" t="s">
        <v>157</v>
      </c>
      <c r="B140" s="1" t="s">
        <v>81</v>
      </c>
      <c r="C140" s="1" t="s">
        <v>25</v>
      </c>
      <c r="D140" s="1">
        <v>0</v>
      </c>
      <c r="E140" s="1">
        <v>0</v>
      </c>
      <c r="F140" s="1">
        <v>218.59</v>
      </c>
      <c r="G140" s="1">
        <v>3541.1660000000002</v>
      </c>
      <c r="H140" s="1">
        <v>0</v>
      </c>
      <c r="I140" s="1">
        <v>0</v>
      </c>
    </row>
    <row r="141" spans="1:9" hidden="1" x14ac:dyDescent="0.25">
      <c r="A141" s="1" t="s">
        <v>157</v>
      </c>
      <c r="B141" s="1" t="s">
        <v>81</v>
      </c>
      <c r="C141" s="1" t="s">
        <v>10</v>
      </c>
      <c r="D141" s="1">
        <v>0</v>
      </c>
      <c r="E141" s="1">
        <v>0</v>
      </c>
      <c r="F141" s="1">
        <v>218.59</v>
      </c>
      <c r="G141" s="1">
        <v>3541.1660000000002</v>
      </c>
      <c r="H141" s="1">
        <v>-874.36199999999997</v>
      </c>
      <c r="I141" s="1">
        <v>0</v>
      </c>
    </row>
    <row r="142" spans="1:9" hidden="1" x14ac:dyDescent="0.25">
      <c r="A142" s="1" t="s">
        <v>157</v>
      </c>
      <c r="B142" s="1" t="s">
        <v>82</v>
      </c>
      <c r="C142" s="1" t="s">
        <v>25</v>
      </c>
      <c r="D142" s="1">
        <v>0</v>
      </c>
      <c r="E142" s="1">
        <v>-54.25</v>
      </c>
      <c r="F142" s="1">
        <v>0</v>
      </c>
      <c r="G142" s="1">
        <v>895.154</v>
      </c>
      <c r="H142" s="1">
        <v>0</v>
      </c>
      <c r="I142" s="1">
        <v>0</v>
      </c>
    </row>
    <row r="143" spans="1:9" hidden="1" x14ac:dyDescent="0.25">
      <c r="A143" s="1" t="s">
        <v>157</v>
      </c>
      <c r="B143" s="1" t="s">
        <v>82</v>
      </c>
      <c r="C143" s="1" t="s">
        <v>10</v>
      </c>
      <c r="D143" s="1">
        <v>0</v>
      </c>
      <c r="E143" s="1">
        <v>-54.25</v>
      </c>
      <c r="F143" s="1">
        <v>0</v>
      </c>
      <c r="G143" s="1">
        <v>895.154</v>
      </c>
      <c r="H143" s="1">
        <v>0</v>
      </c>
      <c r="I143" s="1">
        <v>-217.00700000000001</v>
      </c>
    </row>
    <row r="144" spans="1:9" hidden="1" x14ac:dyDescent="0.25">
      <c r="A144" s="1" t="s">
        <v>157</v>
      </c>
      <c r="B144" s="1" t="s">
        <v>83</v>
      </c>
      <c r="C144" s="1" t="s">
        <v>25</v>
      </c>
      <c r="D144" s="1">
        <v>0</v>
      </c>
      <c r="E144" s="1">
        <v>-54.25</v>
      </c>
      <c r="F144" s="1">
        <v>0</v>
      </c>
      <c r="G144" s="1">
        <v>732.399</v>
      </c>
      <c r="H144" s="1">
        <v>0</v>
      </c>
      <c r="I144" s="1">
        <v>0</v>
      </c>
    </row>
    <row r="145" spans="1:9" hidden="1" x14ac:dyDescent="0.25">
      <c r="A145" s="1" t="s">
        <v>157</v>
      </c>
      <c r="B145" s="1" t="s">
        <v>83</v>
      </c>
      <c r="C145" s="1" t="s">
        <v>10</v>
      </c>
      <c r="D145" s="1">
        <v>0</v>
      </c>
      <c r="E145" s="1">
        <v>-54.25</v>
      </c>
      <c r="F145" s="1">
        <v>0</v>
      </c>
      <c r="G145" s="1">
        <v>732.399</v>
      </c>
      <c r="H145" s="1">
        <v>0</v>
      </c>
      <c r="I145" s="1">
        <v>-217.00700000000001</v>
      </c>
    </row>
    <row r="146" spans="1:9" hidden="1" x14ac:dyDescent="0.25">
      <c r="A146" s="1" t="s">
        <v>157</v>
      </c>
      <c r="B146" s="1" t="s">
        <v>84</v>
      </c>
      <c r="C146" s="1" t="s">
        <v>25</v>
      </c>
      <c r="D146" s="1">
        <v>0</v>
      </c>
      <c r="E146" s="1">
        <v>54.25</v>
      </c>
      <c r="F146" s="1">
        <v>0</v>
      </c>
      <c r="G146" s="1">
        <v>-895.154</v>
      </c>
      <c r="H146" s="1">
        <v>0</v>
      </c>
      <c r="I146" s="1">
        <v>0</v>
      </c>
    </row>
    <row r="147" spans="1:9" hidden="1" x14ac:dyDescent="0.25">
      <c r="A147" s="1" t="s">
        <v>157</v>
      </c>
      <c r="B147" s="1" t="s">
        <v>84</v>
      </c>
      <c r="C147" s="1" t="s">
        <v>10</v>
      </c>
      <c r="D147" s="1">
        <v>0</v>
      </c>
      <c r="E147" s="1">
        <v>54.25</v>
      </c>
      <c r="F147" s="1">
        <v>0</v>
      </c>
      <c r="G147" s="1">
        <v>-895.154</v>
      </c>
      <c r="H147" s="1">
        <v>0</v>
      </c>
      <c r="I147" s="1">
        <v>217.00700000000001</v>
      </c>
    </row>
    <row r="148" spans="1:9" hidden="1" x14ac:dyDescent="0.25">
      <c r="A148" s="1" t="s">
        <v>157</v>
      </c>
      <c r="B148" s="1" t="s">
        <v>85</v>
      </c>
      <c r="C148" s="1" t="s">
        <v>25</v>
      </c>
      <c r="D148" s="1">
        <v>0</v>
      </c>
      <c r="E148" s="1">
        <v>54.25</v>
      </c>
      <c r="F148" s="1">
        <v>0</v>
      </c>
      <c r="G148" s="1">
        <v>-732.399</v>
      </c>
      <c r="H148" s="1">
        <v>0</v>
      </c>
      <c r="I148" s="1">
        <v>0</v>
      </c>
    </row>
    <row r="149" spans="1:9" hidden="1" x14ac:dyDescent="0.25">
      <c r="A149" s="1" t="s">
        <v>157</v>
      </c>
      <c r="B149" s="1" t="s">
        <v>85</v>
      </c>
      <c r="C149" s="1" t="s">
        <v>10</v>
      </c>
      <c r="D149" s="1">
        <v>0</v>
      </c>
      <c r="E149" s="1">
        <v>54.25</v>
      </c>
      <c r="F149" s="1">
        <v>0</v>
      </c>
      <c r="G149" s="1">
        <v>-732.399</v>
      </c>
      <c r="H149" s="1">
        <v>0</v>
      </c>
      <c r="I149" s="1">
        <v>217.00700000000001</v>
      </c>
    </row>
    <row r="150" spans="1:9" hidden="1" x14ac:dyDescent="0.25">
      <c r="A150" s="1" t="s">
        <v>157</v>
      </c>
      <c r="B150" s="1" t="s">
        <v>86</v>
      </c>
      <c r="C150" s="1" t="s">
        <v>25</v>
      </c>
      <c r="D150" s="1">
        <v>0</v>
      </c>
      <c r="E150" s="1">
        <v>0</v>
      </c>
      <c r="F150" s="1">
        <v>-65.58</v>
      </c>
      <c r="G150" s="1">
        <v>-1298.4269999999999</v>
      </c>
      <c r="H150" s="1">
        <v>0</v>
      </c>
      <c r="I150" s="1">
        <v>0</v>
      </c>
    </row>
    <row r="151" spans="1:9" hidden="1" x14ac:dyDescent="0.25">
      <c r="A151" s="1" t="s">
        <v>157</v>
      </c>
      <c r="B151" s="1" t="s">
        <v>86</v>
      </c>
      <c r="C151" s="1" t="s">
        <v>10</v>
      </c>
      <c r="D151" s="1">
        <v>0</v>
      </c>
      <c r="E151" s="1">
        <v>0</v>
      </c>
      <c r="F151" s="1">
        <v>-65.58</v>
      </c>
      <c r="G151" s="1">
        <v>-1298.4269999999999</v>
      </c>
      <c r="H151" s="1">
        <v>262.30900000000003</v>
      </c>
      <c r="I151" s="1">
        <v>0</v>
      </c>
    </row>
    <row r="152" spans="1:9" hidden="1" x14ac:dyDescent="0.25">
      <c r="A152" s="1" t="s">
        <v>157</v>
      </c>
      <c r="B152" s="1" t="s">
        <v>87</v>
      </c>
      <c r="C152" s="1" t="s">
        <v>25</v>
      </c>
      <c r="D152" s="1">
        <v>0</v>
      </c>
      <c r="E152" s="1">
        <v>0</v>
      </c>
      <c r="F152" s="1">
        <v>-65.58</v>
      </c>
      <c r="G152" s="1">
        <v>-1062.3499999999999</v>
      </c>
      <c r="H152" s="1">
        <v>0</v>
      </c>
      <c r="I152" s="1">
        <v>0</v>
      </c>
    </row>
    <row r="153" spans="1:9" hidden="1" x14ac:dyDescent="0.25">
      <c r="A153" s="1" t="s">
        <v>157</v>
      </c>
      <c r="B153" s="1" t="s">
        <v>87</v>
      </c>
      <c r="C153" s="1" t="s">
        <v>10</v>
      </c>
      <c r="D153" s="1">
        <v>0</v>
      </c>
      <c r="E153" s="1">
        <v>0</v>
      </c>
      <c r="F153" s="1">
        <v>-65.58</v>
      </c>
      <c r="G153" s="1">
        <v>-1062.3499999999999</v>
      </c>
      <c r="H153" s="1">
        <v>262.30900000000003</v>
      </c>
      <c r="I153" s="1">
        <v>0</v>
      </c>
    </row>
    <row r="154" spans="1:9" hidden="1" x14ac:dyDescent="0.25">
      <c r="A154" s="1" t="s">
        <v>157</v>
      </c>
      <c r="B154" s="1" t="s">
        <v>88</v>
      </c>
      <c r="C154" s="1" t="s">
        <v>25</v>
      </c>
      <c r="D154" s="1">
        <v>0</v>
      </c>
      <c r="E154" s="1">
        <v>0</v>
      </c>
      <c r="F154" s="1">
        <v>65.58</v>
      </c>
      <c r="G154" s="1">
        <v>1298.4269999999999</v>
      </c>
      <c r="H154" s="1">
        <v>0</v>
      </c>
      <c r="I154" s="1">
        <v>0</v>
      </c>
    </row>
    <row r="155" spans="1:9" hidden="1" x14ac:dyDescent="0.25">
      <c r="A155" s="1" t="s">
        <v>157</v>
      </c>
      <c r="B155" s="1" t="s">
        <v>88</v>
      </c>
      <c r="C155" s="1" t="s">
        <v>10</v>
      </c>
      <c r="D155" s="1">
        <v>0</v>
      </c>
      <c r="E155" s="1">
        <v>0</v>
      </c>
      <c r="F155" s="1">
        <v>65.58</v>
      </c>
      <c r="G155" s="1">
        <v>1298.4269999999999</v>
      </c>
      <c r="H155" s="1">
        <v>-262.30900000000003</v>
      </c>
      <c r="I155" s="1">
        <v>0</v>
      </c>
    </row>
    <row r="156" spans="1:9" hidden="1" x14ac:dyDescent="0.25">
      <c r="A156" s="1" t="s">
        <v>157</v>
      </c>
      <c r="B156" s="1" t="s">
        <v>89</v>
      </c>
      <c r="C156" s="1" t="s">
        <v>25</v>
      </c>
      <c r="D156" s="1">
        <v>0</v>
      </c>
      <c r="E156" s="1">
        <v>0</v>
      </c>
      <c r="F156" s="1">
        <v>65.58</v>
      </c>
      <c r="G156" s="1">
        <v>1062.3499999999999</v>
      </c>
      <c r="H156" s="1">
        <v>0</v>
      </c>
      <c r="I156" s="1">
        <v>0</v>
      </c>
    </row>
    <row r="157" spans="1:9" hidden="1" x14ac:dyDescent="0.25">
      <c r="A157" s="1" t="s">
        <v>157</v>
      </c>
      <c r="B157" s="1" t="s">
        <v>89</v>
      </c>
      <c r="C157" s="1" t="s">
        <v>10</v>
      </c>
      <c r="D157" s="1">
        <v>0</v>
      </c>
      <c r="E157" s="1">
        <v>0</v>
      </c>
      <c r="F157" s="1">
        <v>65.58</v>
      </c>
      <c r="G157" s="1">
        <v>1062.3499999999999</v>
      </c>
      <c r="H157" s="1">
        <v>-262.30900000000003</v>
      </c>
      <c r="I157" s="1">
        <v>0</v>
      </c>
    </row>
    <row r="158" spans="1:9" hidden="1" x14ac:dyDescent="0.25">
      <c r="A158" s="1" t="s">
        <v>157</v>
      </c>
      <c r="B158" s="1" t="s">
        <v>90</v>
      </c>
      <c r="C158" s="1" t="s">
        <v>25</v>
      </c>
      <c r="D158" s="1">
        <v>0</v>
      </c>
      <c r="E158" s="1">
        <v>-54.25</v>
      </c>
      <c r="F158" s="1">
        <v>0</v>
      </c>
      <c r="G158" s="1">
        <v>895.154</v>
      </c>
      <c r="H158" s="1">
        <v>0</v>
      </c>
      <c r="I158" s="1">
        <v>0</v>
      </c>
    </row>
    <row r="159" spans="1:9" hidden="1" x14ac:dyDescent="0.25">
      <c r="A159" s="1" t="s">
        <v>157</v>
      </c>
      <c r="B159" s="1" t="s">
        <v>90</v>
      </c>
      <c r="C159" s="1" t="s">
        <v>10</v>
      </c>
      <c r="D159" s="1">
        <v>0</v>
      </c>
      <c r="E159" s="1">
        <v>-54.25</v>
      </c>
      <c r="F159" s="1">
        <v>0</v>
      </c>
      <c r="G159" s="1">
        <v>895.154</v>
      </c>
      <c r="H159" s="1">
        <v>0</v>
      </c>
      <c r="I159" s="1">
        <v>-217.00700000000001</v>
      </c>
    </row>
    <row r="160" spans="1:9" hidden="1" x14ac:dyDescent="0.25">
      <c r="A160" s="1" t="s">
        <v>157</v>
      </c>
      <c r="B160" s="1" t="s">
        <v>91</v>
      </c>
      <c r="C160" s="1" t="s">
        <v>25</v>
      </c>
      <c r="D160" s="1">
        <v>0</v>
      </c>
      <c r="E160" s="1">
        <v>-54.25</v>
      </c>
      <c r="F160" s="1">
        <v>0</v>
      </c>
      <c r="G160" s="1">
        <v>732.399</v>
      </c>
      <c r="H160" s="1">
        <v>0</v>
      </c>
      <c r="I160" s="1">
        <v>0</v>
      </c>
    </row>
    <row r="161" spans="1:9" hidden="1" x14ac:dyDescent="0.25">
      <c r="A161" s="1" t="s">
        <v>157</v>
      </c>
      <c r="B161" s="1" t="s">
        <v>91</v>
      </c>
      <c r="C161" s="1" t="s">
        <v>10</v>
      </c>
      <c r="D161" s="1">
        <v>0</v>
      </c>
      <c r="E161" s="1">
        <v>-54.25</v>
      </c>
      <c r="F161" s="1">
        <v>0</v>
      </c>
      <c r="G161" s="1">
        <v>732.399</v>
      </c>
      <c r="H161" s="1">
        <v>0</v>
      </c>
      <c r="I161" s="1">
        <v>-217.00700000000001</v>
      </c>
    </row>
    <row r="162" spans="1:9" hidden="1" x14ac:dyDescent="0.25">
      <c r="A162" s="1" t="s">
        <v>157</v>
      </c>
      <c r="B162" s="1" t="s">
        <v>92</v>
      </c>
      <c r="C162" s="1" t="s">
        <v>25</v>
      </c>
      <c r="D162" s="1">
        <v>0</v>
      </c>
      <c r="E162" s="1">
        <v>54.25</v>
      </c>
      <c r="F162" s="1">
        <v>0</v>
      </c>
      <c r="G162" s="1">
        <v>-895.154</v>
      </c>
      <c r="H162" s="1">
        <v>0</v>
      </c>
      <c r="I162" s="1">
        <v>0</v>
      </c>
    </row>
    <row r="163" spans="1:9" hidden="1" x14ac:dyDescent="0.25">
      <c r="A163" s="1" t="s">
        <v>157</v>
      </c>
      <c r="B163" s="1" t="s">
        <v>92</v>
      </c>
      <c r="C163" s="1" t="s">
        <v>10</v>
      </c>
      <c r="D163" s="1">
        <v>0</v>
      </c>
      <c r="E163" s="1">
        <v>54.25</v>
      </c>
      <c r="F163" s="1">
        <v>0</v>
      </c>
      <c r="G163" s="1">
        <v>-895.154</v>
      </c>
      <c r="H163" s="1">
        <v>0</v>
      </c>
      <c r="I163" s="1">
        <v>217.00700000000001</v>
      </c>
    </row>
    <row r="164" spans="1:9" hidden="1" x14ac:dyDescent="0.25">
      <c r="A164" s="1" t="s">
        <v>157</v>
      </c>
      <c r="B164" s="1" t="s">
        <v>93</v>
      </c>
      <c r="C164" s="1" t="s">
        <v>25</v>
      </c>
      <c r="D164" s="1">
        <v>0</v>
      </c>
      <c r="E164" s="1">
        <v>54.25</v>
      </c>
      <c r="F164" s="1">
        <v>0</v>
      </c>
      <c r="G164" s="1">
        <v>-732.399</v>
      </c>
      <c r="H164" s="1">
        <v>0</v>
      </c>
      <c r="I164" s="1">
        <v>0</v>
      </c>
    </row>
    <row r="165" spans="1:9" hidden="1" x14ac:dyDescent="0.25">
      <c r="A165" s="1" t="s">
        <v>157</v>
      </c>
      <c r="B165" s="1" t="s">
        <v>93</v>
      </c>
      <c r="C165" s="1" t="s">
        <v>10</v>
      </c>
      <c r="D165" s="1">
        <v>0</v>
      </c>
      <c r="E165" s="1">
        <v>54.25</v>
      </c>
      <c r="F165" s="1">
        <v>0</v>
      </c>
      <c r="G165" s="1">
        <v>-732.399</v>
      </c>
      <c r="H165" s="1">
        <v>0</v>
      </c>
      <c r="I165" s="1">
        <v>217.00700000000001</v>
      </c>
    </row>
    <row r="166" spans="1:9" hidden="1" x14ac:dyDescent="0.25">
      <c r="A166" s="1" t="s">
        <v>157</v>
      </c>
      <c r="B166" s="1" t="s">
        <v>94</v>
      </c>
      <c r="C166" s="1" t="s">
        <v>25</v>
      </c>
      <c r="D166" s="1">
        <v>0</v>
      </c>
      <c r="E166" s="1">
        <v>0</v>
      </c>
      <c r="F166" s="1">
        <v>-65.58</v>
      </c>
      <c r="G166" s="1">
        <v>-1298.4269999999999</v>
      </c>
      <c r="H166" s="1">
        <v>0</v>
      </c>
      <c r="I166" s="1">
        <v>0</v>
      </c>
    </row>
    <row r="167" spans="1:9" hidden="1" x14ac:dyDescent="0.25">
      <c r="A167" s="1" t="s">
        <v>157</v>
      </c>
      <c r="B167" s="1" t="s">
        <v>94</v>
      </c>
      <c r="C167" s="1" t="s">
        <v>10</v>
      </c>
      <c r="D167" s="1">
        <v>0</v>
      </c>
      <c r="E167" s="1">
        <v>0</v>
      </c>
      <c r="F167" s="1">
        <v>-65.58</v>
      </c>
      <c r="G167" s="1">
        <v>-1298.4269999999999</v>
      </c>
      <c r="H167" s="1">
        <v>262.30900000000003</v>
      </c>
      <c r="I167" s="1">
        <v>0</v>
      </c>
    </row>
    <row r="168" spans="1:9" hidden="1" x14ac:dyDescent="0.25">
      <c r="A168" s="1" t="s">
        <v>157</v>
      </c>
      <c r="B168" s="1" t="s">
        <v>95</v>
      </c>
      <c r="C168" s="1" t="s">
        <v>25</v>
      </c>
      <c r="D168" s="1">
        <v>0</v>
      </c>
      <c r="E168" s="1">
        <v>0</v>
      </c>
      <c r="F168" s="1">
        <v>-65.58</v>
      </c>
      <c r="G168" s="1">
        <v>-1062.3499999999999</v>
      </c>
      <c r="H168" s="1">
        <v>0</v>
      </c>
      <c r="I168" s="1">
        <v>0</v>
      </c>
    </row>
    <row r="169" spans="1:9" hidden="1" x14ac:dyDescent="0.25">
      <c r="A169" s="1" t="s">
        <v>157</v>
      </c>
      <c r="B169" s="1" t="s">
        <v>95</v>
      </c>
      <c r="C169" s="1" t="s">
        <v>10</v>
      </c>
      <c r="D169" s="1">
        <v>0</v>
      </c>
      <c r="E169" s="1">
        <v>0</v>
      </c>
      <c r="F169" s="1">
        <v>-65.58</v>
      </c>
      <c r="G169" s="1">
        <v>-1062.3499999999999</v>
      </c>
      <c r="H169" s="1">
        <v>262.30900000000003</v>
      </c>
      <c r="I169" s="1">
        <v>0</v>
      </c>
    </row>
    <row r="170" spans="1:9" hidden="1" x14ac:dyDescent="0.25">
      <c r="A170" s="1" t="s">
        <v>157</v>
      </c>
      <c r="B170" s="1" t="s">
        <v>96</v>
      </c>
      <c r="C170" s="1" t="s">
        <v>25</v>
      </c>
      <c r="D170" s="1">
        <v>0</v>
      </c>
      <c r="E170" s="1">
        <v>0</v>
      </c>
      <c r="F170" s="1">
        <v>65.58</v>
      </c>
      <c r="G170" s="1">
        <v>1298.4269999999999</v>
      </c>
      <c r="H170" s="1">
        <v>0</v>
      </c>
      <c r="I170" s="1">
        <v>0</v>
      </c>
    </row>
    <row r="171" spans="1:9" hidden="1" x14ac:dyDescent="0.25">
      <c r="A171" s="1" t="s">
        <v>157</v>
      </c>
      <c r="B171" s="1" t="s">
        <v>96</v>
      </c>
      <c r="C171" s="1" t="s">
        <v>10</v>
      </c>
      <c r="D171" s="1">
        <v>0</v>
      </c>
      <c r="E171" s="1">
        <v>0</v>
      </c>
      <c r="F171" s="1">
        <v>65.58</v>
      </c>
      <c r="G171" s="1">
        <v>1298.4269999999999</v>
      </c>
      <c r="H171" s="1">
        <v>-262.30900000000003</v>
      </c>
      <c r="I171" s="1">
        <v>0</v>
      </c>
    </row>
    <row r="172" spans="1:9" hidden="1" x14ac:dyDescent="0.25">
      <c r="A172" s="1" t="s">
        <v>157</v>
      </c>
      <c r="B172" s="1" t="s">
        <v>97</v>
      </c>
      <c r="C172" s="1" t="s">
        <v>25</v>
      </c>
      <c r="D172" s="1">
        <v>0</v>
      </c>
      <c r="E172" s="1">
        <v>0</v>
      </c>
      <c r="F172" s="1">
        <v>65.58</v>
      </c>
      <c r="G172" s="1">
        <v>1062.3499999999999</v>
      </c>
      <c r="H172" s="1">
        <v>0</v>
      </c>
      <c r="I172" s="1">
        <v>0</v>
      </c>
    </row>
    <row r="173" spans="1:9" hidden="1" x14ac:dyDescent="0.25">
      <c r="A173" s="1" t="s">
        <v>157</v>
      </c>
      <c r="B173" s="1" t="s">
        <v>97</v>
      </c>
      <c r="C173" s="1" t="s">
        <v>10</v>
      </c>
      <c r="D173" s="1">
        <v>0</v>
      </c>
      <c r="E173" s="1">
        <v>0</v>
      </c>
      <c r="F173" s="1">
        <v>65.58</v>
      </c>
      <c r="G173" s="1">
        <v>1062.3499999999999</v>
      </c>
      <c r="H173" s="1">
        <v>-262.30900000000003</v>
      </c>
      <c r="I173" s="1">
        <v>0</v>
      </c>
    </row>
    <row r="174" spans="1:9" hidden="1" x14ac:dyDescent="0.25">
      <c r="A174" s="1" t="s">
        <v>157</v>
      </c>
      <c r="B174" s="1" t="s">
        <v>14</v>
      </c>
      <c r="C174" s="1" t="s">
        <v>25</v>
      </c>
      <c r="D174" s="1">
        <v>0</v>
      </c>
      <c r="E174" s="1">
        <v>136.57</v>
      </c>
      <c r="F174" s="1">
        <v>0</v>
      </c>
      <c r="G174" s="1">
        <v>2253.422</v>
      </c>
      <c r="H174" s="1">
        <v>0</v>
      </c>
      <c r="I174" s="1">
        <v>0</v>
      </c>
    </row>
    <row r="175" spans="1:9" hidden="1" x14ac:dyDescent="0.25">
      <c r="A175" s="1" t="s">
        <v>157</v>
      </c>
      <c r="B175" s="1" t="s">
        <v>14</v>
      </c>
      <c r="C175" s="1" t="s">
        <v>10</v>
      </c>
      <c r="D175" s="1">
        <v>0</v>
      </c>
      <c r="E175" s="1">
        <v>136.57</v>
      </c>
      <c r="F175" s="1">
        <v>0</v>
      </c>
      <c r="G175" s="1">
        <v>2253.422</v>
      </c>
      <c r="H175" s="1">
        <v>0</v>
      </c>
      <c r="I175" s="1">
        <v>546.28399999999999</v>
      </c>
    </row>
    <row r="176" spans="1:9" hidden="1" x14ac:dyDescent="0.25">
      <c r="A176" s="1" t="s">
        <v>157</v>
      </c>
      <c r="B176" s="1" t="s">
        <v>98</v>
      </c>
      <c r="C176" s="1" t="s">
        <v>25</v>
      </c>
      <c r="D176" s="1">
        <v>0</v>
      </c>
      <c r="E176" s="1">
        <v>-136.57</v>
      </c>
      <c r="F176" s="1">
        <v>0</v>
      </c>
      <c r="G176" s="1">
        <v>-2253.422</v>
      </c>
      <c r="H176" s="1">
        <v>0</v>
      </c>
      <c r="I176" s="1">
        <v>0</v>
      </c>
    </row>
    <row r="177" spans="1:9" hidden="1" x14ac:dyDescent="0.25">
      <c r="A177" s="1" t="s">
        <v>157</v>
      </c>
      <c r="B177" s="1" t="s">
        <v>98</v>
      </c>
      <c r="C177" s="1" t="s">
        <v>10</v>
      </c>
      <c r="D177" s="1">
        <v>0</v>
      </c>
      <c r="E177" s="1">
        <v>-136.57</v>
      </c>
      <c r="F177" s="1">
        <v>0</v>
      </c>
      <c r="G177" s="1">
        <v>-2253.422</v>
      </c>
      <c r="H177" s="1">
        <v>0</v>
      </c>
      <c r="I177" s="1">
        <v>-546.28399999999999</v>
      </c>
    </row>
    <row r="178" spans="1:9" hidden="1" x14ac:dyDescent="0.25">
      <c r="A178" s="1" t="s">
        <v>157</v>
      </c>
      <c r="B178" s="1" t="s">
        <v>15</v>
      </c>
      <c r="C178" s="1" t="s">
        <v>25</v>
      </c>
      <c r="D178" s="1">
        <v>0</v>
      </c>
      <c r="E178" s="1">
        <v>0</v>
      </c>
      <c r="F178" s="1">
        <v>290.91000000000003</v>
      </c>
      <c r="G178" s="1">
        <v>5759.9690000000001</v>
      </c>
      <c r="H178" s="1">
        <v>0</v>
      </c>
      <c r="I178" s="1">
        <v>0</v>
      </c>
    </row>
    <row r="179" spans="1:9" hidden="1" x14ac:dyDescent="0.25">
      <c r="A179" s="1" t="s">
        <v>157</v>
      </c>
      <c r="B179" s="1" t="s">
        <v>15</v>
      </c>
      <c r="C179" s="1" t="s">
        <v>10</v>
      </c>
      <c r="D179" s="1">
        <v>0</v>
      </c>
      <c r="E179" s="1">
        <v>0</v>
      </c>
      <c r="F179" s="1">
        <v>290.91000000000003</v>
      </c>
      <c r="G179" s="1">
        <v>5759.9690000000001</v>
      </c>
      <c r="H179" s="1">
        <v>1163.6300000000001</v>
      </c>
      <c r="I179" s="1">
        <v>0</v>
      </c>
    </row>
    <row r="180" spans="1:9" hidden="1" x14ac:dyDescent="0.25">
      <c r="A180" s="1" t="s">
        <v>157</v>
      </c>
      <c r="B180" s="1" t="s">
        <v>99</v>
      </c>
      <c r="C180" s="1" t="s">
        <v>25</v>
      </c>
      <c r="D180" s="1">
        <v>0</v>
      </c>
      <c r="E180" s="1">
        <v>0</v>
      </c>
      <c r="F180" s="1">
        <v>-290.91000000000003</v>
      </c>
      <c r="G180" s="1">
        <v>-5759.9690000000001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99</v>
      </c>
      <c r="C181" s="1" t="s">
        <v>10</v>
      </c>
      <c r="D181" s="1">
        <v>0</v>
      </c>
      <c r="E181" s="1">
        <v>0</v>
      </c>
      <c r="F181" s="1">
        <v>-290.91000000000003</v>
      </c>
      <c r="G181" s="1">
        <v>-5759.9690000000001</v>
      </c>
      <c r="H181" s="1">
        <v>-1163.6300000000001</v>
      </c>
      <c r="I181" s="1">
        <v>0</v>
      </c>
    </row>
    <row r="182" spans="1:9" hidden="1" x14ac:dyDescent="0.25">
      <c r="A182" s="1" t="s">
        <v>157</v>
      </c>
      <c r="B182" s="1" t="s">
        <v>100</v>
      </c>
      <c r="C182" s="1" t="s">
        <v>25</v>
      </c>
      <c r="D182" s="1">
        <v>0</v>
      </c>
      <c r="E182" s="1">
        <v>136.57</v>
      </c>
      <c r="F182" s="1">
        <v>0</v>
      </c>
      <c r="G182" s="1">
        <v>2253.422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100</v>
      </c>
      <c r="C183" s="1" t="s">
        <v>10</v>
      </c>
      <c r="D183" s="1">
        <v>0</v>
      </c>
      <c r="E183" s="1">
        <v>136.57</v>
      </c>
      <c r="F183" s="1">
        <v>0</v>
      </c>
      <c r="G183" s="1">
        <v>2253.422</v>
      </c>
      <c r="H183" s="1">
        <v>0</v>
      </c>
      <c r="I183" s="1">
        <v>546.28399999999999</v>
      </c>
    </row>
    <row r="184" spans="1:9" hidden="1" x14ac:dyDescent="0.25">
      <c r="A184" s="1" t="s">
        <v>157</v>
      </c>
      <c r="B184" s="1" t="s">
        <v>101</v>
      </c>
      <c r="C184" s="1" t="s">
        <v>25</v>
      </c>
      <c r="D184" s="1">
        <v>0</v>
      </c>
      <c r="E184" s="1">
        <v>-136.57</v>
      </c>
      <c r="F184" s="1">
        <v>0</v>
      </c>
      <c r="G184" s="1">
        <v>-2253.422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101</v>
      </c>
      <c r="C185" s="1" t="s">
        <v>10</v>
      </c>
      <c r="D185" s="1">
        <v>0</v>
      </c>
      <c r="E185" s="1">
        <v>-136.57</v>
      </c>
      <c r="F185" s="1">
        <v>0</v>
      </c>
      <c r="G185" s="1">
        <v>-2253.422</v>
      </c>
      <c r="H185" s="1">
        <v>0</v>
      </c>
      <c r="I185" s="1">
        <v>-546.28399999999999</v>
      </c>
    </row>
    <row r="186" spans="1:9" hidden="1" x14ac:dyDescent="0.25">
      <c r="A186" s="1" t="s">
        <v>157</v>
      </c>
      <c r="B186" s="1" t="s">
        <v>102</v>
      </c>
      <c r="C186" s="1" t="s">
        <v>25</v>
      </c>
      <c r="D186" s="1">
        <v>0</v>
      </c>
      <c r="E186" s="1">
        <v>136.57</v>
      </c>
      <c r="F186" s="1">
        <v>0</v>
      </c>
      <c r="G186" s="1">
        <v>2253.422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102</v>
      </c>
      <c r="C187" s="1" t="s">
        <v>10</v>
      </c>
      <c r="D187" s="1">
        <v>0</v>
      </c>
      <c r="E187" s="1">
        <v>136.57</v>
      </c>
      <c r="F187" s="1">
        <v>0</v>
      </c>
      <c r="G187" s="1">
        <v>2253.422</v>
      </c>
      <c r="H187" s="1">
        <v>0</v>
      </c>
      <c r="I187" s="1">
        <v>546.28399999999999</v>
      </c>
    </row>
    <row r="188" spans="1:9" hidden="1" x14ac:dyDescent="0.25">
      <c r="A188" s="1" t="s">
        <v>157</v>
      </c>
      <c r="B188" s="1" t="s">
        <v>103</v>
      </c>
      <c r="C188" s="1" t="s">
        <v>25</v>
      </c>
      <c r="D188" s="1">
        <v>0</v>
      </c>
      <c r="E188" s="1">
        <v>-136.57</v>
      </c>
      <c r="F188" s="1">
        <v>0</v>
      </c>
      <c r="G188" s="1">
        <v>-2253.422</v>
      </c>
      <c r="H188" s="1">
        <v>0</v>
      </c>
      <c r="I188" s="1">
        <v>0</v>
      </c>
    </row>
    <row r="189" spans="1:9" hidden="1" x14ac:dyDescent="0.25">
      <c r="A189" s="1" t="s">
        <v>157</v>
      </c>
      <c r="B189" s="1" t="s">
        <v>103</v>
      </c>
      <c r="C189" s="1" t="s">
        <v>10</v>
      </c>
      <c r="D189" s="1">
        <v>0</v>
      </c>
      <c r="E189" s="1">
        <v>-136.57</v>
      </c>
      <c r="F189" s="1">
        <v>0</v>
      </c>
      <c r="G189" s="1">
        <v>-2253.422</v>
      </c>
      <c r="H189" s="1">
        <v>0</v>
      </c>
      <c r="I189" s="1">
        <v>-546.28399999999999</v>
      </c>
    </row>
    <row r="190" spans="1:9" hidden="1" x14ac:dyDescent="0.25">
      <c r="A190" s="1" t="s">
        <v>157</v>
      </c>
      <c r="B190" s="1" t="s">
        <v>104</v>
      </c>
      <c r="C190" s="1" t="s">
        <v>25</v>
      </c>
      <c r="D190" s="1">
        <v>0</v>
      </c>
      <c r="E190" s="1">
        <v>0</v>
      </c>
      <c r="F190" s="1">
        <v>290.91000000000003</v>
      </c>
      <c r="G190" s="1">
        <v>5759.9690000000001</v>
      </c>
      <c r="H190" s="1">
        <v>0</v>
      </c>
      <c r="I190" s="1">
        <v>0</v>
      </c>
    </row>
    <row r="191" spans="1:9" hidden="1" x14ac:dyDescent="0.25">
      <c r="A191" s="1" t="s">
        <v>157</v>
      </c>
      <c r="B191" s="1" t="s">
        <v>104</v>
      </c>
      <c r="C191" s="1" t="s">
        <v>10</v>
      </c>
      <c r="D191" s="1">
        <v>0</v>
      </c>
      <c r="E191" s="1">
        <v>0</v>
      </c>
      <c r="F191" s="1">
        <v>290.91000000000003</v>
      </c>
      <c r="G191" s="1">
        <v>5759.9690000000001</v>
      </c>
      <c r="H191" s="1">
        <v>1163.6300000000001</v>
      </c>
      <c r="I191" s="1">
        <v>0</v>
      </c>
    </row>
    <row r="192" spans="1:9" hidden="1" x14ac:dyDescent="0.25">
      <c r="A192" s="1" t="s">
        <v>157</v>
      </c>
      <c r="B192" s="1" t="s">
        <v>105</v>
      </c>
      <c r="C192" s="1" t="s">
        <v>25</v>
      </c>
      <c r="D192" s="1">
        <v>0</v>
      </c>
      <c r="E192" s="1">
        <v>0</v>
      </c>
      <c r="F192" s="1">
        <v>-290.91000000000003</v>
      </c>
      <c r="G192" s="1">
        <v>-5759.9690000000001</v>
      </c>
      <c r="H192" s="1">
        <v>0</v>
      </c>
      <c r="I192" s="1">
        <v>0</v>
      </c>
    </row>
    <row r="193" spans="1:9" hidden="1" x14ac:dyDescent="0.25">
      <c r="A193" s="1" t="s">
        <v>157</v>
      </c>
      <c r="B193" s="1" t="s">
        <v>105</v>
      </c>
      <c r="C193" s="1" t="s">
        <v>10</v>
      </c>
      <c r="D193" s="1">
        <v>0</v>
      </c>
      <c r="E193" s="1">
        <v>0</v>
      </c>
      <c r="F193" s="1">
        <v>-290.91000000000003</v>
      </c>
      <c r="G193" s="1">
        <v>-5759.9690000000001</v>
      </c>
      <c r="H193" s="1">
        <v>-1163.6300000000001</v>
      </c>
      <c r="I193" s="1">
        <v>0</v>
      </c>
    </row>
    <row r="194" spans="1:9" hidden="1" x14ac:dyDescent="0.25">
      <c r="A194" s="1" t="s">
        <v>157</v>
      </c>
      <c r="B194" s="1" t="s">
        <v>106</v>
      </c>
      <c r="C194" s="1" t="s">
        <v>25</v>
      </c>
      <c r="D194" s="1">
        <v>0</v>
      </c>
      <c r="E194" s="1">
        <v>0</v>
      </c>
      <c r="F194" s="1">
        <v>290.91000000000003</v>
      </c>
      <c r="G194" s="1">
        <v>5759.9690000000001</v>
      </c>
      <c r="H194" s="1">
        <v>0</v>
      </c>
      <c r="I194" s="1">
        <v>0</v>
      </c>
    </row>
    <row r="195" spans="1:9" hidden="1" x14ac:dyDescent="0.25">
      <c r="A195" s="1" t="s">
        <v>157</v>
      </c>
      <c r="B195" s="1" t="s">
        <v>106</v>
      </c>
      <c r="C195" s="1" t="s">
        <v>10</v>
      </c>
      <c r="D195" s="1">
        <v>0</v>
      </c>
      <c r="E195" s="1">
        <v>0</v>
      </c>
      <c r="F195" s="1">
        <v>290.91000000000003</v>
      </c>
      <c r="G195" s="1">
        <v>5759.9690000000001</v>
      </c>
      <c r="H195" s="1">
        <v>1163.6300000000001</v>
      </c>
      <c r="I195" s="1">
        <v>0</v>
      </c>
    </row>
    <row r="196" spans="1:9" hidden="1" x14ac:dyDescent="0.25">
      <c r="A196" s="1" t="s">
        <v>157</v>
      </c>
      <c r="B196" s="1" t="s">
        <v>107</v>
      </c>
      <c r="C196" s="1" t="s">
        <v>25</v>
      </c>
      <c r="D196" s="1">
        <v>0</v>
      </c>
      <c r="E196" s="1">
        <v>0</v>
      </c>
      <c r="F196" s="1">
        <v>-290.91000000000003</v>
      </c>
      <c r="G196" s="1">
        <v>-5759.9690000000001</v>
      </c>
      <c r="H196" s="1">
        <v>0</v>
      </c>
      <c r="I196" s="1">
        <v>0</v>
      </c>
    </row>
    <row r="197" spans="1:9" hidden="1" x14ac:dyDescent="0.25">
      <c r="A197" s="1" t="s">
        <v>157</v>
      </c>
      <c r="B197" s="1" t="s">
        <v>107</v>
      </c>
      <c r="C197" s="1" t="s">
        <v>10</v>
      </c>
      <c r="D197" s="1">
        <v>0</v>
      </c>
      <c r="E197" s="1">
        <v>0</v>
      </c>
      <c r="F197" s="1">
        <v>-290.91000000000003</v>
      </c>
      <c r="G197" s="1">
        <v>-5759.9690000000001</v>
      </c>
      <c r="H197" s="1">
        <v>-1163.6300000000001</v>
      </c>
      <c r="I197" s="1">
        <v>0</v>
      </c>
    </row>
    <row r="198" spans="1:9" hidden="1" x14ac:dyDescent="0.25">
      <c r="A198" s="1" t="s">
        <v>157</v>
      </c>
      <c r="B198" s="1" t="s">
        <v>108</v>
      </c>
      <c r="C198" s="1" t="s">
        <v>25</v>
      </c>
      <c r="D198" s="1">
        <v>0</v>
      </c>
      <c r="E198" s="1">
        <v>40.97</v>
      </c>
      <c r="F198" s="1">
        <v>0</v>
      </c>
      <c r="G198" s="1">
        <v>676.02599999999995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108</v>
      </c>
      <c r="C199" s="1" t="s">
        <v>10</v>
      </c>
      <c r="D199" s="1">
        <v>0</v>
      </c>
      <c r="E199" s="1">
        <v>40.97</v>
      </c>
      <c r="F199" s="1">
        <v>0</v>
      </c>
      <c r="G199" s="1">
        <v>676.02599999999995</v>
      </c>
      <c r="H199" s="1">
        <v>0</v>
      </c>
      <c r="I199" s="1">
        <v>163.88499999999999</v>
      </c>
    </row>
    <row r="200" spans="1:9" hidden="1" x14ac:dyDescent="0.25">
      <c r="A200" s="1" t="s">
        <v>157</v>
      </c>
      <c r="B200" s="1" t="s">
        <v>109</v>
      </c>
      <c r="C200" s="1" t="s">
        <v>25</v>
      </c>
      <c r="D200" s="1">
        <v>0</v>
      </c>
      <c r="E200" s="1">
        <v>-40.97</v>
      </c>
      <c r="F200" s="1">
        <v>0</v>
      </c>
      <c r="G200" s="1">
        <v>-676.02599999999995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109</v>
      </c>
      <c r="C201" s="1" t="s">
        <v>10</v>
      </c>
      <c r="D201" s="1">
        <v>0</v>
      </c>
      <c r="E201" s="1">
        <v>-40.97</v>
      </c>
      <c r="F201" s="1">
        <v>0</v>
      </c>
      <c r="G201" s="1">
        <v>-676.02599999999995</v>
      </c>
      <c r="H201" s="1">
        <v>0</v>
      </c>
      <c r="I201" s="1">
        <v>-163.88499999999999</v>
      </c>
    </row>
    <row r="202" spans="1:9" hidden="1" x14ac:dyDescent="0.25">
      <c r="A202" s="1" t="s">
        <v>157</v>
      </c>
      <c r="B202" s="1" t="s">
        <v>110</v>
      </c>
      <c r="C202" s="1" t="s">
        <v>25</v>
      </c>
      <c r="D202" s="1">
        <v>0</v>
      </c>
      <c r="E202" s="1">
        <v>40.97</v>
      </c>
      <c r="F202" s="1">
        <v>0</v>
      </c>
      <c r="G202" s="1">
        <v>676.02599999999995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110</v>
      </c>
      <c r="C203" s="1" t="s">
        <v>10</v>
      </c>
      <c r="D203" s="1">
        <v>0</v>
      </c>
      <c r="E203" s="1">
        <v>40.97</v>
      </c>
      <c r="F203" s="1">
        <v>0</v>
      </c>
      <c r="G203" s="1">
        <v>676.02599999999995</v>
      </c>
      <c r="H203" s="1">
        <v>0</v>
      </c>
      <c r="I203" s="1">
        <v>163.88499999999999</v>
      </c>
    </row>
    <row r="204" spans="1:9" hidden="1" x14ac:dyDescent="0.25">
      <c r="A204" s="1" t="s">
        <v>157</v>
      </c>
      <c r="B204" s="1" t="s">
        <v>111</v>
      </c>
      <c r="C204" s="1" t="s">
        <v>25</v>
      </c>
      <c r="D204" s="1">
        <v>0</v>
      </c>
      <c r="E204" s="1">
        <v>-40.97</v>
      </c>
      <c r="F204" s="1">
        <v>0</v>
      </c>
      <c r="G204" s="1">
        <v>-676.02599999999995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111</v>
      </c>
      <c r="C205" s="1" t="s">
        <v>10</v>
      </c>
      <c r="D205" s="1">
        <v>0</v>
      </c>
      <c r="E205" s="1">
        <v>-40.97</v>
      </c>
      <c r="F205" s="1">
        <v>0</v>
      </c>
      <c r="G205" s="1">
        <v>-676.02599999999995</v>
      </c>
      <c r="H205" s="1">
        <v>0</v>
      </c>
      <c r="I205" s="1">
        <v>-163.88499999999999</v>
      </c>
    </row>
    <row r="206" spans="1:9" hidden="1" x14ac:dyDescent="0.25">
      <c r="A206" s="1" t="s">
        <v>157</v>
      </c>
      <c r="B206" s="1" t="s">
        <v>112</v>
      </c>
      <c r="C206" s="1" t="s">
        <v>25</v>
      </c>
      <c r="D206" s="1">
        <v>0</v>
      </c>
      <c r="E206" s="1">
        <v>0</v>
      </c>
      <c r="F206" s="1">
        <v>87.27</v>
      </c>
      <c r="G206" s="1">
        <v>1727.991</v>
      </c>
      <c r="H206" s="1">
        <v>0</v>
      </c>
      <c r="I206" s="1">
        <v>0</v>
      </c>
    </row>
    <row r="207" spans="1:9" hidden="1" x14ac:dyDescent="0.25">
      <c r="A207" s="1" t="s">
        <v>157</v>
      </c>
      <c r="B207" s="1" t="s">
        <v>112</v>
      </c>
      <c r="C207" s="1" t="s">
        <v>10</v>
      </c>
      <c r="D207" s="1">
        <v>0</v>
      </c>
      <c r="E207" s="1">
        <v>0</v>
      </c>
      <c r="F207" s="1">
        <v>87.27</v>
      </c>
      <c r="G207" s="1">
        <v>1727.991</v>
      </c>
      <c r="H207" s="1">
        <v>349.089</v>
      </c>
      <c r="I207" s="1">
        <v>0</v>
      </c>
    </row>
    <row r="208" spans="1:9" hidden="1" x14ac:dyDescent="0.25">
      <c r="A208" s="1" t="s">
        <v>157</v>
      </c>
      <c r="B208" s="1" t="s">
        <v>113</v>
      </c>
      <c r="C208" s="1" t="s">
        <v>25</v>
      </c>
      <c r="D208" s="1">
        <v>0</v>
      </c>
      <c r="E208" s="1">
        <v>0</v>
      </c>
      <c r="F208" s="1">
        <v>-87.27</v>
      </c>
      <c r="G208" s="1">
        <v>-1727.991</v>
      </c>
      <c r="H208" s="1">
        <v>0</v>
      </c>
      <c r="I208" s="1">
        <v>0</v>
      </c>
    </row>
    <row r="209" spans="1:9" hidden="1" x14ac:dyDescent="0.25">
      <c r="A209" s="1" t="s">
        <v>157</v>
      </c>
      <c r="B209" s="1" t="s">
        <v>113</v>
      </c>
      <c r="C209" s="1" t="s">
        <v>10</v>
      </c>
      <c r="D209" s="1">
        <v>0</v>
      </c>
      <c r="E209" s="1">
        <v>0</v>
      </c>
      <c r="F209" s="1">
        <v>-87.27</v>
      </c>
      <c r="G209" s="1">
        <v>-1727.991</v>
      </c>
      <c r="H209" s="1">
        <v>-349.089</v>
      </c>
      <c r="I209" s="1">
        <v>0</v>
      </c>
    </row>
    <row r="210" spans="1:9" hidden="1" x14ac:dyDescent="0.25">
      <c r="A210" s="1" t="s">
        <v>157</v>
      </c>
      <c r="B210" s="1" t="s">
        <v>114</v>
      </c>
      <c r="C210" s="1" t="s">
        <v>25</v>
      </c>
      <c r="D210" s="1">
        <v>0</v>
      </c>
      <c r="E210" s="1">
        <v>0</v>
      </c>
      <c r="F210" s="1">
        <v>87.27</v>
      </c>
      <c r="G210" s="1">
        <v>1727.991</v>
      </c>
      <c r="H210" s="1">
        <v>0</v>
      </c>
      <c r="I210" s="1">
        <v>0</v>
      </c>
    </row>
    <row r="211" spans="1:9" hidden="1" x14ac:dyDescent="0.25">
      <c r="A211" s="1" t="s">
        <v>157</v>
      </c>
      <c r="B211" s="1" t="s">
        <v>114</v>
      </c>
      <c r="C211" s="1" t="s">
        <v>10</v>
      </c>
      <c r="D211" s="1">
        <v>0</v>
      </c>
      <c r="E211" s="1">
        <v>0</v>
      </c>
      <c r="F211" s="1">
        <v>87.27</v>
      </c>
      <c r="G211" s="1">
        <v>1727.991</v>
      </c>
      <c r="H211" s="1">
        <v>349.089</v>
      </c>
      <c r="I211" s="1">
        <v>0</v>
      </c>
    </row>
    <row r="212" spans="1:9" hidden="1" x14ac:dyDescent="0.25">
      <c r="A212" s="1" t="s">
        <v>157</v>
      </c>
      <c r="B212" s="1" t="s">
        <v>115</v>
      </c>
      <c r="C212" s="1" t="s">
        <v>25</v>
      </c>
      <c r="D212" s="1">
        <v>0</v>
      </c>
      <c r="E212" s="1">
        <v>0</v>
      </c>
      <c r="F212" s="1">
        <v>-87.27</v>
      </c>
      <c r="G212" s="1">
        <v>-1727.991</v>
      </c>
      <c r="H212" s="1">
        <v>0</v>
      </c>
      <c r="I212" s="1">
        <v>0</v>
      </c>
    </row>
    <row r="213" spans="1:9" hidden="1" x14ac:dyDescent="0.25">
      <c r="A213" s="1" t="s">
        <v>157</v>
      </c>
      <c r="B213" s="1" t="s">
        <v>115</v>
      </c>
      <c r="C213" s="1" t="s">
        <v>10</v>
      </c>
      <c r="D213" s="1">
        <v>0</v>
      </c>
      <c r="E213" s="1">
        <v>0</v>
      </c>
      <c r="F213" s="1">
        <v>-87.27</v>
      </c>
      <c r="G213" s="1">
        <v>-1727.991</v>
      </c>
      <c r="H213" s="1">
        <v>-349.089</v>
      </c>
      <c r="I213" s="1">
        <v>0</v>
      </c>
    </row>
    <row r="214" spans="1:9" hidden="1" x14ac:dyDescent="0.25">
      <c r="A214" s="1" t="s">
        <v>157</v>
      </c>
      <c r="B214" s="1" t="s">
        <v>116</v>
      </c>
      <c r="C214" s="1" t="s">
        <v>25</v>
      </c>
      <c r="D214" s="1">
        <v>0</v>
      </c>
      <c r="E214" s="1">
        <v>136.57</v>
      </c>
      <c r="F214" s="1">
        <v>0</v>
      </c>
      <c r="G214" s="1">
        <v>2253.422</v>
      </c>
      <c r="H214" s="1">
        <v>0</v>
      </c>
      <c r="I214" s="1">
        <v>0</v>
      </c>
    </row>
    <row r="215" spans="1:9" hidden="1" x14ac:dyDescent="0.25">
      <c r="A215" s="1" t="s">
        <v>157</v>
      </c>
      <c r="B215" s="1" t="s">
        <v>116</v>
      </c>
      <c r="C215" s="1" t="s">
        <v>10</v>
      </c>
      <c r="D215" s="1">
        <v>0</v>
      </c>
      <c r="E215" s="1">
        <v>136.57</v>
      </c>
      <c r="F215" s="1">
        <v>0</v>
      </c>
      <c r="G215" s="1">
        <v>2253.422</v>
      </c>
      <c r="H215" s="1">
        <v>0</v>
      </c>
      <c r="I215" s="1">
        <v>546.28399999999999</v>
      </c>
    </row>
    <row r="216" spans="1:9" hidden="1" x14ac:dyDescent="0.25">
      <c r="A216" s="1" t="s">
        <v>157</v>
      </c>
      <c r="B216" s="1" t="s">
        <v>117</v>
      </c>
      <c r="C216" s="1" t="s">
        <v>25</v>
      </c>
      <c r="D216" s="1">
        <v>0</v>
      </c>
      <c r="E216" s="1">
        <v>-136.57</v>
      </c>
      <c r="F216" s="1">
        <v>0</v>
      </c>
      <c r="G216" s="1">
        <v>-2253.422</v>
      </c>
      <c r="H216" s="1">
        <v>0</v>
      </c>
      <c r="I216" s="1">
        <v>0</v>
      </c>
    </row>
    <row r="217" spans="1:9" hidden="1" x14ac:dyDescent="0.25">
      <c r="A217" s="1" t="s">
        <v>157</v>
      </c>
      <c r="B217" s="1" t="s">
        <v>117</v>
      </c>
      <c r="C217" s="1" t="s">
        <v>10</v>
      </c>
      <c r="D217" s="1">
        <v>0</v>
      </c>
      <c r="E217" s="1">
        <v>-136.57</v>
      </c>
      <c r="F217" s="1">
        <v>0</v>
      </c>
      <c r="G217" s="1">
        <v>-2253.422</v>
      </c>
      <c r="H217" s="1">
        <v>0</v>
      </c>
      <c r="I217" s="1">
        <v>-546.28399999999999</v>
      </c>
    </row>
    <row r="218" spans="1:9" hidden="1" x14ac:dyDescent="0.25">
      <c r="A218" s="1" t="s">
        <v>157</v>
      </c>
      <c r="B218" s="1" t="s">
        <v>118</v>
      </c>
      <c r="C218" s="1" t="s">
        <v>25</v>
      </c>
      <c r="D218" s="1">
        <v>0</v>
      </c>
      <c r="E218" s="1">
        <v>136.57</v>
      </c>
      <c r="F218" s="1">
        <v>0</v>
      </c>
      <c r="G218" s="1">
        <v>2253.422</v>
      </c>
      <c r="H218" s="1">
        <v>0</v>
      </c>
      <c r="I218" s="1">
        <v>0</v>
      </c>
    </row>
    <row r="219" spans="1:9" hidden="1" x14ac:dyDescent="0.25">
      <c r="A219" s="1" t="s">
        <v>157</v>
      </c>
      <c r="B219" s="1" t="s">
        <v>118</v>
      </c>
      <c r="C219" s="1" t="s">
        <v>10</v>
      </c>
      <c r="D219" s="1">
        <v>0</v>
      </c>
      <c r="E219" s="1">
        <v>136.57</v>
      </c>
      <c r="F219" s="1">
        <v>0</v>
      </c>
      <c r="G219" s="1">
        <v>2253.422</v>
      </c>
      <c r="H219" s="1">
        <v>0</v>
      </c>
      <c r="I219" s="1">
        <v>546.28399999999999</v>
      </c>
    </row>
    <row r="220" spans="1:9" hidden="1" x14ac:dyDescent="0.25">
      <c r="A220" s="1" t="s">
        <v>157</v>
      </c>
      <c r="B220" s="1" t="s">
        <v>119</v>
      </c>
      <c r="C220" s="1" t="s">
        <v>25</v>
      </c>
      <c r="D220" s="1">
        <v>0</v>
      </c>
      <c r="E220" s="1">
        <v>-136.57</v>
      </c>
      <c r="F220" s="1">
        <v>0</v>
      </c>
      <c r="G220" s="1">
        <v>-2253.422</v>
      </c>
      <c r="H220" s="1">
        <v>0</v>
      </c>
      <c r="I220" s="1">
        <v>0</v>
      </c>
    </row>
    <row r="221" spans="1:9" hidden="1" x14ac:dyDescent="0.25">
      <c r="A221" s="1" t="s">
        <v>157</v>
      </c>
      <c r="B221" s="1" t="s">
        <v>119</v>
      </c>
      <c r="C221" s="1" t="s">
        <v>10</v>
      </c>
      <c r="D221" s="1">
        <v>0</v>
      </c>
      <c r="E221" s="1">
        <v>-136.57</v>
      </c>
      <c r="F221" s="1">
        <v>0</v>
      </c>
      <c r="G221" s="1">
        <v>-2253.422</v>
      </c>
      <c r="H221" s="1">
        <v>0</v>
      </c>
      <c r="I221" s="1">
        <v>-546.28399999999999</v>
      </c>
    </row>
    <row r="222" spans="1:9" hidden="1" x14ac:dyDescent="0.25">
      <c r="A222" s="1" t="s">
        <v>157</v>
      </c>
      <c r="B222" s="1" t="s">
        <v>120</v>
      </c>
      <c r="C222" s="1" t="s">
        <v>25</v>
      </c>
      <c r="D222" s="1">
        <v>0</v>
      </c>
      <c r="E222" s="1">
        <v>0</v>
      </c>
      <c r="F222" s="1">
        <v>290.91000000000003</v>
      </c>
      <c r="G222" s="1">
        <v>5759.9690000000001</v>
      </c>
      <c r="H222" s="1">
        <v>0</v>
      </c>
      <c r="I222" s="1">
        <v>0</v>
      </c>
    </row>
    <row r="223" spans="1:9" hidden="1" x14ac:dyDescent="0.25">
      <c r="A223" s="1" t="s">
        <v>157</v>
      </c>
      <c r="B223" s="1" t="s">
        <v>120</v>
      </c>
      <c r="C223" s="1" t="s">
        <v>10</v>
      </c>
      <c r="D223" s="1">
        <v>0</v>
      </c>
      <c r="E223" s="1">
        <v>0</v>
      </c>
      <c r="F223" s="1">
        <v>290.91000000000003</v>
      </c>
      <c r="G223" s="1">
        <v>5759.9690000000001</v>
      </c>
      <c r="H223" s="1">
        <v>1163.6300000000001</v>
      </c>
      <c r="I223" s="1">
        <v>0</v>
      </c>
    </row>
    <row r="224" spans="1:9" hidden="1" x14ac:dyDescent="0.25">
      <c r="A224" s="1" t="s">
        <v>157</v>
      </c>
      <c r="B224" s="1" t="s">
        <v>121</v>
      </c>
      <c r="C224" s="1" t="s">
        <v>25</v>
      </c>
      <c r="D224" s="1">
        <v>0</v>
      </c>
      <c r="E224" s="1">
        <v>0</v>
      </c>
      <c r="F224" s="1">
        <v>-290.91000000000003</v>
      </c>
      <c r="G224" s="1">
        <v>-5759.9690000000001</v>
      </c>
      <c r="H224" s="1">
        <v>0</v>
      </c>
      <c r="I224" s="1">
        <v>0</v>
      </c>
    </row>
    <row r="225" spans="1:9" hidden="1" x14ac:dyDescent="0.25">
      <c r="A225" s="1" t="s">
        <v>157</v>
      </c>
      <c r="B225" s="1" t="s">
        <v>121</v>
      </c>
      <c r="C225" s="1" t="s">
        <v>10</v>
      </c>
      <c r="D225" s="1">
        <v>0</v>
      </c>
      <c r="E225" s="1">
        <v>0</v>
      </c>
      <c r="F225" s="1">
        <v>-290.91000000000003</v>
      </c>
      <c r="G225" s="1">
        <v>-5759.9690000000001</v>
      </c>
      <c r="H225" s="1">
        <v>-1163.6300000000001</v>
      </c>
      <c r="I225" s="1">
        <v>0</v>
      </c>
    </row>
    <row r="226" spans="1:9" hidden="1" x14ac:dyDescent="0.25">
      <c r="A226" s="1" t="s">
        <v>157</v>
      </c>
      <c r="B226" s="1" t="s">
        <v>122</v>
      </c>
      <c r="C226" s="1" t="s">
        <v>25</v>
      </c>
      <c r="D226" s="1">
        <v>0</v>
      </c>
      <c r="E226" s="1">
        <v>0</v>
      </c>
      <c r="F226" s="1">
        <v>290.91000000000003</v>
      </c>
      <c r="G226" s="1">
        <v>5759.9690000000001</v>
      </c>
      <c r="H226" s="1">
        <v>0</v>
      </c>
      <c r="I226" s="1">
        <v>0</v>
      </c>
    </row>
    <row r="227" spans="1:9" hidden="1" x14ac:dyDescent="0.25">
      <c r="A227" s="1" t="s">
        <v>157</v>
      </c>
      <c r="B227" s="1" t="s">
        <v>122</v>
      </c>
      <c r="C227" s="1" t="s">
        <v>10</v>
      </c>
      <c r="D227" s="1">
        <v>0</v>
      </c>
      <c r="E227" s="1">
        <v>0</v>
      </c>
      <c r="F227" s="1">
        <v>290.91000000000003</v>
      </c>
      <c r="G227" s="1">
        <v>5759.9690000000001</v>
      </c>
      <c r="H227" s="1">
        <v>1163.6300000000001</v>
      </c>
      <c r="I227" s="1">
        <v>0</v>
      </c>
    </row>
    <row r="228" spans="1:9" hidden="1" x14ac:dyDescent="0.25">
      <c r="A228" s="1" t="s">
        <v>157</v>
      </c>
      <c r="B228" s="1" t="s">
        <v>123</v>
      </c>
      <c r="C228" s="1" t="s">
        <v>25</v>
      </c>
      <c r="D228" s="1">
        <v>0</v>
      </c>
      <c r="E228" s="1">
        <v>0</v>
      </c>
      <c r="F228" s="1">
        <v>-290.91000000000003</v>
      </c>
      <c r="G228" s="1">
        <v>-5759.9690000000001</v>
      </c>
      <c r="H228" s="1">
        <v>0</v>
      </c>
      <c r="I228" s="1">
        <v>0</v>
      </c>
    </row>
    <row r="229" spans="1:9" hidden="1" x14ac:dyDescent="0.25">
      <c r="A229" s="1" t="s">
        <v>157</v>
      </c>
      <c r="B229" s="1" t="s">
        <v>123</v>
      </c>
      <c r="C229" s="1" t="s">
        <v>10</v>
      </c>
      <c r="D229" s="1">
        <v>0</v>
      </c>
      <c r="E229" s="1">
        <v>0</v>
      </c>
      <c r="F229" s="1">
        <v>-290.91000000000003</v>
      </c>
      <c r="G229" s="1">
        <v>-5759.9690000000001</v>
      </c>
      <c r="H229" s="1">
        <v>-1163.6300000000001</v>
      </c>
      <c r="I229" s="1">
        <v>0</v>
      </c>
    </row>
    <row r="230" spans="1:9" hidden="1" x14ac:dyDescent="0.25">
      <c r="A230" s="1" t="s">
        <v>157</v>
      </c>
      <c r="B230" s="1" t="s">
        <v>124</v>
      </c>
      <c r="C230" s="1" t="s">
        <v>25</v>
      </c>
      <c r="D230" s="1">
        <v>0</v>
      </c>
      <c r="E230" s="1">
        <v>40.97</v>
      </c>
      <c r="F230" s="1">
        <v>0</v>
      </c>
      <c r="G230" s="1">
        <v>676.02599999999995</v>
      </c>
      <c r="H230" s="1">
        <v>0</v>
      </c>
      <c r="I230" s="1">
        <v>0</v>
      </c>
    </row>
    <row r="231" spans="1:9" hidden="1" x14ac:dyDescent="0.25">
      <c r="A231" s="1" t="s">
        <v>157</v>
      </c>
      <c r="B231" s="1" t="s">
        <v>124</v>
      </c>
      <c r="C231" s="1" t="s">
        <v>10</v>
      </c>
      <c r="D231" s="1">
        <v>0</v>
      </c>
      <c r="E231" s="1">
        <v>40.97</v>
      </c>
      <c r="F231" s="1">
        <v>0</v>
      </c>
      <c r="G231" s="1">
        <v>676.02599999999995</v>
      </c>
      <c r="H231" s="1">
        <v>0</v>
      </c>
      <c r="I231" s="1">
        <v>163.88499999999999</v>
      </c>
    </row>
    <row r="232" spans="1:9" hidden="1" x14ac:dyDescent="0.25">
      <c r="A232" s="1" t="s">
        <v>157</v>
      </c>
      <c r="B232" s="1" t="s">
        <v>125</v>
      </c>
      <c r="C232" s="1" t="s">
        <v>25</v>
      </c>
      <c r="D232" s="1">
        <v>0</v>
      </c>
      <c r="E232" s="1">
        <v>-40.97</v>
      </c>
      <c r="F232" s="1">
        <v>0</v>
      </c>
      <c r="G232" s="1">
        <v>-676.02599999999995</v>
      </c>
      <c r="H232" s="1">
        <v>0</v>
      </c>
      <c r="I232" s="1">
        <v>0</v>
      </c>
    </row>
    <row r="233" spans="1:9" hidden="1" x14ac:dyDescent="0.25">
      <c r="A233" s="1" t="s">
        <v>157</v>
      </c>
      <c r="B233" s="1" t="s">
        <v>125</v>
      </c>
      <c r="C233" s="1" t="s">
        <v>10</v>
      </c>
      <c r="D233" s="1">
        <v>0</v>
      </c>
      <c r="E233" s="1">
        <v>-40.97</v>
      </c>
      <c r="F233" s="1">
        <v>0</v>
      </c>
      <c r="G233" s="1">
        <v>-676.02599999999995</v>
      </c>
      <c r="H233" s="1">
        <v>0</v>
      </c>
      <c r="I233" s="1">
        <v>-163.88499999999999</v>
      </c>
    </row>
    <row r="234" spans="1:9" hidden="1" x14ac:dyDescent="0.25">
      <c r="A234" s="1" t="s">
        <v>157</v>
      </c>
      <c r="B234" s="1" t="s">
        <v>126</v>
      </c>
      <c r="C234" s="1" t="s">
        <v>25</v>
      </c>
      <c r="D234" s="1">
        <v>0</v>
      </c>
      <c r="E234" s="1">
        <v>40.97</v>
      </c>
      <c r="F234" s="1">
        <v>0</v>
      </c>
      <c r="G234" s="1">
        <v>676.02599999999995</v>
      </c>
      <c r="H234" s="1">
        <v>0</v>
      </c>
      <c r="I234" s="1">
        <v>0</v>
      </c>
    </row>
    <row r="235" spans="1:9" hidden="1" x14ac:dyDescent="0.25">
      <c r="A235" s="1" t="s">
        <v>157</v>
      </c>
      <c r="B235" s="1" t="s">
        <v>126</v>
      </c>
      <c r="C235" s="1" t="s">
        <v>10</v>
      </c>
      <c r="D235" s="1">
        <v>0</v>
      </c>
      <c r="E235" s="1">
        <v>40.97</v>
      </c>
      <c r="F235" s="1">
        <v>0</v>
      </c>
      <c r="G235" s="1">
        <v>676.02599999999995</v>
      </c>
      <c r="H235" s="1">
        <v>0</v>
      </c>
      <c r="I235" s="1">
        <v>163.88499999999999</v>
      </c>
    </row>
    <row r="236" spans="1:9" hidden="1" x14ac:dyDescent="0.25">
      <c r="A236" s="1" t="s">
        <v>157</v>
      </c>
      <c r="B236" s="1" t="s">
        <v>127</v>
      </c>
      <c r="C236" s="1" t="s">
        <v>25</v>
      </c>
      <c r="D236" s="1">
        <v>0</v>
      </c>
      <c r="E236" s="1">
        <v>-40.97</v>
      </c>
      <c r="F236" s="1">
        <v>0</v>
      </c>
      <c r="G236" s="1">
        <v>-676.02599999999995</v>
      </c>
      <c r="H236" s="1">
        <v>0</v>
      </c>
      <c r="I236" s="1">
        <v>0</v>
      </c>
    </row>
    <row r="237" spans="1:9" hidden="1" x14ac:dyDescent="0.25">
      <c r="A237" s="1" t="s">
        <v>157</v>
      </c>
      <c r="B237" s="1" t="s">
        <v>127</v>
      </c>
      <c r="C237" s="1" t="s">
        <v>10</v>
      </c>
      <c r="D237" s="1">
        <v>0</v>
      </c>
      <c r="E237" s="1">
        <v>-40.97</v>
      </c>
      <c r="F237" s="1">
        <v>0</v>
      </c>
      <c r="G237" s="1">
        <v>-676.02599999999995</v>
      </c>
      <c r="H237" s="1">
        <v>0</v>
      </c>
      <c r="I237" s="1">
        <v>-163.88499999999999</v>
      </c>
    </row>
    <row r="238" spans="1:9" hidden="1" x14ac:dyDescent="0.25">
      <c r="A238" s="1" t="s">
        <v>157</v>
      </c>
      <c r="B238" s="1" t="s">
        <v>128</v>
      </c>
      <c r="C238" s="1" t="s">
        <v>25</v>
      </c>
      <c r="D238" s="1">
        <v>0</v>
      </c>
      <c r="E238" s="1">
        <v>0</v>
      </c>
      <c r="F238" s="1">
        <v>87.27</v>
      </c>
      <c r="G238" s="1">
        <v>1727.991</v>
      </c>
      <c r="H238" s="1">
        <v>0</v>
      </c>
      <c r="I238" s="1">
        <v>0</v>
      </c>
    </row>
    <row r="239" spans="1:9" hidden="1" x14ac:dyDescent="0.25">
      <c r="A239" s="1" t="s">
        <v>157</v>
      </c>
      <c r="B239" s="1" t="s">
        <v>128</v>
      </c>
      <c r="C239" s="1" t="s">
        <v>10</v>
      </c>
      <c r="D239" s="1">
        <v>0</v>
      </c>
      <c r="E239" s="1">
        <v>0</v>
      </c>
      <c r="F239" s="1">
        <v>87.27</v>
      </c>
      <c r="G239" s="1">
        <v>1727.991</v>
      </c>
      <c r="H239" s="1">
        <v>349.089</v>
      </c>
      <c r="I239" s="1">
        <v>0</v>
      </c>
    </row>
    <row r="240" spans="1:9" hidden="1" x14ac:dyDescent="0.25">
      <c r="A240" s="1" t="s">
        <v>157</v>
      </c>
      <c r="B240" s="1" t="s">
        <v>129</v>
      </c>
      <c r="C240" s="1" t="s">
        <v>25</v>
      </c>
      <c r="D240" s="1">
        <v>0</v>
      </c>
      <c r="E240" s="1">
        <v>0</v>
      </c>
      <c r="F240" s="1">
        <v>-87.27</v>
      </c>
      <c r="G240" s="1">
        <v>-1727.991</v>
      </c>
      <c r="H240" s="1">
        <v>0</v>
      </c>
      <c r="I240" s="1">
        <v>0</v>
      </c>
    </row>
    <row r="241" spans="1:9" hidden="1" x14ac:dyDescent="0.25">
      <c r="A241" s="1" t="s">
        <v>157</v>
      </c>
      <c r="B241" s="1" t="s">
        <v>129</v>
      </c>
      <c r="C241" s="1" t="s">
        <v>10</v>
      </c>
      <c r="D241" s="1">
        <v>0</v>
      </c>
      <c r="E241" s="1">
        <v>0</v>
      </c>
      <c r="F241" s="1">
        <v>-87.27</v>
      </c>
      <c r="G241" s="1">
        <v>-1727.991</v>
      </c>
      <c r="H241" s="1">
        <v>-349.089</v>
      </c>
      <c r="I241" s="1">
        <v>0</v>
      </c>
    </row>
    <row r="242" spans="1:9" hidden="1" x14ac:dyDescent="0.25">
      <c r="A242" s="1" t="s">
        <v>157</v>
      </c>
      <c r="B242" s="1" t="s">
        <v>130</v>
      </c>
      <c r="C242" s="1" t="s">
        <v>25</v>
      </c>
      <c r="D242" s="1">
        <v>0</v>
      </c>
      <c r="E242" s="1">
        <v>0</v>
      </c>
      <c r="F242" s="1">
        <v>87.27</v>
      </c>
      <c r="G242" s="1">
        <v>1727.991</v>
      </c>
      <c r="H242" s="1">
        <v>0</v>
      </c>
      <c r="I242" s="1">
        <v>0</v>
      </c>
    </row>
    <row r="243" spans="1:9" hidden="1" x14ac:dyDescent="0.25">
      <c r="A243" s="1" t="s">
        <v>157</v>
      </c>
      <c r="B243" s="1" t="s">
        <v>130</v>
      </c>
      <c r="C243" s="1" t="s">
        <v>10</v>
      </c>
      <c r="D243" s="1">
        <v>0</v>
      </c>
      <c r="E243" s="1">
        <v>0</v>
      </c>
      <c r="F243" s="1">
        <v>87.27</v>
      </c>
      <c r="G243" s="1">
        <v>1727.991</v>
      </c>
      <c r="H243" s="1">
        <v>349.089</v>
      </c>
      <c r="I243" s="1">
        <v>0</v>
      </c>
    </row>
    <row r="244" spans="1:9" hidden="1" x14ac:dyDescent="0.25">
      <c r="A244" s="1" t="s">
        <v>157</v>
      </c>
      <c r="B244" s="1" t="s">
        <v>131</v>
      </c>
      <c r="C244" s="1" t="s">
        <v>25</v>
      </c>
      <c r="D244" s="1">
        <v>0</v>
      </c>
      <c r="E244" s="1">
        <v>0</v>
      </c>
      <c r="F244" s="1">
        <v>-87.27</v>
      </c>
      <c r="G244" s="1">
        <v>-1727.991</v>
      </c>
      <c r="H244" s="1">
        <v>0</v>
      </c>
      <c r="I244" s="1">
        <v>0</v>
      </c>
    </row>
    <row r="245" spans="1:9" hidden="1" x14ac:dyDescent="0.25">
      <c r="A245" s="1" t="s">
        <v>157</v>
      </c>
      <c r="B245" s="1" t="s">
        <v>131</v>
      </c>
      <c r="C245" s="1" t="s">
        <v>10</v>
      </c>
      <c r="D245" s="1">
        <v>0</v>
      </c>
      <c r="E245" s="1">
        <v>0</v>
      </c>
      <c r="F245" s="1">
        <v>-87.27</v>
      </c>
      <c r="G245" s="1">
        <v>-1727.991</v>
      </c>
      <c r="H245" s="1">
        <v>-349.089</v>
      </c>
      <c r="I245" s="1">
        <v>0</v>
      </c>
    </row>
    <row r="246" spans="1:9" hidden="1" x14ac:dyDescent="0.25">
      <c r="A246" s="1" t="s">
        <v>157</v>
      </c>
      <c r="B246" s="1" t="s">
        <v>132</v>
      </c>
      <c r="C246" s="1" t="s">
        <v>25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</row>
    <row r="247" spans="1:9" hidden="1" x14ac:dyDescent="0.25">
      <c r="A247" s="1" t="s">
        <v>157</v>
      </c>
      <c r="B247" s="1" t="s">
        <v>132</v>
      </c>
      <c r="C247" s="1" t="s">
        <v>10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</row>
    <row r="248" spans="1:9" hidden="1" x14ac:dyDescent="0.25">
      <c r="A248" s="1" t="s">
        <v>157</v>
      </c>
      <c r="B248" s="1" t="s">
        <v>133</v>
      </c>
      <c r="C248" s="1" t="s">
        <v>25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</row>
    <row r="249" spans="1:9" hidden="1" x14ac:dyDescent="0.25">
      <c r="A249" s="1" t="s">
        <v>157</v>
      </c>
      <c r="B249" s="1" t="s">
        <v>133</v>
      </c>
      <c r="C249" s="1" t="s">
        <v>10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</row>
    <row r="250" spans="1:9" hidden="1" x14ac:dyDescent="0.25">
      <c r="A250" s="1" t="s">
        <v>157</v>
      </c>
      <c r="B250" s="1" t="s">
        <v>134</v>
      </c>
      <c r="C250" s="1" t="s">
        <v>25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</row>
    <row r="251" spans="1:9" hidden="1" x14ac:dyDescent="0.25">
      <c r="A251" s="1" t="s">
        <v>157</v>
      </c>
      <c r="B251" s="1" t="s">
        <v>134</v>
      </c>
      <c r="C251" s="1" t="s">
        <v>10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</row>
    <row r="252" spans="1:9" hidden="1" x14ac:dyDescent="0.25">
      <c r="A252" s="1" t="s">
        <v>157</v>
      </c>
      <c r="B252" s="1" t="s">
        <v>135</v>
      </c>
      <c r="C252" s="1" t="s">
        <v>25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</row>
    <row r="253" spans="1:9" hidden="1" x14ac:dyDescent="0.25">
      <c r="A253" s="1" t="s">
        <v>157</v>
      </c>
      <c r="B253" s="1" t="s">
        <v>135</v>
      </c>
      <c r="C253" s="1" t="s">
        <v>10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</row>
    <row r="254" spans="1:9" hidden="1" x14ac:dyDescent="0.25">
      <c r="A254" s="1" t="s">
        <v>157</v>
      </c>
      <c r="B254" s="1" t="s">
        <v>136</v>
      </c>
      <c r="C254" s="1" t="s">
        <v>25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</row>
    <row r="255" spans="1:9" hidden="1" x14ac:dyDescent="0.25">
      <c r="A255" s="1" t="s">
        <v>157</v>
      </c>
      <c r="B255" s="1" t="s">
        <v>136</v>
      </c>
      <c r="C255" s="1" t="s">
        <v>10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</row>
    <row r="256" spans="1:9" hidden="1" x14ac:dyDescent="0.25">
      <c r="A256" s="1" t="s">
        <v>157</v>
      </c>
      <c r="B256" s="1" t="s">
        <v>137</v>
      </c>
      <c r="C256" s="1" t="s">
        <v>25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</row>
    <row r="257" spans="1:9" hidden="1" x14ac:dyDescent="0.25">
      <c r="A257" s="1" t="s">
        <v>157</v>
      </c>
      <c r="B257" s="1" t="s">
        <v>137</v>
      </c>
      <c r="C257" s="1" t="s">
        <v>10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</row>
    <row r="258" spans="1:9" hidden="1" x14ac:dyDescent="0.25">
      <c r="A258" s="1" t="s">
        <v>157</v>
      </c>
      <c r="B258" s="1" t="s">
        <v>138</v>
      </c>
      <c r="C258" s="1" t="s">
        <v>25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</row>
    <row r="259" spans="1:9" hidden="1" x14ac:dyDescent="0.25">
      <c r="A259" s="1" t="s">
        <v>157</v>
      </c>
      <c r="B259" s="1" t="s">
        <v>138</v>
      </c>
      <c r="C259" s="1" t="s">
        <v>10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</row>
    <row r="260" spans="1:9" hidden="1" x14ac:dyDescent="0.25">
      <c r="A260" s="1" t="s">
        <v>157</v>
      </c>
      <c r="B260" s="1" t="s">
        <v>139</v>
      </c>
      <c r="C260" s="1" t="s">
        <v>25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</row>
    <row r="261" spans="1:9" hidden="1" x14ac:dyDescent="0.25">
      <c r="A261" s="1" t="s">
        <v>157</v>
      </c>
      <c r="B261" s="1" t="s">
        <v>139</v>
      </c>
      <c r="C261" s="1" t="s">
        <v>10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</row>
    <row r="262" spans="1:9" hidden="1" x14ac:dyDescent="0.25">
      <c r="A262" s="1" t="s">
        <v>157</v>
      </c>
      <c r="B262" s="1" t="s">
        <v>140</v>
      </c>
      <c r="C262" s="1" t="s">
        <v>25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</row>
    <row r="263" spans="1:9" hidden="1" x14ac:dyDescent="0.25">
      <c r="A263" s="1" t="s">
        <v>157</v>
      </c>
      <c r="B263" s="1" t="s">
        <v>140</v>
      </c>
      <c r="C263" s="1" t="s">
        <v>10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</row>
    <row r="264" spans="1:9" hidden="1" x14ac:dyDescent="0.25">
      <c r="A264" s="1" t="s">
        <v>157</v>
      </c>
      <c r="B264" s="1" t="s">
        <v>141</v>
      </c>
      <c r="C264" s="1" t="s">
        <v>25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</row>
    <row r="265" spans="1:9" hidden="1" x14ac:dyDescent="0.25">
      <c r="A265" s="1" t="s">
        <v>157</v>
      </c>
      <c r="B265" s="1" t="s">
        <v>141</v>
      </c>
      <c r="C265" s="1" t="s">
        <v>10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</row>
    <row r="266" spans="1:9" hidden="1" x14ac:dyDescent="0.25">
      <c r="A266" s="1" t="s">
        <v>157</v>
      </c>
      <c r="B266" s="1" t="s">
        <v>142</v>
      </c>
      <c r="C266" s="1" t="s">
        <v>25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</row>
    <row r="267" spans="1:9" hidden="1" x14ac:dyDescent="0.25">
      <c r="A267" s="1" t="s">
        <v>157</v>
      </c>
      <c r="B267" s="1" t="s">
        <v>142</v>
      </c>
      <c r="C267" s="1" t="s">
        <v>10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</row>
    <row r="268" spans="1:9" hidden="1" x14ac:dyDescent="0.25">
      <c r="A268" s="1" t="s">
        <v>157</v>
      </c>
      <c r="B268" s="1" t="s">
        <v>143</v>
      </c>
      <c r="C268" s="1" t="s">
        <v>25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</row>
    <row r="269" spans="1:9" hidden="1" x14ac:dyDescent="0.25">
      <c r="A269" s="1" t="s">
        <v>157</v>
      </c>
      <c r="B269" s="1" t="s">
        <v>143</v>
      </c>
      <c r="C269" s="1" t="s">
        <v>10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</row>
    <row r="270" spans="1:9" hidden="1" x14ac:dyDescent="0.25">
      <c r="A270" s="1" t="s">
        <v>157</v>
      </c>
      <c r="B270" s="1" t="s">
        <v>144</v>
      </c>
      <c r="C270" s="1" t="s">
        <v>25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157</v>
      </c>
      <c r="B271" s="1" t="s">
        <v>144</v>
      </c>
      <c r="C271" s="1" t="s">
        <v>10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157</v>
      </c>
      <c r="B272" s="1" t="s">
        <v>145</v>
      </c>
      <c r="C272" s="1" t="s">
        <v>25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</row>
    <row r="273" spans="1:9" hidden="1" x14ac:dyDescent="0.25">
      <c r="A273" s="1" t="s">
        <v>157</v>
      </c>
      <c r="B273" s="1" t="s">
        <v>145</v>
      </c>
      <c r="C273" s="1" t="s">
        <v>10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</row>
    <row r="274" spans="1:9" hidden="1" x14ac:dyDescent="0.25">
      <c r="A274" s="1" t="s">
        <v>157</v>
      </c>
      <c r="B274" s="1" t="s">
        <v>146</v>
      </c>
      <c r="C274" s="1" t="s">
        <v>25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</row>
    <row r="275" spans="1:9" hidden="1" x14ac:dyDescent="0.25">
      <c r="A275" s="1" t="s">
        <v>157</v>
      </c>
      <c r="B275" s="1" t="s">
        <v>146</v>
      </c>
      <c r="C275" s="1" t="s">
        <v>10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</row>
    <row r="276" spans="1:9" hidden="1" x14ac:dyDescent="0.25">
      <c r="A276" s="1" t="s">
        <v>157</v>
      </c>
      <c r="B276" s="1" t="s">
        <v>147</v>
      </c>
      <c r="C276" s="1" t="s">
        <v>25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</row>
    <row r="277" spans="1:9" hidden="1" x14ac:dyDescent="0.25">
      <c r="A277" s="1" t="s">
        <v>157</v>
      </c>
      <c r="B277" s="1" t="s">
        <v>147</v>
      </c>
      <c r="C277" s="1" t="s">
        <v>10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</row>
    <row r="278" spans="1:9" hidden="1" x14ac:dyDescent="0.25">
      <c r="A278" s="1" t="s">
        <v>157</v>
      </c>
      <c r="B278" s="1" t="s">
        <v>159</v>
      </c>
      <c r="C278" s="1" t="s">
        <v>25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</row>
    <row r="279" spans="1:9" hidden="1" x14ac:dyDescent="0.25">
      <c r="A279" s="1" t="s">
        <v>157</v>
      </c>
      <c r="B279" s="1" t="s">
        <v>159</v>
      </c>
      <c r="C279" s="1" t="s">
        <v>10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</row>
    <row r="280" spans="1:9" hidden="1" x14ac:dyDescent="0.25">
      <c r="A280" s="1" t="s">
        <v>157</v>
      </c>
      <c r="B280" s="1" t="s">
        <v>160</v>
      </c>
      <c r="C280" s="1" t="s">
        <v>25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</row>
    <row r="281" spans="1:9" hidden="1" x14ac:dyDescent="0.25">
      <c r="A281" s="1" t="s">
        <v>157</v>
      </c>
      <c r="B281" s="1" t="s">
        <v>160</v>
      </c>
      <c r="C281" s="1" t="s">
        <v>10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</row>
    <row r="282" spans="1:9" hidden="1" x14ac:dyDescent="0.25">
      <c r="A282" s="1" t="s">
        <v>157</v>
      </c>
      <c r="B282" s="1" t="s">
        <v>161</v>
      </c>
      <c r="C282" s="1" t="s">
        <v>25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</row>
    <row r="283" spans="1:9" hidden="1" x14ac:dyDescent="0.25">
      <c r="A283" s="1" t="s">
        <v>157</v>
      </c>
      <c r="B283" s="1" t="s">
        <v>161</v>
      </c>
      <c r="C283" s="1" t="s">
        <v>10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</row>
    <row r="284" spans="1:9" hidden="1" x14ac:dyDescent="0.25">
      <c r="A284" s="1" t="s">
        <v>157</v>
      </c>
      <c r="B284" s="1" t="s">
        <v>162</v>
      </c>
      <c r="C284" s="1" t="s">
        <v>25</v>
      </c>
      <c r="D284" s="1">
        <v>0</v>
      </c>
      <c r="E284" s="1">
        <v>-253.17</v>
      </c>
      <c r="F284" s="1">
        <v>0</v>
      </c>
      <c r="G284" s="1">
        <v>4177.384</v>
      </c>
      <c r="H284" s="1">
        <v>0</v>
      </c>
      <c r="I284" s="1">
        <v>0</v>
      </c>
    </row>
    <row r="285" spans="1:9" hidden="1" x14ac:dyDescent="0.25">
      <c r="A285" s="1" t="s">
        <v>157</v>
      </c>
      <c r="B285" s="1" t="s">
        <v>162</v>
      </c>
      <c r="C285" s="1" t="s">
        <v>10</v>
      </c>
      <c r="D285" s="1">
        <v>0</v>
      </c>
      <c r="E285" s="1">
        <v>-253.17</v>
      </c>
      <c r="F285" s="1">
        <v>0</v>
      </c>
      <c r="G285" s="1">
        <v>4177.384</v>
      </c>
      <c r="H285" s="1">
        <v>0</v>
      </c>
      <c r="I285" s="1">
        <v>-1012.699</v>
      </c>
    </row>
    <row r="286" spans="1:9" hidden="1" x14ac:dyDescent="0.25">
      <c r="A286" s="1" t="s">
        <v>157</v>
      </c>
      <c r="B286" s="1" t="s">
        <v>163</v>
      </c>
      <c r="C286" s="1" t="s">
        <v>25</v>
      </c>
      <c r="D286" s="1">
        <v>0</v>
      </c>
      <c r="E286" s="1">
        <v>-253.17</v>
      </c>
      <c r="F286" s="1">
        <v>0</v>
      </c>
      <c r="G286" s="1">
        <v>3417.86</v>
      </c>
      <c r="H286" s="1">
        <v>0</v>
      </c>
      <c r="I286" s="1">
        <v>0</v>
      </c>
    </row>
    <row r="287" spans="1:9" hidden="1" x14ac:dyDescent="0.25">
      <c r="A287" s="1" t="s">
        <v>157</v>
      </c>
      <c r="B287" s="1" t="s">
        <v>163</v>
      </c>
      <c r="C287" s="1" t="s">
        <v>10</v>
      </c>
      <c r="D287" s="1">
        <v>0</v>
      </c>
      <c r="E287" s="1">
        <v>-253.17</v>
      </c>
      <c r="F287" s="1">
        <v>0</v>
      </c>
      <c r="G287" s="1">
        <v>3417.86</v>
      </c>
      <c r="H287" s="1">
        <v>0</v>
      </c>
      <c r="I287" s="1">
        <v>-1012.699</v>
      </c>
    </row>
    <row r="288" spans="1:9" hidden="1" x14ac:dyDescent="0.25">
      <c r="A288" s="1" t="s">
        <v>157</v>
      </c>
      <c r="B288" s="1" t="s">
        <v>164</v>
      </c>
      <c r="C288" s="1" t="s">
        <v>25</v>
      </c>
      <c r="D288" s="1">
        <v>0</v>
      </c>
      <c r="E288" s="1">
        <v>253.17</v>
      </c>
      <c r="F288" s="1">
        <v>0</v>
      </c>
      <c r="G288" s="1">
        <v>-4177.384</v>
      </c>
      <c r="H288" s="1">
        <v>0</v>
      </c>
      <c r="I288" s="1">
        <v>0</v>
      </c>
    </row>
    <row r="289" spans="1:9" hidden="1" x14ac:dyDescent="0.25">
      <c r="A289" s="1" t="s">
        <v>157</v>
      </c>
      <c r="B289" s="1" t="s">
        <v>164</v>
      </c>
      <c r="C289" s="1" t="s">
        <v>10</v>
      </c>
      <c r="D289" s="1">
        <v>0</v>
      </c>
      <c r="E289" s="1">
        <v>253.17</v>
      </c>
      <c r="F289" s="1">
        <v>0</v>
      </c>
      <c r="G289" s="1">
        <v>-4177.384</v>
      </c>
      <c r="H289" s="1">
        <v>0</v>
      </c>
      <c r="I289" s="1">
        <v>1012.699</v>
      </c>
    </row>
    <row r="290" spans="1:9" hidden="1" x14ac:dyDescent="0.25">
      <c r="A290" s="1" t="s">
        <v>157</v>
      </c>
      <c r="B290" s="1" t="s">
        <v>165</v>
      </c>
      <c r="C290" s="1" t="s">
        <v>25</v>
      </c>
      <c r="D290" s="1">
        <v>0</v>
      </c>
      <c r="E290" s="1">
        <v>253.17</v>
      </c>
      <c r="F290" s="1">
        <v>0</v>
      </c>
      <c r="G290" s="1">
        <v>-3417.86</v>
      </c>
      <c r="H290" s="1">
        <v>0</v>
      </c>
      <c r="I290" s="1">
        <v>0</v>
      </c>
    </row>
    <row r="291" spans="1:9" hidden="1" x14ac:dyDescent="0.25">
      <c r="A291" s="1" t="s">
        <v>157</v>
      </c>
      <c r="B291" s="1" t="s">
        <v>165</v>
      </c>
      <c r="C291" s="1" t="s">
        <v>10</v>
      </c>
      <c r="D291" s="1">
        <v>0</v>
      </c>
      <c r="E291" s="1">
        <v>253.17</v>
      </c>
      <c r="F291" s="1">
        <v>0</v>
      </c>
      <c r="G291" s="1">
        <v>-3417.86</v>
      </c>
      <c r="H291" s="1">
        <v>0</v>
      </c>
      <c r="I291" s="1">
        <v>1012.699</v>
      </c>
    </row>
    <row r="292" spans="1:9" hidden="1" x14ac:dyDescent="0.25">
      <c r="A292" s="1" t="s">
        <v>157</v>
      </c>
      <c r="B292" s="1" t="s">
        <v>166</v>
      </c>
      <c r="C292" s="1" t="s">
        <v>25</v>
      </c>
      <c r="D292" s="1">
        <v>0</v>
      </c>
      <c r="E292" s="1">
        <v>0</v>
      </c>
      <c r="F292" s="1">
        <v>-306.02999999999997</v>
      </c>
      <c r="G292" s="1">
        <v>-6059.3280000000004</v>
      </c>
      <c r="H292" s="1">
        <v>0</v>
      </c>
      <c r="I292" s="1">
        <v>0</v>
      </c>
    </row>
    <row r="293" spans="1:9" hidden="1" x14ac:dyDescent="0.25">
      <c r="A293" s="1" t="s">
        <v>157</v>
      </c>
      <c r="B293" s="1" t="s">
        <v>166</v>
      </c>
      <c r="C293" s="1" t="s">
        <v>10</v>
      </c>
      <c r="D293" s="1">
        <v>0</v>
      </c>
      <c r="E293" s="1">
        <v>0</v>
      </c>
      <c r="F293" s="1">
        <v>-306.02999999999997</v>
      </c>
      <c r="G293" s="1">
        <v>-6059.3280000000004</v>
      </c>
      <c r="H293" s="1">
        <v>1224.107</v>
      </c>
      <c r="I293" s="1">
        <v>0</v>
      </c>
    </row>
    <row r="294" spans="1:9" hidden="1" x14ac:dyDescent="0.25">
      <c r="A294" s="1" t="s">
        <v>157</v>
      </c>
      <c r="B294" s="1" t="s">
        <v>167</v>
      </c>
      <c r="C294" s="1" t="s">
        <v>25</v>
      </c>
      <c r="D294" s="1">
        <v>0</v>
      </c>
      <c r="E294" s="1">
        <v>0</v>
      </c>
      <c r="F294" s="1">
        <v>-306.02999999999997</v>
      </c>
      <c r="G294" s="1">
        <v>-4957.6319999999996</v>
      </c>
      <c r="H294" s="1">
        <v>0</v>
      </c>
      <c r="I294" s="1">
        <v>0</v>
      </c>
    </row>
    <row r="295" spans="1:9" hidden="1" x14ac:dyDescent="0.25">
      <c r="A295" s="1" t="s">
        <v>157</v>
      </c>
      <c r="B295" s="1" t="s">
        <v>167</v>
      </c>
      <c r="C295" s="1" t="s">
        <v>10</v>
      </c>
      <c r="D295" s="1">
        <v>0</v>
      </c>
      <c r="E295" s="1">
        <v>0</v>
      </c>
      <c r="F295" s="1">
        <v>-306.02999999999997</v>
      </c>
      <c r="G295" s="1">
        <v>-4957.6319999999996</v>
      </c>
      <c r="H295" s="1">
        <v>1224.107</v>
      </c>
      <c r="I295" s="1">
        <v>0</v>
      </c>
    </row>
    <row r="296" spans="1:9" hidden="1" x14ac:dyDescent="0.25">
      <c r="A296" s="1" t="s">
        <v>157</v>
      </c>
      <c r="B296" s="1" t="s">
        <v>168</v>
      </c>
      <c r="C296" s="1" t="s">
        <v>25</v>
      </c>
      <c r="D296" s="1">
        <v>0</v>
      </c>
      <c r="E296" s="1">
        <v>0</v>
      </c>
      <c r="F296" s="1">
        <v>306.02999999999997</v>
      </c>
      <c r="G296" s="1">
        <v>6059.3280000000004</v>
      </c>
      <c r="H296" s="1">
        <v>0</v>
      </c>
      <c r="I296" s="1">
        <v>0</v>
      </c>
    </row>
    <row r="297" spans="1:9" hidden="1" x14ac:dyDescent="0.25">
      <c r="A297" s="1" t="s">
        <v>157</v>
      </c>
      <c r="B297" s="1" t="s">
        <v>168</v>
      </c>
      <c r="C297" s="1" t="s">
        <v>10</v>
      </c>
      <c r="D297" s="1">
        <v>0</v>
      </c>
      <c r="E297" s="1">
        <v>0</v>
      </c>
      <c r="F297" s="1">
        <v>306.02999999999997</v>
      </c>
      <c r="G297" s="1">
        <v>6059.3280000000004</v>
      </c>
      <c r="H297" s="1">
        <v>-1224.107</v>
      </c>
      <c r="I297" s="1">
        <v>0</v>
      </c>
    </row>
    <row r="298" spans="1:9" hidden="1" x14ac:dyDescent="0.25">
      <c r="A298" s="1" t="s">
        <v>157</v>
      </c>
      <c r="B298" s="1" t="s">
        <v>169</v>
      </c>
      <c r="C298" s="1" t="s">
        <v>25</v>
      </c>
      <c r="D298" s="1">
        <v>0</v>
      </c>
      <c r="E298" s="1">
        <v>0</v>
      </c>
      <c r="F298" s="1">
        <v>306.02999999999997</v>
      </c>
      <c r="G298" s="1">
        <v>4957.6319999999996</v>
      </c>
      <c r="H298" s="1">
        <v>0</v>
      </c>
      <c r="I298" s="1">
        <v>0</v>
      </c>
    </row>
    <row r="299" spans="1:9" hidden="1" x14ac:dyDescent="0.25">
      <c r="A299" s="1" t="s">
        <v>157</v>
      </c>
      <c r="B299" s="1" t="s">
        <v>169</v>
      </c>
      <c r="C299" s="1" t="s">
        <v>10</v>
      </c>
      <c r="D299" s="1">
        <v>0</v>
      </c>
      <c r="E299" s="1">
        <v>0</v>
      </c>
      <c r="F299" s="1">
        <v>306.02999999999997</v>
      </c>
      <c r="G299" s="1">
        <v>4957.6319999999996</v>
      </c>
      <c r="H299" s="1">
        <v>-1224.107</v>
      </c>
      <c r="I299" s="1">
        <v>0</v>
      </c>
    </row>
    <row r="300" spans="1:9" hidden="1" x14ac:dyDescent="0.25">
      <c r="A300" s="1" t="s">
        <v>157</v>
      </c>
      <c r="B300" s="1" t="s">
        <v>170</v>
      </c>
      <c r="C300" s="1" t="s">
        <v>25</v>
      </c>
      <c r="D300" s="1">
        <v>0</v>
      </c>
      <c r="E300" s="1">
        <v>-253.17</v>
      </c>
      <c r="F300" s="1">
        <v>0</v>
      </c>
      <c r="G300" s="1">
        <v>4177.384</v>
      </c>
      <c r="H300" s="1">
        <v>0</v>
      </c>
      <c r="I300" s="1">
        <v>0</v>
      </c>
    </row>
    <row r="301" spans="1:9" hidden="1" x14ac:dyDescent="0.25">
      <c r="A301" s="1" t="s">
        <v>157</v>
      </c>
      <c r="B301" s="1" t="s">
        <v>170</v>
      </c>
      <c r="C301" s="1" t="s">
        <v>10</v>
      </c>
      <c r="D301" s="1">
        <v>0</v>
      </c>
      <c r="E301" s="1">
        <v>-253.17</v>
      </c>
      <c r="F301" s="1">
        <v>0</v>
      </c>
      <c r="G301" s="1">
        <v>4177.384</v>
      </c>
      <c r="H301" s="1">
        <v>0</v>
      </c>
      <c r="I301" s="1">
        <v>-1012.699</v>
      </c>
    </row>
    <row r="302" spans="1:9" hidden="1" x14ac:dyDescent="0.25">
      <c r="A302" s="1" t="s">
        <v>157</v>
      </c>
      <c r="B302" s="1" t="s">
        <v>171</v>
      </c>
      <c r="C302" s="1" t="s">
        <v>25</v>
      </c>
      <c r="D302" s="1">
        <v>0</v>
      </c>
      <c r="E302" s="1">
        <v>-253.17</v>
      </c>
      <c r="F302" s="1">
        <v>0</v>
      </c>
      <c r="G302" s="1">
        <v>3417.86</v>
      </c>
      <c r="H302" s="1">
        <v>0</v>
      </c>
      <c r="I302" s="1">
        <v>0</v>
      </c>
    </row>
    <row r="303" spans="1:9" hidden="1" x14ac:dyDescent="0.25">
      <c r="A303" s="1" t="s">
        <v>157</v>
      </c>
      <c r="B303" s="1" t="s">
        <v>171</v>
      </c>
      <c r="C303" s="1" t="s">
        <v>10</v>
      </c>
      <c r="D303" s="1">
        <v>0</v>
      </c>
      <c r="E303" s="1">
        <v>-253.17</v>
      </c>
      <c r="F303" s="1">
        <v>0</v>
      </c>
      <c r="G303" s="1">
        <v>3417.86</v>
      </c>
      <c r="H303" s="1">
        <v>0</v>
      </c>
      <c r="I303" s="1">
        <v>-1012.699</v>
      </c>
    </row>
    <row r="304" spans="1:9" hidden="1" x14ac:dyDescent="0.25">
      <c r="A304" s="1" t="s">
        <v>157</v>
      </c>
      <c r="B304" s="1" t="s">
        <v>172</v>
      </c>
      <c r="C304" s="1" t="s">
        <v>25</v>
      </c>
      <c r="D304" s="1">
        <v>0</v>
      </c>
      <c r="E304" s="1">
        <v>253.17</v>
      </c>
      <c r="F304" s="1">
        <v>0</v>
      </c>
      <c r="G304" s="1">
        <v>-4177.384</v>
      </c>
      <c r="H304" s="1">
        <v>0</v>
      </c>
      <c r="I304" s="1">
        <v>0</v>
      </c>
    </row>
    <row r="305" spans="1:9" hidden="1" x14ac:dyDescent="0.25">
      <c r="A305" s="1" t="s">
        <v>157</v>
      </c>
      <c r="B305" s="1" t="s">
        <v>172</v>
      </c>
      <c r="C305" s="1" t="s">
        <v>10</v>
      </c>
      <c r="D305" s="1">
        <v>0</v>
      </c>
      <c r="E305" s="1">
        <v>253.17</v>
      </c>
      <c r="F305" s="1">
        <v>0</v>
      </c>
      <c r="G305" s="1">
        <v>-4177.384</v>
      </c>
      <c r="H305" s="1">
        <v>0</v>
      </c>
      <c r="I305" s="1">
        <v>1012.699</v>
      </c>
    </row>
    <row r="306" spans="1:9" hidden="1" x14ac:dyDescent="0.25">
      <c r="A306" s="1" t="s">
        <v>157</v>
      </c>
      <c r="B306" s="1" t="s">
        <v>173</v>
      </c>
      <c r="C306" s="1" t="s">
        <v>25</v>
      </c>
      <c r="D306" s="1">
        <v>0</v>
      </c>
      <c r="E306" s="1">
        <v>253.17</v>
      </c>
      <c r="F306" s="1">
        <v>0</v>
      </c>
      <c r="G306" s="1">
        <v>-3417.86</v>
      </c>
      <c r="H306" s="1">
        <v>0</v>
      </c>
      <c r="I306" s="1">
        <v>0</v>
      </c>
    </row>
    <row r="307" spans="1:9" hidden="1" x14ac:dyDescent="0.25">
      <c r="A307" s="1" t="s">
        <v>157</v>
      </c>
      <c r="B307" s="1" t="s">
        <v>173</v>
      </c>
      <c r="C307" s="1" t="s">
        <v>10</v>
      </c>
      <c r="D307" s="1">
        <v>0</v>
      </c>
      <c r="E307" s="1">
        <v>253.17</v>
      </c>
      <c r="F307" s="1">
        <v>0</v>
      </c>
      <c r="G307" s="1">
        <v>-3417.86</v>
      </c>
      <c r="H307" s="1">
        <v>0</v>
      </c>
      <c r="I307" s="1">
        <v>1012.699</v>
      </c>
    </row>
    <row r="308" spans="1:9" hidden="1" x14ac:dyDescent="0.25">
      <c r="A308" s="1" t="s">
        <v>157</v>
      </c>
      <c r="B308" s="1" t="s">
        <v>174</v>
      </c>
      <c r="C308" s="1" t="s">
        <v>25</v>
      </c>
      <c r="D308" s="1">
        <v>0</v>
      </c>
      <c r="E308" s="1">
        <v>0</v>
      </c>
      <c r="F308" s="1">
        <v>-306.02999999999997</v>
      </c>
      <c r="G308" s="1">
        <v>-6059.3280000000004</v>
      </c>
      <c r="H308" s="1">
        <v>0</v>
      </c>
      <c r="I308" s="1">
        <v>0</v>
      </c>
    </row>
    <row r="309" spans="1:9" hidden="1" x14ac:dyDescent="0.25">
      <c r="A309" s="1" t="s">
        <v>157</v>
      </c>
      <c r="B309" s="1" t="s">
        <v>174</v>
      </c>
      <c r="C309" s="1" t="s">
        <v>10</v>
      </c>
      <c r="D309" s="1">
        <v>0</v>
      </c>
      <c r="E309" s="1">
        <v>0</v>
      </c>
      <c r="F309" s="1">
        <v>-306.02999999999997</v>
      </c>
      <c r="G309" s="1">
        <v>-6059.3280000000004</v>
      </c>
      <c r="H309" s="1">
        <v>1224.107</v>
      </c>
      <c r="I309" s="1">
        <v>0</v>
      </c>
    </row>
    <row r="310" spans="1:9" hidden="1" x14ac:dyDescent="0.25">
      <c r="A310" s="1" t="s">
        <v>157</v>
      </c>
      <c r="B310" s="1" t="s">
        <v>175</v>
      </c>
      <c r="C310" s="1" t="s">
        <v>25</v>
      </c>
      <c r="D310" s="1">
        <v>0</v>
      </c>
      <c r="E310" s="1">
        <v>0</v>
      </c>
      <c r="F310" s="1">
        <v>-306.02999999999997</v>
      </c>
      <c r="G310" s="1">
        <v>-4957.6319999999996</v>
      </c>
      <c r="H310" s="1">
        <v>0</v>
      </c>
      <c r="I310" s="1">
        <v>0</v>
      </c>
    </row>
    <row r="311" spans="1:9" hidden="1" x14ac:dyDescent="0.25">
      <c r="A311" s="1" t="s">
        <v>157</v>
      </c>
      <c r="B311" s="1" t="s">
        <v>175</v>
      </c>
      <c r="C311" s="1" t="s">
        <v>10</v>
      </c>
      <c r="D311" s="1">
        <v>0</v>
      </c>
      <c r="E311" s="1">
        <v>0</v>
      </c>
      <c r="F311" s="1">
        <v>-306.02999999999997</v>
      </c>
      <c r="G311" s="1">
        <v>-4957.6319999999996</v>
      </c>
      <c r="H311" s="1">
        <v>1224.107</v>
      </c>
      <c r="I311" s="1">
        <v>0</v>
      </c>
    </row>
    <row r="312" spans="1:9" hidden="1" x14ac:dyDescent="0.25">
      <c r="A312" s="1" t="s">
        <v>157</v>
      </c>
      <c r="B312" s="1" t="s">
        <v>176</v>
      </c>
      <c r="C312" s="1" t="s">
        <v>25</v>
      </c>
      <c r="D312" s="1">
        <v>0</v>
      </c>
      <c r="E312" s="1">
        <v>0</v>
      </c>
      <c r="F312" s="1">
        <v>306.02999999999997</v>
      </c>
      <c r="G312" s="1">
        <v>6059.3280000000004</v>
      </c>
      <c r="H312" s="1">
        <v>0</v>
      </c>
      <c r="I312" s="1">
        <v>0</v>
      </c>
    </row>
    <row r="313" spans="1:9" hidden="1" x14ac:dyDescent="0.25">
      <c r="A313" s="1" t="s">
        <v>157</v>
      </c>
      <c r="B313" s="1" t="s">
        <v>176</v>
      </c>
      <c r="C313" s="1" t="s">
        <v>10</v>
      </c>
      <c r="D313" s="1">
        <v>0</v>
      </c>
      <c r="E313" s="1">
        <v>0</v>
      </c>
      <c r="F313" s="1">
        <v>306.02999999999997</v>
      </c>
      <c r="G313" s="1">
        <v>6059.3280000000004</v>
      </c>
      <c r="H313" s="1">
        <v>-1224.107</v>
      </c>
      <c r="I313" s="1">
        <v>0</v>
      </c>
    </row>
    <row r="314" spans="1:9" hidden="1" x14ac:dyDescent="0.25">
      <c r="A314" s="1" t="s">
        <v>157</v>
      </c>
      <c r="B314" s="1" t="s">
        <v>177</v>
      </c>
      <c r="C314" s="1" t="s">
        <v>25</v>
      </c>
      <c r="D314" s="1">
        <v>0</v>
      </c>
      <c r="E314" s="1">
        <v>0</v>
      </c>
      <c r="F314" s="1">
        <v>306.02999999999997</v>
      </c>
      <c r="G314" s="1">
        <v>4957.6319999999996</v>
      </c>
      <c r="H314" s="1">
        <v>0</v>
      </c>
      <c r="I314" s="1">
        <v>0</v>
      </c>
    </row>
    <row r="315" spans="1:9" hidden="1" x14ac:dyDescent="0.25">
      <c r="A315" s="1" t="s">
        <v>157</v>
      </c>
      <c r="B315" s="1" t="s">
        <v>177</v>
      </c>
      <c r="C315" s="1" t="s">
        <v>10</v>
      </c>
      <c r="D315" s="1">
        <v>0</v>
      </c>
      <c r="E315" s="1">
        <v>0</v>
      </c>
      <c r="F315" s="1">
        <v>306.02999999999997</v>
      </c>
      <c r="G315" s="1">
        <v>4957.6319999999996</v>
      </c>
      <c r="H315" s="1">
        <v>-1224.107</v>
      </c>
      <c r="I315" s="1">
        <v>0</v>
      </c>
    </row>
    <row r="316" spans="1:9" hidden="1" x14ac:dyDescent="0.25">
      <c r="A316" s="1" t="s">
        <v>157</v>
      </c>
      <c r="B316" s="1" t="s">
        <v>178</v>
      </c>
      <c r="C316" s="1" t="s">
        <v>25</v>
      </c>
      <c r="D316" s="1">
        <v>0</v>
      </c>
      <c r="E316" s="1">
        <v>-75.95</v>
      </c>
      <c r="F316" s="1">
        <v>0</v>
      </c>
      <c r="G316" s="1">
        <v>1253.2149999999999</v>
      </c>
      <c r="H316" s="1">
        <v>0</v>
      </c>
      <c r="I316" s="1">
        <v>0</v>
      </c>
    </row>
    <row r="317" spans="1:9" hidden="1" x14ac:dyDescent="0.25">
      <c r="A317" s="1" t="s">
        <v>157</v>
      </c>
      <c r="B317" s="1" t="s">
        <v>178</v>
      </c>
      <c r="C317" s="1" t="s">
        <v>10</v>
      </c>
      <c r="D317" s="1">
        <v>0</v>
      </c>
      <c r="E317" s="1">
        <v>-75.95</v>
      </c>
      <c r="F317" s="1">
        <v>0</v>
      </c>
      <c r="G317" s="1">
        <v>1253.2149999999999</v>
      </c>
      <c r="H317" s="1">
        <v>0</v>
      </c>
      <c r="I317" s="1">
        <v>-303.81</v>
      </c>
    </row>
    <row r="318" spans="1:9" hidden="1" x14ac:dyDescent="0.25">
      <c r="A318" s="1" t="s">
        <v>157</v>
      </c>
      <c r="B318" s="1" t="s">
        <v>179</v>
      </c>
      <c r="C318" s="1" t="s">
        <v>25</v>
      </c>
      <c r="D318" s="1">
        <v>0</v>
      </c>
      <c r="E318" s="1">
        <v>-75.95</v>
      </c>
      <c r="F318" s="1">
        <v>0</v>
      </c>
      <c r="G318" s="1">
        <v>1025.3579999999999</v>
      </c>
      <c r="H318" s="1">
        <v>0</v>
      </c>
      <c r="I318" s="1">
        <v>0</v>
      </c>
    </row>
    <row r="319" spans="1:9" hidden="1" x14ac:dyDescent="0.25">
      <c r="A319" s="1" t="s">
        <v>157</v>
      </c>
      <c r="B319" s="1" t="s">
        <v>179</v>
      </c>
      <c r="C319" s="1" t="s">
        <v>10</v>
      </c>
      <c r="D319" s="1">
        <v>0</v>
      </c>
      <c r="E319" s="1">
        <v>-75.95</v>
      </c>
      <c r="F319" s="1">
        <v>0</v>
      </c>
      <c r="G319" s="1">
        <v>1025.3579999999999</v>
      </c>
      <c r="H319" s="1">
        <v>0</v>
      </c>
      <c r="I319" s="1">
        <v>-303.81</v>
      </c>
    </row>
    <row r="320" spans="1:9" hidden="1" x14ac:dyDescent="0.25">
      <c r="A320" s="1" t="s">
        <v>157</v>
      </c>
      <c r="B320" s="1" t="s">
        <v>180</v>
      </c>
      <c r="C320" s="1" t="s">
        <v>25</v>
      </c>
      <c r="D320" s="1">
        <v>0</v>
      </c>
      <c r="E320" s="1">
        <v>75.95</v>
      </c>
      <c r="F320" s="1">
        <v>0</v>
      </c>
      <c r="G320" s="1">
        <v>-1253.2149999999999</v>
      </c>
      <c r="H320" s="1">
        <v>0</v>
      </c>
      <c r="I320" s="1">
        <v>0</v>
      </c>
    </row>
    <row r="321" spans="1:9" hidden="1" x14ac:dyDescent="0.25">
      <c r="A321" s="1" t="s">
        <v>157</v>
      </c>
      <c r="B321" s="1" t="s">
        <v>180</v>
      </c>
      <c r="C321" s="1" t="s">
        <v>10</v>
      </c>
      <c r="D321" s="1">
        <v>0</v>
      </c>
      <c r="E321" s="1">
        <v>75.95</v>
      </c>
      <c r="F321" s="1">
        <v>0</v>
      </c>
      <c r="G321" s="1">
        <v>-1253.2149999999999</v>
      </c>
      <c r="H321" s="1">
        <v>0</v>
      </c>
      <c r="I321" s="1">
        <v>303.81</v>
      </c>
    </row>
    <row r="322" spans="1:9" hidden="1" x14ac:dyDescent="0.25">
      <c r="A322" s="1" t="s">
        <v>157</v>
      </c>
      <c r="B322" s="1" t="s">
        <v>181</v>
      </c>
      <c r="C322" s="1" t="s">
        <v>25</v>
      </c>
      <c r="D322" s="1">
        <v>0</v>
      </c>
      <c r="E322" s="1">
        <v>75.95</v>
      </c>
      <c r="F322" s="1">
        <v>0</v>
      </c>
      <c r="G322" s="1">
        <v>-1025.3579999999999</v>
      </c>
      <c r="H322" s="1">
        <v>0</v>
      </c>
      <c r="I322" s="1">
        <v>0</v>
      </c>
    </row>
    <row r="323" spans="1:9" hidden="1" x14ac:dyDescent="0.25">
      <c r="A323" s="1" t="s">
        <v>157</v>
      </c>
      <c r="B323" s="1" t="s">
        <v>181</v>
      </c>
      <c r="C323" s="1" t="s">
        <v>10</v>
      </c>
      <c r="D323" s="1">
        <v>0</v>
      </c>
      <c r="E323" s="1">
        <v>75.95</v>
      </c>
      <c r="F323" s="1">
        <v>0</v>
      </c>
      <c r="G323" s="1">
        <v>-1025.3579999999999</v>
      </c>
      <c r="H323" s="1">
        <v>0</v>
      </c>
      <c r="I323" s="1">
        <v>303.81</v>
      </c>
    </row>
    <row r="324" spans="1:9" hidden="1" x14ac:dyDescent="0.25">
      <c r="A324" s="1" t="s">
        <v>157</v>
      </c>
      <c r="B324" s="1" t="s">
        <v>182</v>
      </c>
      <c r="C324" s="1" t="s">
        <v>25</v>
      </c>
      <c r="D324" s="1">
        <v>0</v>
      </c>
      <c r="E324" s="1">
        <v>0</v>
      </c>
      <c r="F324" s="1">
        <v>-91.81</v>
      </c>
      <c r="G324" s="1">
        <v>-1817.798</v>
      </c>
      <c r="H324" s="1">
        <v>0</v>
      </c>
      <c r="I324" s="1">
        <v>0</v>
      </c>
    </row>
    <row r="325" spans="1:9" hidden="1" x14ac:dyDescent="0.25">
      <c r="A325" s="1" t="s">
        <v>157</v>
      </c>
      <c r="B325" s="1" t="s">
        <v>182</v>
      </c>
      <c r="C325" s="1" t="s">
        <v>10</v>
      </c>
      <c r="D325" s="1">
        <v>0</v>
      </c>
      <c r="E325" s="1">
        <v>0</v>
      </c>
      <c r="F325" s="1">
        <v>-91.81</v>
      </c>
      <c r="G325" s="1">
        <v>-1817.798</v>
      </c>
      <c r="H325" s="1">
        <v>367.23200000000003</v>
      </c>
      <c r="I325" s="1">
        <v>0</v>
      </c>
    </row>
    <row r="326" spans="1:9" hidden="1" x14ac:dyDescent="0.25">
      <c r="A326" s="1" t="s">
        <v>157</v>
      </c>
      <c r="B326" s="1" t="s">
        <v>183</v>
      </c>
      <c r="C326" s="1" t="s">
        <v>25</v>
      </c>
      <c r="D326" s="1">
        <v>0</v>
      </c>
      <c r="E326" s="1">
        <v>0</v>
      </c>
      <c r="F326" s="1">
        <v>-91.81</v>
      </c>
      <c r="G326" s="1">
        <v>-1487.29</v>
      </c>
      <c r="H326" s="1">
        <v>0</v>
      </c>
      <c r="I326" s="1">
        <v>0</v>
      </c>
    </row>
    <row r="327" spans="1:9" hidden="1" x14ac:dyDescent="0.25">
      <c r="A327" s="1" t="s">
        <v>157</v>
      </c>
      <c r="B327" s="1" t="s">
        <v>183</v>
      </c>
      <c r="C327" s="1" t="s">
        <v>10</v>
      </c>
      <c r="D327" s="1">
        <v>0</v>
      </c>
      <c r="E327" s="1">
        <v>0</v>
      </c>
      <c r="F327" s="1">
        <v>-91.81</v>
      </c>
      <c r="G327" s="1">
        <v>-1487.29</v>
      </c>
      <c r="H327" s="1">
        <v>367.23200000000003</v>
      </c>
      <c r="I327" s="1">
        <v>0</v>
      </c>
    </row>
    <row r="328" spans="1:9" hidden="1" x14ac:dyDescent="0.25">
      <c r="A328" s="1" t="s">
        <v>157</v>
      </c>
      <c r="B328" s="1" t="s">
        <v>184</v>
      </c>
      <c r="C328" s="1" t="s">
        <v>25</v>
      </c>
      <c r="D328" s="1">
        <v>0</v>
      </c>
      <c r="E328" s="1">
        <v>0</v>
      </c>
      <c r="F328" s="1">
        <v>91.81</v>
      </c>
      <c r="G328" s="1">
        <v>1817.798</v>
      </c>
      <c r="H328" s="1">
        <v>0</v>
      </c>
      <c r="I328" s="1">
        <v>0</v>
      </c>
    </row>
    <row r="329" spans="1:9" hidden="1" x14ac:dyDescent="0.25">
      <c r="A329" s="1" t="s">
        <v>157</v>
      </c>
      <c r="B329" s="1" t="s">
        <v>184</v>
      </c>
      <c r="C329" s="1" t="s">
        <v>10</v>
      </c>
      <c r="D329" s="1">
        <v>0</v>
      </c>
      <c r="E329" s="1">
        <v>0</v>
      </c>
      <c r="F329" s="1">
        <v>91.81</v>
      </c>
      <c r="G329" s="1">
        <v>1817.798</v>
      </c>
      <c r="H329" s="1">
        <v>-367.23200000000003</v>
      </c>
      <c r="I329" s="1">
        <v>0</v>
      </c>
    </row>
    <row r="330" spans="1:9" hidden="1" x14ac:dyDescent="0.25">
      <c r="A330" s="1" t="s">
        <v>157</v>
      </c>
      <c r="B330" s="1" t="s">
        <v>185</v>
      </c>
      <c r="C330" s="1" t="s">
        <v>25</v>
      </c>
      <c r="D330" s="1">
        <v>0</v>
      </c>
      <c r="E330" s="1">
        <v>0</v>
      </c>
      <c r="F330" s="1">
        <v>91.81</v>
      </c>
      <c r="G330" s="1">
        <v>1487.29</v>
      </c>
      <c r="H330" s="1">
        <v>0</v>
      </c>
      <c r="I330" s="1">
        <v>0</v>
      </c>
    </row>
    <row r="331" spans="1:9" hidden="1" x14ac:dyDescent="0.25">
      <c r="A331" s="1" t="s">
        <v>157</v>
      </c>
      <c r="B331" s="1" t="s">
        <v>185</v>
      </c>
      <c r="C331" s="1" t="s">
        <v>10</v>
      </c>
      <c r="D331" s="1">
        <v>0</v>
      </c>
      <c r="E331" s="1">
        <v>0</v>
      </c>
      <c r="F331" s="1">
        <v>91.81</v>
      </c>
      <c r="G331" s="1">
        <v>1487.29</v>
      </c>
      <c r="H331" s="1">
        <v>-367.23200000000003</v>
      </c>
      <c r="I331" s="1">
        <v>0</v>
      </c>
    </row>
    <row r="332" spans="1:9" hidden="1" x14ac:dyDescent="0.25">
      <c r="A332" s="1" t="s">
        <v>157</v>
      </c>
      <c r="B332" s="1" t="s">
        <v>186</v>
      </c>
      <c r="C332" s="1" t="s">
        <v>25</v>
      </c>
      <c r="D332" s="1">
        <v>0</v>
      </c>
      <c r="E332" s="1">
        <v>-75.95</v>
      </c>
      <c r="F332" s="1">
        <v>0</v>
      </c>
      <c r="G332" s="1">
        <v>1253.2149999999999</v>
      </c>
      <c r="H332" s="1">
        <v>0</v>
      </c>
      <c r="I332" s="1">
        <v>0</v>
      </c>
    </row>
    <row r="333" spans="1:9" hidden="1" x14ac:dyDescent="0.25">
      <c r="A333" s="1" t="s">
        <v>157</v>
      </c>
      <c r="B333" s="1" t="s">
        <v>186</v>
      </c>
      <c r="C333" s="1" t="s">
        <v>10</v>
      </c>
      <c r="D333" s="1">
        <v>0</v>
      </c>
      <c r="E333" s="1">
        <v>-75.95</v>
      </c>
      <c r="F333" s="1">
        <v>0</v>
      </c>
      <c r="G333" s="1">
        <v>1253.2149999999999</v>
      </c>
      <c r="H333" s="1">
        <v>0</v>
      </c>
      <c r="I333" s="1">
        <v>-303.81</v>
      </c>
    </row>
    <row r="334" spans="1:9" hidden="1" x14ac:dyDescent="0.25">
      <c r="A334" s="1" t="s">
        <v>157</v>
      </c>
      <c r="B334" s="1" t="s">
        <v>187</v>
      </c>
      <c r="C334" s="1" t="s">
        <v>25</v>
      </c>
      <c r="D334" s="1">
        <v>0</v>
      </c>
      <c r="E334" s="1">
        <v>-75.95</v>
      </c>
      <c r="F334" s="1">
        <v>0</v>
      </c>
      <c r="G334" s="1">
        <v>1025.3579999999999</v>
      </c>
      <c r="H334" s="1">
        <v>0</v>
      </c>
      <c r="I334" s="1">
        <v>0</v>
      </c>
    </row>
    <row r="335" spans="1:9" hidden="1" x14ac:dyDescent="0.25">
      <c r="A335" s="1" t="s">
        <v>157</v>
      </c>
      <c r="B335" s="1" t="s">
        <v>187</v>
      </c>
      <c r="C335" s="1" t="s">
        <v>10</v>
      </c>
      <c r="D335" s="1">
        <v>0</v>
      </c>
      <c r="E335" s="1">
        <v>-75.95</v>
      </c>
      <c r="F335" s="1">
        <v>0</v>
      </c>
      <c r="G335" s="1">
        <v>1025.3579999999999</v>
      </c>
      <c r="H335" s="1">
        <v>0</v>
      </c>
      <c r="I335" s="1">
        <v>-303.81</v>
      </c>
    </row>
    <row r="336" spans="1:9" hidden="1" x14ac:dyDescent="0.25">
      <c r="A336" s="1" t="s">
        <v>157</v>
      </c>
      <c r="B336" s="1" t="s">
        <v>188</v>
      </c>
      <c r="C336" s="1" t="s">
        <v>25</v>
      </c>
      <c r="D336" s="1">
        <v>0</v>
      </c>
      <c r="E336" s="1">
        <v>75.95</v>
      </c>
      <c r="F336" s="1">
        <v>0</v>
      </c>
      <c r="G336" s="1">
        <v>-1253.2149999999999</v>
      </c>
      <c r="H336" s="1">
        <v>0</v>
      </c>
      <c r="I336" s="1">
        <v>0</v>
      </c>
    </row>
    <row r="337" spans="1:9" hidden="1" x14ac:dyDescent="0.25">
      <c r="A337" s="1" t="s">
        <v>157</v>
      </c>
      <c r="B337" s="1" t="s">
        <v>188</v>
      </c>
      <c r="C337" s="1" t="s">
        <v>10</v>
      </c>
      <c r="D337" s="1">
        <v>0</v>
      </c>
      <c r="E337" s="1">
        <v>75.95</v>
      </c>
      <c r="F337" s="1">
        <v>0</v>
      </c>
      <c r="G337" s="1">
        <v>-1253.2149999999999</v>
      </c>
      <c r="H337" s="1">
        <v>0</v>
      </c>
      <c r="I337" s="1">
        <v>303.81</v>
      </c>
    </row>
    <row r="338" spans="1:9" hidden="1" x14ac:dyDescent="0.25">
      <c r="A338" s="1" t="s">
        <v>157</v>
      </c>
      <c r="B338" s="1" t="s">
        <v>189</v>
      </c>
      <c r="C338" s="1" t="s">
        <v>25</v>
      </c>
      <c r="D338" s="1">
        <v>0</v>
      </c>
      <c r="E338" s="1">
        <v>75.95</v>
      </c>
      <c r="F338" s="1">
        <v>0</v>
      </c>
      <c r="G338" s="1">
        <v>-1025.3579999999999</v>
      </c>
      <c r="H338" s="1">
        <v>0</v>
      </c>
      <c r="I338" s="1">
        <v>0</v>
      </c>
    </row>
    <row r="339" spans="1:9" hidden="1" x14ac:dyDescent="0.25">
      <c r="A339" s="1" t="s">
        <v>157</v>
      </c>
      <c r="B339" s="1" t="s">
        <v>189</v>
      </c>
      <c r="C339" s="1" t="s">
        <v>10</v>
      </c>
      <c r="D339" s="1">
        <v>0</v>
      </c>
      <c r="E339" s="1">
        <v>75.95</v>
      </c>
      <c r="F339" s="1">
        <v>0</v>
      </c>
      <c r="G339" s="1">
        <v>-1025.3579999999999</v>
      </c>
      <c r="H339" s="1">
        <v>0</v>
      </c>
      <c r="I339" s="1">
        <v>303.81</v>
      </c>
    </row>
    <row r="340" spans="1:9" hidden="1" x14ac:dyDescent="0.25">
      <c r="A340" s="1" t="s">
        <v>157</v>
      </c>
      <c r="B340" s="1" t="s">
        <v>190</v>
      </c>
      <c r="C340" s="1" t="s">
        <v>25</v>
      </c>
      <c r="D340" s="1">
        <v>0</v>
      </c>
      <c r="E340" s="1">
        <v>0</v>
      </c>
      <c r="F340" s="1">
        <v>-91.81</v>
      </c>
      <c r="G340" s="1">
        <v>-1817.798</v>
      </c>
      <c r="H340" s="1">
        <v>0</v>
      </c>
      <c r="I340" s="1">
        <v>0</v>
      </c>
    </row>
    <row r="341" spans="1:9" hidden="1" x14ac:dyDescent="0.25">
      <c r="A341" s="1" t="s">
        <v>157</v>
      </c>
      <c r="B341" s="1" t="s">
        <v>190</v>
      </c>
      <c r="C341" s="1" t="s">
        <v>10</v>
      </c>
      <c r="D341" s="1">
        <v>0</v>
      </c>
      <c r="E341" s="1">
        <v>0</v>
      </c>
      <c r="F341" s="1">
        <v>-91.81</v>
      </c>
      <c r="G341" s="1">
        <v>-1817.798</v>
      </c>
      <c r="H341" s="1">
        <v>367.23200000000003</v>
      </c>
      <c r="I341" s="1">
        <v>0</v>
      </c>
    </row>
    <row r="342" spans="1:9" hidden="1" x14ac:dyDescent="0.25">
      <c r="A342" s="1" t="s">
        <v>157</v>
      </c>
      <c r="B342" s="1" t="s">
        <v>191</v>
      </c>
      <c r="C342" s="1" t="s">
        <v>25</v>
      </c>
      <c r="D342" s="1">
        <v>0</v>
      </c>
      <c r="E342" s="1">
        <v>0</v>
      </c>
      <c r="F342" s="1">
        <v>-91.81</v>
      </c>
      <c r="G342" s="1">
        <v>-1487.29</v>
      </c>
      <c r="H342" s="1">
        <v>0</v>
      </c>
      <c r="I342" s="1">
        <v>0</v>
      </c>
    </row>
    <row r="343" spans="1:9" hidden="1" x14ac:dyDescent="0.25">
      <c r="A343" s="1" t="s">
        <v>157</v>
      </c>
      <c r="B343" s="1" t="s">
        <v>191</v>
      </c>
      <c r="C343" s="1" t="s">
        <v>10</v>
      </c>
      <c r="D343" s="1">
        <v>0</v>
      </c>
      <c r="E343" s="1">
        <v>0</v>
      </c>
      <c r="F343" s="1">
        <v>-91.81</v>
      </c>
      <c r="G343" s="1">
        <v>-1487.29</v>
      </c>
      <c r="H343" s="1">
        <v>367.23200000000003</v>
      </c>
      <c r="I343" s="1">
        <v>0</v>
      </c>
    </row>
    <row r="344" spans="1:9" hidden="1" x14ac:dyDescent="0.25">
      <c r="A344" s="1" t="s">
        <v>157</v>
      </c>
      <c r="B344" s="1" t="s">
        <v>192</v>
      </c>
      <c r="C344" s="1" t="s">
        <v>25</v>
      </c>
      <c r="D344" s="1">
        <v>0</v>
      </c>
      <c r="E344" s="1">
        <v>0</v>
      </c>
      <c r="F344" s="1">
        <v>91.81</v>
      </c>
      <c r="G344" s="1">
        <v>1817.798</v>
      </c>
      <c r="H344" s="1">
        <v>0</v>
      </c>
      <c r="I344" s="1">
        <v>0</v>
      </c>
    </row>
    <row r="345" spans="1:9" hidden="1" x14ac:dyDescent="0.25">
      <c r="A345" s="1" t="s">
        <v>157</v>
      </c>
      <c r="B345" s="1" t="s">
        <v>192</v>
      </c>
      <c r="C345" s="1" t="s">
        <v>10</v>
      </c>
      <c r="D345" s="1">
        <v>0</v>
      </c>
      <c r="E345" s="1">
        <v>0</v>
      </c>
      <c r="F345" s="1">
        <v>91.81</v>
      </c>
      <c r="G345" s="1">
        <v>1817.798</v>
      </c>
      <c r="H345" s="1">
        <v>-367.23200000000003</v>
      </c>
      <c r="I345" s="1">
        <v>0</v>
      </c>
    </row>
    <row r="346" spans="1:9" hidden="1" x14ac:dyDescent="0.25">
      <c r="A346" s="1" t="s">
        <v>157</v>
      </c>
      <c r="B346" s="1" t="s">
        <v>193</v>
      </c>
      <c r="C346" s="1" t="s">
        <v>25</v>
      </c>
      <c r="D346" s="1">
        <v>0</v>
      </c>
      <c r="E346" s="1">
        <v>0</v>
      </c>
      <c r="F346" s="1">
        <v>91.81</v>
      </c>
      <c r="G346" s="1">
        <v>1487.29</v>
      </c>
      <c r="H346" s="1">
        <v>0</v>
      </c>
      <c r="I346" s="1">
        <v>0</v>
      </c>
    </row>
    <row r="347" spans="1:9" hidden="1" x14ac:dyDescent="0.25">
      <c r="A347" s="1" t="s">
        <v>157</v>
      </c>
      <c r="B347" s="1" t="s">
        <v>193</v>
      </c>
      <c r="C347" s="1" t="s">
        <v>10</v>
      </c>
      <c r="D347" s="1">
        <v>0</v>
      </c>
      <c r="E347" s="1">
        <v>0</v>
      </c>
      <c r="F347" s="1">
        <v>91.81</v>
      </c>
      <c r="G347" s="1">
        <v>1487.29</v>
      </c>
      <c r="H347" s="1">
        <v>-367.23200000000003</v>
      </c>
      <c r="I347" s="1">
        <v>0</v>
      </c>
    </row>
    <row r="348" spans="1:9" hidden="1" x14ac:dyDescent="0.25">
      <c r="A348" s="1" t="s">
        <v>157</v>
      </c>
      <c r="B348" s="1" t="s">
        <v>194</v>
      </c>
      <c r="C348" s="1" t="s">
        <v>25</v>
      </c>
      <c r="D348" s="1">
        <v>0</v>
      </c>
      <c r="E348" s="1">
        <v>-253.17</v>
      </c>
      <c r="F348" s="1">
        <v>0</v>
      </c>
      <c r="G348" s="1">
        <v>4177.384</v>
      </c>
      <c r="H348" s="1">
        <v>0</v>
      </c>
      <c r="I348" s="1">
        <v>0</v>
      </c>
    </row>
    <row r="349" spans="1:9" hidden="1" x14ac:dyDescent="0.25">
      <c r="A349" s="1" t="s">
        <v>157</v>
      </c>
      <c r="B349" s="1" t="s">
        <v>194</v>
      </c>
      <c r="C349" s="1" t="s">
        <v>10</v>
      </c>
      <c r="D349" s="1">
        <v>0</v>
      </c>
      <c r="E349" s="1">
        <v>-253.17</v>
      </c>
      <c r="F349" s="1">
        <v>0</v>
      </c>
      <c r="G349" s="1">
        <v>4177.384</v>
      </c>
      <c r="H349" s="1">
        <v>0</v>
      </c>
      <c r="I349" s="1">
        <v>-1012.699</v>
      </c>
    </row>
    <row r="350" spans="1:9" hidden="1" x14ac:dyDescent="0.25">
      <c r="A350" s="1" t="s">
        <v>157</v>
      </c>
      <c r="B350" s="1" t="s">
        <v>195</v>
      </c>
      <c r="C350" s="1" t="s">
        <v>25</v>
      </c>
      <c r="D350" s="1">
        <v>0</v>
      </c>
      <c r="E350" s="1">
        <v>-253.17</v>
      </c>
      <c r="F350" s="1">
        <v>0</v>
      </c>
      <c r="G350" s="1">
        <v>3417.86</v>
      </c>
      <c r="H350" s="1">
        <v>0</v>
      </c>
      <c r="I350" s="1">
        <v>0</v>
      </c>
    </row>
    <row r="351" spans="1:9" hidden="1" x14ac:dyDescent="0.25">
      <c r="A351" s="1" t="s">
        <v>157</v>
      </c>
      <c r="B351" s="1" t="s">
        <v>195</v>
      </c>
      <c r="C351" s="1" t="s">
        <v>10</v>
      </c>
      <c r="D351" s="1">
        <v>0</v>
      </c>
      <c r="E351" s="1">
        <v>-253.17</v>
      </c>
      <c r="F351" s="1">
        <v>0</v>
      </c>
      <c r="G351" s="1">
        <v>3417.86</v>
      </c>
      <c r="H351" s="1">
        <v>0</v>
      </c>
      <c r="I351" s="1">
        <v>-1012.699</v>
      </c>
    </row>
    <row r="352" spans="1:9" hidden="1" x14ac:dyDescent="0.25">
      <c r="A352" s="1" t="s">
        <v>157</v>
      </c>
      <c r="B352" s="1" t="s">
        <v>196</v>
      </c>
      <c r="C352" s="1" t="s">
        <v>25</v>
      </c>
      <c r="D352" s="1">
        <v>0</v>
      </c>
      <c r="E352" s="1">
        <v>253.17</v>
      </c>
      <c r="F352" s="1">
        <v>0</v>
      </c>
      <c r="G352" s="1">
        <v>-4177.384</v>
      </c>
      <c r="H352" s="1">
        <v>0</v>
      </c>
      <c r="I352" s="1">
        <v>0</v>
      </c>
    </row>
    <row r="353" spans="1:9" hidden="1" x14ac:dyDescent="0.25">
      <c r="A353" s="1" t="s">
        <v>157</v>
      </c>
      <c r="B353" s="1" t="s">
        <v>196</v>
      </c>
      <c r="C353" s="1" t="s">
        <v>10</v>
      </c>
      <c r="D353" s="1">
        <v>0</v>
      </c>
      <c r="E353" s="1">
        <v>253.17</v>
      </c>
      <c r="F353" s="1">
        <v>0</v>
      </c>
      <c r="G353" s="1">
        <v>-4177.384</v>
      </c>
      <c r="H353" s="1">
        <v>0</v>
      </c>
      <c r="I353" s="1">
        <v>1012.699</v>
      </c>
    </row>
    <row r="354" spans="1:9" hidden="1" x14ac:dyDescent="0.25">
      <c r="A354" s="1" t="s">
        <v>157</v>
      </c>
      <c r="B354" s="1" t="s">
        <v>197</v>
      </c>
      <c r="C354" s="1" t="s">
        <v>25</v>
      </c>
      <c r="D354" s="1">
        <v>0</v>
      </c>
      <c r="E354" s="1">
        <v>253.17</v>
      </c>
      <c r="F354" s="1">
        <v>0</v>
      </c>
      <c r="G354" s="1">
        <v>-3417.86</v>
      </c>
      <c r="H354" s="1">
        <v>0</v>
      </c>
      <c r="I354" s="1">
        <v>0</v>
      </c>
    </row>
    <row r="355" spans="1:9" hidden="1" x14ac:dyDescent="0.25">
      <c r="A355" s="1" t="s">
        <v>157</v>
      </c>
      <c r="B355" s="1" t="s">
        <v>197</v>
      </c>
      <c r="C355" s="1" t="s">
        <v>10</v>
      </c>
      <c r="D355" s="1">
        <v>0</v>
      </c>
      <c r="E355" s="1">
        <v>253.17</v>
      </c>
      <c r="F355" s="1">
        <v>0</v>
      </c>
      <c r="G355" s="1">
        <v>-3417.86</v>
      </c>
      <c r="H355" s="1">
        <v>0</v>
      </c>
      <c r="I355" s="1">
        <v>1012.699</v>
      </c>
    </row>
    <row r="356" spans="1:9" hidden="1" x14ac:dyDescent="0.25">
      <c r="A356" s="1" t="s">
        <v>157</v>
      </c>
      <c r="B356" s="1" t="s">
        <v>198</v>
      </c>
      <c r="C356" s="1" t="s">
        <v>25</v>
      </c>
      <c r="D356" s="1">
        <v>0</v>
      </c>
      <c r="E356" s="1">
        <v>0</v>
      </c>
      <c r="F356" s="1">
        <v>-306.02999999999997</v>
      </c>
      <c r="G356" s="1">
        <v>-6059.3280000000004</v>
      </c>
      <c r="H356" s="1">
        <v>0</v>
      </c>
      <c r="I356" s="1">
        <v>0</v>
      </c>
    </row>
    <row r="357" spans="1:9" hidden="1" x14ac:dyDescent="0.25">
      <c r="A357" s="1" t="s">
        <v>157</v>
      </c>
      <c r="B357" s="1" t="s">
        <v>198</v>
      </c>
      <c r="C357" s="1" t="s">
        <v>10</v>
      </c>
      <c r="D357" s="1">
        <v>0</v>
      </c>
      <c r="E357" s="1">
        <v>0</v>
      </c>
      <c r="F357" s="1">
        <v>-306.02999999999997</v>
      </c>
      <c r="G357" s="1">
        <v>-6059.3280000000004</v>
      </c>
      <c r="H357" s="1">
        <v>1224.107</v>
      </c>
      <c r="I357" s="1">
        <v>0</v>
      </c>
    </row>
    <row r="358" spans="1:9" hidden="1" x14ac:dyDescent="0.25">
      <c r="A358" s="1" t="s">
        <v>157</v>
      </c>
      <c r="B358" s="1" t="s">
        <v>199</v>
      </c>
      <c r="C358" s="1" t="s">
        <v>25</v>
      </c>
      <c r="D358" s="1">
        <v>0</v>
      </c>
      <c r="E358" s="1">
        <v>0</v>
      </c>
      <c r="F358" s="1">
        <v>-306.02999999999997</v>
      </c>
      <c r="G358" s="1">
        <v>-4957.6319999999996</v>
      </c>
      <c r="H358" s="1">
        <v>0</v>
      </c>
      <c r="I358" s="1">
        <v>0</v>
      </c>
    </row>
    <row r="359" spans="1:9" hidden="1" x14ac:dyDescent="0.25">
      <c r="A359" s="1" t="s">
        <v>157</v>
      </c>
      <c r="B359" s="1" t="s">
        <v>199</v>
      </c>
      <c r="C359" s="1" t="s">
        <v>10</v>
      </c>
      <c r="D359" s="1">
        <v>0</v>
      </c>
      <c r="E359" s="1">
        <v>0</v>
      </c>
      <c r="F359" s="1">
        <v>-306.02999999999997</v>
      </c>
      <c r="G359" s="1">
        <v>-4957.6319999999996</v>
      </c>
      <c r="H359" s="1">
        <v>1224.107</v>
      </c>
      <c r="I359" s="1">
        <v>0</v>
      </c>
    </row>
    <row r="360" spans="1:9" hidden="1" x14ac:dyDescent="0.25">
      <c r="A360" s="1" t="s">
        <v>157</v>
      </c>
      <c r="B360" s="1" t="s">
        <v>200</v>
      </c>
      <c r="C360" s="1" t="s">
        <v>25</v>
      </c>
      <c r="D360" s="1">
        <v>0</v>
      </c>
      <c r="E360" s="1">
        <v>0</v>
      </c>
      <c r="F360" s="1">
        <v>306.02999999999997</v>
      </c>
      <c r="G360" s="1">
        <v>6059.3280000000004</v>
      </c>
      <c r="H360" s="1">
        <v>0</v>
      </c>
      <c r="I360" s="1">
        <v>0</v>
      </c>
    </row>
    <row r="361" spans="1:9" hidden="1" x14ac:dyDescent="0.25">
      <c r="A361" s="1" t="s">
        <v>157</v>
      </c>
      <c r="B361" s="1" t="s">
        <v>200</v>
      </c>
      <c r="C361" s="1" t="s">
        <v>10</v>
      </c>
      <c r="D361" s="1">
        <v>0</v>
      </c>
      <c r="E361" s="1">
        <v>0</v>
      </c>
      <c r="F361" s="1">
        <v>306.02999999999997</v>
      </c>
      <c r="G361" s="1">
        <v>6059.3280000000004</v>
      </c>
      <c r="H361" s="1">
        <v>-1224.107</v>
      </c>
      <c r="I361" s="1">
        <v>0</v>
      </c>
    </row>
    <row r="362" spans="1:9" hidden="1" x14ac:dyDescent="0.25">
      <c r="A362" s="1" t="s">
        <v>157</v>
      </c>
      <c r="B362" s="1" t="s">
        <v>201</v>
      </c>
      <c r="C362" s="1" t="s">
        <v>25</v>
      </c>
      <c r="D362" s="1">
        <v>0</v>
      </c>
      <c r="E362" s="1">
        <v>0</v>
      </c>
      <c r="F362" s="1">
        <v>306.02999999999997</v>
      </c>
      <c r="G362" s="1">
        <v>4957.6319999999996</v>
      </c>
      <c r="H362" s="1">
        <v>0</v>
      </c>
      <c r="I362" s="1">
        <v>0</v>
      </c>
    </row>
    <row r="363" spans="1:9" hidden="1" x14ac:dyDescent="0.25">
      <c r="A363" s="1" t="s">
        <v>157</v>
      </c>
      <c r="B363" s="1" t="s">
        <v>201</v>
      </c>
      <c r="C363" s="1" t="s">
        <v>10</v>
      </c>
      <c r="D363" s="1">
        <v>0</v>
      </c>
      <c r="E363" s="1">
        <v>0</v>
      </c>
      <c r="F363" s="1">
        <v>306.02999999999997</v>
      </c>
      <c r="G363" s="1">
        <v>4957.6319999999996</v>
      </c>
      <c r="H363" s="1">
        <v>-1224.107</v>
      </c>
      <c r="I363" s="1">
        <v>0</v>
      </c>
    </row>
    <row r="364" spans="1:9" hidden="1" x14ac:dyDescent="0.25">
      <c r="A364" s="1" t="s">
        <v>157</v>
      </c>
      <c r="B364" s="1" t="s">
        <v>202</v>
      </c>
      <c r="C364" s="1" t="s">
        <v>25</v>
      </c>
      <c r="D364" s="1">
        <v>0</v>
      </c>
      <c r="E364" s="1">
        <v>-253.17</v>
      </c>
      <c r="F364" s="1">
        <v>0</v>
      </c>
      <c r="G364" s="1">
        <v>4177.384</v>
      </c>
      <c r="H364" s="1">
        <v>0</v>
      </c>
      <c r="I364" s="1">
        <v>0</v>
      </c>
    </row>
    <row r="365" spans="1:9" hidden="1" x14ac:dyDescent="0.25">
      <c r="A365" s="1" t="s">
        <v>157</v>
      </c>
      <c r="B365" s="1" t="s">
        <v>202</v>
      </c>
      <c r="C365" s="1" t="s">
        <v>10</v>
      </c>
      <c r="D365" s="1">
        <v>0</v>
      </c>
      <c r="E365" s="1">
        <v>-253.17</v>
      </c>
      <c r="F365" s="1">
        <v>0</v>
      </c>
      <c r="G365" s="1">
        <v>4177.384</v>
      </c>
      <c r="H365" s="1">
        <v>0</v>
      </c>
      <c r="I365" s="1">
        <v>-1012.699</v>
      </c>
    </row>
    <row r="366" spans="1:9" hidden="1" x14ac:dyDescent="0.25">
      <c r="A366" s="1" t="s">
        <v>157</v>
      </c>
      <c r="B366" s="1" t="s">
        <v>203</v>
      </c>
      <c r="C366" s="1" t="s">
        <v>25</v>
      </c>
      <c r="D366" s="1">
        <v>0</v>
      </c>
      <c r="E366" s="1">
        <v>-253.17</v>
      </c>
      <c r="F366" s="1">
        <v>0</v>
      </c>
      <c r="G366" s="1">
        <v>3417.86</v>
      </c>
      <c r="H366" s="1">
        <v>0</v>
      </c>
      <c r="I366" s="1">
        <v>0</v>
      </c>
    </row>
    <row r="367" spans="1:9" hidden="1" x14ac:dyDescent="0.25">
      <c r="A367" s="1" t="s">
        <v>157</v>
      </c>
      <c r="B367" s="1" t="s">
        <v>203</v>
      </c>
      <c r="C367" s="1" t="s">
        <v>10</v>
      </c>
      <c r="D367" s="1">
        <v>0</v>
      </c>
      <c r="E367" s="1">
        <v>-253.17</v>
      </c>
      <c r="F367" s="1">
        <v>0</v>
      </c>
      <c r="G367" s="1">
        <v>3417.86</v>
      </c>
      <c r="H367" s="1">
        <v>0</v>
      </c>
      <c r="I367" s="1">
        <v>-1012.699</v>
      </c>
    </row>
    <row r="368" spans="1:9" hidden="1" x14ac:dyDescent="0.25">
      <c r="A368" s="1" t="s">
        <v>157</v>
      </c>
      <c r="B368" s="1" t="s">
        <v>204</v>
      </c>
      <c r="C368" s="1" t="s">
        <v>25</v>
      </c>
      <c r="D368" s="1">
        <v>0</v>
      </c>
      <c r="E368" s="1">
        <v>253.17</v>
      </c>
      <c r="F368" s="1">
        <v>0</v>
      </c>
      <c r="G368" s="1">
        <v>-4177.384</v>
      </c>
      <c r="H368" s="1">
        <v>0</v>
      </c>
      <c r="I368" s="1">
        <v>0</v>
      </c>
    </row>
    <row r="369" spans="1:9" hidden="1" x14ac:dyDescent="0.25">
      <c r="A369" s="1" t="s">
        <v>157</v>
      </c>
      <c r="B369" s="1" t="s">
        <v>204</v>
      </c>
      <c r="C369" s="1" t="s">
        <v>10</v>
      </c>
      <c r="D369" s="1">
        <v>0</v>
      </c>
      <c r="E369" s="1">
        <v>253.17</v>
      </c>
      <c r="F369" s="1">
        <v>0</v>
      </c>
      <c r="G369" s="1">
        <v>-4177.384</v>
      </c>
      <c r="H369" s="1">
        <v>0</v>
      </c>
      <c r="I369" s="1">
        <v>1012.699</v>
      </c>
    </row>
    <row r="370" spans="1:9" hidden="1" x14ac:dyDescent="0.25">
      <c r="A370" s="1" t="s">
        <v>157</v>
      </c>
      <c r="B370" s="1" t="s">
        <v>205</v>
      </c>
      <c r="C370" s="1" t="s">
        <v>25</v>
      </c>
      <c r="D370" s="1">
        <v>0</v>
      </c>
      <c r="E370" s="1">
        <v>253.17</v>
      </c>
      <c r="F370" s="1">
        <v>0</v>
      </c>
      <c r="G370" s="1">
        <v>-3417.86</v>
      </c>
      <c r="H370" s="1">
        <v>0</v>
      </c>
      <c r="I370" s="1">
        <v>0</v>
      </c>
    </row>
    <row r="371" spans="1:9" hidden="1" x14ac:dyDescent="0.25">
      <c r="A371" s="1" t="s">
        <v>157</v>
      </c>
      <c r="B371" s="1" t="s">
        <v>205</v>
      </c>
      <c r="C371" s="1" t="s">
        <v>10</v>
      </c>
      <c r="D371" s="1">
        <v>0</v>
      </c>
      <c r="E371" s="1">
        <v>253.17</v>
      </c>
      <c r="F371" s="1">
        <v>0</v>
      </c>
      <c r="G371" s="1">
        <v>-3417.86</v>
      </c>
      <c r="H371" s="1">
        <v>0</v>
      </c>
      <c r="I371" s="1">
        <v>1012.699</v>
      </c>
    </row>
    <row r="372" spans="1:9" hidden="1" x14ac:dyDescent="0.25">
      <c r="A372" s="1" t="s">
        <v>157</v>
      </c>
      <c r="B372" s="1" t="s">
        <v>206</v>
      </c>
      <c r="C372" s="1" t="s">
        <v>25</v>
      </c>
      <c r="D372" s="1">
        <v>0</v>
      </c>
      <c r="E372" s="1">
        <v>0</v>
      </c>
      <c r="F372" s="1">
        <v>-306.02999999999997</v>
      </c>
      <c r="G372" s="1">
        <v>-6059.3280000000004</v>
      </c>
      <c r="H372" s="1">
        <v>0</v>
      </c>
      <c r="I372" s="1">
        <v>0</v>
      </c>
    </row>
    <row r="373" spans="1:9" hidden="1" x14ac:dyDescent="0.25">
      <c r="A373" s="1" t="s">
        <v>157</v>
      </c>
      <c r="B373" s="1" t="s">
        <v>206</v>
      </c>
      <c r="C373" s="1" t="s">
        <v>10</v>
      </c>
      <c r="D373" s="1">
        <v>0</v>
      </c>
      <c r="E373" s="1">
        <v>0</v>
      </c>
      <c r="F373" s="1">
        <v>-306.02999999999997</v>
      </c>
      <c r="G373" s="1">
        <v>-6059.3280000000004</v>
      </c>
      <c r="H373" s="1">
        <v>1224.107</v>
      </c>
      <c r="I373" s="1">
        <v>0</v>
      </c>
    </row>
    <row r="374" spans="1:9" hidden="1" x14ac:dyDescent="0.25">
      <c r="A374" s="1" t="s">
        <v>157</v>
      </c>
      <c r="B374" s="1" t="s">
        <v>207</v>
      </c>
      <c r="C374" s="1" t="s">
        <v>25</v>
      </c>
      <c r="D374" s="1">
        <v>0</v>
      </c>
      <c r="E374" s="1">
        <v>0</v>
      </c>
      <c r="F374" s="1">
        <v>-306.02999999999997</v>
      </c>
      <c r="G374" s="1">
        <v>-4957.6319999999996</v>
      </c>
      <c r="H374" s="1">
        <v>0</v>
      </c>
      <c r="I374" s="1">
        <v>0</v>
      </c>
    </row>
    <row r="375" spans="1:9" hidden="1" x14ac:dyDescent="0.25">
      <c r="A375" s="1" t="s">
        <v>157</v>
      </c>
      <c r="B375" s="1" t="s">
        <v>207</v>
      </c>
      <c r="C375" s="1" t="s">
        <v>10</v>
      </c>
      <c r="D375" s="1">
        <v>0</v>
      </c>
      <c r="E375" s="1">
        <v>0</v>
      </c>
      <c r="F375" s="1">
        <v>-306.02999999999997</v>
      </c>
      <c r="G375" s="1">
        <v>-4957.6319999999996</v>
      </c>
      <c r="H375" s="1">
        <v>1224.107</v>
      </c>
      <c r="I375" s="1">
        <v>0</v>
      </c>
    </row>
    <row r="376" spans="1:9" hidden="1" x14ac:dyDescent="0.25">
      <c r="A376" s="1" t="s">
        <v>157</v>
      </c>
      <c r="B376" s="1" t="s">
        <v>208</v>
      </c>
      <c r="C376" s="1" t="s">
        <v>25</v>
      </c>
      <c r="D376" s="1">
        <v>0</v>
      </c>
      <c r="E376" s="1">
        <v>0</v>
      </c>
      <c r="F376" s="1">
        <v>306.02999999999997</v>
      </c>
      <c r="G376" s="1">
        <v>6059.3280000000004</v>
      </c>
      <c r="H376" s="1">
        <v>0</v>
      </c>
      <c r="I376" s="1">
        <v>0</v>
      </c>
    </row>
    <row r="377" spans="1:9" hidden="1" x14ac:dyDescent="0.25">
      <c r="A377" s="1" t="s">
        <v>157</v>
      </c>
      <c r="B377" s="1" t="s">
        <v>208</v>
      </c>
      <c r="C377" s="1" t="s">
        <v>10</v>
      </c>
      <c r="D377" s="1">
        <v>0</v>
      </c>
      <c r="E377" s="1">
        <v>0</v>
      </c>
      <c r="F377" s="1">
        <v>306.02999999999997</v>
      </c>
      <c r="G377" s="1">
        <v>6059.3280000000004</v>
      </c>
      <c r="H377" s="1">
        <v>-1224.107</v>
      </c>
      <c r="I377" s="1">
        <v>0</v>
      </c>
    </row>
    <row r="378" spans="1:9" hidden="1" x14ac:dyDescent="0.25">
      <c r="A378" s="1" t="s">
        <v>157</v>
      </c>
      <c r="B378" s="1" t="s">
        <v>209</v>
      </c>
      <c r="C378" s="1" t="s">
        <v>25</v>
      </c>
      <c r="D378" s="1">
        <v>0</v>
      </c>
      <c r="E378" s="1">
        <v>0</v>
      </c>
      <c r="F378" s="1">
        <v>306.02999999999997</v>
      </c>
      <c r="G378" s="1">
        <v>4957.6319999999996</v>
      </c>
      <c r="H378" s="1">
        <v>0</v>
      </c>
      <c r="I378" s="1">
        <v>0</v>
      </c>
    </row>
    <row r="379" spans="1:9" hidden="1" x14ac:dyDescent="0.25">
      <c r="A379" s="1" t="s">
        <v>157</v>
      </c>
      <c r="B379" s="1" t="s">
        <v>209</v>
      </c>
      <c r="C379" s="1" t="s">
        <v>10</v>
      </c>
      <c r="D379" s="1">
        <v>0</v>
      </c>
      <c r="E379" s="1">
        <v>0</v>
      </c>
      <c r="F379" s="1">
        <v>306.02999999999997</v>
      </c>
      <c r="G379" s="1">
        <v>4957.6319999999996</v>
      </c>
      <c r="H379" s="1">
        <v>-1224.107</v>
      </c>
      <c r="I379" s="1">
        <v>0</v>
      </c>
    </row>
    <row r="380" spans="1:9" hidden="1" x14ac:dyDescent="0.25">
      <c r="A380" s="1" t="s">
        <v>157</v>
      </c>
      <c r="B380" s="1" t="s">
        <v>210</v>
      </c>
      <c r="C380" s="1" t="s">
        <v>25</v>
      </c>
      <c r="D380" s="1">
        <v>0</v>
      </c>
      <c r="E380" s="1">
        <v>-75.95</v>
      </c>
      <c r="F380" s="1">
        <v>0</v>
      </c>
      <c r="G380" s="1">
        <v>1253.2149999999999</v>
      </c>
      <c r="H380" s="1">
        <v>0</v>
      </c>
      <c r="I380" s="1">
        <v>0</v>
      </c>
    </row>
    <row r="381" spans="1:9" hidden="1" x14ac:dyDescent="0.25">
      <c r="A381" s="1" t="s">
        <v>157</v>
      </c>
      <c r="B381" s="1" t="s">
        <v>210</v>
      </c>
      <c r="C381" s="1" t="s">
        <v>10</v>
      </c>
      <c r="D381" s="1">
        <v>0</v>
      </c>
      <c r="E381" s="1">
        <v>-75.95</v>
      </c>
      <c r="F381" s="1">
        <v>0</v>
      </c>
      <c r="G381" s="1">
        <v>1253.2149999999999</v>
      </c>
      <c r="H381" s="1">
        <v>0</v>
      </c>
      <c r="I381" s="1">
        <v>-303.81</v>
      </c>
    </row>
    <row r="382" spans="1:9" hidden="1" x14ac:dyDescent="0.25">
      <c r="A382" s="1" t="s">
        <v>157</v>
      </c>
      <c r="B382" s="1" t="s">
        <v>211</v>
      </c>
      <c r="C382" s="1" t="s">
        <v>25</v>
      </c>
      <c r="D382" s="1">
        <v>0</v>
      </c>
      <c r="E382" s="1">
        <v>-75.95</v>
      </c>
      <c r="F382" s="1">
        <v>0</v>
      </c>
      <c r="G382" s="1">
        <v>1025.3579999999999</v>
      </c>
      <c r="H382" s="1">
        <v>0</v>
      </c>
      <c r="I382" s="1">
        <v>0</v>
      </c>
    </row>
    <row r="383" spans="1:9" hidden="1" x14ac:dyDescent="0.25">
      <c r="A383" s="1" t="s">
        <v>157</v>
      </c>
      <c r="B383" s="1" t="s">
        <v>211</v>
      </c>
      <c r="C383" s="1" t="s">
        <v>10</v>
      </c>
      <c r="D383" s="1">
        <v>0</v>
      </c>
      <c r="E383" s="1">
        <v>-75.95</v>
      </c>
      <c r="F383" s="1">
        <v>0</v>
      </c>
      <c r="G383" s="1">
        <v>1025.3579999999999</v>
      </c>
      <c r="H383" s="1">
        <v>0</v>
      </c>
      <c r="I383" s="1">
        <v>-303.81</v>
      </c>
    </row>
    <row r="384" spans="1:9" hidden="1" x14ac:dyDescent="0.25">
      <c r="A384" s="1" t="s">
        <v>157</v>
      </c>
      <c r="B384" s="1" t="s">
        <v>212</v>
      </c>
      <c r="C384" s="1" t="s">
        <v>25</v>
      </c>
      <c r="D384" s="1">
        <v>0</v>
      </c>
      <c r="E384" s="1">
        <v>75.95</v>
      </c>
      <c r="F384" s="1">
        <v>0</v>
      </c>
      <c r="G384" s="1">
        <v>-1253.2149999999999</v>
      </c>
      <c r="H384" s="1">
        <v>0</v>
      </c>
      <c r="I384" s="1">
        <v>0</v>
      </c>
    </row>
    <row r="385" spans="1:9" hidden="1" x14ac:dyDescent="0.25">
      <c r="A385" s="1" t="s">
        <v>157</v>
      </c>
      <c r="B385" s="1" t="s">
        <v>212</v>
      </c>
      <c r="C385" s="1" t="s">
        <v>10</v>
      </c>
      <c r="D385" s="1">
        <v>0</v>
      </c>
      <c r="E385" s="1">
        <v>75.95</v>
      </c>
      <c r="F385" s="1">
        <v>0</v>
      </c>
      <c r="G385" s="1">
        <v>-1253.2149999999999</v>
      </c>
      <c r="H385" s="1">
        <v>0</v>
      </c>
      <c r="I385" s="1">
        <v>303.81</v>
      </c>
    </row>
    <row r="386" spans="1:9" hidden="1" x14ac:dyDescent="0.25">
      <c r="A386" s="1" t="s">
        <v>157</v>
      </c>
      <c r="B386" s="1" t="s">
        <v>213</v>
      </c>
      <c r="C386" s="1" t="s">
        <v>25</v>
      </c>
      <c r="D386" s="1">
        <v>0</v>
      </c>
      <c r="E386" s="1">
        <v>75.95</v>
      </c>
      <c r="F386" s="1">
        <v>0</v>
      </c>
      <c r="G386" s="1">
        <v>-1025.3579999999999</v>
      </c>
      <c r="H386" s="1">
        <v>0</v>
      </c>
      <c r="I386" s="1">
        <v>0</v>
      </c>
    </row>
    <row r="387" spans="1:9" hidden="1" x14ac:dyDescent="0.25">
      <c r="A387" s="1" t="s">
        <v>157</v>
      </c>
      <c r="B387" s="1" t="s">
        <v>213</v>
      </c>
      <c r="C387" s="1" t="s">
        <v>10</v>
      </c>
      <c r="D387" s="1">
        <v>0</v>
      </c>
      <c r="E387" s="1">
        <v>75.95</v>
      </c>
      <c r="F387" s="1">
        <v>0</v>
      </c>
      <c r="G387" s="1">
        <v>-1025.3579999999999</v>
      </c>
      <c r="H387" s="1">
        <v>0</v>
      </c>
      <c r="I387" s="1">
        <v>303.81</v>
      </c>
    </row>
    <row r="388" spans="1:9" hidden="1" x14ac:dyDescent="0.25">
      <c r="A388" s="1" t="s">
        <v>157</v>
      </c>
      <c r="B388" s="1" t="s">
        <v>214</v>
      </c>
      <c r="C388" s="1" t="s">
        <v>25</v>
      </c>
      <c r="D388" s="1">
        <v>0</v>
      </c>
      <c r="E388" s="1">
        <v>0</v>
      </c>
      <c r="F388" s="1">
        <v>-91.81</v>
      </c>
      <c r="G388" s="1">
        <v>-1817.798</v>
      </c>
      <c r="H388" s="1">
        <v>0</v>
      </c>
      <c r="I388" s="1">
        <v>0</v>
      </c>
    </row>
    <row r="389" spans="1:9" hidden="1" x14ac:dyDescent="0.25">
      <c r="A389" s="1" t="s">
        <v>157</v>
      </c>
      <c r="B389" s="1" t="s">
        <v>214</v>
      </c>
      <c r="C389" s="1" t="s">
        <v>10</v>
      </c>
      <c r="D389" s="1">
        <v>0</v>
      </c>
      <c r="E389" s="1">
        <v>0</v>
      </c>
      <c r="F389" s="1">
        <v>-91.81</v>
      </c>
      <c r="G389" s="1">
        <v>-1817.798</v>
      </c>
      <c r="H389" s="1">
        <v>367.23200000000003</v>
      </c>
      <c r="I389" s="1">
        <v>0</v>
      </c>
    </row>
    <row r="390" spans="1:9" hidden="1" x14ac:dyDescent="0.25">
      <c r="A390" s="1" t="s">
        <v>157</v>
      </c>
      <c r="B390" s="1" t="s">
        <v>215</v>
      </c>
      <c r="C390" s="1" t="s">
        <v>25</v>
      </c>
      <c r="D390" s="1">
        <v>0</v>
      </c>
      <c r="E390" s="1">
        <v>0</v>
      </c>
      <c r="F390" s="1">
        <v>-91.81</v>
      </c>
      <c r="G390" s="1">
        <v>-1487.29</v>
      </c>
      <c r="H390" s="1">
        <v>0</v>
      </c>
      <c r="I390" s="1">
        <v>0</v>
      </c>
    </row>
    <row r="391" spans="1:9" hidden="1" x14ac:dyDescent="0.25">
      <c r="A391" s="1" t="s">
        <v>157</v>
      </c>
      <c r="B391" s="1" t="s">
        <v>215</v>
      </c>
      <c r="C391" s="1" t="s">
        <v>10</v>
      </c>
      <c r="D391" s="1">
        <v>0</v>
      </c>
      <c r="E391" s="1">
        <v>0</v>
      </c>
      <c r="F391" s="1">
        <v>-91.81</v>
      </c>
      <c r="G391" s="1">
        <v>-1487.29</v>
      </c>
      <c r="H391" s="1">
        <v>367.23200000000003</v>
      </c>
      <c r="I391" s="1">
        <v>0</v>
      </c>
    </row>
    <row r="392" spans="1:9" hidden="1" x14ac:dyDescent="0.25">
      <c r="A392" s="1" t="s">
        <v>157</v>
      </c>
      <c r="B392" s="1" t="s">
        <v>216</v>
      </c>
      <c r="C392" s="1" t="s">
        <v>25</v>
      </c>
      <c r="D392" s="1">
        <v>0</v>
      </c>
      <c r="E392" s="1">
        <v>0</v>
      </c>
      <c r="F392" s="1">
        <v>91.81</v>
      </c>
      <c r="G392" s="1">
        <v>1817.798</v>
      </c>
      <c r="H392" s="1">
        <v>0</v>
      </c>
      <c r="I392" s="1">
        <v>0</v>
      </c>
    </row>
    <row r="393" spans="1:9" hidden="1" x14ac:dyDescent="0.25">
      <c r="A393" s="1" t="s">
        <v>157</v>
      </c>
      <c r="B393" s="1" t="s">
        <v>216</v>
      </c>
      <c r="C393" s="1" t="s">
        <v>10</v>
      </c>
      <c r="D393" s="1">
        <v>0</v>
      </c>
      <c r="E393" s="1">
        <v>0</v>
      </c>
      <c r="F393" s="1">
        <v>91.81</v>
      </c>
      <c r="G393" s="1">
        <v>1817.798</v>
      </c>
      <c r="H393" s="1">
        <v>-367.23200000000003</v>
      </c>
      <c r="I393" s="1">
        <v>0</v>
      </c>
    </row>
    <row r="394" spans="1:9" hidden="1" x14ac:dyDescent="0.25">
      <c r="A394" s="1" t="s">
        <v>157</v>
      </c>
      <c r="B394" s="1" t="s">
        <v>217</v>
      </c>
      <c r="C394" s="1" t="s">
        <v>25</v>
      </c>
      <c r="D394" s="1">
        <v>0</v>
      </c>
      <c r="E394" s="1">
        <v>0</v>
      </c>
      <c r="F394" s="1">
        <v>91.81</v>
      </c>
      <c r="G394" s="1">
        <v>1487.29</v>
      </c>
      <c r="H394" s="1">
        <v>0</v>
      </c>
      <c r="I394" s="1">
        <v>0</v>
      </c>
    </row>
    <row r="395" spans="1:9" hidden="1" x14ac:dyDescent="0.25">
      <c r="A395" s="1" t="s">
        <v>157</v>
      </c>
      <c r="B395" s="1" t="s">
        <v>217</v>
      </c>
      <c r="C395" s="1" t="s">
        <v>10</v>
      </c>
      <c r="D395" s="1">
        <v>0</v>
      </c>
      <c r="E395" s="1">
        <v>0</v>
      </c>
      <c r="F395" s="1">
        <v>91.81</v>
      </c>
      <c r="G395" s="1">
        <v>1487.29</v>
      </c>
      <c r="H395" s="1">
        <v>-367.23200000000003</v>
      </c>
      <c r="I395" s="1">
        <v>0</v>
      </c>
    </row>
    <row r="396" spans="1:9" hidden="1" x14ac:dyDescent="0.25">
      <c r="A396" s="1" t="s">
        <v>157</v>
      </c>
      <c r="B396" s="1" t="s">
        <v>218</v>
      </c>
      <c r="C396" s="1" t="s">
        <v>25</v>
      </c>
      <c r="D396" s="1">
        <v>0</v>
      </c>
      <c r="E396" s="1">
        <v>-75.95</v>
      </c>
      <c r="F396" s="1">
        <v>0</v>
      </c>
      <c r="G396" s="1">
        <v>1253.2149999999999</v>
      </c>
      <c r="H396" s="1">
        <v>0</v>
      </c>
      <c r="I396" s="1">
        <v>0</v>
      </c>
    </row>
    <row r="397" spans="1:9" hidden="1" x14ac:dyDescent="0.25">
      <c r="A397" s="1" t="s">
        <v>157</v>
      </c>
      <c r="B397" s="1" t="s">
        <v>218</v>
      </c>
      <c r="C397" s="1" t="s">
        <v>10</v>
      </c>
      <c r="D397" s="1">
        <v>0</v>
      </c>
      <c r="E397" s="1">
        <v>-75.95</v>
      </c>
      <c r="F397" s="1">
        <v>0</v>
      </c>
      <c r="G397" s="1">
        <v>1253.2149999999999</v>
      </c>
      <c r="H397" s="1">
        <v>0</v>
      </c>
      <c r="I397" s="1">
        <v>-303.81</v>
      </c>
    </row>
    <row r="398" spans="1:9" hidden="1" x14ac:dyDescent="0.25">
      <c r="A398" s="1" t="s">
        <v>157</v>
      </c>
      <c r="B398" s="1" t="s">
        <v>219</v>
      </c>
      <c r="C398" s="1" t="s">
        <v>25</v>
      </c>
      <c r="D398" s="1">
        <v>0</v>
      </c>
      <c r="E398" s="1">
        <v>-75.95</v>
      </c>
      <c r="F398" s="1">
        <v>0</v>
      </c>
      <c r="G398" s="1">
        <v>1025.3579999999999</v>
      </c>
      <c r="H398" s="1">
        <v>0</v>
      </c>
      <c r="I398" s="1">
        <v>0</v>
      </c>
    </row>
    <row r="399" spans="1:9" hidden="1" x14ac:dyDescent="0.25">
      <c r="A399" s="1" t="s">
        <v>157</v>
      </c>
      <c r="B399" s="1" t="s">
        <v>219</v>
      </c>
      <c r="C399" s="1" t="s">
        <v>10</v>
      </c>
      <c r="D399" s="1">
        <v>0</v>
      </c>
      <c r="E399" s="1">
        <v>-75.95</v>
      </c>
      <c r="F399" s="1">
        <v>0</v>
      </c>
      <c r="G399" s="1">
        <v>1025.3579999999999</v>
      </c>
      <c r="H399" s="1">
        <v>0</v>
      </c>
      <c r="I399" s="1">
        <v>-303.81</v>
      </c>
    </row>
    <row r="400" spans="1:9" hidden="1" x14ac:dyDescent="0.25">
      <c r="A400" s="1" t="s">
        <v>157</v>
      </c>
      <c r="B400" s="1" t="s">
        <v>220</v>
      </c>
      <c r="C400" s="1" t="s">
        <v>25</v>
      </c>
      <c r="D400" s="1">
        <v>0</v>
      </c>
      <c r="E400" s="1">
        <v>75.95</v>
      </c>
      <c r="F400" s="1">
        <v>0</v>
      </c>
      <c r="G400" s="1">
        <v>-1253.2149999999999</v>
      </c>
      <c r="H400" s="1">
        <v>0</v>
      </c>
      <c r="I400" s="1">
        <v>0</v>
      </c>
    </row>
    <row r="401" spans="1:9" hidden="1" x14ac:dyDescent="0.25">
      <c r="A401" s="1" t="s">
        <v>157</v>
      </c>
      <c r="B401" s="1" t="s">
        <v>220</v>
      </c>
      <c r="C401" s="1" t="s">
        <v>10</v>
      </c>
      <c r="D401" s="1">
        <v>0</v>
      </c>
      <c r="E401" s="1">
        <v>75.95</v>
      </c>
      <c r="F401" s="1">
        <v>0</v>
      </c>
      <c r="G401" s="1">
        <v>-1253.2149999999999</v>
      </c>
      <c r="H401" s="1">
        <v>0</v>
      </c>
      <c r="I401" s="1">
        <v>303.81</v>
      </c>
    </row>
    <row r="402" spans="1:9" hidden="1" x14ac:dyDescent="0.25">
      <c r="A402" s="1" t="s">
        <v>157</v>
      </c>
      <c r="B402" s="1" t="s">
        <v>221</v>
      </c>
      <c r="C402" s="1" t="s">
        <v>25</v>
      </c>
      <c r="D402" s="1">
        <v>0</v>
      </c>
      <c r="E402" s="1">
        <v>75.95</v>
      </c>
      <c r="F402" s="1">
        <v>0</v>
      </c>
      <c r="G402" s="1">
        <v>-1025.3579999999999</v>
      </c>
      <c r="H402" s="1">
        <v>0</v>
      </c>
      <c r="I402" s="1">
        <v>0</v>
      </c>
    </row>
    <row r="403" spans="1:9" hidden="1" x14ac:dyDescent="0.25">
      <c r="A403" s="1" t="s">
        <v>157</v>
      </c>
      <c r="B403" s="1" t="s">
        <v>221</v>
      </c>
      <c r="C403" s="1" t="s">
        <v>10</v>
      </c>
      <c r="D403" s="1">
        <v>0</v>
      </c>
      <c r="E403" s="1">
        <v>75.95</v>
      </c>
      <c r="F403" s="1">
        <v>0</v>
      </c>
      <c r="G403" s="1">
        <v>-1025.3579999999999</v>
      </c>
      <c r="H403" s="1">
        <v>0</v>
      </c>
      <c r="I403" s="1">
        <v>303.81</v>
      </c>
    </row>
    <row r="404" spans="1:9" hidden="1" x14ac:dyDescent="0.25">
      <c r="A404" s="1" t="s">
        <v>157</v>
      </c>
      <c r="B404" s="1" t="s">
        <v>222</v>
      </c>
      <c r="C404" s="1" t="s">
        <v>25</v>
      </c>
      <c r="D404" s="1">
        <v>0</v>
      </c>
      <c r="E404" s="1">
        <v>0</v>
      </c>
      <c r="F404" s="1">
        <v>-91.81</v>
      </c>
      <c r="G404" s="1">
        <v>-1817.798</v>
      </c>
      <c r="H404" s="1">
        <v>0</v>
      </c>
      <c r="I404" s="1">
        <v>0</v>
      </c>
    </row>
    <row r="405" spans="1:9" hidden="1" x14ac:dyDescent="0.25">
      <c r="A405" s="1" t="s">
        <v>157</v>
      </c>
      <c r="B405" s="1" t="s">
        <v>222</v>
      </c>
      <c r="C405" s="1" t="s">
        <v>10</v>
      </c>
      <c r="D405" s="1">
        <v>0</v>
      </c>
      <c r="E405" s="1">
        <v>0</v>
      </c>
      <c r="F405" s="1">
        <v>-91.81</v>
      </c>
      <c r="G405" s="1">
        <v>-1817.798</v>
      </c>
      <c r="H405" s="1">
        <v>367.23200000000003</v>
      </c>
      <c r="I405" s="1">
        <v>0</v>
      </c>
    </row>
    <row r="406" spans="1:9" hidden="1" x14ac:dyDescent="0.25">
      <c r="A406" s="1" t="s">
        <v>157</v>
      </c>
      <c r="B406" s="1" t="s">
        <v>223</v>
      </c>
      <c r="C406" s="1" t="s">
        <v>25</v>
      </c>
      <c r="D406" s="1">
        <v>0</v>
      </c>
      <c r="E406" s="1">
        <v>0</v>
      </c>
      <c r="F406" s="1">
        <v>-91.81</v>
      </c>
      <c r="G406" s="1">
        <v>-1487.29</v>
      </c>
      <c r="H406" s="1">
        <v>0</v>
      </c>
      <c r="I406" s="1">
        <v>0</v>
      </c>
    </row>
    <row r="407" spans="1:9" hidden="1" x14ac:dyDescent="0.25">
      <c r="A407" s="1" t="s">
        <v>157</v>
      </c>
      <c r="B407" s="1" t="s">
        <v>223</v>
      </c>
      <c r="C407" s="1" t="s">
        <v>10</v>
      </c>
      <c r="D407" s="1">
        <v>0</v>
      </c>
      <c r="E407" s="1">
        <v>0</v>
      </c>
      <c r="F407" s="1">
        <v>-91.81</v>
      </c>
      <c r="G407" s="1">
        <v>-1487.29</v>
      </c>
      <c r="H407" s="1">
        <v>367.23200000000003</v>
      </c>
      <c r="I407" s="1">
        <v>0</v>
      </c>
    </row>
    <row r="408" spans="1:9" hidden="1" x14ac:dyDescent="0.25">
      <c r="A408" s="1" t="s">
        <v>157</v>
      </c>
      <c r="B408" s="1" t="s">
        <v>224</v>
      </c>
      <c r="C408" s="1" t="s">
        <v>25</v>
      </c>
      <c r="D408" s="1">
        <v>0</v>
      </c>
      <c r="E408" s="1">
        <v>0</v>
      </c>
      <c r="F408" s="1">
        <v>91.81</v>
      </c>
      <c r="G408" s="1">
        <v>1817.798</v>
      </c>
      <c r="H408" s="1">
        <v>0</v>
      </c>
      <c r="I408" s="1">
        <v>0</v>
      </c>
    </row>
    <row r="409" spans="1:9" hidden="1" x14ac:dyDescent="0.25">
      <c r="A409" s="1" t="s">
        <v>157</v>
      </c>
      <c r="B409" s="1" t="s">
        <v>224</v>
      </c>
      <c r="C409" s="1" t="s">
        <v>10</v>
      </c>
      <c r="D409" s="1">
        <v>0</v>
      </c>
      <c r="E409" s="1">
        <v>0</v>
      </c>
      <c r="F409" s="1">
        <v>91.81</v>
      </c>
      <c r="G409" s="1">
        <v>1817.798</v>
      </c>
      <c r="H409" s="1">
        <v>-367.23200000000003</v>
      </c>
      <c r="I409" s="1">
        <v>0</v>
      </c>
    </row>
    <row r="410" spans="1:9" hidden="1" x14ac:dyDescent="0.25">
      <c r="A410" s="1" t="s">
        <v>157</v>
      </c>
      <c r="B410" s="1" t="s">
        <v>225</v>
      </c>
      <c r="C410" s="1" t="s">
        <v>25</v>
      </c>
      <c r="D410" s="1">
        <v>0</v>
      </c>
      <c r="E410" s="1">
        <v>0</v>
      </c>
      <c r="F410" s="1">
        <v>91.81</v>
      </c>
      <c r="G410" s="1">
        <v>1487.29</v>
      </c>
      <c r="H410" s="1">
        <v>0</v>
      </c>
      <c r="I410" s="1">
        <v>0</v>
      </c>
    </row>
    <row r="411" spans="1:9" hidden="1" x14ac:dyDescent="0.25">
      <c r="A411" s="1" t="s">
        <v>157</v>
      </c>
      <c r="B411" s="1" t="s">
        <v>225</v>
      </c>
      <c r="C411" s="1" t="s">
        <v>10</v>
      </c>
      <c r="D411" s="1">
        <v>0</v>
      </c>
      <c r="E411" s="1">
        <v>0</v>
      </c>
      <c r="F411" s="1">
        <v>91.81</v>
      </c>
      <c r="G411" s="1">
        <v>1487.29</v>
      </c>
      <c r="H411" s="1">
        <v>-367.23200000000003</v>
      </c>
      <c r="I411" s="1">
        <v>0</v>
      </c>
    </row>
    <row r="412" spans="1:9" hidden="1" x14ac:dyDescent="0.25">
      <c r="A412" s="1" t="s">
        <v>157</v>
      </c>
      <c r="B412" s="1" t="s">
        <v>327</v>
      </c>
      <c r="C412" s="1" t="s">
        <v>25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</row>
    <row r="413" spans="1:9" hidden="1" x14ac:dyDescent="0.25">
      <c r="A413" s="1" t="s">
        <v>157</v>
      </c>
      <c r="B413" s="1" t="s">
        <v>327</v>
      </c>
      <c r="C413" s="1" t="s">
        <v>10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</row>
    <row r="414" spans="1:9" hidden="1" x14ac:dyDescent="0.25">
      <c r="A414" s="1" t="s">
        <v>157</v>
      </c>
      <c r="B414" s="1" t="s">
        <v>328</v>
      </c>
      <c r="C414" s="1" t="s">
        <v>25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</row>
    <row r="415" spans="1:9" hidden="1" x14ac:dyDescent="0.25">
      <c r="A415" s="1" t="s">
        <v>157</v>
      </c>
      <c r="B415" s="1" t="s">
        <v>328</v>
      </c>
      <c r="C415" s="1" t="s">
        <v>10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</row>
    <row r="416" spans="1:9" hidden="1" x14ac:dyDescent="0.25">
      <c r="A416" s="1" t="s">
        <v>158</v>
      </c>
      <c r="B416" s="1" t="s">
        <v>9</v>
      </c>
      <c r="C416" s="1" t="s">
        <v>25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</row>
    <row r="417" spans="1:9" x14ac:dyDescent="0.25">
      <c r="A417" s="1" t="s">
        <v>158</v>
      </c>
      <c r="B417" s="1" t="s">
        <v>9</v>
      </c>
      <c r="C417" s="1" t="s">
        <v>10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</row>
    <row r="418" spans="1:9" hidden="1" x14ac:dyDescent="0.25">
      <c r="A418" s="1" t="s">
        <v>158</v>
      </c>
      <c r="B418" s="1" t="s">
        <v>26</v>
      </c>
      <c r="C418" s="1" t="s">
        <v>25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</row>
    <row r="419" spans="1:9" hidden="1" x14ac:dyDescent="0.25">
      <c r="A419" s="1" t="s">
        <v>158</v>
      </c>
      <c r="B419" s="1" t="s">
        <v>26</v>
      </c>
      <c r="C419" s="1" t="s">
        <v>10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</row>
    <row r="420" spans="1:9" hidden="1" x14ac:dyDescent="0.25">
      <c r="A420" s="1" t="s">
        <v>158</v>
      </c>
      <c r="B420" s="1" t="s">
        <v>20</v>
      </c>
      <c r="C420" s="1" t="s">
        <v>25</v>
      </c>
      <c r="D420" s="1">
        <v>0</v>
      </c>
      <c r="E420" s="1">
        <v>-316.47000000000003</v>
      </c>
      <c r="F420" s="1">
        <v>0</v>
      </c>
      <c r="G420" s="1">
        <v>5221.7299999999996</v>
      </c>
      <c r="H420" s="1">
        <v>0</v>
      </c>
      <c r="I420" s="1">
        <v>-723.35699999999997</v>
      </c>
    </row>
    <row r="421" spans="1:9" hidden="1" x14ac:dyDescent="0.25">
      <c r="A421" s="1" t="s">
        <v>158</v>
      </c>
      <c r="B421" s="1" t="s">
        <v>20</v>
      </c>
      <c r="C421" s="1" t="s">
        <v>10</v>
      </c>
      <c r="D421" s="1">
        <v>0</v>
      </c>
      <c r="E421" s="1">
        <v>-316.47000000000003</v>
      </c>
      <c r="F421" s="1">
        <v>0</v>
      </c>
      <c r="G421" s="1">
        <v>5221.7299999999996</v>
      </c>
      <c r="H421" s="1">
        <v>0</v>
      </c>
      <c r="I421" s="1">
        <v>-1989.231</v>
      </c>
    </row>
    <row r="422" spans="1:9" hidden="1" x14ac:dyDescent="0.25">
      <c r="A422" s="1" t="s">
        <v>158</v>
      </c>
      <c r="B422" s="1" t="s">
        <v>21</v>
      </c>
      <c r="C422" s="1" t="s">
        <v>25</v>
      </c>
      <c r="D422" s="1">
        <v>0</v>
      </c>
      <c r="E422" s="1">
        <v>-316.47000000000003</v>
      </c>
      <c r="F422" s="1">
        <v>0</v>
      </c>
      <c r="G422" s="1">
        <v>4272.3249999999998</v>
      </c>
      <c r="H422" s="1">
        <v>0</v>
      </c>
      <c r="I422" s="1">
        <v>-723.35699999999997</v>
      </c>
    </row>
    <row r="423" spans="1:9" hidden="1" x14ac:dyDescent="0.25">
      <c r="A423" s="1" t="s">
        <v>158</v>
      </c>
      <c r="B423" s="1" t="s">
        <v>21</v>
      </c>
      <c r="C423" s="1" t="s">
        <v>10</v>
      </c>
      <c r="D423" s="1">
        <v>0</v>
      </c>
      <c r="E423" s="1">
        <v>-316.47000000000003</v>
      </c>
      <c r="F423" s="1">
        <v>0</v>
      </c>
      <c r="G423" s="1">
        <v>4272.3249999999998</v>
      </c>
      <c r="H423" s="1">
        <v>0</v>
      </c>
      <c r="I423" s="1">
        <v>-1989.231</v>
      </c>
    </row>
    <row r="424" spans="1:9" hidden="1" x14ac:dyDescent="0.25">
      <c r="A424" s="1" t="s">
        <v>158</v>
      </c>
      <c r="B424" s="1" t="s">
        <v>22</v>
      </c>
      <c r="C424" s="1" t="s">
        <v>25</v>
      </c>
      <c r="D424" s="1">
        <v>0</v>
      </c>
      <c r="E424" s="1">
        <v>0</v>
      </c>
      <c r="F424" s="1">
        <v>-382.53</v>
      </c>
      <c r="G424" s="1">
        <v>-7574.16</v>
      </c>
      <c r="H424" s="1">
        <v>874.36199999999997</v>
      </c>
      <c r="I424" s="1">
        <v>0</v>
      </c>
    </row>
    <row r="425" spans="1:9" hidden="1" x14ac:dyDescent="0.25">
      <c r="A425" s="1" t="s">
        <v>158</v>
      </c>
      <c r="B425" s="1" t="s">
        <v>22</v>
      </c>
      <c r="C425" s="1" t="s">
        <v>10</v>
      </c>
      <c r="D425" s="1">
        <v>0</v>
      </c>
      <c r="E425" s="1">
        <v>0</v>
      </c>
      <c r="F425" s="1">
        <v>-382.53</v>
      </c>
      <c r="G425" s="1">
        <v>-7574.16</v>
      </c>
      <c r="H425" s="1">
        <v>2404.4949999999999</v>
      </c>
      <c r="I425" s="1">
        <v>0</v>
      </c>
    </row>
    <row r="426" spans="1:9" hidden="1" x14ac:dyDescent="0.25">
      <c r="A426" s="1" t="s">
        <v>158</v>
      </c>
      <c r="B426" s="1" t="s">
        <v>23</v>
      </c>
      <c r="C426" s="1" t="s">
        <v>25</v>
      </c>
      <c r="D426" s="1">
        <v>0</v>
      </c>
      <c r="E426" s="1">
        <v>0</v>
      </c>
      <c r="F426" s="1">
        <v>-382.53</v>
      </c>
      <c r="G426" s="1">
        <v>-6197.04</v>
      </c>
      <c r="H426" s="1">
        <v>874.36199999999997</v>
      </c>
      <c r="I426" s="1">
        <v>0</v>
      </c>
    </row>
    <row r="427" spans="1:9" hidden="1" x14ac:dyDescent="0.25">
      <c r="A427" s="1" t="s">
        <v>158</v>
      </c>
      <c r="B427" s="1" t="s">
        <v>23</v>
      </c>
      <c r="C427" s="1" t="s">
        <v>10</v>
      </c>
      <c r="D427" s="1">
        <v>0</v>
      </c>
      <c r="E427" s="1">
        <v>0</v>
      </c>
      <c r="F427" s="1">
        <v>-382.53</v>
      </c>
      <c r="G427" s="1">
        <v>-6197.04</v>
      </c>
      <c r="H427" s="1">
        <v>2404.4949999999999</v>
      </c>
      <c r="I427" s="1">
        <v>0</v>
      </c>
    </row>
    <row r="428" spans="1:9" hidden="1" x14ac:dyDescent="0.25">
      <c r="A428" s="1" t="s">
        <v>158</v>
      </c>
      <c r="B428" s="1" t="s">
        <v>321</v>
      </c>
      <c r="C428" s="1" t="s">
        <v>25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158</v>
      </c>
      <c r="B429" s="1" t="s">
        <v>321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158</v>
      </c>
      <c r="B430" s="1" t="s">
        <v>322</v>
      </c>
      <c r="C430" s="1" t="s">
        <v>25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158</v>
      </c>
      <c r="B431" s="1" t="s">
        <v>322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158</v>
      </c>
      <c r="B432" s="1" t="s">
        <v>323</v>
      </c>
      <c r="C432" s="1" t="s">
        <v>25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158</v>
      </c>
      <c r="B433" s="1" t="s">
        <v>323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158</v>
      </c>
      <c r="B434" s="1" t="s">
        <v>324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324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325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325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27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28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28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29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29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30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30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11</v>
      </c>
      <c r="C448" s="1" t="s">
        <v>25</v>
      </c>
      <c r="D448" s="1">
        <v>0</v>
      </c>
      <c r="E448" s="1">
        <v>155.59</v>
      </c>
      <c r="F448" s="1">
        <v>0</v>
      </c>
      <c r="G448" s="1">
        <v>2628.0709999999999</v>
      </c>
      <c r="H448" s="1">
        <v>0</v>
      </c>
      <c r="I448" s="1">
        <v>437.33600000000001</v>
      </c>
    </row>
    <row r="449" spans="1:9" hidden="1" x14ac:dyDescent="0.25">
      <c r="A449" s="1" t="s">
        <v>158</v>
      </c>
      <c r="B449" s="1" t="s">
        <v>11</v>
      </c>
      <c r="C449" s="1" t="s">
        <v>10</v>
      </c>
      <c r="D449" s="1">
        <v>0</v>
      </c>
      <c r="E449" s="1">
        <v>155.59</v>
      </c>
      <c r="F449" s="1">
        <v>0</v>
      </c>
      <c r="G449" s="1">
        <v>2628.0709999999999</v>
      </c>
      <c r="H449" s="1">
        <v>0</v>
      </c>
      <c r="I449" s="1">
        <v>1018.086</v>
      </c>
    </row>
    <row r="450" spans="1:9" hidden="1" x14ac:dyDescent="0.25">
      <c r="A450" s="1" t="s">
        <v>158</v>
      </c>
      <c r="B450" s="1" t="s">
        <v>12</v>
      </c>
      <c r="C450" s="1" t="s">
        <v>25</v>
      </c>
      <c r="D450" s="1">
        <v>0</v>
      </c>
      <c r="E450" s="1">
        <v>0</v>
      </c>
      <c r="F450" s="1">
        <v>402.26</v>
      </c>
      <c r="G450" s="1">
        <v>8000.375</v>
      </c>
      <c r="H450" s="1">
        <v>968.72900000000004</v>
      </c>
      <c r="I450" s="1">
        <v>0</v>
      </c>
    </row>
    <row r="451" spans="1:9" hidden="1" x14ac:dyDescent="0.25">
      <c r="A451" s="1" t="s">
        <v>158</v>
      </c>
      <c r="B451" s="1" t="s">
        <v>12</v>
      </c>
      <c r="C451" s="1" t="s">
        <v>10</v>
      </c>
      <c r="D451" s="1">
        <v>0</v>
      </c>
      <c r="E451" s="1">
        <v>0</v>
      </c>
      <c r="F451" s="1">
        <v>402.26</v>
      </c>
      <c r="G451" s="1">
        <v>8000.375</v>
      </c>
      <c r="H451" s="1">
        <v>2556.8760000000002</v>
      </c>
      <c r="I451" s="1">
        <v>0</v>
      </c>
    </row>
    <row r="452" spans="1:9" hidden="1" x14ac:dyDescent="0.25">
      <c r="A452" s="1" t="s">
        <v>158</v>
      </c>
      <c r="B452" s="1" t="s">
        <v>13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13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31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158</v>
      </c>
      <c r="B455" s="1" t="s">
        <v>31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158</v>
      </c>
      <c r="B456" s="1" t="s">
        <v>32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158</v>
      </c>
      <c r="B457" s="1" t="s">
        <v>32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158</v>
      </c>
      <c r="B458" s="1" t="s">
        <v>33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158</v>
      </c>
      <c r="B459" s="1" t="s">
        <v>33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158</v>
      </c>
      <c r="B460" s="1" t="s">
        <v>34</v>
      </c>
      <c r="C460" s="1" t="s">
        <v>25</v>
      </c>
      <c r="D460" s="1">
        <v>0</v>
      </c>
      <c r="E460" s="1">
        <v>-316.47000000000003</v>
      </c>
      <c r="F460" s="1">
        <v>0</v>
      </c>
      <c r="G460" s="1">
        <v>5221.7299999999996</v>
      </c>
      <c r="H460" s="1">
        <v>0</v>
      </c>
      <c r="I460" s="1">
        <v>-723.35699999999997</v>
      </c>
    </row>
    <row r="461" spans="1:9" hidden="1" x14ac:dyDescent="0.25">
      <c r="A461" s="1" t="s">
        <v>158</v>
      </c>
      <c r="B461" s="1" t="s">
        <v>34</v>
      </c>
      <c r="C461" s="1" t="s">
        <v>10</v>
      </c>
      <c r="D461" s="1">
        <v>0</v>
      </c>
      <c r="E461" s="1">
        <v>-316.47000000000003</v>
      </c>
      <c r="F461" s="1">
        <v>0</v>
      </c>
      <c r="G461" s="1">
        <v>5221.7299999999996</v>
      </c>
      <c r="H461" s="1">
        <v>0</v>
      </c>
      <c r="I461" s="1">
        <v>-1989.231</v>
      </c>
    </row>
    <row r="462" spans="1:9" hidden="1" x14ac:dyDescent="0.25">
      <c r="A462" s="1" t="s">
        <v>158</v>
      </c>
      <c r="B462" s="1" t="s">
        <v>35</v>
      </c>
      <c r="C462" s="1" t="s">
        <v>25</v>
      </c>
      <c r="D462" s="1">
        <v>0</v>
      </c>
      <c r="E462" s="1">
        <v>-316.47000000000003</v>
      </c>
      <c r="F462" s="1">
        <v>0</v>
      </c>
      <c r="G462" s="1">
        <v>4272.3249999999998</v>
      </c>
      <c r="H462" s="1">
        <v>0</v>
      </c>
      <c r="I462" s="1">
        <v>-723.35699999999997</v>
      </c>
    </row>
    <row r="463" spans="1:9" hidden="1" x14ac:dyDescent="0.25">
      <c r="A463" s="1" t="s">
        <v>158</v>
      </c>
      <c r="B463" s="1" t="s">
        <v>35</v>
      </c>
      <c r="C463" s="1" t="s">
        <v>10</v>
      </c>
      <c r="D463" s="1">
        <v>0</v>
      </c>
      <c r="E463" s="1">
        <v>-316.47000000000003</v>
      </c>
      <c r="F463" s="1">
        <v>0</v>
      </c>
      <c r="G463" s="1">
        <v>4272.3249999999998</v>
      </c>
      <c r="H463" s="1">
        <v>0</v>
      </c>
      <c r="I463" s="1">
        <v>-1989.231</v>
      </c>
    </row>
    <row r="464" spans="1:9" hidden="1" x14ac:dyDescent="0.25">
      <c r="A464" s="1" t="s">
        <v>158</v>
      </c>
      <c r="B464" s="1" t="s">
        <v>36</v>
      </c>
      <c r="C464" s="1" t="s">
        <v>25</v>
      </c>
      <c r="D464" s="1">
        <v>0</v>
      </c>
      <c r="E464" s="1">
        <v>316.47000000000003</v>
      </c>
      <c r="F464" s="1">
        <v>0</v>
      </c>
      <c r="G464" s="1">
        <v>-5221.7299999999996</v>
      </c>
      <c r="H464" s="1">
        <v>0</v>
      </c>
      <c r="I464" s="1">
        <v>723.35699999999997</v>
      </c>
    </row>
    <row r="465" spans="1:9" hidden="1" x14ac:dyDescent="0.25">
      <c r="A465" s="1" t="s">
        <v>158</v>
      </c>
      <c r="B465" s="1" t="s">
        <v>36</v>
      </c>
      <c r="C465" s="1" t="s">
        <v>10</v>
      </c>
      <c r="D465" s="1">
        <v>0</v>
      </c>
      <c r="E465" s="1">
        <v>316.47000000000003</v>
      </c>
      <c r="F465" s="1">
        <v>0</v>
      </c>
      <c r="G465" s="1">
        <v>-5221.7299999999996</v>
      </c>
      <c r="H465" s="1">
        <v>0</v>
      </c>
      <c r="I465" s="1">
        <v>1989.231</v>
      </c>
    </row>
    <row r="466" spans="1:9" hidden="1" x14ac:dyDescent="0.25">
      <c r="A466" s="1" t="s">
        <v>158</v>
      </c>
      <c r="B466" s="1" t="s">
        <v>37</v>
      </c>
      <c r="C466" s="1" t="s">
        <v>25</v>
      </c>
      <c r="D466" s="1">
        <v>0</v>
      </c>
      <c r="E466" s="1">
        <v>316.47000000000003</v>
      </c>
      <c r="F466" s="1">
        <v>0</v>
      </c>
      <c r="G466" s="1">
        <v>-4272.3249999999998</v>
      </c>
      <c r="H466" s="1">
        <v>0</v>
      </c>
      <c r="I466" s="1">
        <v>723.35699999999997</v>
      </c>
    </row>
    <row r="467" spans="1:9" hidden="1" x14ac:dyDescent="0.25">
      <c r="A467" s="1" t="s">
        <v>158</v>
      </c>
      <c r="B467" s="1" t="s">
        <v>37</v>
      </c>
      <c r="C467" s="1" t="s">
        <v>10</v>
      </c>
      <c r="D467" s="1">
        <v>0</v>
      </c>
      <c r="E467" s="1">
        <v>316.47000000000003</v>
      </c>
      <c r="F467" s="1">
        <v>0</v>
      </c>
      <c r="G467" s="1">
        <v>-4272.3249999999998</v>
      </c>
      <c r="H467" s="1">
        <v>0</v>
      </c>
      <c r="I467" s="1">
        <v>1989.231</v>
      </c>
    </row>
    <row r="468" spans="1:9" hidden="1" x14ac:dyDescent="0.25">
      <c r="A468" s="1" t="s">
        <v>158</v>
      </c>
      <c r="B468" s="1" t="s">
        <v>38</v>
      </c>
      <c r="C468" s="1" t="s">
        <v>25</v>
      </c>
      <c r="D468" s="1">
        <v>0</v>
      </c>
      <c r="E468" s="1">
        <v>0</v>
      </c>
      <c r="F468" s="1">
        <v>-382.53</v>
      </c>
      <c r="G468" s="1">
        <v>-7574.16</v>
      </c>
      <c r="H468" s="1">
        <v>874.36199999999997</v>
      </c>
      <c r="I468" s="1">
        <v>0</v>
      </c>
    </row>
    <row r="469" spans="1:9" hidden="1" x14ac:dyDescent="0.25">
      <c r="A469" s="1" t="s">
        <v>158</v>
      </c>
      <c r="B469" s="1" t="s">
        <v>38</v>
      </c>
      <c r="C469" s="1" t="s">
        <v>10</v>
      </c>
      <c r="D469" s="1">
        <v>0</v>
      </c>
      <c r="E469" s="1">
        <v>0</v>
      </c>
      <c r="F469" s="1">
        <v>-382.53</v>
      </c>
      <c r="G469" s="1">
        <v>-7574.16</v>
      </c>
      <c r="H469" s="1">
        <v>2404.4949999999999</v>
      </c>
      <c r="I469" s="1">
        <v>0</v>
      </c>
    </row>
    <row r="470" spans="1:9" hidden="1" x14ac:dyDescent="0.25">
      <c r="A470" s="1" t="s">
        <v>158</v>
      </c>
      <c r="B470" s="1" t="s">
        <v>39</v>
      </c>
      <c r="C470" s="1" t="s">
        <v>25</v>
      </c>
      <c r="D470" s="1">
        <v>0</v>
      </c>
      <c r="E470" s="1">
        <v>0</v>
      </c>
      <c r="F470" s="1">
        <v>-382.53</v>
      </c>
      <c r="G470" s="1">
        <v>-6197.04</v>
      </c>
      <c r="H470" s="1">
        <v>874.36199999999997</v>
      </c>
      <c r="I470" s="1">
        <v>0</v>
      </c>
    </row>
    <row r="471" spans="1:9" hidden="1" x14ac:dyDescent="0.25">
      <c r="A471" s="1" t="s">
        <v>158</v>
      </c>
      <c r="B471" s="1" t="s">
        <v>39</v>
      </c>
      <c r="C471" s="1" t="s">
        <v>10</v>
      </c>
      <c r="D471" s="1">
        <v>0</v>
      </c>
      <c r="E471" s="1">
        <v>0</v>
      </c>
      <c r="F471" s="1">
        <v>-382.53</v>
      </c>
      <c r="G471" s="1">
        <v>-6197.04</v>
      </c>
      <c r="H471" s="1">
        <v>2404.4949999999999</v>
      </c>
      <c r="I471" s="1">
        <v>0</v>
      </c>
    </row>
    <row r="472" spans="1:9" hidden="1" x14ac:dyDescent="0.25">
      <c r="A472" s="1" t="s">
        <v>158</v>
      </c>
      <c r="B472" s="1" t="s">
        <v>40</v>
      </c>
      <c r="C472" s="1" t="s">
        <v>25</v>
      </c>
      <c r="D472" s="1">
        <v>0</v>
      </c>
      <c r="E472" s="1">
        <v>0</v>
      </c>
      <c r="F472" s="1">
        <v>382.53</v>
      </c>
      <c r="G472" s="1">
        <v>7574.16</v>
      </c>
      <c r="H472" s="1">
        <v>-874.36199999999997</v>
      </c>
      <c r="I472" s="1">
        <v>0</v>
      </c>
    </row>
    <row r="473" spans="1:9" hidden="1" x14ac:dyDescent="0.25">
      <c r="A473" s="1" t="s">
        <v>158</v>
      </c>
      <c r="B473" s="1" t="s">
        <v>40</v>
      </c>
      <c r="C473" s="1" t="s">
        <v>10</v>
      </c>
      <c r="D473" s="1">
        <v>0</v>
      </c>
      <c r="E473" s="1">
        <v>0</v>
      </c>
      <c r="F473" s="1">
        <v>382.53</v>
      </c>
      <c r="G473" s="1">
        <v>7574.16</v>
      </c>
      <c r="H473" s="1">
        <v>-2404.4949999999999</v>
      </c>
      <c r="I473" s="1">
        <v>0</v>
      </c>
    </row>
    <row r="474" spans="1:9" hidden="1" x14ac:dyDescent="0.25">
      <c r="A474" s="1" t="s">
        <v>158</v>
      </c>
      <c r="B474" s="1" t="s">
        <v>41</v>
      </c>
      <c r="C474" s="1" t="s">
        <v>25</v>
      </c>
      <c r="D474" s="1">
        <v>0</v>
      </c>
      <c r="E474" s="1">
        <v>0</v>
      </c>
      <c r="F474" s="1">
        <v>382.53</v>
      </c>
      <c r="G474" s="1">
        <v>6197.04</v>
      </c>
      <c r="H474" s="1">
        <v>-874.36199999999997</v>
      </c>
      <c r="I474" s="1">
        <v>0</v>
      </c>
    </row>
    <row r="475" spans="1:9" hidden="1" x14ac:dyDescent="0.25">
      <c r="A475" s="1" t="s">
        <v>158</v>
      </c>
      <c r="B475" s="1" t="s">
        <v>41</v>
      </c>
      <c r="C475" s="1" t="s">
        <v>10</v>
      </c>
      <c r="D475" s="1">
        <v>0</v>
      </c>
      <c r="E475" s="1">
        <v>0</v>
      </c>
      <c r="F475" s="1">
        <v>382.53</v>
      </c>
      <c r="G475" s="1">
        <v>6197.04</v>
      </c>
      <c r="H475" s="1">
        <v>-2404.4949999999999</v>
      </c>
      <c r="I475" s="1">
        <v>0</v>
      </c>
    </row>
    <row r="476" spans="1:9" hidden="1" x14ac:dyDescent="0.25">
      <c r="A476" s="1" t="s">
        <v>158</v>
      </c>
      <c r="B476" s="1" t="s">
        <v>42</v>
      </c>
      <c r="C476" s="1" t="s">
        <v>25</v>
      </c>
      <c r="D476" s="1">
        <v>0</v>
      </c>
      <c r="E476" s="1">
        <v>-316.47000000000003</v>
      </c>
      <c r="F476" s="1">
        <v>0</v>
      </c>
      <c r="G476" s="1">
        <v>5221.7299999999996</v>
      </c>
      <c r="H476" s="1">
        <v>0</v>
      </c>
      <c r="I476" s="1">
        <v>-723.35699999999997</v>
      </c>
    </row>
    <row r="477" spans="1:9" hidden="1" x14ac:dyDescent="0.25">
      <c r="A477" s="1" t="s">
        <v>158</v>
      </c>
      <c r="B477" s="1" t="s">
        <v>42</v>
      </c>
      <c r="C477" s="1" t="s">
        <v>10</v>
      </c>
      <c r="D477" s="1">
        <v>0</v>
      </c>
      <c r="E477" s="1">
        <v>-316.47000000000003</v>
      </c>
      <c r="F477" s="1">
        <v>0</v>
      </c>
      <c r="G477" s="1">
        <v>5221.7299999999996</v>
      </c>
      <c r="H477" s="1">
        <v>0</v>
      </c>
      <c r="I477" s="1">
        <v>-1989.231</v>
      </c>
    </row>
    <row r="478" spans="1:9" hidden="1" x14ac:dyDescent="0.25">
      <c r="A478" s="1" t="s">
        <v>158</v>
      </c>
      <c r="B478" s="1" t="s">
        <v>43</v>
      </c>
      <c r="C478" s="1" t="s">
        <v>25</v>
      </c>
      <c r="D478" s="1">
        <v>0</v>
      </c>
      <c r="E478" s="1">
        <v>-316.47000000000003</v>
      </c>
      <c r="F478" s="1">
        <v>0</v>
      </c>
      <c r="G478" s="1">
        <v>4272.3249999999998</v>
      </c>
      <c r="H478" s="1">
        <v>0</v>
      </c>
      <c r="I478" s="1">
        <v>-723.35699999999997</v>
      </c>
    </row>
    <row r="479" spans="1:9" hidden="1" x14ac:dyDescent="0.25">
      <c r="A479" s="1" t="s">
        <v>158</v>
      </c>
      <c r="B479" s="1" t="s">
        <v>43</v>
      </c>
      <c r="C479" s="1" t="s">
        <v>10</v>
      </c>
      <c r="D479" s="1">
        <v>0</v>
      </c>
      <c r="E479" s="1">
        <v>-316.47000000000003</v>
      </c>
      <c r="F479" s="1">
        <v>0</v>
      </c>
      <c r="G479" s="1">
        <v>4272.3249999999998</v>
      </c>
      <c r="H479" s="1">
        <v>0</v>
      </c>
      <c r="I479" s="1">
        <v>-1989.231</v>
      </c>
    </row>
    <row r="480" spans="1:9" hidden="1" x14ac:dyDescent="0.25">
      <c r="A480" s="1" t="s">
        <v>158</v>
      </c>
      <c r="B480" s="1" t="s">
        <v>44</v>
      </c>
      <c r="C480" s="1" t="s">
        <v>25</v>
      </c>
      <c r="D480" s="1">
        <v>0</v>
      </c>
      <c r="E480" s="1">
        <v>316.47000000000003</v>
      </c>
      <c r="F480" s="1">
        <v>0</v>
      </c>
      <c r="G480" s="1">
        <v>-5221.7299999999996</v>
      </c>
      <c r="H480" s="1">
        <v>0</v>
      </c>
      <c r="I480" s="1">
        <v>723.35699999999997</v>
      </c>
    </row>
    <row r="481" spans="1:9" hidden="1" x14ac:dyDescent="0.25">
      <c r="A481" s="1" t="s">
        <v>158</v>
      </c>
      <c r="B481" s="1" t="s">
        <v>44</v>
      </c>
      <c r="C481" s="1" t="s">
        <v>10</v>
      </c>
      <c r="D481" s="1">
        <v>0</v>
      </c>
      <c r="E481" s="1">
        <v>316.47000000000003</v>
      </c>
      <c r="F481" s="1">
        <v>0</v>
      </c>
      <c r="G481" s="1">
        <v>-5221.7299999999996</v>
      </c>
      <c r="H481" s="1">
        <v>0</v>
      </c>
      <c r="I481" s="1">
        <v>1989.231</v>
      </c>
    </row>
    <row r="482" spans="1:9" hidden="1" x14ac:dyDescent="0.25">
      <c r="A482" s="1" t="s">
        <v>158</v>
      </c>
      <c r="B482" s="1" t="s">
        <v>45</v>
      </c>
      <c r="C482" s="1" t="s">
        <v>25</v>
      </c>
      <c r="D482" s="1">
        <v>0</v>
      </c>
      <c r="E482" s="1">
        <v>316.47000000000003</v>
      </c>
      <c r="F482" s="1">
        <v>0</v>
      </c>
      <c r="G482" s="1">
        <v>-4272.3249999999998</v>
      </c>
      <c r="H482" s="1">
        <v>0</v>
      </c>
      <c r="I482" s="1">
        <v>723.35699999999997</v>
      </c>
    </row>
    <row r="483" spans="1:9" hidden="1" x14ac:dyDescent="0.25">
      <c r="A483" s="1" t="s">
        <v>158</v>
      </c>
      <c r="B483" s="1" t="s">
        <v>45</v>
      </c>
      <c r="C483" s="1" t="s">
        <v>10</v>
      </c>
      <c r="D483" s="1">
        <v>0</v>
      </c>
      <c r="E483" s="1">
        <v>316.47000000000003</v>
      </c>
      <c r="F483" s="1">
        <v>0</v>
      </c>
      <c r="G483" s="1">
        <v>-4272.3249999999998</v>
      </c>
      <c r="H483" s="1">
        <v>0</v>
      </c>
      <c r="I483" s="1">
        <v>1989.231</v>
      </c>
    </row>
    <row r="484" spans="1:9" hidden="1" x14ac:dyDescent="0.25">
      <c r="A484" s="1" t="s">
        <v>158</v>
      </c>
      <c r="B484" s="1" t="s">
        <v>46</v>
      </c>
      <c r="C484" s="1" t="s">
        <v>25</v>
      </c>
      <c r="D484" s="1">
        <v>0</v>
      </c>
      <c r="E484" s="1">
        <v>0</v>
      </c>
      <c r="F484" s="1">
        <v>-382.53</v>
      </c>
      <c r="G484" s="1">
        <v>-7574.16</v>
      </c>
      <c r="H484" s="1">
        <v>874.36199999999997</v>
      </c>
      <c r="I484" s="1">
        <v>0</v>
      </c>
    </row>
    <row r="485" spans="1:9" hidden="1" x14ac:dyDescent="0.25">
      <c r="A485" s="1" t="s">
        <v>158</v>
      </c>
      <c r="B485" s="1" t="s">
        <v>46</v>
      </c>
      <c r="C485" s="1" t="s">
        <v>10</v>
      </c>
      <c r="D485" s="1">
        <v>0</v>
      </c>
      <c r="E485" s="1">
        <v>0</v>
      </c>
      <c r="F485" s="1">
        <v>-382.53</v>
      </c>
      <c r="G485" s="1">
        <v>-7574.16</v>
      </c>
      <c r="H485" s="1">
        <v>2404.4949999999999</v>
      </c>
      <c r="I485" s="1">
        <v>0</v>
      </c>
    </row>
    <row r="486" spans="1:9" hidden="1" x14ac:dyDescent="0.25">
      <c r="A486" s="1" t="s">
        <v>158</v>
      </c>
      <c r="B486" s="1" t="s">
        <v>47</v>
      </c>
      <c r="C486" s="1" t="s">
        <v>25</v>
      </c>
      <c r="D486" s="1">
        <v>0</v>
      </c>
      <c r="E486" s="1">
        <v>0</v>
      </c>
      <c r="F486" s="1">
        <v>-382.53</v>
      </c>
      <c r="G486" s="1">
        <v>-6197.04</v>
      </c>
      <c r="H486" s="1">
        <v>874.36199999999997</v>
      </c>
      <c r="I486" s="1">
        <v>0</v>
      </c>
    </row>
    <row r="487" spans="1:9" hidden="1" x14ac:dyDescent="0.25">
      <c r="A487" s="1" t="s">
        <v>158</v>
      </c>
      <c r="B487" s="1" t="s">
        <v>47</v>
      </c>
      <c r="C487" s="1" t="s">
        <v>10</v>
      </c>
      <c r="D487" s="1">
        <v>0</v>
      </c>
      <c r="E487" s="1">
        <v>0</v>
      </c>
      <c r="F487" s="1">
        <v>-382.53</v>
      </c>
      <c r="G487" s="1">
        <v>-6197.04</v>
      </c>
      <c r="H487" s="1">
        <v>2404.4949999999999</v>
      </c>
      <c r="I487" s="1">
        <v>0</v>
      </c>
    </row>
    <row r="488" spans="1:9" hidden="1" x14ac:dyDescent="0.25">
      <c r="A488" s="1" t="s">
        <v>158</v>
      </c>
      <c r="B488" s="1" t="s">
        <v>48</v>
      </c>
      <c r="C488" s="1" t="s">
        <v>25</v>
      </c>
      <c r="D488" s="1">
        <v>0</v>
      </c>
      <c r="E488" s="1">
        <v>0</v>
      </c>
      <c r="F488" s="1">
        <v>382.53</v>
      </c>
      <c r="G488" s="1">
        <v>7574.16</v>
      </c>
      <c r="H488" s="1">
        <v>-874.36199999999997</v>
      </c>
      <c r="I488" s="1">
        <v>0</v>
      </c>
    </row>
    <row r="489" spans="1:9" hidden="1" x14ac:dyDescent="0.25">
      <c r="A489" s="1" t="s">
        <v>158</v>
      </c>
      <c r="B489" s="1" t="s">
        <v>48</v>
      </c>
      <c r="C489" s="1" t="s">
        <v>10</v>
      </c>
      <c r="D489" s="1">
        <v>0</v>
      </c>
      <c r="E489" s="1">
        <v>0</v>
      </c>
      <c r="F489" s="1">
        <v>382.53</v>
      </c>
      <c r="G489" s="1">
        <v>7574.16</v>
      </c>
      <c r="H489" s="1">
        <v>-2404.4949999999999</v>
      </c>
      <c r="I489" s="1">
        <v>0</v>
      </c>
    </row>
    <row r="490" spans="1:9" hidden="1" x14ac:dyDescent="0.25">
      <c r="A490" s="1" t="s">
        <v>158</v>
      </c>
      <c r="B490" s="1" t="s">
        <v>49</v>
      </c>
      <c r="C490" s="1" t="s">
        <v>25</v>
      </c>
      <c r="D490" s="1">
        <v>0</v>
      </c>
      <c r="E490" s="1">
        <v>0</v>
      </c>
      <c r="F490" s="1">
        <v>382.53</v>
      </c>
      <c r="G490" s="1">
        <v>6197.04</v>
      </c>
      <c r="H490" s="1">
        <v>-874.36199999999997</v>
      </c>
      <c r="I490" s="1">
        <v>0</v>
      </c>
    </row>
    <row r="491" spans="1:9" hidden="1" x14ac:dyDescent="0.25">
      <c r="A491" s="1" t="s">
        <v>158</v>
      </c>
      <c r="B491" s="1" t="s">
        <v>49</v>
      </c>
      <c r="C491" s="1" t="s">
        <v>10</v>
      </c>
      <c r="D491" s="1">
        <v>0</v>
      </c>
      <c r="E491" s="1">
        <v>0</v>
      </c>
      <c r="F491" s="1">
        <v>382.53</v>
      </c>
      <c r="G491" s="1">
        <v>6197.04</v>
      </c>
      <c r="H491" s="1">
        <v>-2404.4949999999999</v>
      </c>
      <c r="I491" s="1">
        <v>0</v>
      </c>
    </row>
    <row r="492" spans="1:9" hidden="1" x14ac:dyDescent="0.25">
      <c r="A492" s="1" t="s">
        <v>158</v>
      </c>
      <c r="B492" s="1" t="s">
        <v>50</v>
      </c>
      <c r="C492" s="1" t="s">
        <v>25</v>
      </c>
      <c r="D492" s="1">
        <v>0</v>
      </c>
      <c r="E492" s="1">
        <v>-94.94</v>
      </c>
      <c r="F492" s="1">
        <v>0</v>
      </c>
      <c r="G492" s="1">
        <v>1566.519</v>
      </c>
      <c r="H492" s="1">
        <v>0</v>
      </c>
      <c r="I492" s="1">
        <v>-217.00700000000001</v>
      </c>
    </row>
    <row r="493" spans="1:9" hidden="1" x14ac:dyDescent="0.25">
      <c r="A493" s="1" t="s">
        <v>158</v>
      </c>
      <c r="B493" s="1" t="s">
        <v>50</v>
      </c>
      <c r="C493" s="1" t="s">
        <v>10</v>
      </c>
      <c r="D493" s="1">
        <v>0</v>
      </c>
      <c r="E493" s="1">
        <v>-94.94</v>
      </c>
      <c r="F493" s="1">
        <v>0</v>
      </c>
      <c r="G493" s="1">
        <v>1566.519</v>
      </c>
      <c r="H493" s="1">
        <v>0</v>
      </c>
      <c r="I493" s="1">
        <v>-596.76900000000001</v>
      </c>
    </row>
    <row r="494" spans="1:9" hidden="1" x14ac:dyDescent="0.25">
      <c r="A494" s="1" t="s">
        <v>158</v>
      </c>
      <c r="B494" s="1" t="s">
        <v>51</v>
      </c>
      <c r="C494" s="1" t="s">
        <v>25</v>
      </c>
      <c r="D494" s="1">
        <v>0</v>
      </c>
      <c r="E494" s="1">
        <v>-94.94</v>
      </c>
      <c r="F494" s="1">
        <v>0</v>
      </c>
      <c r="G494" s="1">
        <v>1281.6969999999999</v>
      </c>
      <c r="H494" s="1">
        <v>0</v>
      </c>
      <c r="I494" s="1">
        <v>-217.00700000000001</v>
      </c>
    </row>
    <row r="495" spans="1:9" hidden="1" x14ac:dyDescent="0.25">
      <c r="A495" s="1" t="s">
        <v>158</v>
      </c>
      <c r="B495" s="1" t="s">
        <v>51</v>
      </c>
      <c r="C495" s="1" t="s">
        <v>10</v>
      </c>
      <c r="D495" s="1">
        <v>0</v>
      </c>
      <c r="E495" s="1">
        <v>-94.94</v>
      </c>
      <c r="F495" s="1">
        <v>0</v>
      </c>
      <c r="G495" s="1">
        <v>1281.6969999999999</v>
      </c>
      <c r="H495" s="1">
        <v>0</v>
      </c>
      <c r="I495" s="1">
        <v>-596.76900000000001</v>
      </c>
    </row>
    <row r="496" spans="1:9" hidden="1" x14ac:dyDescent="0.25">
      <c r="A496" s="1" t="s">
        <v>158</v>
      </c>
      <c r="B496" s="1" t="s">
        <v>52</v>
      </c>
      <c r="C496" s="1" t="s">
        <v>25</v>
      </c>
      <c r="D496" s="1">
        <v>0</v>
      </c>
      <c r="E496" s="1">
        <v>94.94</v>
      </c>
      <c r="F496" s="1">
        <v>0</v>
      </c>
      <c r="G496" s="1">
        <v>-1566.519</v>
      </c>
      <c r="H496" s="1">
        <v>0</v>
      </c>
      <c r="I496" s="1">
        <v>217.00700000000001</v>
      </c>
    </row>
    <row r="497" spans="1:9" hidden="1" x14ac:dyDescent="0.25">
      <c r="A497" s="1" t="s">
        <v>158</v>
      </c>
      <c r="B497" s="1" t="s">
        <v>52</v>
      </c>
      <c r="C497" s="1" t="s">
        <v>10</v>
      </c>
      <c r="D497" s="1">
        <v>0</v>
      </c>
      <c r="E497" s="1">
        <v>94.94</v>
      </c>
      <c r="F497" s="1">
        <v>0</v>
      </c>
      <c r="G497" s="1">
        <v>-1566.519</v>
      </c>
      <c r="H497" s="1">
        <v>0</v>
      </c>
      <c r="I497" s="1">
        <v>596.76900000000001</v>
      </c>
    </row>
    <row r="498" spans="1:9" hidden="1" x14ac:dyDescent="0.25">
      <c r="A498" s="1" t="s">
        <v>158</v>
      </c>
      <c r="B498" s="1" t="s">
        <v>53</v>
      </c>
      <c r="C498" s="1" t="s">
        <v>25</v>
      </c>
      <c r="D498" s="1">
        <v>0</v>
      </c>
      <c r="E498" s="1">
        <v>94.94</v>
      </c>
      <c r="F498" s="1">
        <v>0</v>
      </c>
      <c r="G498" s="1">
        <v>-1281.6969999999999</v>
      </c>
      <c r="H498" s="1">
        <v>0</v>
      </c>
      <c r="I498" s="1">
        <v>217.00700000000001</v>
      </c>
    </row>
    <row r="499" spans="1:9" hidden="1" x14ac:dyDescent="0.25">
      <c r="A499" s="1" t="s">
        <v>158</v>
      </c>
      <c r="B499" s="1" t="s">
        <v>53</v>
      </c>
      <c r="C499" s="1" t="s">
        <v>10</v>
      </c>
      <c r="D499" s="1">
        <v>0</v>
      </c>
      <c r="E499" s="1">
        <v>94.94</v>
      </c>
      <c r="F499" s="1">
        <v>0</v>
      </c>
      <c r="G499" s="1">
        <v>-1281.6969999999999</v>
      </c>
      <c r="H499" s="1">
        <v>0</v>
      </c>
      <c r="I499" s="1">
        <v>596.76900000000001</v>
      </c>
    </row>
    <row r="500" spans="1:9" hidden="1" x14ac:dyDescent="0.25">
      <c r="A500" s="1" t="s">
        <v>158</v>
      </c>
      <c r="B500" s="1" t="s">
        <v>54</v>
      </c>
      <c r="C500" s="1" t="s">
        <v>25</v>
      </c>
      <c r="D500" s="1">
        <v>0</v>
      </c>
      <c r="E500" s="1">
        <v>0</v>
      </c>
      <c r="F500" s="1">
        <v>-114.76</v>
      </c>
      <c r="G500" s="1">
        <v>-2272.248</v>
      </c>
      <c r="H500" s="1">
        <v>262.30900000000003</v>
      </c>
      <c r="I500" s="1">
        <v>0</v>
      </c>
    </row>
    <row r="501" spans="1:9" hidden="1" x14ac:dyDescent="0.25">
      <c r="A501" s="1" t="s">
        <v>158</v>
      </c>
      <c r="B501" s="1" t="s">
        <v>54</v>
      </c>
      <c r="C501" s="1" t="s">
        <v>10</v>
      </c>
      <c r="D501" s="1">
        <v>0</v>
      </c>
      <c r="E501" s="1">
        <v>0</v>
      </c>
      <c r="F501" s="1">
        <v>-114.76</v>
      </c>
      <c r="G501" s="1">
        <v>-2272.248</v>
      </c>
      <c r="H501" s="1">
        <v>721.34900000000005</v>
      </c>
      <c r="I501" s="1">
        <v>0</v>
      </c>
    </row>
    <row r="502" spans="1:9" hidden="1" x14ac:dyDescent="0.25">
      <c r="A502" s="1" t="s">
        <v>158</v>
      </c>
      <c r="B502" s="1" t="s">
        <v>55</v>
      </c>
      <c r="C502" s="1" t="s">
        <v>25</v>
      </c>
      <c r="D502" s="1">
        <v>0</v>
      </c>
      <c r="E502" s="1">
        <v>0</v>
      </c>
      <c r="F502" s="1">
        <v>-114.76</v>
      </c>
      <c r="G502" s="1">
        <v>-1859.1120000000001</v>
      </c>
      <c r="H502" s="1">
        <v>262.30900000000003</v>
      </c>
      <c r="I502" s="1">
        <v>0</v>
      </c>
    </row>
    <row r="503" spans="1:9" hidden="1" x14ac:dyDescent="0.25">
      <c r="A503" s="1" t="s">
        <v>158</v>
      </c>
      <c r="B503" s="1" t="s">
        <v>55</v>
      </c>
      <c r="C503" s="1" t="s">
        <v>10</v>
      </c>
      <c r="D503" s="1">
        <v>0</v>
      </c>
      <c r="E503" s="1">
        <v>0</v>
      </c>
      <c r="F503" s="1">
        <v>-114.76</v>
      </c>
      <c r="G503" s="1">
        <v>-1859.1120000000001</v>
      </c>
      <c r="H503" s="1">
        <v>721.34900000000005</v>
      </c>
      <c r="I503" s="1">
        <v>0</v>
      </c>
    </row>
    <row r="504" spans="1:9" hidden="1" x14ac:dyDescent="0.25">
      <c r="A504" s="1" t="s">
        <v>158</v>
      </c>
      <c r="B504" s="1" t="s">
        <v>56</v>
      </c>
      <c r="C504" s="1" t="s">
        <v>25</v>
      </c>
      <c r="D504" s="1">
        <v>0</v>
      </c>
      <c r="E504" s="1">
        <v>0</v>
      </c>
      <c r="F504" s="1">
        <v>114.76</v>
      </c>
      <c r="G504" s="1">
        <v>2272.248</v>
      </c>
      <c r="H504" s="1">
        <v>-262.30900000000003</v>
      </c>
      <c r="I504" s="1">
        <v>0</v>
      </c>
    </row>
    <row r="505" spans="1:9" hidden="1" x14ac:dyDescent="0.25">
      <c r="A505" s="1" t="s">
        <v>158</v>
      </c>
      <c r="B505" s="1" t="s">
        <v>56</v>
      </c>
      <c r="C505" s="1" t="s">
        <v>10</v>
      </c>
      <c r="D505" s="1">
        <v>0</v>
      </c>
      <c r="E505" s="1">
        <v>0</v>
      </c>
      <c r="F505" s="1">
        <v>114.76</v>
      </c>
      <c r="G505" s="1">
        <v>2272.248</v>
      </c>
      <c r="H505" s="1">
        <v>-721.34900000000005</v>
      </c>
      <c r="I505" s="1">
        <v>0</v>
      </c>
    </row>
    <row r="506" spans="1:9" hidden="1" x14ac:dyDescent="0.25">
      <c r="A506" s="1" t="s">
        <v>158</v>
      </c>
      <c r="B506" s="1" t="s">
        <v>57</v>
      </c>
      <c r="C506" s="1" t="s">
        <v>25</v>
      </c>
      <c r="D506" s="1">
        <v>0</v>
      </c>
      <c r="E506" s="1">
        <v>0</v>
      </c>
      <c r="F506" s="1">
        <v>114.76</v>
      </c>
      <c r="G506" s="1">
        <v>1859.1120000000001</v>
      </c>
      <c r="H506" s="1">
        <v>-262.30900000000003</v>
      </c>
      <c r="I506" s="1">
        <v>0</v>
      </c>
    </row>
    <row r="507" spans="1:9" hidden="1" x14ac:dyDescent="0.25">
      <c r="A507" s="1" t="s">
        <v>158</v>
      </c>
      <c r="B507" s="1" t="s">
        <v>57</v>
      </c>
      <c r="C507" s="1" t="s">
        <v>10</v>
      </c>
      <c r="D507" s="1">
        <v>0</v>
      </c>
      <c r="E507" s="1">
        <v>0</v>
      </c>
      <c r="F507" s="1">
        <v>114.76</v>
      </c>
      <c r="G507" s="1">
        <v>1859.1120000000001</v>
      </c>
      <c r="H507" s="1">
        <v>-721.34900000000005</v>
      </c>
      <c r="I507" s="1">
        <v>0</v>
      </c>
    </row>
    <row r="508" spans="1:9" hidden="1" x14ac:dyDescent="0.25">
      <c r="A508" s="1" t="s">
        <v>158</v>
      </c>
      <c r="B508" s="1" t="s">
        <v>58</v>
      </c>
      <c r="C508" s="1" t="s">
        <v>25</v>
      </c>
      <c r="D508" s="1">
        <v>0</v>
      </c>
      <c r="E508" s="1">
        <v>-94.94</v>
      </c>
      <c r="F508" s="1">
        <v>0</v>
      </c>
      <c r="G508" s="1">
        <v>1566.519</v>
      </c>
      <c r="H508" s="1">
        <v>0</v>
      </c>
      <c r="I508" s="1">
        <v>-217.00700000000001</v>
      </c>
    </row>
    <row r="509" spans="1:9" hidden="1" x14ac:dyDescent="0.25">
      <c r="A509" s="1" t="s">
        <v>158</v>
      </c>
      <c r="B509" s="1" t="s">
        <v>58</v>
      </c>
      <c r="C509" s="1" t="s">
        <v>10</v>
      </c>
      <c r="D509" s="1">
        <v>0</v>
      </c>
      <c r="E509" s="1">
        <v>-94.94</v>
      </c>
      <c r="F509" s="1">
        <v>0</v>
      </c>
      <c r="G509" s="1">
        <v>1566.519</v>
      </c>
      <c r="H509" s="1">
        <v>0</v>
      </c>
      <c r="I509" s="1">
        <v>-596.76900000000001</v>
      </c>
    </row>
    <row r="510" spans="1:9" hidden="1" x14ac:dyDescent="0.25">
      <c r="A510" s="1" t="s">
        <v>158</v>
      </c>
      <c r="B510" s="1" t="s">
        <v>59</v>
      </c>
      <c r="C510" s="1" t="s">
        <v>25</v>
      </c>
      <c r="D510" s="1">
        <v>0</v>
      </c>
      <c r="E510" s="1">
        <v>-94.94</v>
      </c>
      <c r="F510" s="1">
        <v>0</v>
      </c>
      <c r="G510" s="1">
        <v>1281.6969999999999</v>
      </c>
      <c r="H510" s="1">
        <v>0</v>
      </c>
      <c r="I510" s="1">
        <v>-217.00700000000001</v>
      </c>
    </row>
    <row r="511" spans="1:9" hidden="1" x14ac:dyDescent="0.25">
      <c r="A511" s="1" t="s">
        <v>158</v>
      </c>
      <c r="B511" s="1" t="s">
        <v>59</v>
      </c>
      <c r="C511" s="1" t="s">
        <v>10</v>
      </c>
      <c r="D511" s="1">
        <v>0</v>
      </c>
      <c r="E511" s="1">
        <v>-94.94</v>
      </c>
      <c r="F511" s="1">
        <v>0</v>
      </c>
      <c r="G511" s="1">
        <v>1281.6969999999999</v>
      </c>
      <c r="H511" s="1">
        <v>0</v>
      </c>
      <c r="I511" s="1">
        <v>-596.76900000000001</v>
      </c>
    </row>
    <row r="512" spans="1:9" hidden="1" x14ac:dyDescent="0.25">
      <c r="A512" s="1" t="s">
        <v>158</v>
      </c>
      <c r="B512" s="1" t="s">
        <v>60</v>
      </c>
      <c r="C512" s="1" t="s">
        <v>25</v>
      </c>
      <c r="D512" s="1">
        <v>0</v>
      </c>
      <c r="E512" s="1">
        <v>94.94</v>
      </c>
      <c r="F512" s="1">
        <v>0</v>
      </c>
      <c r="G512" s="1">
        <v>-1566.519</v>
      </c>
      <c r="H512" s="1">
        <v>0</v>
      </c>
      <c r="I512" s="1">
        <v>217.00700000000001</v>
      </c>
    </row>
    <row r="513" spans="1:9" hidden="1" x14ac:dyDescent="0.25">
      <c r="A513" s="1" t="s">
        <v>158</v>
      </c>
      <c r="B513" s="1" t="s">
        <v>60</v>
      </c>
      <c r="C513" s="1" t="s">
        <v>10</v>
      </c>
      <c r="D513" s="1">
        <v>0</v>
      </c>
      <c r="E513" s="1">
        <v>94.94</v>
      </c>
      <c r="F513" s="1">
        <v>0</v>
      </c>
      <c r="G513" s="1">
        <v>-1566.519</v>
      </c>
      <c r="H513" s="1">
        <v>0</v>
      </c>
      <c r="I513" s="1">
        <v>596.76900000000001</v>
      </c>
    </row>
    <row r="514" spans="1:9" hidden="1" x14ac:dyDescent="0.25">
      <c r="A514" s="1" t="s">
        <v>158</v>
      </c>
      <c r="B514" s="1" t="s">
        <v>61</v>
      </c>
      <c r="C514" s="1" t="s">
        <v>25</v>
      </c>
      <c r="D514" s="1">
        <v>0</v>
      </c>
      <c r="E514" s="1">
        <v>94.94</v>
      </c>
      <c r="F514" s="1">
        <v>0</v>
      </c>
      <c r="G514" s="1">
        <v>-1281.6969999999999</v>
      </c>
      <c r="H514" s="1">
        <v>0</v>
      </c>
      <c r="I514" s="1">
        <v>217.00700000000001</v>
      </c>
    </row>
    <row r="515" spans="1:9" hidden="1" x14ac:dyDescent="0.25">
      <c r="A515" s="1" t="s">
        <v>158</v>
      </c>
      <c r="B515" s="1" t="s">
        <v>61</v>
      </c>
      <c r="C515" s="1" t="s">
        <v>10</v>
      </c>
      <c r="D515" s="1">
        <v>0</v>
      </c>
      <c r="E515" s="1">
        <v>94.94</v>
      </c>
      <c r="F515" s="1">
        <v>0</v>
      </c>
      <c r="G515" s="1">
        <v>-1281.6969999999999</v>
      </c>
      <c r="H515" s="1">
        <v>0</v>
      </c>
      <c r="I515" s="1">
        <v>596.76900000000001</v>
      </c>
    </row>
    <row r="516" spans="1:9" hidden="1" x14ac:dyDescent="0.25">
      <c r="A516" s="1" t="s">
        <v>158</v>
      </c>
      <c r="B516" s="1" t="s">
        <v>62</v>
      </c>
      <c r="C516" s="1" t="s">
        <v>25</v>
      </c>
      <c r="D516" s="1">
        <v>0</v>
      </c>
      <c r="E516" s="1">
        <v>0</v>
      </c>
      <c r="F516" s="1">
        <v>-114.76</v>
      </c>
      <c r="G516" s="1">
        <v>-2272.248</v>
      </c>
      <c r="H516" s="1">
        <v>262.30900000000003</v>
      </c>
      <c r="I516" s="1">
        <v>0</v>
      </c>
    </row>
    <row r="517" spans="1:9" hidden="1" x14ac:dyDescent="0.25">
      <c r="A517" s="1" t="s">
        <v>158</v>
      </c>
      <c r="B517" s="1" t="s">
        <v>62</v>
      </c>
      <c r="C517" s="1" t="s">
        <v>10</v>
      </c>
      <c r="D517" s="1">
        <v>0</v>
      </c>
      <c r="E517" s="1">
        <v>0</v>
      </c>
      <c r="F517" s="1">
        <v>-114.76</v>
      </c>
      <c r="G517" s="1">
        <v>-2272.248</v>
      </c>
      <c r="H517" s="1">
        <v>721.34900000000005</v>
      </c>
      <c r="I517" s="1">
        <v>0</v>
      </c>
    </row>
    <row r="518" spans="1:9" hidden="1" x14ac:dyDescent="0.25">
      <c r="A518" s="1" t="s">
        <v>158</v>
      </c>
      <c r="B518" s="1" t="s">
        <v>63</v>
      </c>
      <c r="C518" s="1" t="s">
        <v>25</v>
      </c>
      <c r="D518" s="1">
        <v>0</v>
      </c>
      <c r="E518" s="1">
        <v>0</v>
      </c>
      <c r="F518" s="1">
        <v>-114.76</v>
      </c>
      <c r="G518" s="1">
        <v>-1859.1120000000001</v>
      </c>
      <c r="H518" s="1">
        <v>262.30900000000003</v>
      </c>
      <c r="I518" s="1">
        <v>0</v>
      </c>
    </row>
    <row r="519" spans="1:9" hidden="1" x14ac:dyDescent="0.25">
      <c r="A519" s="1" t="s">
        <v>158</v>
      </c>
      <c r="B519" s="1" t="s">
        <v>63</v>
      </c>
      <c r="C519" s="1" t="s">
        <v>10</v>
      </c>
      <c r="D519" s="1">
        <v>0</v>
      </c>
      <c r="E519" s="1">
        <v>0</v>
      </c>
      <c r="F519" s="1">
        <v>-114.76</v>
      </c>
      <c r="G519" s="1">
        <v>-1859.1120000000001</v>
      </c>
      <c r="H519" s="1">
        <v>721.34900000000005</v>
      </c>
      <c r="I519" s="1">
        <v>0</v>
      </c>
    </row>
    <row r="520" spans="1:9" hidden="1" x14ac:dyDescent="0.25">
      <c r="A520" s="1" t="s">
        <v>158</v>
      </c>
      <c r="B520" s="1" t="s">
        <v>64</v>
      </c>
      <c r="C520" s="1" t="s">
        <v>25</v>
      </c>
      <c r="D520" s="1">
        <v>0</v>
      </c>
      <c r="E520" s="1">
        <v>0</v>
      </c>
      <c r="F520" s="1">
        <v>114.76</v>
      </c>
      <c r="G520" s="1">
        <v>2272.248</v>
      </c>
      <c r="H520" s="1">
        <v>-262.30900000000003</v>
      </c>
      <c r="I520" s="1">
        <v>0</v>
      </c>
    </row>
    <row r="521" spans="1:9" hidden="1" x14ac:dyDescent="0.25">
      <c r="A521" s="1" t="s">
        <v>158</v>
      </c>
      <c r="B521" s="1" t="s">
        <v>64</v>
      </c>
      <c r="C521" s="1" t="s">
        <v>10</v>
      </c>
      <c r="D521" s="1">
        <v>0</v>
      </c>
      <c r="E521" s="1">
        <v>0</v>
      </c>
      <c r="F521" s="1">
        <v>114.76</v>
      </c>
      <c r="G521" s="1">
        <v>2272.248</v>
      </c>
      <c r="H521" s="1">
        <v>-721.34900000000005</v>
      </c>
      <c r="I521" s="1">
        <v>0</v>
      </c>
    </row>
    <row r="522" spans="1:9" hidden="1" x14ac:dyDescent="0.25">
      <c r="A522" s="1" t="s">
        <v>158</v>
      </c>
      <c r="B522" s="1" t="s">
        <v>65</v>
      </c>
      <c r="C522" s="1" t="s">
        <v>25</v>
      </c>
      <c r="D522" s="1">
        <v>0</v>
      </c>
      <c r="E522" s="1">
        <v>0</v>
      </c>
      <c r="F522" s="1">
        <v>114.76</v>
      </c>
      <c r="G522" s="1">
        <v>1859.1120000000001</v>
      </c>
      <c r="H522" s="1">
        <v>-262.30900000000003</v>
      </c>
      <c r="I522" s="1">
        <v>0</v>
      </c>
    </row>
    <row r="523" spans="1:9" hidden="1" x14ac:dyDescent="0.25">
      <c r="A523" s="1" t="s">
        <v>158</v>
      </c>
      <c r="B523" s="1" t="s">
        <v>65</v>
      </c>
      <c r="C523" s="1" t="s">
        <v>10</v>
      </c>
      <c r="D523" s="1">
        <v>0</v>
      </c>
      <c r="E523" s="1">
        <v>0</v>
      </c>
      <c r="F523" s="1">
        <v>114.76</v>
      </c>
      <c r="G523" s="1">
        <v>1859.1120000000001</v>
      </c>
      <c r="H523" s="1">
        <v>-721.34900000000005</v>
      </c>
      <c r="I523" s="1">
        <v>0</v>
      </c>
    </row>
    <row r="524" spans="1:9" hidden="1" x14ac:dyDescent="0.25">
      <c r="A524" s="1" t="s">
        <v>158</v>
      </c>
      <c r="B524" s="1" t="s">
        <v>66</v>
      </c>
      <c r="C524" s="1" t="s">
        <v>25</v>
      </c>
      <c r="D524" s="1">
        <v>0</v>
      </c>
      <c r="E524" s="1">
        <v>-316.47000000000003</v>
      </c>
      <c r="F524" s="1">
        <v>0</v>
      </c>
      <c r="G524" s="1">
        <v>5221.7299999999996</v>
      </c>
      <c r="H524" s="1">
        <v>0</v>
      </c>
      <c r="I524" s="1">
        <v>-723.35699999999997</v>
      </c>
    </row>
    <row r="525" spans="1:9" hidden="1" x14ac:dyDescent="0.25">
      <c r="A525" s="1" t="s">
        <v>158</v>
      </c>
      <c r="B525" s="1" t="s">
        <v>66</v>
      </c>
      <c r="C525" s="1" t="s">
        <v>10</v>
      </c>
      <c r="D525" s="1">
        <v>0</v>
      </c>
      <c r="E525" s="1">
        <v>-316.47000000000003</v>
      </c>
      <c r="F525" s="1">
        <v>0</v>
      </c>
      <c r="G525" s="1">
        <v>5221.7299999999996</v>
      </c>
      <c r="H525" s="1">
        <v>0</v>
      </c>
      <c r="I525" s="1">
        <v>-1989.231</v>
      </c>
    </row>
    <row r="526" spans="1:9" hidden="1" x14ac:dyDescent="0.25">
      <c r="A526" s="1" t="s">
        <v>158</v>
      </c>
      <c r="B526" s="1" t="s">
        <v>67</v>
      </c>
      <c r="C526" s="1" t="s">
        <v>25</v>
      </c>
      <c r="D526" s="1">
        <v>0</v>
      </c>
      <c r="E526" s="1">
        <v>-316.47000000000003</v>
      </c>
      <c r="F526" s="1">
        <v>0</v>
      </c>
      <c r="G526" s="1">
        <v>4272.3249999999998</v>
      </c>
      <c r="H526" s="1">
        <v>0</v>
      </c>
      <c r="I526" s="1">
        <v>-723.35699999999997</v>
      </c>
    </row>
    <row r="527" spans="1:9" hidden="1" x14ac:dyDescent="0.25">
      <c r="A527" s="1" t="s">
        <v>158</v>
      </c>
      <c r="B527" s="1" t="s">
        <v>67</v>
      </c>
      <c r="C527" s="1" t="s">
        <v>10</v>
      </c>
      <c r="D527" s="1">
        <v>0</v>
      </c>
      <c r="E527" s="1">
        <v>-316.47000000000003</v>
      </c>
      <c r="F527" s="1">
        <v>0</v>
      </c>
      <c r="G527" s="1">
        <v>4272.3249999999998</v>
      </c>
      <c r="H527" s="1">
        <v>0</v>
      </c>
      <c r="I527" s="1">
        <v>-1989.231</v>
      </c>
    </row>
    <row r="528" spans="1:9" hidden="1" x14ac:dyDescent="0.25">
      <c r="A528" s="1" t="s">
        <v>158</v>
      </c>
      <c r="B528" s="1" t="s">
        <v>68</v>
      </c>
      <c r="C528" s="1" t="s">
        <v>25</v>
      </c>
      <c r="D528" s="1">
        <v>0</v>
      </c>
      <c r="E528" s="1">
        <v>316.47000000000003</v>
      </c>
      <c r="F528" s="1">
        <v>0</v>
      </c>
      <c r="G528" s="1">
        <v>-5221.7299999999996</v>
      </c>
      <c r="H528" s="1">
        <v>0</v>
      </c>
      <c r="I528" s="1">
        <v>723.35699999999997</v>
      </c>
    </row>
    <row r="529" spans="1:9" hidden="1" x14ac:dyDescent="0.25">
      <c r="A529" s="1" t="s">
        <v>158</v>
      </c>
      <c r="B529" s="1" t="s">
        <v>68</v>
      </c>
      <c r="C529" s="1" t="s">
        <v>10</v>
      </c>
      <c r="D529" s="1">
        <v>0</v>
      </c>
      <c r="E529" s="1">
        <v>316.47000000000003</v>
      </c>
      <c r="F529" s="1">
        <v>0</v>
      </c>
      <c r="G529" s="1">
        <v>-5221.7299999999996</v>
      </c>
      <c r="H529" s="1">
        <v>0</v>
      </c>
      <c r="I529" s="1">
        <v>1989.231</v>
      </c>
    </row>
    <row r="530" spans="1:9" hidden="1" x14ac:dyDescent="0.25">
      <c r="A530" s="1" t="s">
        <v>158</v>
      </c>
      <c r="B530" s="1" t="s">
        <v>69</v>
      </c>
      <c r="C530" s="1" t="s">
        <v>25</v>
      </c>
      <c r="D530" s="1">
        <v>0</v>
      </c>
      <c r="E530" s="1">
        <v>316.47000000000003</v>
      </c>
      <c r="F530" s="1">
        <v>0</v>
      </c>
      <c r="G530" s="1">
        <v>-4272.3249999999998</v>
      </c>
      <c r="H530" s="1">
        <v>0</v>
      </c>
      <c r="I530" s="1">
        <v>723.35699999999997</v>
      </c>
    </row>
    <row r="531" spans="1:9" hidden="1" x14ac:dyDescent="0.25">
      <c r="A531" s="1" t="s">
        <v>158</v>
      </c>
      <c r="B531" s="1" t="s">
        <v>69</v>
      </c>
      <c r="C531" s="1" t="s">
        <v>10</v>
      </c>
      <c r="D531" s="1">
        <v>0</v>
      </c>
      <c r="E531" s="1">
        <v>316.47000000000003</v>
      </c>
      <c r="F531" s="1">
        <v>0</v>
      </c>
      <c r="G531" s="1">
        <v>-4272.3249999999998</v>
      </c>
      <c r="H531" s="1">
        <v>0</v>
      </c>
      <c r="I531" s="1">
        <v>1989.231</v>
      </c>
    </row>
    <row r="532" spans="1:9" hidden="1" x14ac:dyDescent="0.25">
      <c r="A532" s="1" t="s">
        <v>158</v>
      </c>
      <c r="B532" s="1" t="s">
        <v>70</v>
      </c>
      <c r="C532" s="1" t="s">
        <v>25</v>
      </c>
      <c r="D532" s="1">
        <v>0</v>
      </c>
      <c r="E532" s="1">
        <v>0</v>
      </c>
      <c r="F532" s="1">
        <v>-382.53</v>
      </c>
      <c r="G532" s="1">
        <v>-7574.16</v>
      </c>
      <c r="H532" s="1">
        <v>874.36199999999997</v>
      </c>
      <c r="I532" s="1">
        <v>0</v>
      </c>
    </row>
    <row r="533" spans="1:9" hidden="1" x14ac:dyDescent="0.25">
      <c r="A533" s="1" t="s">
        <v>158</v>
      </c>
      <c r="B533" s="1" t="s">
        <v>70</v>
      </c>
      <c r="C533" s="1" t="s">
        <v>10</v>
      </c>
      <c r="D533" s="1">
        <v>0</v>
      </c>
      <c r="E533" s="1">
        <v>0</v>
      </c>
      <c r="F533" s="1">
        <v>-382.53</v>
      </c>
      <c r="G533" s="1">
        <v>-7574.16</v>
      </c>
      <c r="H533" s="1">
        <v>2404.4949999999999</v>
      </c>
      <c r="I533" s="1">
        <v>0</v>
      </c>
    </row>
    <row r="534" spans="1:9" hidden="1" x14ac:dyDescent="0.25">
      <c r="A534" s="1" t="s">
        <v>158</v>
      </c>
      <c r="B534" s="1" t="s">
        <v>71</v>
      </c>
      <c r="C534" s="1" t="s">
        <v>25</v>
      </c>
      <c r="D534" s="1">
        <v>0</v>
      </c>
      <c r="E534" s="1">
        <v>0</v>
      </c>
      <c r="F534" s="1">
        <v>-382.53</v>
      </c>
      <c r="G534" s="1">
        <v>-6197.04</v>
      </c>
      <c r="H534" s="1">
        <v>874.36199999999997</v>
      </c>
      <c r="I534" s="1">
        <v>0</v>
      </c>
    </row>
    <row r="535" spans="1:9" hidden="1" x14ac:dyDescent="0.25">
      <c r="A535" s="1" t="s">
        <v>158</v>
      </c>
      <c r="B535" s="1" t="s">
        <v>71</v>
      </c>
      <c r="C535" s="1" t="s">
        <v>10</v>
      </c>
      <c r="D535" s="1">
        <v>0</v>
      </c>
      <c r="E535" s="1">
        <v>0</v>
      </c>
      <c r="F535" s="1">
        <v>-382.53</v>
      </c>
      <c r="G535" s="1">
        <v>-6197.04</v>
      </c>
      <c r="H535" s="1">
        <v>2404.4949999999999</v>
      </c>
      <c r="I535" s="1">
        <v>0</v>
      </c>
    </row>
    <row r="536" spans="1:9" hidden="1" x14ac:dyDescent="0.25">
      <c r="A536" s="1" t="s">
        <v>158</v>
      </c>
      <c r="B536" s="1" t="s">
        <v>72</v>
      </c>
      <c r="C536" s="1" t="s">
        <v>25</v>
      </c>
      <c r="D536" s="1">
        <v>0</v>
      </c>
      <c r="E536" s="1">
        <v>0</v>
      </c>
      <c r="F536" s="1">
        <v>382.53</v>
      </c>
      <c r="G536" s="1">
        <v>7574.16</v>
      </c>
      <c r="H536" s="1">
        <v>-874.36199999999997</v>
      </c>
      <c r="I536" s="1">
        <v>0</v>
      </c>
    </row>
    <row r="537" spans="1:9" hidden="1" x14ac:dyDescent="0.25">
      <c r="A537" s="1" t="s">
        <v>158</v>
      </c>
      <c r="B537" s="1" t="s">
        <v>72</v>
      </c>
      <c r="C537" s="1" t="s">
        <v>10</v>
      </c>
      <c r="D537" s="1">
        <v>0</v>
      </c>
      <c r="E537" s="1">
        <v>0</v>
      </c>
      <c r="F537" s="1">
        <v>382.53</v>
      </c>
      <c r="G537" s="1">
        <v>7574.16</v>
      </c>
      <c r="H537" s="1">
        <v>-2404.4949999999999</v>
      </c>
      <c r="I537" s="1">
        <v>0</v>
      </c>
    </row>
    <row r="538" spans="1:9" hidden="1" x14ac:dyDescent="0.25">
      <c r="A538" s="1" t="s">
        <v>158</v>
      </c>
      <c r="B538" s="1" t="s">
        <v>73</v>
      </c>
      <c r="C538" s="1" t="s">
        <v>25</v>
      </c>
      <c r="D538" s="1">
        <v>0</v>
      </c>
      <c r="E538" s="1">
        <v>0</v>
      </c>
      <c r="F538" s="1">
        <v>382.53</v>
      </c>
      <c r="G538" s="1">
        <v>6197.04</v>
      </c>
      <c r="H538" s="1">
        <v>-874.36199999999997</v>
      </c>
      <c r="I538" s="1">
        <v>0</v>
      </c>
    </row>
    <row r="539" spans="1:9" hidden="1" x14ac:dyDescent="0.25">
      <c r="A539" s="1" t="s">
        <v>158</v>
      </c>
      <c r="B539" s="1" t="s">
        <v>73</v>
      </c>
      <c r="C539" s="1" t="s">
        <v>10</v>
      </c>
      <c r="D539" s="1">
        <v>0</v>
      </c>
      <c r="E539" s="1">
        <v>0</v>
      </c>
      <c r="F539" s="1">
        <v>382.53</v>
      </c>
      <c r="G539" s="1">
        <v>6197.04</v>
      </c>
      <c r="H539" s="1">
        <v>-2404.4949999999999</v>
      </c>
      <c r="I539" s="1">
        <v>0</v>
      </c>
    </row>
    <row r="540" spans="1:9" hidden="1" x14ac:dyDescent="0.25">
      <c r="A540" s="1" t="s">
        <v>158</v>
      </c>
      <c r="B540" s="1" t="s">
        <v>74</v>
      </c>
      <c r="C540" s="1" t="s">
        <v>25</v>
      </c>
      <c r="D540" s="1">
        <v>0</v>
      </c>
      <c r="E540" s="1">
        <v>-316.47000000000003</v>
      </c>
      <c r="F540" s="1">
        <v>0</v>
      </c>
      <c r="G540" s="1">
        <v>5221.7299999999996</v>
      </c>
      <c r="H540" s="1">
        <v>0</v>
      </c>
      <c r="I540" s="1">
        <v>-723.35699999999997</v>
      </c>
    </row>
    <row r="541" spans="1:9" hidden="1" x14ac:dyDescent="0.25">
      <c r="A541" s="1" t="s">
        <v>158</v>
      </c>
      <c r="B541" s="1" t="s">
        <v>74</v>
      </c>
      <c r="C541" s="1" t="s">
        <v>10</v>
      </c>
      <c r="D541" s="1">
        <v>0</v>
      </c>
      <c r="E541" s="1">
        <v>-316.47000000000003</v>
      </c>
      <c r="F541" s="1">
        <v>0</v>
      </c>
      <c r="G541" s="1">
        <v>5221.7299999999996</v>
      </c>
      <c r="H541" s="1">
        <v>0</v>
      </c>
      <c r="I541" s="1">
        <v>-1989.231</v>
      </c>
    </row>
    <row r="542" spans="1:9" hidden="1" x14ac:dyDescent="0.25">
      <c r="A542" s="1" t="s">
        <v>158</v>
      </c>
      <c r="B542" s="1" t="s">
        <v>75</v>
      </c>
      <c r="C542" s="1" t="s">
        <v>25</v>
      </c>
      <c r="D542" s="1">
        <v>0</v>
      </c>
      <c r="E542" s="1">
        <v>-316.47000000000003</v>
      </c>
      <c r="F542" s="1">
        <v>0</v>
      </c>
      <c r="G542" s="1">
        <v>4272.3249999999998</v>
      </c>
      <c r="H542" s="1">
        <v>0</v>
      </c>
      <c r="I542" s="1">
        <v>-723.35699999999997</v>
      </c>
    </row>
    <row r="543" spans="1:9" hidden="1" x14ac:dyDescent="0.25">
      <c r="A543" s="1" t="s">
        <v>158</v>
      </c>
      <c r="B543" s="1" t="s">
        <v>75</v>
      </c>
      <c r="C543" s="1" t="s">
        <v>10</v>
      </c>
      <c r="D543" s="1">
        <v>0</v>
      </c>
      <c r="E543" s="1">
        <v>-316.47000000000003</v>
      </c>
      <c r="F543" s="1">
        <v>0</v>
      </c>
      <c r="G543" s="1">
        <v>4272.3249999999998</v>
      </c>
      <c r="H543" s="1">
        <v>0</v>
      </c>
      <c r="I543" s="1">
        <v>-1989.231</v>
      </c>
    </row>
    <row r="544" spans="1:9" hidden="1" x14ac:dyDescent="0.25">
      <c r="A544" s="1" t="s">
        <v>158</v>
      </c>
      <c r="B544" s="1" t="s">
        <v>76</v>
      </c>
      <c r="C544" s="1" t="s">
        <v>25</v>
      </c>
      <c r="D544" s="1">
        <v>0</v>
      </c>
      <c r="E544" s="1">
        <v>316.47000000000003</v>
      </c>
      <c r="F544" s="1">
        <v>0</v>
      </c>
      <c r="G544" s="1">
        <v>-5221.7299999999996</v>
      </c>
      <c r="H544" s="1">
        <v>0</v>
      </c>
      <c r="I544" s="1">
        <v>723.35699999999997</v>
      </c>
    </row>
    <row r="545" spans="1:9" hidden="1" x14ac:dyDescent="0.25">
      <c r="A545" s="1" t="s">
        <v>158</v>
      </c>
      <c r="B545" s="1" t="s">
        <v>76</v>
      </c>
      <c r="C545" s="1" t="s">
        <v>10</v>
      </c>
      <c r="D545" s="1">
        <v>0</v>
      </c>
      <c r="E545" s="1">
        <v>316.47000000000003</v>
      </c>
      <c r="F545" s="1">
        <v>0</v>
      </c>
      <c r="G545" s="1">
        <v>-5221.7299999999996</v>
      </c>
      <c r="H545" s="1">
        <v>0</v>
      </c>
      <c r="I545" s="1">
        <v>1989.231</v>
      </c>
    </row>
    <row r="546" spans="1:9" hidden="1" x14ac:dyDescent="0.25">
      <c r="A546" s="1" t="s">
        <v>158</v>
      </c>
      <c r="B546" s="1" t="s">
        <v>77</v>
      </c>
      <c r="C546" s="1" t="s">
        <v>25</v>
      </c>
      <c r="D546" s="1">
        <v>0</v>
      </c>
      <c r="E546" s="1">
        <v>316.47000000000003</v>
      </c>
      <c r="F546" s="1">
        <v>0</v>
      </c>
      <c r="G546" s="1">
        <v>-4272.3249999999998</v>
      </c>
      <c r="H546" s="1">
        <v>0</v>
      </c>
      <c r="I546" s="1">
        <v>723.35699999999997</v>
      </c>
    </row>
    <row r="547" spans="1:9" hidden="1" x14ac:dyDescent="0.25">
      <c r="A547" s="1" t="s">
        <v>158</v>
      </c>
      <c r="B547" s="1" t="s">
        <v>77</v>
      </c>
      <c r="C547" s="1" t="s">
        <v>10</v>
      </c>
      <c r="D547" s="1">
        <v>0</v>
      </c>
      <c r="E547" s="1">
        <v>316.47000000000003</v>
      </c>
      <c r="F547" s="1">
        <v>0</v>
      </c>
      <c r="G547" s="1">
        <v>-4272.3249999999998</v>
      </c>
      <c r="H547" s="1">
        <v>0</v>
      </c>
      <c r="I547" s="1">
        <v>1989.231</v>
      </c>
    </row>
    <row r="548" spans="1:9" hidden="1" x14ac:dyDescent="0.25">
      <c r="A548" s="1" t="s">
        <v>158</v>
      </c>
      <c r="B548" s="1" t="s">
        <v>78</v>
      </c>
      <c r="C548" s="1" t="s">
        <v>25</v>
      </c>
      <c r="D548" s="1">
        <v>0</v>
      </c>
      <c r="E548" s="1">
        <v>0</v>
      </c>
      <c r="F548" s="1">
        <v>-382.53</v>
      </c>
      <c r="G548" s="1">
        <v>-7574.16</v>
      </c>
      <c r="H548" s="1">
        <v>874.36199999999997</v>
      </c>
      <c r="I548" s="1">
        <v>0</v>
      </c>
    </row>
    <row r="549" spans="1:9" hidden="1" x14ac:dyDescent="0.25">
      <c r="A549" s="1" t="s">
        <v>158</v>
      </c>
      <c r="B549" s="1" t="s">
        <v>78</v>
      </c>
      <c r="C549" s="1" t="s">
        <v>10</v>
      </c>
      <c r="D549" s="1">
        <v>0</v>
      </c>
      <c r="E549" s="1">
        <v>0</v>
      </c>
      <c r="F549" s="1">
        <v>-382.53</v>
      </c>
      <c r="G549" s="1">
        <v>-7574.16</v>
      </c>
      <c r="H549" s="1">
        <v>2404.4949999999999</v>
      </c>
      <c r="I549" s="1">
        <v>0</v>
      </c>
    </row>
    <row r="550" spans="1:9" hidden="1" x14ac:dyDescent="0.25">
      <c r="A550" s="1" t="s">
        <v>158</v>
      </c>
      <c r="B550" s="1" t="s">
        <v>79</v>
      </c>
      <c r="C550" s="1" t="s">
        <v>25</v>
      </c>
      <c r="D550" s="1">
        <v>0</v>
      </c>
      <c r="E550" s="1">
        <v>0</v>
      </c>
      <c r="F550" s="1">
        <v>-382.53</v>
      </c>
      <c r="G550" s="1">
        <v>-6197.04</v>
      </c>
      <c r="H550" s="1">
        <v>874.36199999999997</v>
      </c>
      <c r="I550" s="1">
        <v>0</v>
      </c>
    </row>
    <row r="551" spans="1:9" hidden="1" x14ac:dyDescent="0.25">
      <c r="A551" s="1" t="s">
        <v>158</v>
      </c>
      <c r="B551" s="1" t="s">
        <v>79</v>
      </c>
      <c r="C551" s="1" t="s">
        <v>10</v>
      </c>
      <c r="D551" s="1">
        <v>0</v>
      </c>
      <c r="E551" s="1">
        <v>0</v>
      </c>
      <c r="F551" s="1">
        <v>-382.53</v>
      </c>
      <c r="G551" s="1">
        <v>-6197.04</v>
      </c>
      <c r="H551" s="1">
        <v>2404.4949999999999</v>
      </c>
      <c r="I551" s="1">
        <v>0</v>
      </c>
    </row>
    <row r="552" spans="1:9" hidden="1" x14ac:dyDescent="0.25">
      <c r="A552" s="1" t="s">
        <v>158</v>
      </c>
      <c r="B552" s="1" t="s">
        <v>80</v>
      </c>
      <c r="C552" s="1" t="s">
        <v>25</v>
      </c>
      <c r="D552" s="1">
        <v>0</v>
      </c>
      <c r="E552" s="1">
        <v>0</v>
      </c>
      <c r="F552" s="1">
        <v>382.53</v>
      </c>
      <c r="G552" s="1">
        <v>7574.16</v>
      </c>
      <c r="H552" s="1">
        <v>-874.36199999999997</v>
      </c>
      <c r="I552" s="1">
        <v>0</v>
      </c>
    </row>
    <row r="553" spans="1:9" hidden="1" x14ac:dyDescent="0.25">
      <c r="A553" s="1" t="s">
        <v>158</v>
      </c>
      <c r="B553" s="1" t="s">
        <v>80</v>
      </c>
      <c r="C553" s="1" t="s">
        <v>10</v>
      </c>
      <c r="D553" s="1">
        <v>0</v>
      </c>
      <c r="E553" s="1">
        <v>0</v>
      </c>
      <c r="F553" s="1">
        <v>382.53</v>
      </c>
      <c r="G553" s="1">
        <v>7574.16</v>
      </c>
      <c r="H553" s="1">
        <v>-2404.4949999999999</v>
      </c>
      <c r="I553" s="1">
        <v>0</v>
      </c>
    </row>
    <row r="554" spans="1:9" hidden="1" x14ac:dyDescent="0.25">
      <c r="A554" s="1" t="s">
        <v>158</v>
      </c>
      <c r="B554" s="1" t="s">
        <v>81</v>
      </c>
      <c r="C554" s="1" t="s">
        <v>25</v>
      </c>
      <c r="D554" s="1">
        <v>0</v>
      </c>
      <c r="E554" s="1">
        <v>0</v>
      </c>
      <c r="F554" s="1">
        <v>382.53</v>
      </c>
      <c r="G554" s="1">
        <v>6197.04</v>
      </c>
      <c r="H554" s="1">
        <v>-874.36199999999997</v>
      </c>
      <c r="I554" s="1">
        <v>0</v>
      </c>
    </row>
    <row r="555" spans="1:9" hidden="1" x14ac:dyDescent="0.25">
      <c r="A555" s="1" t="s">
        <v>158</v>
      </c>
      <c r="B555" s="1" t="s">
        <v>81</v>
      </c>
      <c r="C555" s="1" t="s">
        <v>10</v>
      </c>
      <c r="D555" s="1">
        <v>0</v>
      </c>
      <c r="E555" s="1">
        <v>0</v>
      </c>
      <c r="F555" s="1">
        <v>382.53</v>
      </c>
      <c r="G555" s="1">
        <v>6197.04</v>
      </c>
      <c r="H555" s="1">
        <v>-2404.4949999999999</v>
      </c>
      <c r="I555" s="1">
        <v>0</v>
      </c>
    </row>
    <row r="556" spans="1:9" hidden="1" x14ac:dyDescent="0.25">
      <c r="A556" s="1" t="s">
        <v>158</v>
      </c>
      <c r="B556" s="1" t="s">
        <v>82</v>
      </c>
      <c r="C556" s="1" t="s">
        <v>25</v>
      </c>
      <c r="D556" s="1">
        <v>0</v>
      </c>
      <c r="E556" s="1">
        <v>-94.94</v>
      </c>
      <c r="F556" s="1">
        <v>0</v>
      </c>
      <c r="G556" s="1">
        <v>1566.519</v>
      </c>
      <c r="H556" s="1">
        <v>0</v>
      </c>
      <c r="I556" s="1">
        <v>-217.00700000000001</v>
      </c>
    </row>
    <row r="557" spans="1:9" hidden="1" x14ac:dyDescent="0.25">
      <c r="A557" s="1" t="s">
        <v>158</v>
      </c>
      <c r="B557" s="1" t="s">
        <v>82</v>
      </c>
      <c r="C557" s="1" t="s">
        <v>10</v>
      </c>
      <c r="D557" s="1">
        <v>0</v>
      </c>
      <c r="E557" s="1">
        <v>-94.94</v>
      </c>
      <c r="F557" s="1">
        <v>0</v>
      </c>
      <c r="G557" s="1">
        <v>1566.519</v>
      </c>
      <c r="H557" s="1">
        <v>0</v>
      </c>
      <c r="I557" s="1">
        <v>-596.76900000000001</v>
      </c>
    </row>
    <row r="558" spans="1:9" hidden="1" x14ac:dyDescent="0.25">
      <c r="A558" s="1" t="s">
        <v>158</v>
      </c>
      <c r="B558" s="1" t="s">
        <v>83</v>
      </c>
      <c r="C558" s="1" t="s">
        <v>25</v>
      </c>
      <c r="D558" s="1">
        <v>0</v>
      </c>
      <c r="E558" s="1">
        <v>-94.94</v>
      </c>
      <c r="F558" s="1">
        <v>0</v>
      </c>
      <c r="G558" s="1">
        <v>1281.6969999999999</v>
      </c>
      <c r="H558" s="1">
        <v>0</v>
      </c>
      <c r="I558" s="1">
        <v>-217.00700000000001</v>
      </c>
    </row>
    <row r="559" spans="1:9" hidden="1" x14ac:dyDescent="0.25">
      <c r="A559" s="1" t="s">
        <v>158</v>
      </c>
      <c r="B559" s="1" t="s">
        <v>83</v>
      </c>
      <c r="C559" s="1" t="s">
        <v>10</v>
      </c>
      <c r="D559" s="1">
        <v>0</v>
      </c>
      <c r="E559" s="1">
        <v>-94.94</v>
      </c>
      <c r="F559" s="1">
        <v>0</v>
      </c>
      <c r="G559" s="1">
        <v>1281.6969999999999</v>
      </c>
      <c r="H559" s="1">
        <v>0</v>
      </c>
      <c r="I559" s="1">
        <v>-596.76900000000001</v>
      </c>
    </row>
    <row r="560" spans="1:9" hidden="1" x14ac:dyDescent="0.25">
      <c r="A560" s="1" t="s">
        <v>158</v>
      </c>
      <c r="B560" s="1" t="s">
        <v>84</v>
      </c>
      <c r="C560" s="1" t="s">
        <v>25</v>
      </c>
      <c r="D560" s="1">
        <v>0</v>
      </c>
      <c r="E560" s="1">
        <v>94.94</v>
      </c>
      <c r="F560" s="1">
        <v>0</v>
      </c>
      <c r="G560" s="1">
        <v>-1566.519</v>
      </c>
      <c r="H560" s="1">
        <v>0</v>
      </c>
      <c r="I560" s="1">
        <v>217.00700000000001</v>
      </c>
    </row>
    <row r="561" spans="1:9" hidden="1" x14ac:dyDescent="0.25">
      <c r="A561" s="1" t="s">
        <v>158</v>
      </c>
      <c r="B561" s="1" t="s">
        <v>84</v>
      </c>
      <c r="C561" s="1" t="s">
        <v>10</v>
      </c>
      <c r="D561" s="1">
        <v>0</v>
      </c>
      <c r="E561" s="1">
        <v>94.94</v>
      </c>
      <c r="F561" s="1">
        <v>0</v>
      </c>
      <c r="G561" s="1">
        <v>-1566.519</v>
      </c>
      <c r="H561" s="1">
        <v>0</v>
      </c>
      <c r="I561" s="1">
        <v>596.76900000000001</v>
      </c>
    </row>
    <row r="562" spans="1:9" hidden="1" x14ac:dyDescent="0.25">
      <c r="A562" s="1" t="s">
        <v>158</v>
      </c>
      <c r="B562" s="1" t="s">
        <v>85</v>
      </c>
      <c r="C562" s="1" t="s">
        <v>25</v>
      </c>
      <c r="D562" s="1">
        <v>0</v>
      </c>
      <c r="E562" s="1">
        <v>94.94</v>
      </c>
      <c r="F562" s="1">
        <v>0</v>
      </c>
      <c r="G562" s="1">
        <v>-1281.6969999999999</v>
      </c>
      <c r="H562" s="1">
        <v>0</v>
      </c>
      <c r="I562" s="1">
        <v>217.00700000000001</v>
      </c>
    </row>
    <row r="563" spans="1:9" hidden="1" x14ac:dyDescent="0.25">
      <c r="A563" s="1" t="s">
        <v>158</v>
      </c>
      <c r="B563" s="1" t="s">
        <v>85</v>
      </c>
      <c r="C563" s="1" t="s">
        <v>10</v>
      </c>
      <c r="D563" s="1">
        <v>0</v>
      </c>
      <c r="E563" s="1">
        <v>94.94</v>
      </c>
      <c r="F563" s="1">
        <v>0</v>
      </c>
      <c r="G563" s="1">
        <v>-1281.6969999999999</v>
      </c>
      <c r="H563" s="1">
        <v>0</v>
      </c>
      <c r="I563" s="1">
        <v>596.76900000000001</v>
      </c>
    </row>
    <row r="564" spans="1:9" hidden="1" x14ac:dyDescent="0.25">
      <c r="A564" s="1" t="s">
        <v>158</v>
      </c>
      <c r="B564" s="1" t="s">
        <v>86</v>
      </c>
      <c r="C564" s="1" t="s">
        <v>25</v>
      </c>
      <c r="D564" s="1">
        <v>0</v>
      </c>
      <c r="E564" s="1">
        <v>0</v>
      </c>
      <c r="F564" s="1">
        <v>-114.76</v>
      </c>
      <c r="G564" s="1">
        <v>-2272.248</v>
      </c>
      <c r="H564" s="1">
        <v>262.30900000000003</v>
      </c>
      <c r="I564" s="1">
        <v>0</v>
      </c>
    </row>
    <row r="565" spans="1:9" hidden="1" x14ac:dyDescent="0.25">
      <c r="A565" s="1" t="s">
        <v>158</v>
      </c>
      <c r="B565" s="1" t="s">
        <v>86</v>
      </c>
      <c r="C565" s="1" t="s">
        <v>10</v>
      </c>
      <c r="D565" s="1">
        <v>0</v>
      </c>
      <c r="E565" s="1">
        <v>0</v>
      </c>
      <c r="F565" s="1">
        <v>-114.76</v>
      </c>
      <c r="G565" s="1">
        <v>-2272.248</v>
      </c>
      <c r="H565" s="1">
        <v>721.34900000000005</v>
      </c>
      <c r="I565" s="1">
        <v>0</v>
      </c>
    </row>
    <row r="566" spans="1:9" hidden="1" x14ac:dyDescent="0.25">
      <c r="A566" s="1" t="s">
        <v>158</v>
      </c>
      <c r="B566" s="1" t="s">
        <v>87</v>
      </c>
      <c r="C566" s="1" t="s">
        <v>25</v>
      </c>
      <c r="D566" s="1">
        <v>0</v>
      </c>
      <c r="E566" s="1">
        <v>0</v>
      </c>
      <c r="F566" s="1">
        <v>-114.76</v>
      </c>
      <c r="G566" s="1">
        <v>-1859.1120000000001</v>
      </c>
      <c r="H566" s="1">
        <v>262.30900000000003</v>
      </c>
      <c r="I566" s="1">
        <v>0</v>
      </c>
    </row>
    <row r="567" spans="1:9" hidden="1" x14ac:dyDescent="0.25">
      <c r="A567" s="1" t="s">
        <v>158</v>
      </c>
      <c r="B567" s="1" t="s">
        <v>87</v>
      </c>
      <c r="C567" s="1" t="s">
        <v>10</v>
      </c>
      <c r="D567" s="1">
        <v>0</v>
      </c>
      <c r="E567" s="1">
        <v>0</v>
      </c>
      <c r="F567" s="1">
        <v>-114.76</v>
      </c>
      <c r="G567" s="1">
        <v>-1859.1120000000001</v>
      </c>
      <c r="H567" s="1">
        <v>721.34900000000005</v>
      </c>
      <c r="I567" s="1">
        <v>0</v>
      </c>
    </row>
    <row r="568" spans="1:9" hidden="1" x14ac:dyDescent="0.25">
      <c r="A568" s="1" t="s">
        <v>158</v>
      </c>
      <c r="B568" s="1" t="s">
        <v>88</v>
      </c>
      <c r="C568" s="1" t="s">
        <v>25</v>
      </c>
      <c r="D568" s="1">
        <v>0</v>
      </c>
      <c r="E568" s="1">
        <v>0</v>
      </c>
      <c r="F568" s="1">
        <v>114.76</v>
      </c>
      <c r="G568" s="1">
        <v>2272.248</v>
      </c>
      <c r="H568" s="1">
        <v>-262.30900000000003</v>
      </c>
      <c r="I568" s="1">
        <v>0</v>
      </c>
    </row>
    <row r="569" spans="1:9" hidden="1" x14ac:dyDescent="0.25">
      <c r="A569" s="1" t="s">
        <v>158</v>
      </c>
      <c r="B569" s="1" t="s">
        <v>88</v>
      </c>
      <c r="C569" s="1" t="s">
        <v>10</v>
      </c>
      <c r="D569" s="1">
        <v>0</v>
      </c>
      <c r="E569" s="1">
        <v>0</v>
      </c>
      <c r="F569" s="1">
        <v>114.76</v>
      </c>
      <c r="G569" s="1">
        <v>2272.248</v>
      </c>
      <c r="H569" s="1">
        <v>-721.34900000000005</v>
      </c>
      <c r="I569" s="1">
        <v>0</v>
      </c>
    </row>
    <row r="570" spans="1:9" hidden="1" x14ac:dyDescent="0.25">
      <c r="A570" s="1" t="s">
        <v>158</v>
      </c>
      <c r="B570" s="1" t="s">
        <v>89</v>
      </c>
      <c r="C570" s="1" t="s">
        <v>25</v>
      </c>
      <c r="D570" s="1">
        <v>0</v>
      </c>
      <c r="E570" s="1">
        <v>0</v>
      </c>
      <c r="F570" s="1">
        <v>114.76</v>
      </c>
      <c r="G570" s="1">
        <v>1859.1120000000001</v>
      </c>
      <c r="H570" s="1">
        <v>-262.30900000000003</v>
      </c>
      <c r="I570" s="1">
        <v>0</v>
      </c>
    </row>
    <row r="571" spans="1:9" hidden="1" x14ac:dyDescent="0.25">
      <c r="A571" s="1" t="s">
        <v>158</v>
      </c>
      <c r="B571" s="1" t="s">
        <v>89</v>
      </c>
      <c r="C571" s="1" t="s">
        <v>10</v>
      </c>
      <c r="D571" s="1">
        <v>0</v>
      </c>
      <c r="E571" s="1">
        <v>0</v>
      </c>
      <c r="F571" s="1">
        <v>114.76</v>
      </c>
      <c r="G571" s="1">
        <v>1859.1120000000001</v>
      </c>
      <c r="H571" s="1">
        <v>-721.34900000000005</v>
      </c>
      <c r="I571" s="1">
        <v>0</v>
      </c>
    </row>
    <row r="572" spans="1:9" hidden="1" x14ac:dyDescent="0.25">
      <c r="A572" s="1" t="s">
        <v>158</v>
      </c>
      <c r="B572" s="1" t="s">
        <v>90</v>
      </c>
      <c r="C572" s="1" t="s">
        <v>25</v>
      </c>
      <c r="D572" s="1">
        <v>0</v>
      </c>
      <c r="E572" s="1">
        <v>-94.94</v>
      </c>
      <c r="F572" s="1">
        <v>0</v>
      </c>
      <c r="G572" s="1">
        <v>1566.519</v>
      </c>
      <c r="H572" s="1">
        <v>0</v>
      </c>
      <c r="I572" s="1">
        <v>-217.00700000000001</v>
      </c>
    </row>
    <row r="573" spans="1:9" hidden="1" x14ac:dyDescent="0.25">
      <c r="A573" s="1" t="s">
        <v>158</v>
      </c>
      <c r="B573" s="1" t="s">
        <v>90</v>
      </c>
      <c r="C573" s="1" t="s">
        <v>10</v>
      </c>
      <c r="D573" s="1">
        <v>0</v>
      </c>
      <c r="E573" s="1">
        <v>-94.94</v>
      </c>
      <c r="F573" s="1">
        <v>0</v>
      </c>
      <c r="G573" s="1">
        <v>1566.519</v>
      </c>
      <c r="H573" s="1">
        <v>0</v>
      </c>
      <c r="I573" s="1">
        <v>-596.76900000000001</v>
      </c>
    </row>
    <row r="574" spans="1:9" hidden="1" x14ac:dyDescent="0.25">
      <c r="A574" s="1" t="s">
        <v>158</v>
      </c>
      <c r="B574" s="1" t="s">
        <v>91</v>
      </c>
      <c r="C574" s="1" t="s">
        <v>25</v>
      </c>
      <c r="D574" s="1">
        <v>0</v>
      </c>
      <c r="E574" s="1">
        <v>-94.94</v>
      </c>
      <c r="F574" s="1">
        <v>0</v>
      </c>
      <c r="G574" s="1">
        <v>1281.6969999999999</v>
      </c>
      <c r="H574" s="1">
        <v>0</v>
      </c>
      <c r="I574" s="1">
        <v>-217.00700000000001</v>
      </c>
    </row>
    <row r="575" spans="1:9" hidden="1" x14ac:dyDescent="0.25">
      <c r="A575" s="1" t="s">
        <v>158</v>
      </c>
      <c r="B575" s="1" t="s">
        <v>91</v>
      </c>
      <c r="C575" s="1" t="s">
        <v>10</v>
      </c>
      <c r="D575" s="1">
        <v>0</v>
      </c>
      <c r="E575" s="1">
        <v>-94.94</v>
      </c>
      <c r="F575" s="1">
        <v>0</v>
      </c>
      <c r="G575" s="1">
        <v>1281.6969999999999</v>
      </c>
      <c r="H575" s="1">
        <v>0</v>
      </c>
      <c r="I575" s="1">
        <v>-596.76900000000001</v>
      </c>
    </row>
    <row r="576" spans="1:9" hidden="1" x14ac:dyDescent="0.25">
      <c r="A576" s="1" t="s">
        <v>158</v>
      </c>
      <c r="B576" s="1" t="s">
        <v>92</v>
      </c>
      <c r="C576" s="1" t="s">
        <v>25</v>
      </c>
      <c r="D576" s="1">
        <v>0</v>
      </c>
      <c r="E576" s="1">
        <v>94.94</v>
      </c>
      <c r="F576" s="1">
        <v>0</v>
      </c>
      <c r="G576" s="1">
        <v>-1566.519</v>
      </c>
      <c r="H576" s="1">
        <v>0</v>
      </c>
      <c r="I576" s="1">
        <v>217.00700000000001</v>
      </c>
    </row>
    <row r="577" spans="1:9" hidden="1" x14ac:dyDescent="0.25">
      <c r="A577" s="1" t="s">
        <v>158</v>
      </c>
      <c r="B577" s="1" t="s">
        <v>92</v>
      </c>
      <c r="C577" s="1" t="s">
        <v>10</v>
      </c>
      <c r="D577" s="1">
        <v>0</v>
      </c>
      <c r="E577" s="1">
        <v>94.94</v>
      </c>
      <c r="F577" s="1">
        <v>0</v>
      </c>
      <c r="G577" s="1">
        <v>-1566.519</v>
      </c>
      <c r="H577" s="1">
        <v>0</v>
      </c>
      <c r="I577" s="1">
        <v>596.76900000000001</v>
      </c>
    </row>
    <row r="578" spans="1:9" hidden="1" x14ac:dyDescent="0.25">
      <c r="A578" s="1" t="s">
        <v>158</v>
      </c>
      <c r="B578" s="1" t="s">
        <v>93</v>
      </c>
      <c r="C578" s="1" t="s">
        <v>25</v>
      </c>
      <c r="D578" s="1">
        <v>0</v>
      </c>
      <c r="E578" s="1">
        <v>94.94</v>
      </c>
      <c r="F578" s="1">
        <v>0</v>
      </c>
      <c r="G578" s="1">
        <v>-1281.6969999999999</v>
      </c>
      <c r="H578" s="1">
        <v>0</v>
      </c>
      <c r="I578" s="1">
        <v>217.00700000000001</v>
      </c>
    </row>
    <row r="579" spans="1:9" hidden="1" x14ac:dyDescent="0.25">
      <c r="A579" s="1" t="s">
        <v>158</v>
      </c>
      <c r="B579" s="1" t="s">
        <v>93</v>
      </c>
      <c r="C579" s="1" t="s">
        <v>10</v>
      </c>
      <c r="D579" s="1">
        <v>0</v>
      </c>
      <c r="E579" s="1">
        <v>94.94</v>
      </c>
      <c r="F579" s="1">
        <v>0</v>
      </c>
      <c r="G579" s="1">
        <v>-1281.6969999999999</v>
      </c>
      <c r="H579" s="1">
        <v>0</v>
      </c>
      <c r="I579" s="1">
        <v>596.76900000000001</v>
      </c>
    </row>
    <row r="580" spans="1:9" hidden="1" x14ac:dyDescent="0.25">
      <c r="A580" s="1" t="s">
        <v>158</v>
      </c>
      <c r="B580" s="1" t="s">
        <v>94</v>
      </c>
      <c r="C580" s="1" t="s">
        <v>25</v>
      </c>
      <c r="D580" s="1">
        <v>0</v>
      </c>
      <c r="E580" s="1">
        <v>0</v>
      </c>
      <c r="F580" s="1">
        <v>-114.76</v>
      </c>
      <c r="G580" s="1">
        <v>-2272.248</v>
      </c>
      <c r="H580" s="1">
        <v>262.30900000000003</v>
      </c>
      <c r="I580" s="1">
        <v>0</v>
      </c>
    </row>
    <row r="581" spans="1:9" hidden="1" x14ac:dyDescent="0.25">
      <c r="A581" s="1" t="s">
        <v>158</v>
      </c>
      <c r="B581" s="1" t="s">
        <v>94</v>
      </c>
      <c r="C581" s="1" t="s">
        <v>10</v>
      </c>
      <c r="D581" s="1">
        <v>0</v>
      </c>
      <c r="E581" s="1">
        <v>0</v>
      </c>
      <c r="F581" s="1">
        <v>-114.76</v>
      </c>
      <c r="G581" s="1">
        <v>-2272.248</v>
      </c>
      <c r="H581" s="1">
        <v>721.34900000000005</v>
      </c>
      <c r="I581" s="1">
        <v>0</v>
      </c>
    </row>
    <row r="582" spans="1:9" hidden="1" x14ac:dyDescent="0.25">
      <c r="A582" s="1" t="s">
        <v>158</v>
      </c>
      <c r="B582" s="1" t="s">
        <v>95</v>
      </c>
      <c r="C582" s="1" t="s">
        <v>25</v>
      </c>
      <c r="D582" s="1">
        <v>0</v>
      </c>
      <c r="E582" s="1">
        <v>0</v>
      </c>
      <c r="F582" s="1">
        <v>-114.76</v>
      </c>
      <c r="G582" s="1">
        <v>-1859.1120000000001</v>
      </c>
      <c r="H582" s="1">
        <v>262.30900000000003</v>
      </c>
      <c r="I582" s="1">
        <v>0</v>
      </c>
    </row>
    <row r="583" spans="1:9" hidden="1" x14ac:dyDescent="0.25">
      <c r="A583" s="1" t="s">
        <v>158</v>
      </c>
      <c r="B583" s="1" t="s">
        <v>95</v>
      </c>
      <c r="C583" s="1" t="s">
        <v>10</v>
      </c>
      <c r="D583" s="1">
        <v>0</v>
      </c>
      <c r="E583" s="1">
        <v>0</v>
      </c>
      <c r="F583" s="1">
        <v>-114.76</v>
      </c>
      <c r="G583" s="1">
        <v>-1859.1120000000001</v>
      </c>
      <c r="H583" s="1">
        <v>721.34900000000005</v>
      </c>
      <c r="I583" s="1">
        <v>0</v>
      </c>
    </row>
    <row r="584" spans="1:9" hidden="1" x14ac:dyDescent="0.25">
      <c r="A584" s="1" t="s">
        <v>158</v>
      </c>
      <c r="B584" s="1" t="s">
        <v>96</v>
      </c>
      <c r="C584" s="1" t="s">
        <v>25</v>
      </c>
      <c r="D584" s="1">
        <v>0</v>
      </c>
      <c r="E584" s="1">
        <v>0</v>
      </c>
      <c r="F584" s="1">
        <v>114.76</v>
      </c>
      <c r="G584" s="1">
        <v>2272.248</v>
      </c>
      <c r="H584" s="1">
        <v>-262.30900000000003</v>
      </c>
      <c r="I584" s="1">
        <v>0</v>
      </c>
    </row>
    <row r="585" spans="1:9" hidden="1" x14ac:dyDescent="0.25">
      <c r="A585" s="1" t="s">
        <v>158</v>
      </c>
      <c r="B585" s="1" t="s">
        <v>96</v>
      </c>
      <c r="C585" s="1" t="s">
        <v>10</v>
      </c>
      <c r="D585" s="1">
        <v>0</v>
      </c>
      <c r="E585" s="1">
        <v>0</v>
      </c>
      <c r="F585" s="1">
        <v>114.76</v>
      </c>
      <c r="G585" s="1">
        <v>2272.248</v>
      </c>
      <c r="H585" s="1">
        <v>-721.34900000000005</v>
      </c>
      <c r="I585" s="1">
        <v>0</v>
      </c>
    </row>
    <row r="586" spans="1:9" hidden="1" x14ac:dyDescent="0.25">
      <c r="A586" s="1" t="s">
        <v>158</v>
      </c>
      <c r="B586" s="1" t="s">
        <v>97</v>
      </c>
      <c r="C586" s="1" t="s">
        <v>25</v>
      </c>
      <c r="D586" s="1">
        <v>0</v>
      </c>
      <c r="E586" s="1">
        <v>0</v>
      </c>
      <c r="F586" s="1">
        <v>114.76</v>
      </c>
      <c r="G586" s="1">
        <v>1859.1120000000001</v>
      </c>
      <c r="H586" s="1">
        <v>-262.30900000000003</v>
      </c>
      <c r="I586" s="1">
        <v>0</v>
      </c>
    </row>
    <row r="587" spans="1:9" hidden="1" x14ac:dyDescent="0.25">
      <c r="A587" s="1" t="s">
        <v>158</v>
      </c>
      <c r="B587" s="1" t="s">
        <v>97</v>
      </c>
      <c r="C587" s="1" t="s">
        <v>10</v>
      </c>
      <c r="D587" s="1">
        <v>0</v>
      </c>
      <c r="E587" s="1">
        <v>0</v>
      </c>
      <c r="F587" s="1">
        <v>114.76</v>
      </c>
      <c r="G587" s="1">
        <v>1859.1120000000001</v>
      </c>
      <c r="H587" s="1">
        <v>-721.34900000000005</v>
      </c>
      <c r="I587" s="1">
        <v>0</v>
      </c>
    </row>
    <row r="588" spans="1:9" hidden="1" x14ac:dyDescent="0.25">
      <c r="A588" s="1" t="s">
        <v>158</v>
      </c>
      <c r="B588" s="1" t="s">
        <v>14</v>
      </c>
      <c r="C588" s="1" t="s">
        <v>25</v>
      </c>
      <c r="D588" s="1">
        <v>0</v>
      </c>
      <c r="E588" s="1">
        <v>194.35</v>
      </c>
      <c r="F588" s="1">
        <v>0</v>
      </c>
      <c r="G588" s="1">
        <v>3282.768</v>
      </c>
      <c r="H588" s="1">
        <v>0</v>
      </c>
      <c r="I588" s="1">
        <v>546.28399999999999</v>
      </c>
    </row>
    <row r="589" spans="1:9" hidden="1" x14ac:dyDescent="0.25">
      <c r="A589" s="1" t="s">
        <v>158</v>
      </c>
      <c r="B589" s="1" t="s">
        <v>14</v>
      </c>
      <c r="C589" s="1" t="s">
        <v>10</v>
      </c>
      <c r="D589" s="1">
        <v>0</v>
      </c>
      <c r="E589" s="1">
        <v>194.35</v>
      </c>
      <c r="F589" s="1">
        <v>0</v>
      </c>
      <c r="G589" s="1">
        <v>3282.768</v>
      </c>
      <c r="H589" s="1">
        <v>0</v>
      </c>
      <c r="I589" s="1">
        <v>1271.7080000000001</v>
      </c>
    </row>
    <row r="590" spans="1:9" hidden="1" x14ac:dyDescent="0.25">
      <c r="A590" s="1" t="s">
        <v>158</v>
      </c>
      <c r="B590" s="1" t="s">
        <v>98</v>
      </c>
      <c r="C590" s="1" t="s">
        <v>25</v>
      </c>
      <c r="D590" s="1">
        <v>0</v>
      </c>
      <c r="E590" s="1">
        <v>-194.35</v>
      </c>
      <c r="F590" s="1">
        <v>0</v>
      </c>
      <c r="G590" s="1">
        <v>-3282.768</v>
      </c>
      <c r="H590" s="1">
        <v>0</v>
      </c>
      <c r="I590" s="1">
        <v>-546.28399999999999</v>
      </c>
    </row>
    <row r="591" spans="1:9" hidden="1" x14ac:dyDescent="0.25">
      <c r="A591" s="1" t="s">
        <v>158</v>
      </c>
      <c r="B591" s="1" t="s">
        <v>98</v>
      </c>
      <c r="C591" s="1" t="s">
        <v>10</v>
      </c>
      <c r="D591" s="1">
        <v>0</v>
      </c>
      <c r="E591" s="1">
        <v>-194.35</v>
      </c>
      <c r="F591" s="1">
        <v>0</v>
      </c>
      <c r="G591" s="1">
        <v>-3282.768</v>
      </c>
      <c r="H591" s="1">
        <v>0</v>
      </c>
      <c r="I591" s="1">
        <v>-1271.7080000000001</v>
      </c>
    </row>
    <row r="592" spans="1:9" hidden="1" x14ac:dyDescent="0.25">
      <c r="A592" s="1" t="s">
        <v>158</v>
      </c>
      <c r="B592" s="1" t="s">
        <v>15</v>
      </c>
      <c r="C592" s="1" t="s">
        <v>25</v>
      </c>
      <c r="D592" s="1">
        <v>0</v>
      </c>
      <c r="E592" s="1">
        <v>0</v>
      </c>
      <c r="F592" s="1">
        <v>483.2</v>
      </c>
      <c r="G592" s="1">
        <v>9609.9860000000008</v>
      </c>
      <c r="H592" s="1">
        <v>1163.6300000000001</v>
      </c>
      <c r="I592" s="1">
        <v>0</v>
      </c>
    </row>
    <row r="593" spans="1:9" hidden="1" x14ac:dyDescent="0.25">
      <c r="A593" s="1" t="s">
        <v>158</v>
      </c>
      <c r="B593" s="1" t="s">
        <v>15</v>
      </c>
      <c r="C593" s="1" t="s">
        <v>10</v>
      </c>
      <c r="D593" s="1">
        <v>0</v>
      </c>
      <c r="E593" s="1">
        <v>0</v>
      </c>
      <c r="F593" s="1">
        <v>483.2</v>
      </c>
      <c r="G593" s="1">
        <v>9609.9860000000008</v>
      </c>
      <c r="H593" s="1">
        <v>3071.299</v>
      </c>
      <c r="I593" s="1">
        <v>0</v>
      </c>
    </row>
    <row r="594" spans="1:9" hidden="1" x14ac:dyDescent="0.25">
      <c r="A594" s="1" t="s">
        <v>158</v>
      </c>
      <c r="B594" s="1" t="s">
        <v>99</v>
      </c>
      <c r="C594" s="1" t="s">
        <v>25</v>
      </c>
      <c r="D594" s="1">
        <v>0</v>
      </c>
      <c r="E594" s="1">
        <v>0</v>
      </c>
      <c r="F594" s="1">
        <v>-483.2</v>
      </c>
      <c r="G594" s="1">
        <v>-9609.9860000000008</v>
      </c>
      <c r="H594" s="1">
        <v>-1163.6300000000001</v>
      </c>
      <c r="I594" s="1">
        <v>0</v>
      </c>
    </row>
    <row r="595" spans="1:9" hidden="1" x14ac:dyDescent="0.25">
      <c r="A595" s="1" t="s">
        <v>158</v>
      </c>
      <c r="B595" s="1" t="s">
        <v>99</v>
      </c>
      <c r="C595" s="1" t="s">
        <v>10</v>
      </c>
      <c r="D595" s="1">
        <v>0</v>
      </c>
      <c r="E595" s="1">
        <v>0</v>
      </c>
      <c r="F595" s="1">
        <v>-483.2</v>
      </c>
      <c r="G595" s="1">
        <v>-9609.9860000000008</v>
      </c>
      <c r="H595" s="1">
        <v>-3071.299</v>
      </c>
      <c r="I595" s="1">
        <v>0</v>
      </c>
    </row>
    <row r="596" spans="1:9" hidden="1" x14ac:dyDescent="0.25">
      <c r="A596" s="1" t="s">
        <v>158</v>
      </c>
      <c r="B596" s="1" t="s">
        <v>100</v>
      </c>
      <c r="C596" s="1" t="s">
        <v>25</v>
      </c>
      <c r="D596" s="1">
        <v>0</v>
      </c>
      <c r="E596" s="1">
        <v>194.35</v>
      </c>
      <c r="F596" s="1">
        <v>0</v>
      </c>
      <c r="G596" s="1">
        <v>3282.768</v>
      </c>
      <c r="H596" s="1">
        <v>0</v>
      </c>
      <c r="I596" s="1">
        <v>546.28399999999999</v>
      </c>
    </row>
    <row r="597" spans="1:9" hidden="1" x14ac:dyDescent="0.25">
      <c r="A597" s="1" t="s">
        <v>158</v>
      </c>
      <c r="B597" s="1" t="s">
        <v>100</v>
      </c>
      <c r="C597" s="1" t="s">
        <v>10</v>
      </c>
      <c r="D597" s="1">
        <v>0</v>
      </c>
      <c r="E597" s="1">
        <v>194.35</v>
      </c>
      <c r="F597" s="1">
        <v>0</v>
      </c>
      <c r="G597" s="1">
        <v>3282.768</v>
      </c>
      <c r="H597" s="1">
        <v>0</v>
      </c>
      <c r="I597" s="1">
        <v>1271.7080000000001</v>
      </c>
    </row>
    <row r="598" spans="1:9" hidden="1" x14ac:dyDescent="0.25">
      <c r="A598" s="1" t="s">
        <v>158</v>
      </c>
      <c r="B598" s="1" t="s">
        <v>101</v>
      </c>
      <c r="C598" s="1" t="s">
        <v>25</v>
      </c>
      <c r="D598" s="1">
        <v>0</v>
      </c>
      <c r="E598" s="1">
        <v>-194.35</v>
      </c>
      <c r="F598" s="1">
        <v>0</v>
      </c>
      <c r="G598" s="1">
        <v>-3282.768</v>
      </c>
      <c r="H598" s="1">
        <v>0</v>
      </c>
      <c r="I598" s="1">
        <v>-546.28399999999999</v>
      </c>
    </row>
    <row r="599" spans="1:9" hidden="1" x14ac:dyDescent="0.25">
      <c r="A599" s="1" t="s">
        <v>158</v>
      </c>
      <c r="B599" s="1" t="s">
        <v>101</v>
      </c>
      <c r="C599" s="1" t="s">
        <v>10</v>
      </c>
      <c r="D599" s="1">
        <v>0</v>
      </c>
      <c r="E599" s="1">
        <v>-194.35</v>
      </c>
      <c r="F599" s="1">
        <v>0</v>
      </c>
      <c r="G599" s="1">
        <v>-3282.768</v>
      </c>
      <c r="H599" s="1">
        <v>0</v>
      </c>
      <c r="I599" s="1">
        <v>-1271.7080000000001</v>
      </c>
    </row>
    <row r="600" spans="1:9" hidden="1" x14ac:dyDescent="0.25">
      <c r="A600" s="1" t="s">
        <v>158</v>
      </c>
      <c r="B600" s="1" t="s">
        <v>102</v>
      </c>
      <c r="C600" s="1" t="s">
        <v>25</v>
      </c>
      <c r="D600" s="1">
        <v>0</v>
      </c>
      <c r="E600" s="1">
        <v>194.35</v>
      </c>
      <c r="F600" s="1">
        <v>0</v>
      </c>
      <c r="G600" s="1">
        <v>3282.768</v>
      </c>
      <c r="H600" s="1">
        <v>0</v>
      </c>
      <c r="I600" s="1">
        <v>546.28399999999999</v>
      </c>
    </row>
    <row r="601" spans="1:9" hidden="1" x14ac:dyDescent="0.25">
      <c r="A601" s="1" t="s">
        <v>158</v>
      </c>
      <c r="B601" s="1" t="s">
        <v>102</v>
      </c>
      <c r="C601" s="1" t="s">
        <v>10</v>
      </c>
      <c r="D601" s="1">
        <v>0</v>
      </c>
      <c r="E601" s="1">
        <v>194.35</v>
      </c>
      <c r="F601" s="1">
        <v>0</v>
      </c>
      <c r="G601" s="1">
        <v>3282.768</v>
      </c>
      <c r="H601" s="1">
        <v>0</v>
      </c>
      <c r="I601" s="1">
        <v>1271.7080000000001</v>
      </c>
    </row>
    <row r="602" spans="1:9" hidden="1" x14ac:dyDescent="0.25">
      <c r="A602" s="1" t="s">
        <v>158</v>
      </c>
      <c r="B602" s="1" t="s">
        <v>103</v>
      </c>
      <c r="C602" s="1" t="s">
        <v>25</v>
      </c>
      <c r="D602" s="1">
        <v>0</v>
      </c>
      <c r="E602" s="1">
        <v>-194.35</v>
      </c>
      <c r="F602" s="1">
        <v>0</v>
      </c>
      <c r="G602" s="1">
        <v>-3282.768</v>
      </c>
      <c r="H602" s="1">
        <v>0</v>
      </c>
      <c r="I602" s="1">
        <v>-546.28399999999999</v>
      </c>
    </row>
    <row r="603" spans="1:9" hidden="1" x14ac:dyDescent="0.25">
      <c r="A603" s="1" t="s">
        <v>158</v>
      </c>
      <c r="B603" s="1" t="s">
        <v>103</v>
      </c>
      <c r="C603" s="1" t="s">
        <v>10</v>
      </c>
      <c r="D603" s="1">
        <v>0</v>
      </c>
      <c r="E603" s="1">
        <v>-194.35</v>
      </c>
      <c r="F603" s="1">
        <v>0</v>
      </c>
      <c r="G603" s="1">
        <v>-3282.768</v>
      </c>
      <c r="H603" s="1">
        <v>0</v>
      </c>
      <c r="I603" s="1">
        <v>-1271.7080000000001</v>
      </c>
    </row>
    <row r="604" spans="1:9" hidden="1" x14ac:dyDescent="0.25">
      <c r="A604" s="1" t="s">
        <v>158</v>
      </c>
      <c r="B604" s="1" t="s">
        <v>104</v>
      </c>
      <c r="C604" s="1" t="s">
        <v>25</v>
      </c>
      <c r="D604" s="1">
        <v>0</v>
      </c>
      <c r="E604" s="1">
        <v>0</v>
      </c>
      <c r="F604" s="1">
        <v>483.2</v>
      </c>
      <c r="G604" s="1">
        <v>9609.9860000000008</v>
      </c>
      <c r="H604" s="1">
        <v>1163.6300000000001</v>
      </c>
      <c r="I604" s="1">
        <v>0</v>
      </c>
    </row>
    <row r="605" spans="1:9" hidden="1" x14ac:dyDescent="0.25">
      <c r="A605" s="1" t="s">
        <v>158</v>
      </c>
      <c r="B605" s="1" t="s">
        <v>104</v>
      </c>
      <c r="C605" s="1" t="s">
        <v>10</v>
      </c>
      <c r="D605" s="1">
        <v>0</v>
      </c>
      <c r="E605" s="1">
        <v>0</v>
      </c>
      <c r="F605" s="1">
        <v>483.2</v>
      </c>
      <c r="G605" s="1">
        <v>9609.9860000000008</v>
      </c>
      <c r="H605" s="1">
        <v>3071.299</v>
      </c>
      <c r="I605" s="1">
        <v>0</v>
      </c>
    </row>
    <row r="606" spans="1:9" hidden="1" x14ac:dyDescent="0.25">
      <c r="A606" s="1" t="s">
        <v>158</v>
      </c>
      <c r="B606" s="1" t="s">
        <v>105</v>
      </c>
      <c r="C606" s="1" t="s">
        <v>25</v>
      </c>
      <c r="D606" s="1">
        <v>0</v>
      </c>
      <c r="E606" s="1">
        <v>0</v>
      </c>
      <c r="F606" s="1">
        <v>-483.2</v>
      </c>
      <c r="G606" s="1">
        <v>-9609.9860000000008</v>
      </c>
      <c r="H606" s="1">
        <v>-1163.6300000000001</v>
      </c>
      <c r="I606" s="1">
        <v>0</v>
      </c>
    </row>
    <row r="607" spans="1:9" hidden="1" x14ac:dyDescent="0.25">
      <c r="A607" s="1" t="s">
        <v>158</v>
      </c>
      <c r="B607" s="1" t="s">
        <v>105</v>
      </c>
      <c r="C607" s="1" t="s">
        <v>10</v>
      </c>
      <c r="D607" s="1">
        <v>0</v>
      </c>
      <c r="E607" s="1">
        <v>0</v>
      </c>
      <c r="F607" s="1">
        <v>-483.2</v>
      </c>
      <c r="G607" s="1">
        <v>-9609.9860000000008</v>
      </c>
      <c r="H607" s="1">
        <v>-3071.299</v>
      </c>
      <c r="I607" s="1">
        <v>0</v>
      </c>
    </row>
    <row r="608" spans="1:9" hidden="1" x14ac:dyDescent="0.25">
      <c r="A608" s="1" t="s">
        <v>158</v>
      </c>
      <c r="B608" s="1" t="s">
        <v>106</v>
      </c>
      <c r="C608" s="1" t="s">
        <v>25</v>
      </c>
      <c r="D608" s="1">
        <v>0</v>
      </c>
      <c r="E608" s="1">
        <v>0</v>
      </c>
      <c r="F608" s="1">
        <v>483.2</v>
      </c>
      <c r="G608" s="1">
        <v>9609.9860000000008</v>
      </c>
      <c r="H608" s="1">
        <v>1163.6300000000001</v>
      </c>
      <c r="I608" s="1">
        <v>0</v>
      </c>
    </row>
    <row r="609" spans="1:9" hidden="1" x14ac:dyDescent="0.25">
      <c r="A609" s="1" t="s">
        <v>158</v>
      </c>
      <c r="B609" s="1" t="s">
        <v>106</v>
      </c>
      <c r="C609" s="1" t="s">
        <v>10</v>
      </c>
      <c r="D609" s="1">
        <v>0</v>
      </c>
      <c r="E609" s="1">
        <v>0</v>
      </c>
      <c r="F609" s="1">
        <v>483.2</v>
      </c>
      <c r="G609" s="1">
        <v>9609.9860000000008</v>
      </c>
      <c r="H609" s="1">
        <v>3071.299</v>
      </c>
      <c r="I609" s="1">
        <v>0</v>
      </c>
    </row>
    <row r="610" spans="1:9" hidden="1" x14ac:dyDescent="0.25">
      <c r="A610" s="1" t="s">
        <v>158</v>
      </c>
      <c r="B610" s="1" t="s">
        <v>107</v>
      </c>
      <c r="C610" s="1" t="s">
        <v>25</v>
      </c>
      <c r="D610" s="1">
        <v>0</v>
      </c>
      <c r="E610" s="1">
        <v>0</v>
      </c>
      <c r="F610" s="1">
        <v>-483.2</v>
      </c>
      <c r="G610" s="1">
        <v>-9609.9860000000008</v>
      </c>
      <c r="H610" s="1">
        <v>-1163.6300000000001</v>
      </c>
      <c r="I610" s="1">
        <v>0</v>
      </c>
    </row>
    <row r="611" spans="1:9" hidden="1" x14ac:dyDescent="0.25">
      <c r="A611" s="1" t="s">
        <v>158</v>
      </c>
      <c r="B611" s="1" t="s">
        <v>107</v>
      </c>
      <c r="C611" s="1" t="s">
        <v>10</v>
      </c>
      <c r="D611" s="1">
        <v>0</v>
      </c>
      <c r="E611" s="1">
        <v>0</v>
      </c>
      <c r="F611" s="1">
        <v>-483.2</v>
      </c>
      <c r="G611" s="1">
        <v>-9609.9860000000008</v>
      </c>
      <c r="H611" s="1">
        <v>-3071.299</v>
      </c>
      <c r="I611" s="1">
        <v>0</v>
      </c>
    </row>
    <row r="612" spans="1:9" hidden="1" x14ac:dyDescent="0.25">
      <c r="A612" s="1" t="s">
        <v>158</v>
      </c>
      <c r="B612" s="1" t="s">
        <v>108</v>
      </c>
      <c r="C612" s="1" t="s">
        <v>25</v>
      </c>
      <c r="D612" s="1">
        <v>0</v>
      </c>
      <c r="E612" s="1">
        <v>58.3</v>
      </c>
      <c r="F612" s="1">
        <v>0</v>
      </c>
      <c r="G612" s="1">
        <v>984.83</v>
      </c>
      <c r="H612" s="1">
        <v>0</v>
      </c>
      <c r="I612" s="1">
        <v>163.88499999999999</v>
      </c>
    </row>
    <row r="613" spans="1:9" hidden="1" x14ac:dyDescent="0.25">
      <c r="A613" s="1" t="s">
        <v>158</v>
      </c>
      <c r="B613" s="1" t="s">
        <v>108</v>
      </c>
      <c r="C613" s="1" t="s">
        <v>10</v>
      </c>
      <c r="D613" s="1">
        <v>0</v>
      </c>
      <c r="E613" s="1">
        <v>58.3</v>
      </c>
      <c r="F613" s="1">
        <v>0</v>
      </c>
      <c r="G613" s="1">
        <v>984.83</v>
      </c>
      <c r="H613" s="1">
        <v>0</v>
      </c>
      <c r="I613" s="1">
        <v>381.512</v>
      </c>
    </row>
    <row r="614" spans="1:9" hidden="1" x14ac:dyDescent="0.25">
      <c r="A614" s="1" t="s">
        <v>158</v>
      </c>
      <c r="B614" s="1" t="s">
        <v>109</v>
      </c>
      <c r="C614" s="1" t="s">
        <v>25</v>
      </c>
      <c r="D614" s="1">
        <v>0</v>
      </c>
      <c r="E614" s="1">
        <v>-58.3</v>
      </c>
      <c r="F614" s="1">
        <v>0</v>
      </c>
      <c r="G614" s="1">
        <v>-984.83</v>
      </c>
      <c r="H614" s="1">
        <v>0</v>
      </c>
      <c r="I614" s="1">
        <v>-163.88499999999999</v>
      </c>
    </row>
    <row r="615" spans="1:9" hidden="1" x14ac:dyDescent="0.25">
      <c r="A615" s="1" t="s">
        <v>158</v>
      </c>
      <c r="B615" s="1" t="s">
        <v>109</v>
      </c>
      <c r="C615" s="1" t="s">
        <v>10</v>
      </c>
      <c r="D615" s="1">
        <v>0</v>
      </c>
      <c r="E615" s="1">
        <v>-58.3</v>
      </c>
      <c r="F615" s="1">
        <v>0</v>
      </c>
      <c r="G615" s="1">
        <v>-984.83</v>
      </c>
      <c r="H615" s="1">
        <v>0</v>
      </c>
      <c r="I615" s="1">
        <v>-381.512</v>
      </c>
    </row>
    <row r="616" spans="1:9" hidden="1" x14ac:dyDescent="0.25">
      <c r="A616" s="1" t="s">
        <v>158</v>
      </c>
      <c r="B616" s="1" t="s">
        <v>110</v>
      </c>
      <c r="C616" s="1" t="s">
        <v>25</v>
      </c>
      <c r="D616" s="1">
        <v>0</v>
      </c>
      <c r="E616" s="1">
        <v>58.3</v>
      </c>
      <c r="F616" s="1">
        <v>0</v>
      </c>
      <c r="G616" s="1">
        <v>984.83</v>
      </c>
      <c r="H616" s="1">
        <v>0</v>
      </c>
      <c r="I616" s="1">
        <v>163.88499999999999</v>
      </c>
    </row>
    <row r="617" spans="1:9" hidden="1" x14ac:dyDescent="0.25">
      <c r="A617" s="1" t="s">
        <v>158</v>
      </c>
      <c r="B617" s="1" t="s">
        <v>110</v>
      </c>
      <c r="C617" s="1" t="s">
        <v>10</v>
      </c>
      <c r="D617" s="1">
        <v>0</v>
      </c>
      <c r="E617" s="1">
        <v>58.3</v>
      </c>
      <c r="F617" s="1">
        <v>0</v>
      </c>
      <c r="G617" s="1">
        <v>984.83</v>
      </c>
      <c r="H617" s="1">
        <v>0</v>
      </c>
      <c r="I617" s="1">
        <v>381.512</v>
      </c>
    </row>
    <row r="618" spans="1:9" hidden="1" x14ac:dyDescent="0.25">
      <c r="A618" s="1" t="s">
        <v>158</v>
      </c>
      <c r="B618" s="1" t="s">
        <v>111</v>
      </c>
      <c r="C618" s="1" t="s">
        <v>25</v>
      </c>
      <c r="D618" s="1">
        <v>0</v>
      </c>
      <c r="E618" s="1">
        <v>-58.3</v>
      </c>
      <c r="F618" s="1">
        <v>0</v>
      </c>
      <c r="G618" s="1">
        <v>-984.83</v>
      </c>
      <c r="H618" s="1">
        <v>0</v>
      </c>
      <c r="I618" s="1">
        <v>-163.88499999999999</v>
      </c>
    </row>
    <row r="619" spans="1:9" hidden="1" x14ac:dyDescent="0.25">
      <c r="A619" s="1" t="s">
        <v>158</v>
      </c>
      <c r="B619" s="1" t="s">
        <v>111</v>
      </c>
      <c r="C619" s="1" t="s">
        <v>10</v>
      </c>
      <c r="D619" s="1">
        <v>0</v>
      </c>
      <c r="E619" s="1">
        <v>-58.3</v>
      </c>
      <c r="F619" s="1">
        <v>0</v>
      </c>
      <c r="G619" s="1">
        <v>-984.83</v>
      </c>
      <c r="H619" s="1">
        <v>0</v>
      </c>
      <c r="I619" s="1">
        <v>-381.512</v>
      </c>
    </row>
    <row r="620" spans="1:9" hidden="1" x14ac:dyDescent="0.25">
      <c r="A620" s="1" t="s">
        <v>158</v>
      </c>
      <c r="B620" s="1" t="s">
        <v>112</v>
      </c>
      <c r="C620" s="1" t="s">
        <v>25</v>
      </c>
      <c r="D620" s="1">
        <v>0</v>
      </c>
      <c r="E620" s="1">
        <v>0</v>
      </c>
      <c r="F620" s="1">
        <v>144.96</v>
      </c>
      <c r="G620" s="1">
        <v>2882.9960000000001</v>
      </c>
      <c r="H620" s="1">
        <v>349.089</v>
      </c>
      <c r="I620" s="1">
        <v>0</v>
      </c>
    </row>
    <row r="621" spans="1:9" hidden="1" x14ac:dyDescent="0.25">
      <c r="A621" s="1" t="s">
        <v>158</v>
      </c>
      <c r="B621" s="1" t="s">
        <v>112</v>
      </c>
      <c r="C621" s="1" t="s">
        <v>10</v>
      </c>
      <c r="D621" s="1">
        <v>0</v>
      </c>
      <c r="E621" s="1">
        <v>0</v>
      </c>
      <c r="F621" s="1">
        <v>144.96</v>
      </c>
      <c r="G621" s="1">
        <v>2882.9960000000001</v>
      </c>
      <c r="H621" s="1">
        <v>921.39</v>
      </c>
      <c r="I621" s="1">
        <v>0</v>
      </c>
    </row>
    <row r="622" spans="1:9" hidden="1" x14ac:dyDescent="0.25">
      <c r="A622" s="1" t="s">
        <v>158</v>
      </c>
      <c r="B622" s="1" t="s">
        <v>113</v>
      </c>
      <c r="C622" s="1" t="s">
        <v>25</v>
      </c>
      <c r="D622" s="1">
        <v>0</v>
      </c>
      <c r="E622" s="1">
        <v>0</v>
      </c>
      <c r="F622" s="1">
        <v>-144.96</v>
      </c>
      <c r="G622" s="1">
        <v>-2882.9960000000001</v>
      </c>
      <c r="H622" s="1">
        <v>-349.089</v>
      </c>
      <c r="I622" s="1">
        <v>0</v>
      </c>
    </row>
    <row r="623" spans="1:9" hidden="1" x14ac:dyDescent="0.25">
      <c r="A623" s="1" t="s">
        <v>158</v>
      </c>
      <c r="B623" s="1" t="s">
        <v>113</v>
      </c>
      <c r="C623" s="1" t="s">
        <v>10</v>
      </c>
      <c r="D623" s="1">
        <v>0</v>
      </c>
      <c r="E623" s="1">
        <v>0</v>
      </c>
      <c r="F623" s="1">
        <v>-144.96</v>
      </c>
      <c r="G623" s="1">
        <v>-2882.9960000000001</v>
      </c>
      <c r="H623" s="1">
        <v>-921.39</v>
      </c>
      <c r="I623" s="1">
        <v>0</v>
      </c>
    </row>
    <row r="624" spans="1:9" hidden="1" x14ac:dyDescent="0.25">
      <c r="A624" s="1" t="s">
        <v>158</v>
      </c>
      <c r="B624" s="1" t="s">
        <v>114</v>
      </c>
      <c r="C624" s="1" t="s">
        <v>25</v>
      </c>
      <c r="D624" s="1">
        <v>0</v>
      </c>
      <c r="E624" s="1">
        <v>0</v>
      </c>
      <c r="F624" s="1">
        <v>144.96</v>
      </c>
      <c r="G624" s="1">
        <v>2882.9960000000001</v>
      </c>
      <c r="H624" s="1">
        <v>349.089</v>
      </c>
      <c r="I624" s="1">
        <v>0</v>
      </c>
    </row>
    <row r="625" spans="1:9" hidden="1" x14ac:dyDescent="0.25">
      <c r="A625" s="1" t="s">
        <v>158</v>
      </c>
      <c r="B625" s="1" t="s">
        <v>114</v>
      </c>
      <c r="C625" s="1" t="s">
        <v>10</v>
      </c>
      <c r="D625" s="1">
        <v>0</v>
      </c>
      <c r="E625" s="1">
        <v>0</v>
      </c>
      <c r="F625" s="1">
        <v>144.96</v>
      </c>
      <c r="G625" s="1">
        <v>2882.9960000000001</v>
      </c>
      <c r="H625" s="1">
        <v>921.39</v>
      </c>
      <c r="I625" s="1">
        <v>0</v>
      </c>
    </row>
    <row r="626" spans="1:9" hidden="1" x14ac:dyDescent="0.25">
      <c r="A626" s="1" t="s">
        <v>158</v>
      </c>
      <c r="B626" s="1" t="s">
        <v>115</v>
      </c>
      <c r="C626" s="1" t="s">
        <v>25</v>
      </c>
      <c r="D626" s="1">
        <v>0</v>
      </c>
      <c r="E626" s="1">
        <v>0</v>
      </c>
      <c r="F626" s="1">
        <v>-144.96</v>
      </c>
      <c r="G626" s="1">
        <v>-2882.9960000000001</v>
      </c>
      <c r="H626" s="1">
        <v>-349.089</v>
      </c>
      <c r="I626" s="1">
        <v>0</v>
      </c>
    </row>
    <row r="627" spans="1:9" hidden="1" x14ac:dyDescent="0.25">
      <c r="A627" s="1" t="s">
        <v>158</v>
      </c>
      <c r="B627" s="1" t="s">
        <v>115</v>
      </c>
      <c r="C627" s="1" t="s">
        <v>10</v>
      </c>
      <c r="D627" s="1">
        <v>0</v>
      </c>
      <c r="E627" s="1">
        <v>0</v>
      </c>
      <c r="F627" s="1">
        <v>-144.96</v>
      </c>
      <c r="G627" s="1">
        <v>-2882.9960000000001</v>
      </c>
      <c r="H627" s="1">
        <v>-921.39</v>
      </c>
      <c r="I627" s="1">
        <v>0</v>
      </c>
    </row>
    <row r="628" spans="1:9" hidden="1" x14ac:dyDescent="0.25">
      <c r="A628" s="1" t="s">
        <v>158</v>
      </c>
      <c r="B628" s="1" t="s">
        <v>116</v>
      </c>
      <c r="C628" s="1" t="s">
        <v>25</v>
      </c>
      <c r="D628" s="1">
        <v>0</v>
      </c>
      <c r="E628" s="1">
        <v>194.35</v>
      </c>
      <c r="F628" s="1">
        <v>0</v>
      </c>
      <c r="G628" s="1">
        <v>3282.768</v>
      </c>
      <c r="H628" s="1">
        <v>0</v>
      </c>
      <c r="I628" s="1">
        <v>546.28399999999999</v>
      </c>
    </row>
    <row r="629" spans="1:9" hidden="1" x14ac:dyDescent="0.25">
      <c r="A629" s="1" t="s">
        <v>158</v>
      </c>
      <c r="B629" s="1" t="s">
        <v>116</v>
      </c>
      <c r="C629" s="1" t="s">
        <v>10</v>
      </c>
      <c r="D629" s="1">
        <v>0</v>
      </c>
      <c r="E629" s="1">
        <v>194.35</v>
      </c>
      <c r="F629" s="1">
        <v>0</v>
      </c>
      <c r="G629" s="1">
        <v>3282.768</v>
      </c>
      <c r="H629" s="1">
        <v>0</v>
      </c>
      <c r="I629" s="1">
        <v>1271.7080000000001</v>
      </c>
    </row>
    <row r="630" spans="1:9" hidden="1" x14ac:dyDescent="0.25">
      <c r="A630" s="1" t="s">
        <v>158</v>
      </c>
      <c r="B630" s="1" t="s">
        <v>117</v>
      </c>
      <c r="C630" s="1" t="s">
        <v>25</v>
      </c>
      <c r="D630" s="1">
        <v>0</v>
      </c>
      <c r="E630" s="1">
        <v>-194.35</v>
      </c>
      <c r="F630" s="1">
        <v>0</v>
      </c>
      <c r="G630" s="1">
        <v>-3282.768</v>
      </c>
      <c r="H630" s="1">
        <v>0</v>
      </c>
      <c r="I630" s="1">
        <v>-546.28399999999999</v>
      </c>
    </row>
    <row r="631" spans="1:9" hidden="1" x14ac:dyDescent="0.25">
      <c r="A631" s="1" t="s">
        <v>158</v>
      </c>
      <c r="B631" s="1" t="s">
        <v>117</v>
      </c>
      <c r="C631" s="1" t="s">
        <v>10</v>
      </c>
      <c r="D631" s="1">
        <v>0</v>
      </c>
      <c r="E631" s="1">
        <v>-194.35</v>
      </c>
      <c r="F631" s="1">
        <v>0</v>
      </c>
      <c r="G631" s="1">
        <v>-3282.768</v>
      </c>
      <c r="H631" s="1">
        <v>0</v>
      </c>
      <c r="I631" s="1">
        <v>-1271.7080000000001</v>
      </c>
    </row>
    <row r="632" spans="1:9" hidden="1" x14ac:dyDescent="0.25">
      <c r="A632" s="1" t="s">
        <v>158</v>
      </c>
      <c r="B632" s="1" t="s">
        <v>118</v>
      </c>
      <c r="C632" s="1" t="s">
        <v>25</v>
      </c>
      <c r="D632" s="1">
        <v>0</v>
      </c>
      <c r="E632" s="1">
        <v>194.35</v>
      </c>
      <c r="F632" s="1">
        <v>0</v>
      </c>
      <c r="G632" s="1">
        <v>3282.768</v>
      </c>
      <c r="H632" s="1">
        <v>0</v>
      </c>
      <c r="I632" s="1">
        <v>546.28399999999999</v>
      </c>
    </row>
    <row r="633" spans="1:9" hidden="1" x14ac:dyDescent="0.25">
      <c r="A633" s="1" t="s">
        <v>158</v>
      </c>
      <c r="B633" s="1" t="s">
        <v>118</v>
      </c>
      <c r="C633" s="1" t="s">
        <v>10</v>
      </c>
      <c r="D633" s="1">
        <v>0</v>
      </c>
      <c r="E633" s="1">
        <v>194.35</v>
      </c>
      <c r="F633" s="1">
        <v>0</v>
      </c>
      <c r="G633" s="1">
        <v>3282.768</v>
      </c>
      <c r="H633" s="1">
        <v>0</v>
      </c>
      <c r="I633" s="1">
        <v>1271.7080000000001</v>
      </c>
    </row>
    <row r="634" spans="1:9" hidden="1" x14ac:dyDescent="0.25">
      <c r="A634" s="1" t="s">
        <v>158</v>
      </c>
      <c r="B634" s="1" t="s">
        <v>119</v>
      </c>
      <c r="C634" s="1" t="s">
        <v>25</v>
      </c>
      <c r="D634" s="1">
        <v>0</v>
      </c>
      <c r="E634" s="1">
        <v>-194.35</v>
      </c>
      <c r="F634" s="1">
        <v>0</v>
      </c>
      <c r="G634" s="1">
        <v>-3282.768</v>
      </c>
      <c r="H634" s="1">
        <v>0</v>
      </c>
      <c r="I634" s="1">
        <v>-546.28399999999999</v>
      </c>
    </row>
    <row r="635" spans="1:9" hidden="1" x14ac:dyDescent="0.25">
      <c r="A635" s="1" t="s">
        <v>158</v>
      </c>
      <c r="B635" s="1" t="s">
        <v>119</v>
      </c>
      <c r="C635" s="1" t="s">
        <v>10</v>
      </c>
      <c r="D635" s="1">
        <v>0</v>
      </c>
      <c r="E635" s="1">
        <v>-194.35</v>
      </c>
      <c r="F635" s="1">
        <v>0</v>
      </c>
      <c r="G635" s="1">
        <v>-3282.768</v>
      </c>
      <c r="H635" s="1">
        <v>0</v>
      </c>
      <c r="I635" s="1">
        <v>-1271.7080000000001</v>
      </c>
    </row>
    <row r="636" spans="1:9" hidden="1" x14ac:dyDescent="0.25">
      <c r="A636" s="1" t="s">
        <v>158</v>
      </c>
      <c r="B636" s="1" t="s">
        <v>120</v>
      </c>
      <c r="C636" s="1" t="s">
        <v>25</v>
      </c>
      <c r="D636" s="1">
        <v>0</v>
      </c>
      <c r="E636" s="1">
        <v>0</v>
      </c>
      <c r="F636" s="1">
        <v>483.2</v>
      </c>
      <c r="G636" s="1">
        <v>9609.9860000000008</v>
      </c>
      <c r="H636" s="1">
        <v>1163.6300000000001</v>
      </c>
      <c r="I636" s="1">
        <v>0</v>
      </c>
    </row>
    <row r="637" spans="1:9" hidden="1" x14ac:dyDescent="0.25">
      <c r="A637" s="1" t="s">
        <v>158</v>
      </c>
      <c r="B637" s="1" t="s">
        <v>120</v>
      </c>
      <c r="C637" s="1" t="s">
        <v>10</v>
      </c>
      <c r="D637" s="1">
        <v>0</v>
      </c>
      <c r="E637" s="1">
        <v>0</v>
      </c>
      <c r="F637" s="1">
        <v>483.2</v>
      </c>
      <c r="G637" s="1">
        <v>9609.9860000000008</v>
      </c>
      <c r="H637" s="1">
        <v>3071.299</v>
      </c>
      <c r="I637" s="1">
        <v>0</v>
      </c>
    </row>
    <row r="638" spans="1:9" hidden="1" x14ac:dyDescent="0.25">
      <c r="A638" s="1" t="s">
        <v>158</v>
      </c>
      <c r="B638" s="1" t="s">
        <v>121</v>
      </c>
      <c r="C638" s="1" t="s">
        <v>25</v>
      </c>
      <c r="D638" s="1">
        <v>0</v>
      </c>
      <c r="E638" s="1">
        <v>0</v>
      </c>
      <c r="F638" s="1">
        <v>-483.2</v>
      </c>
      <c r="G638" s="1">
        <v>-9609.9860000000008</v>
      </c>
      <c r="H638" s="1">
        <v>-1163.6300000000001</v>
      </c>
      <c r="I638" s="1">
        <v>0</v>
      </c>
    </row>
    <row r="639" spans="1:9" hidden="1" x14ac:dyDescent="0.25">
      <c r="A639" s="1" t="s">
        <v>158</v>
      </c>
      <c r="B639" s="1" t="s">
        <v>121</v>
      </c>
      <c r="C639" s="1" t="s">
        <v>10</v>
      </c>
      <c r="D639" s="1">
        <v>0</v>
      </c>
      <c r="E639" s="1">
        <v>0</v>
      </c>
      <c r="F639" s="1">
        <v>-483.2</v>
      </c>
      <c r="G639" s="1">
        <v>-9609.9860000000008</v>
      </c>
      <c r="H639" s="1">
        <v>-3071.299</v>
      </c>
      <c r="I639" s="1">
        <v>0</v>
      </c>
    </row>
    <row r="640" spans="1:9" hidden="1" x14ac:dyDescent="0.25">
      <c r="A640" s="1" t="s">
        <v>158</v>
      </c>
      <c r="B640" s="1" t="s">
        <v>122</v>
      </c>
      <c r="C640" s="1" t="s">
        <v>25</v>
      </c>
      <c r="D640" s="1">
        <v>0</v>
      </c>
      <c r="E640" s="1">
        <v>0</v>
      </c>
      <c r="F640" s="1">
        <v>483.2</v>
      </c>
      <c r="G640" s="1">
        <v>9609.9860000000008</v>
      </c>
      <c r="H640" s="1">
        <v>1163.6300000000001</v>
      </c>
      <c r="I640" s="1">
        <v>0</v>
      </c>
    </row>
    <row r="641" spans="1:9" hidden="1" x14ac:dyDescent="0.25">
      <c r="A641" s="1" t="s">
        <v>158</v>
      </c>
      <c r="B641" s="1" t="s">
        <v>122</v>
      </c>
      <c r="C641" s="1" t="s">
        <v>10</v>
      </c>
      <c r="D641" s="1">
        <v>0</v>
      </c>
      <c r="E641" s="1">
        <v>0</v>
      </c>
      <c r="F641" s="1">
        <v>483.2</v>
      </c>
      <c r="G641" s="1">
        <v>9609.9860000000008</v>
      </c>
      <c r="H641" s="1">
        <v>3071.299</v>
      </c>
      <c r="I641" s="1">
        <v>0</v>
      </c>
    </row>
    <row r="642" spans="1:9" hidden="1" x14ac:dyDescent="0.25">
      <c r="A642" s="1" t="s">
        <v>158</v>
      </c>
      <c r="B642" s="1" t="s">
        <v>123</v>
      </c>
      <c r="C642" s="1" t="s">
        <v>25</v>
      </c>
      <c r="D642" s="1">
        <v>0</v>
      </c>
      <c r="E642" s="1">
        <v>0</v>
      </c>
      <c r="F642" s="1">
        <v>-483.2</v>
      </c>
      <c r="G642" s="1">
        <v>-9609.9860000000008</v>
      </c>
      <c r="H642" s="1">
        <v>-1163.6300000000001</v>
      </c>
      <c r="I642" s="1">
        <v>0</v>
      </c>
    </row>
    <row r="643" spans="1:9" hidden="1" x14ac:dyDescent="0.25">
      <c r="A643" s="1" t="s">
        <v>158</v>
      </c>
      <c r="B643" s="1" t="s">
        <v>123</v>
      </c>
      <c r="C643" s="1" t="s">
        <v>10</v>
      </c>
      <c r="D643" s="1">
        <v>0</v>
      </c>
      <c r="E643" s="1">
        <v>0</v>
      </c>
      <c r="F643" s="1">
        <v>-483.2</v>
      </c>
      <c r="G643" s="1">
        <v>-9609.9860000000008</v>
      </c>
      <c r="H643" s="1">
        <v>-3071.299</v>
      </c>
      <c r="I643" s="1">
        <v>0</v>
      </c>
    </row>
    <row r="644" spans="1:9" hidden="1" x14ac:dyDescent="0.25">
      <c r="A644" s="1" t="s">
        <v>158</v>
      </c>
      <c r="B644" s="1" t="s">
        <v>124</v>
      </c>
      <c r="C644" s="1" t="s">
        <v>25</v>
      </c>
      <c r="D644" s="1">
        <v>0</v>
      </c>
      <c r="E644" s="1">
        <v>58.3</v>
      </c>
      <c r="F644" s="1">
        <v>0</v>
      </c>
      <c r="G644" s="1">
        <v>984.83</v>
      </c>
      <c r="H644" s="1">
        <v>0</v>
      </c>
      <c r="I644" s="1">
        <v>163.88499999999999</v>
      </c>
    </row>
    <row r="645" spans="1:9" hidden="1" x14ac:dyDescent="0.25">
      <c r="A645" s="1" t="s">
        <v>158</v>
      </c>
      <c r="B645" s="1" t="s">
        <v>124</v>
      </c>
      <c r="C645" s="1" t="s">
        <v>10</v>
      </c>
      <c r="D645" s="1">
        <v>0</v>
      </c>
      <c r="E645" s="1">
        <v>58.3</v>
      </c>
      <c r="F645" s="1">
        <v>0</v>
      </c>
      <c r="G645" s="1">
        <v>984.83</v>
      </c>
      <c r="H645" s="1">
        <v>0</v>
      </c>
      <c r="I645" s="1">
        <v>381.512</v>
      </c>
    </row>
    <row r="646" spans="1:9" hidden="1" x14ac:dyDescent="0.25">
      <c r="A646" s="1" t="s">
        <v>158</v>
      </c>
      <c r="B646" s="1" t="s">
        <v>125</v>
      </c>
      <c r="C646" s="1" t="s">
        <v>25</v>
      </c>
      <c r="D646" s="1">
        <v>0</v>
      </c>
      <c r="E646" s="1">
        <v>-58.3</v>
      </c>
      <c r="F646" s="1">
        <v>0</v>
      </c>
      <c r="G646" s="1">
        <v>-984.83</v>
      </c>
      <c r="H646" s="1">
        <v>0</v>
      </c>
      <c r="I646" s="1">
        <v>-163.88499999999999</v>
      </c>
    </row>
    <row r="647" spans="1:9" hidden="1" x14ac:dyDescent="0.25">
      <c r="A647" s="1" t="s">
        <v>158</v>
      </c>
      <c r="B647" s="1" t="s">
        <v>125</v>
      </c>
      <c r="C647" s="1" t="s">
        <v>10</v>
      </c>
      <c r="D647" s="1">
        <v>0</v>
      </c>
      <c r="E647" s="1">
        <v>-58.3</v>
      </c>
      <c r="F647" s="1">
        <v>0</v>
      </c>
      <c r="G647" s="1">
        <v>-984.83</v>
      </c>
      <c r="H647" s="1">
        <v>0</v>
      </c>
      <c r="I647" s="1">
        <v>-381.512</v>
      </c>
    </row>
    <row r="648" spans="1:9" hidden="1" x14ac:dyDescent="0.25">
      <c r="A648" s="1" t="s">
        <v>158</v>
      </c>
      <c r="B648" s="1" t="s">
        <v>126</v>
      </c>
      <c r="C648" s="1" t="s">
        <v>25</v>
      </c>
      <c r="D648" s="1">
        <v>0</v>
      </c>
      <c r="E648" s="1">
        <v>58.3</v>
      </c>
      <c r="F648" s="1">
        <v>0</v>
      </c>
      <c r="G648" s="1">
        <v>984.83</v>
      </c>
      <c r="H648" s="1">
        <v>0</v>
      </c>
      <c r="I648" s="1">
        <v>163.88499999999999</v>
      </c>
    </row>
    <row r="649" spans="1:9" hidden="1" x14ac:dyDescent="0.25">
      <c r="A649" s="1" t="s">
        <v>158</v>
      </c>
      <c r="B649" s="1" t="s">
        <v>126</v>
      </c>
      <c r="C649" s="1" t="s">
        <v>10</v>
      </c>
      <c r="D649" s="1">
        <v>0</v>
      </c>
      <c r="E649" s="1">
        <v>58.3</v>
      </c>
      <c r="F649" s="1">
        <v>0</v>
      </c>
      <c r="G649" s="1">
        <v>984.83</v>
      </c>
      <c r="H649" s="1">
        <v>0</v>
      </c>
      <c r="I649" s="1">
        <v>381.512</v>
      </c>
    </row>
    <row r="650" spans="1:9" hidden="1" x14ac:dyDescent="0.25">
      <c r="A650" s="1" t="s">
        <v>158</v>
      </c>
      <c r="B650" s="1" t="s">
        <v>127</v>
      </c>
      <c r="C650" s="1" t="s">
        <v>25</v>
      </c>
      <c r="D650" s="1">
        <v>0</v>
      </c>
      <c r="E650" s="1">
        <v>-58.3</v>
      </c>
      <c r="F650" s="1">
        <v>0</v>
      </c>
      <c r="G650" s="1">
        <v>-984.83</v>
      </c>
      <c r="H650" s="1">
        <v>0</v>
      </c>
      <c r="I650" s="1">
        <v>-163.88499999999999</v>
      </c>
    </row>
    <row r="651" spans="1:9" hidden="1" x14ac:dyDescent="0.25">
      <c r="A651" s="1" t="s">
        <v>158</v>
      </c>
      <c r="B651" s="1" t="s">
        <v>127</v>
      </c>
      <c r="C651" s="1" t="s">
        <v>10</v>
      </c>
      <c r="D651" s="1">
        <v>0</v>
      </c>
      <c r="E651" s="1">
        <v>-58.3</v>
      </c>
      <c r="F651" s="1">
        <v>0</v>
      </c>
      <c r="G651" s="1">
        <v>-984.83</v>
      </c>
      <c r="H651" s="1">
        <v>0</v>
      </c>
      <c r="I651" s="1">
        <v>-381.512</v>
      </c>
    </row>
    <row r="652" spans="1:9" hidden="1" x14ac:dyDescent="0.25">
      <c r="A652" s="1" t="s">
        <v>158</v>
      </c>
      <c r="B652" s="1" t="s">
        <v>128</v>
      </c>
      <c r="C652" s="1" t="s">
        <v>25</v>
      </c>
      <c r="D652" s="1">
        <v>0</v>
      </c>
      <c r="E652" s="1">
        <v>0</v>
      </c>
      <c r="F652" s="1">
        <v>144.96</v>
      </c>
      <c r="G652" s="1">
        <v>2882.9960000000001</v>
      </c>
      <c r="H652" s="1">
        <v>349.089</v>
      </c>
      <c r="I652" s="1">
        <v>0</v>
      </c>
    </row>
    <row r="653" spans="1:9" hidden="1" x14ac:dyDescent="0.25">
      <c r="A653" s="1" t="s">
        <v>158</v>
      </c>
      <c r="B653" s="1" t="s">
        <v>128</v>
      </c>
      <c r="C653" s="1" t="s">
        <v>10</v>
      </c>
      <c r="D653" s="1">
        <v>0</v>
      </c>
      <c r="E653" s="1">
        <v>0</v>
      </c>
      <c r="F653" s="1">
        <v>144.96</v>
      </c>
      <c r="G653" s="1">
        <v>2882.9960000000001</v>
      </c>
      <c r="H653" s="1">
        <v>921.39</v>
      </c>
      <c r="I653" s="1">
        <v>0</v>
      </c>
    </row>
    <row r="654" spans="1:9" hidden="1" x14ac:dyDescent="0.25">
      <c r="A654" s="1" t="s">
        <v>158</v>
      </c>
      <c r="B654" s="1" t="s">
        <v>129</v>
      </c>
      <c r="C654" s="1" t="s">
        <v>25</v>
      </c>
      <c r="D654" s="1">
        <v>0</v>
      </c>
      <c r="E654" s="1">
        <v>0</v>
      </c>
      <c r="F654" s="1">
        <v>-144.96</v>
      </c>
      <c r="G654" s="1">
        <v>-2882.9960000000001</v>
      </c>
      <c r="H654" s="1">
        <v>-349.089</v>
      </c>
      <c r="I654" s="1">
        <v>0</v>
      </c>
    </row>
    <row r="655" spans="1:9" hidden="1" x14ac:dyDescent="0.25">
      <c r="A655" s="1" t="s">
        <v>158</v>
      </c>
      <c r="B655" s="1" t="s">
        <v>129</v>
      </c>
      <c r="C655" s="1" t="s">
        <v>10</v>
      </c>
      <c r="D655" s="1">
        <v>0</v>
      </c>
      <c r="E655" s="1">
        <v>0</v>
      </c>
      <c r="F655" s="1">
        <v>-144.96</v>
      </c>
      <c r="G655" s="1">
        <v>-2882.9960000000001</v>
      </c>
      <c r="H655" s="1">
        <v>-921.39</v>
      </c>
      <c r="I655" s="1">
        <v>0</v>
      </c>
    </row>
    <row r="656" spans="1:9" hidden="1" x14ac:dyDescent="0.25">
      <c r="A656" s="1" t="s">
        <v>158</v>
      </c>
      <c r="B656" s="1" t="s">
        <v>130</v>
      </c>
      <c r="C656" s="1" t="s">
        <v>25</v>
      </c>
      <c r="D656" s="1">
        <v>0</v>
      </c>
      <c r="E656" s="1">
        <v>0</v>
      </c>
      <c r="F656" s="1">
        <v>144.96</v>
      </c>
      <c r="G656" s="1">
        <v>2882.9960000000001</v>
      </c>
      <c r="H656" s="1">
        <v>349.089</v>
      </c>
      <c r="I656" s="1">
        <v>0</v>
      </c>
    </row>
    <row r="657" spans="1:9" hidden="1" x14ac:dyDescent="0.25">
      <c r="A657" s="1" t="s">
        <v>158</v>
      </c>
      <c r="B657" s="1" t="s">
        <v>130</v>
      </c>
      <c r="C657" s="1" t="s">
        <v>10</v>
      </c>
      <c r="D657" s="1">
        <v>0</v>
      </c>
      <c r="E657" s="1">
        <v>0</v>
      </c>
      <c r="F657" s="1">
        <v>144.96</v>
      </c>
      <c r="G657" s="1">
        <v>2882.9960000000001</v>
      </c>
      <c r="H657" s="1">
        <v>921.39</v>
      </c>
      <c r="I657" s="1">
        <v>0</v>
      </c>
    </row>
    <row r="658" spans="1:9" hidden="1" x14ac:dyDescent="0.25">
      <c r="A658" s="1" t="s">
        <v>158</v>
      </c>
      <c r="B658" s="1" t="s">
        <v>131</v>
      </c>
      <c r="C658" s="1" t="s">
        <v>25</v>
      </c>
      <c r="D658" s="1">
        <v>0</v>
      </c>
      <c r="E658" s="1">
        <v>0</v>
      </c>
      <c r="F658" s="1">
        <v>-144.96</v>
      </c>
      <c r="G658" s="1">
        <v>-2882.9960000000001</v>
      </c>
      <c r="H658" s="1">
        <v>-349.089</v>
      </c>
      <c r="I658" s="1">
        <v>0</v>
      </c>
    </row>
    <row r="659" spans="1:9" hidden="1" x14ac:dyDescent="0.25">
      <c r="A659" s="1" t="s">
        <v>158</v>
      </c>
      <c r="B659" s="1" t="s">
        <v>131</v>
      </c>
      <c r="C659" s="1" t="s">
        <v>10</v>
      </c>
      <c r="D659" s="1">
        <v>0</v>
      </c>
      <c r="E659" s="1">
        <v>0</v>
      </c>
      <c r="F659" s="1">
        <v>-144.96</v>
      </c>
      <c r="G659" s="1">
        <v>-2882.9960000000001</v>
      </c>
      <c r="H659" s="1">
        <v>-921.39</v>
      </c>
      <c r="I659" s="1">
        <v>0</v>
      </c>
    </row>
    <row r="660" spans="1:9" hidden="1" x14ac:dyDescent="0.25">
      <c r="A660" s="1" t="s">
        <v>158</v>
      </c>
      <c r="B660" s="1" t="s">
        <v>132</v>
      </c>
      <c r="C660" s="1" t="s">
        <v>25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</row>
    <row r="661" spans="1:9" hidden="1" x14ac:dyDescent="0.25">
      <c r="A661" s="1" t="s">
        <v>158</v>
      </c>
      <c r="B661" s="1" t="s">
        <v>132</v>
      </c>
      <c r="C661" s="1" t="s">
        <v>10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</row>
    <row r="662" spans="1:9" hidden="1" x14ac:dyDescent="0.25">
      <c r="A662" s="1" t="s">
        <v>158</v>
      </c>
      <c r="B662" s="1" t="s">
        <v>133</v>
      </c>
      <c r="C662" s="1" t="s">
        <v>25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</row>
    <row r="663" spans="1:9" hidden="1" x14ac:dyDescent="0.25">
      <c r="A663" s="1" t="s">
        <v>158</v>
      </c>
      <c r="B663" s="1" t="s">
        <v>133</v>
      </c>
      <c r="C663" s="1" t="s">
        <v>10</v>
      </c>
      <c r="D663" s="1">
        <v>0</v>
      </c>
      <c r="E663" s="1">
        <v>0</v>
      </c>
      <c r="F663" s="1">
        <v>0</v>
      </c>
      <c r="G663" s="1">
        <v>0</v>
      </c>
      <c r="H663" s="1">
        <v>0</v>
      </c>
      <c r="I663" s="1">
        <v>0</v>
      </c>
    </row>
    <row r="664" spans="1:9" hidden="1" x14ac:dyDescent="0.25">
      <c r="A664" s="1" t="s">
        <v>158</v>
      </c>
      <c r="B664" s="1" t="s">
        <v>134</v>
      </c>
      <c r="C664" s="1" t="s">
        <v>25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</row>
    <row r="665" spans="1:9" hidden="1" x14ac:dyDescent="0.25">
      <c r="A665" s="1" t="s">
        <v>158</v>
      </c>
      <c r="B665" s="1" t="s">
        <v>134</v>
      </c>
      <c r="C665" s="1" t="s">
        <v>10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</row>
    <row r="666" spans="1:9" hidden="1" x14ac:dyDescent="0.25">
      <c r="A666" s="1" t="s">
        <v>158</v>
      </c>
      <c r="B666" s="1" t="s">
        <v>135</v>
      </c>
      <c r="C666" s="1" t="s">
        <v>25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</row>
    <row r="667" spans="1:9" hidden="1" x14ac:dyDescent="0.25">
      <c r="A667" s="1" t="s">
        <v>158</v>
      </c>
      <c r="B667" s="1" t="s">
        <v>135</v>
      </c>
      <c r="C667" s="1" t="s">
        <v>10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</row>
    <row r="668" spans="1:9" hidden="1" x14ac:dyDescent="0.25">
      <c r="A668" s="1" t="s">
        <v>158</v>
      </c>
      <c r="B668" s="1" t="s">
        <v>136</v>
      </c>
      <c r="C668" s="1" t="s">
        <v>25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</row>
    <row r="669" spans="1:9" hidden="1" x14ac:dyDescent="0.25">
      <c r="A669" s="1" t="s">
        <v>158</v>
      </c>
      <c r="B669" s="1" t="s">
        <v>136</v>
      </c>
      <c r="C669" s="1" t="s">
        <v>10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</row>
    <row r="670" spans="1:9" hidden="1" x14ac:dyDescent="0.25">
      <c r="A670" s="1" t="s">
        <v>158</v>
      </c>
      <c r="B670" s="1" t="s">
        <v>137</v>
      </c>
      <c r="C670" s="1" t="s">
        <v>25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</row>
    <row r="671" spans="1:9" hidden="1" x14ac:dyDescent="0.25">
      <c r="A671" s="1" t="s">
        <v>158</v>
      </c>
      <c r="B671" s="1" t="s">
        <v>137</v>
      </c>
      <c r="C671" s="1" t="s">
        <v>10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</row>
    <row r="672" spans="1:9" hidden="1" x14ac:dyDescent="0.25">
      <c r="A672" s="1" t="s">
        <v>158</v>
      </c>
      <c r="B672" s="1" t="s">
        <v>138</v>
      </c>
      <c r="C672" s="1" t="s">
        <v>25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</row>
    <row r="673" spans="1:9" hidden="1" x14ac:dyDescent="0.25">
      <c r="A673" s="1" t="s">
        <v>158</v>
      </c>
      <c r="B673" s="1" t="s">
        <v>138</v>
      </c>
      <c r="C673" s="1" t="s">
        <v>10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</row>
    <row r="674" spans="1:9" hidden="1" x14ac:dyDescent="0.25">
      <c r="A674" s="1" t="s">
        <v>158</v>
      </c>
      <c r="B674" s="1" t="s">
        <v>139</v>
      </c>
      <c r="C674" s="1" t="s">
        <v>25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</row>
    <row r="675" spans="1:9" hidden="1" x14ac:dyDescent="0.25">
      <c r="A675" s="1" t="s">
        <v>158</v>
      </c>
      <c r="B675" s="1" t="s">
        <v>139</v>
      </c>
      <c r="C675" s="1" t="s">
        <v>10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</row>
    <row r="676" spans="1:9" hidden="1" x14ac:dyDescent="0.25">
      <c r="A676" s="1" t="s">
        <v>158</v>
      </c>
      <c r="B676" s="1" t="s">
        <v>140</v>
      </c>
      <c r="C676" s="1" t="s">
        <v>25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</row>
    <row r="677" spans="1:9" hidden="1" x14ac:dyDescent="0.25">
      <c r="A677" s="1" t="s">
        <v>158</v>
      </c>
      <c r="B677" s="1" t="s">
        <v>140</v>
      </c>
      <c r="C677" s="1" t="s">
        <v>10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</row>
    <row r="678" spans="1:9" hidden="1" x14ac:dyDescent="0.25">
      <c r="A678" s="1" t="s">
        <v>158</v>
      </c>
      <c r="B678" s="1" t="s">
        <v>141</v>
      </c>
      <c r="C678" s="1" t="s">
        <v>25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</row>
    <row r="679" spans="1:9" hidden="1" x14ac:dyDescent="0.25">
      <c r="A679" s="1" t="s">
        <v>158</v>
      </c>
      <c r="B679" s="1" t="s">
        <v>141</v>
      </c>
      <c r="C679" s="1" t="s">
        <v>10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</row>
    <row r="680" spans="1:9" hidden="1" x14ac:dyDescent="0.25">
      <c r="A680" s="1" t="s">
        <v>158</v>
      </c>
      <c r="B680" s="1" t="s">
        <v>142</v>
      </c>
      <c r="C680" s="1" t="s">
        <v>25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</row>
    <row r="681" spans="1:9" hidden="1" x14ac:dyDescent="0.25">
      <c r="A681" s="1" t="s">
        <v>158</v>
      </c>
      <c r="B681" s="1" t="s">
        <v>142</v>
      </c>
      <c r="C681" s="1" t="s">
        <v>10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</row>
    <row r="682" spans="1:9" hidden="1" x14ac:dyDescent="0.25">
      <c r="A682" s="1" t="s">
        <v>158</v>
      </c>
      <c r="B682" s="1" t="s">
        <v>143</v>
      </c>
      <c r="C682" s="1" t="s">
        <v>25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</row>
    <row r="683" spans="1:9" hidden="1" x14ac:dyDescent="0.25">
      <c r="A683" s="1" t="s">
        <v>158</v>
      </c>
      <c r="B683" s="1" t="s">
        <v>143</v>
      </c>
      <c r="C683" s="1" t="s">
        <v>10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</row>
    <row r="684" spans="1:9" hidden="1" x14ac:dyDescent="0.25">
      <c r="A684" s="1" t="s">
        <v>158</v>
      </c>
      <c r="B684" s="1" t="s">
        <v>144</v>
      </c>
      <c r="C684" s="1" t="s">
        <v>25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</row>
    <row r="685" spans="1:9" hidden="1" x14ac:dyDescent="0.25">
      <c r="A685" s="1" t="s">
        <v>158</v>
      </c>
      <c r="B685" s="1" t="s">
        <v>144</v>
      </c>
      <c r="C685" s="1" t="s">
        <v>10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</row>
    <row r="686" spans="1:9" hidden="1" x14ac:dyDescent="0.25">
      <c r="A686" s="1" t="s">
        <v>158</v>
      </c>
      <c r="B686" s="1" t="s">
        <v>145</v>
      </c>
      <c r="C686" s="1" t="s">
        <v>25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</row>
    <row r="687" spans="1:9" hidden="1" x14ac:dyDescent="0.25">
      <c r="A687" s="1" t="s">
        <v>158</v>
      </c>
      <c r="B687" s="1" t="s">
        <v>145</v>
      </c>
      <c r="C687" s="1" t="s">
        <v>10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</row>
    <row r="688" spans="1:9" hidden="1" x14ac:dyDescent="0.25">
      <c r="A688" s="1" t="s">
        <v>158</v>
      </c>
      <c r="B688" s="1" t="s">
        <v>146</v>
      </c>
      <c r="C688" s="1" t="s">
        <v>25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</row>
    <row r="689" spans="1:9" hidden="1" x14ac:dyDescent="0.25">
      <c r="A689" s="1" t="s">
        <v>158</v>
      </c>
      <c r="B689" s="1" t="s">
        <v>146</v>
      </c>
      <c r="C689" s="1" t="s">
        <v>10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</row>
    <row r="690" spans="1:9" hidden="1" x14ac:dyDescent="0.25">
      <c r="A690" s="1" t="s">
        <v>158</v>
      </c>
      <c r="B690" s="1" t="s">
        <v>147</v>
      </c>
      <c r="C690" s="1" t="s">
        <v>25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</row>
    <row r="691" spans="1:9" hidden="1" x14ac:dyDescent="0.25">
      <c r="A691" s="1" t="s">
        <v>158</v>
      </c>
      <c r="B691" s="1" t="s">
        <v>147</v>
      </c>
      <c r="C691" s="1" t="s">
        <v>10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</row>
    <row r="692" spans="1:9" hidden="1" x14ac:dyDescent="0.25">
      <c r="A692" s="1" t="s">
        <v>158</v>
      </c>
      <c r="B692" s="1" t="s">
        <v>159</v>
      </c>
      <c r="C692" s="1" t="s">
        <v>25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</row>
    <row r="693" spans="1:9" hidden="1" x14ac:dyDescent="0.25">
      <c r="A693" s="1" t="s">
        <v>158</v>
      </c>
      <c r="B693" s="1" t="s">
        <v>159</v>
      </c>
      <c r="C693" s="1" t="s">
        <v>10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</row>
    <row r="694" spans="1:9" hidden="1" x14ac:dyDescent="0.25">
      <c r="A694" s="1" t="s">
        <v>158</v>
      </c>
      <c r="B694" s="1" t="s">
        <v>160</v>
      </c>
      <c r="C694" s="1" t="s">
        <v>25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</row>
    <row r="695" spans="1:9" hidden="1" x14ac:dyDescent="0.25">
      <c r="A695" s="1" t="s">
        <v>158</v>
      </c>
      <c r="B695" s="1" t="s">
        <v>160</v>
      </c>
      <c r="C695" s="1" t="s">
        <v>10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</row>
    <row r="696" spans="1:9" hidden="1" x14ac:dyDescent="0.25">
      <c r="A696" s="1" t="s">
        <v>158</v>
      </c>
      <c r="B696" s="1" t="s">
        <v>161</v>
      </c>
      <c r="C696" s="1" t="s">
        <v>25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</row>
    <row r="697" spans="1:9" hidden="1" x14ac:dyDescent="0.25">
      <c r="A697" s="1" t="s">
        <v>158</v>
      </c>
      <c r="B697" s="1" t="s">
        <v>161</v>
      </c>
      <c r="C697" s="1" t="s">
        <v>10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</row>
    <row r="698" spans="1:9" hidden="1" x14ac:dyDescent="0.25">
      <c r="A698" s="1" t="s">
        <v>158</v>
      </c>
      <c r="B698" s="1" t="s">
        <v>162</v>
      </c>
      <c r="C698" s="1" t="s">
        <v>25</v>
      </c>
      <c r="D698" s="1">
        <v>0</v>
      </c>
      <c r="E698" s="1">
        <v>-443.06</v>
      </c>
      <c r="F698" s="1">
        <v>0</v>
      </c>
      <c r="G698" s="1">
        <v>7310.4229999999998</v>
      </c>
      <c r="H698" s="1">
        <v>0</v>
      </c>
      <c r="I698" s="1">
        <v>-1012.699</v>
      </c>
    </row>
    <row r="699" spans="1:9" hidden="1" x14ac:dyDescent="0.25">
      <c r="A699" s="1" t="s">
        <v>158</v>
      </c>
      <c r="B699" s="1" t="s">
        <v>162</v>
      </c>
      <c r="C699" s="1" t="s">
        <v>10</v>
      </c>
      <c r="D699" s="1">
        <v>0</v>
      </c>
      <c r="E699" s="1">
        <v>-443.06</v>
      </c>
      <c r="F699" s="1">
        <v>0</v>
      </c>
      <c r="G699" s="1">
        <v>7310.4229999999998</v>
      </c>
      <c r="H699" s="1">
        <v>0</v>
      </c>
      <c r="I699" s="1">
        <v>-2784.9229999999998</v>
      </c>
    </row>
    <row r="700" spans="1:9" hidden="1" x14ac:dyDescent="0.25">
      <c r="A700" s="1" t="s">
        <v>158</v>
      </c>
      <c r="B700" s="1" t="s">
        <v>163</v>
      </c>
      <c r="C700" s="1" t="s">
        <v>25</v>
      </c>
      <c r="D700" s="1">
        <v>0</v>
      </c>
      <c r="E700" s="1">
        <v>-443.06</v>
      </c>
      <c r="F700" s="1">
        <v>0</v>
      </c>
      <c r="G700" s="1">
        <v>5981.2550000000001</v>
      </c>
      <c r="H700" s="1">
        <v>0</v>
      </c>
      <c r="I700" s="1">
        <v>-1012.699</v>
      </c>
    </row>
    <row r="701" spans="1:9" hidden="1" x14ac:dyDescent="0.25">
      <c r="A701" s="1" t="s">
        <v>158</v>
      </c>
      <c r="B701" s="1" t="s">
        <v>163</v>
      </c>
      <c r="C701" s="1" t="s">
        <v>10</v>
      </c>
      <c r="D701" s="1">
        <v>0</v>
      </c>
      <c r="E701" s="1">
        <v>-443.06</v>
      </c>
      <c r="F701" s="1">
        <v>0</v>
      </c>
      <c r="G701" s="1">
        <v>5981.2550000000001</v>
      </c>
      <c r="H701" s="1">
        <v>0</v>
      </c>
      <c r="I701" s="1">
        <v>-2784.9229999999998</v>
      </c>
    </row>
    <row r="702" spans="1:9" hidden="1" x14ac:dyDescent="0.25">
      <c r="A702" s="1" t="s">
        <v>158</v>
      </c>
      <c r="B702" s="1" t="s">
        <v>164</v>
      </c>
      <c r="C702" s="1" t="s">
        <v>25</v>
      </c>
      <c r="D702" s="1">
        <v>0</v>
      </c>
      <c r="E702" s="1">
        <v>443.06</v>
      </c>
      <c r="F702" s="1">
        <v>0</v>
      </c>
      <c r="G702" s="1">
        <v>-7310.4229999999998</v>
      </c>
      <c r="H702" s="1">
        <v>0</v>
      </c>
      <c r="I702" s="1">
        <v>1012.699</v>
      </c>
    </row>
    <row r="703" spans="1:9" hidden="1" x14ac:dyDescent="0.25">
      <c r="A703" s="1" t="s">
        <v>158</v>
      </c>
      <c r="B703" s="1" t="s">
        <v>164</v>
      </c>
      <c r="C703" s="1" t="s">
        <v>10</v>
      </c>
      <c r="D703" s="1">
        <v>0</v>
      </c>
      <c r="E703" s="1">
        <v>443.06</v>
      </c>
      <c r="F703" s="1">
        <v>0</v>
      </c>
      <c r="G703" s="1">
        <v>-7310.4229999999998</v>
      </c>
      <c r="H703" s="1">
        <v>0</v>
      </c>
      <c r="I703" s="1">
        <v>2784.9229999999998</v>
      </c>
    </row>
    <row r="704" spans="1:9" hidden="1" x14ac:dyDescent="0.25">
      <c r="A704" s="1" t="s">
        <v>158</v>
      </c>
      <c r="B704" s="1" t="s">
        <v>165</v>
      </c>
      <c r="C704" s="1" t="s">
        <v>25</v>
      </c>
      <c r="D704" s="1">
        <v>0</v>
      </c>
      <c r="E704" s="1">
        <v>443.06</v>
      </c>
      <c r="F704" s="1">
        <v>0</v>
      </c>
      <c r="G704" s="1">
        <v>-5981.2550000000001</v>
      </c>
      <c r="H704" s="1">
        <v>0</v>
      </c>
      <c r="I704" s="1">
        <v>1012.699</v>
      </c>
    </row>
    <row r="705" spans="1:9" hidden="1" x14ac:dyDescent="0.25">
      <c r="A705" s="1" t="s">
        <v>158</v>
      </c>
      <c r="B705" s="1" t="s">
        <v>165</v>
      </c>
      <c r="C705" s="1" t="s">
        <v>10</v>
      </c>
      <c r="D705" s="1">
        <v>0</v>
      </c>
      <c r="E705" s="1">
        <v>443.06</v>
      </c>
      <c r="F705" s="1">
        <v>0</v>
      </c>
      <c r="G705" s="1">
        <v>-5981.2550000000001</v>
      </c>
      <c r="H705" s="1">
        <v>0</v>
      </c>
      <c r="I705" s="1">
        <v>2784.9229999999998</v>
      </c>
    </row>
    <row r="706" spans="1:9" hidden="1" x14ac:dyDescent="0.25">
      <c r="A706" s="1" t="s">
        <v>158</v>
      </c>
      <c r="B706" s="1" t="s">
        <v>166</v>
      </c>
      <c r="C706" s="1" t="s">
        <v>25</v>
      </c>
      <c r="D706" s="1">
        <v>0</v>
      </c>
      <c r="E706" s="1">
        <v>0</v>
      </c>
      <c r="F706" s="1">
        <v>-535.54999999999995</v>
      </c>
      <c r="G706" s="1">
        <v>-10603.824000000001</v>
      </c>
      <c r="H706" s="1">
        <v>1224.107</v>
      </c>
      <c r="I706" s="1">
        <v>0</v>
      </c>
    </row>
    <row r="707" spans="1:9" hidden="1" x14ac:dyDescent="0.25">
      <c r="A707" s="1" t="s">
        <v>158</v>
      </c>
      <c r="B707" s="1" t="s">
        <v>166</v>
      </c>
      <c r="C707" s="1" t="s">
        <v>10</v>
      </c>
      <c r="D707" s="1">
        <v>0</v>
      </c>
      <c r="E707" s="1">
        <v>0</v>
      </c>
      <c r="F707" s="1">
        <v>-535.54999999999995</v>
      </c>
      <c r="G707" s="1">
        <v>-10603.824000000001</v>
      </c>
      <c r="H707" s="1">
        <v>3366.2930000000001</v>
      </c>
      <c r="I707" s="1">
        <v>0</v>
      </c>
    </row>
    <row r="708" spans="1:9" hidden="1" x14ac:dyDescent="0.25">
      <c r="A708" s="1" t="s">
        <v>158</v>
      </c>
      <c r="B708" s="1" t="s">
        <v>167</v>
      </c>
      <c r="C708" s="1" t="s">
        <v>25</v>
      </c>
      <c r="D708" s="1">
        <v>0</v>
      </c>
      <c r="E708" s="1">
        <v>0</v>
      </c>
      <c r="F708" s="1">
        <v>-535.54999999999995</v>
      </c>
      <c r="G708" s="1">
        <v>-8675.8559999999998</v>
      </c>
      <c r="H708" s="1">
        <v>1224.107</v>
      </c>
      <c r="I708" s="1">
        <v>0</v>
      </c>
    </row>
    <row r="709" spans="1:9" hidden="1" x14ac:dyDescent="0.25">
      <c r="A709" s="1" t="s">
        <v>158</v>
      </c>
      <c r="B709" s="1" t="s">
        <v>167</v>
      </c>
      <c r="C709" s="1" t="s">
        <v>10</v>
      </c>
      <c r="D709" s="1">
        <v>0</v>
      </c>
      <c r="E709" s="1">
        <v>0</v>
      </c>
      <c r="F709" s="1">
        <v>-535.54999999999995</v>
      </c>
      <c r="G709" s="1">
        <v>-8675.8559999999998</v>
      </c>
      <c r="H709" s="1">
        <v>3366.2930000000001</v>
      </c>
      <c r="I709" s="1">
        <v>0</v>
      </c>
    </row>
    <row r="710" spans="1:9" hidden="1" x14ac:dyDescent="0.25">
      <c r="A710" s="1" t="s">
        <v>158</v>
      </c>
      <c r="B710" s="1" t="s">
        <v>168</v>
      </c>
      <c r="C710" s="1" t="s">
        <v>25</v>
      </c>
      <c r="D710" s="1">
        <v>0</v>
      </c>
      <c r="E710" s="1">
        <v>0</v>
      </c>
      <c r="F710" s="1">
        <v>535.54999999999995</v>
      </c>
      <c r="G710" s="1">
        <v>10603.824000000001</v>
      </c>
      <c r="H710" s="1">
        <v>-1224.107</v>
      </c>
      <c r="I710" s="1">
        <v>0</v>
      </c>
    </row>
    <row r="711" spans="1:9" hidden="1" x14ac:dyDescent="0.25">
      <c r="A711" s="1" t="s">
        <v>158</v>
      </c>
      <c r="B711" s="1" t="s">
        <v>168</v>
      </c>
      <c r="C711" s="1" t="s">
        <v>10</v>
      </c>
      <c r="D711" s="1">
        <v>0</v>
      </c>
      <c r="E711" s="1">
        <v>0</v>
      </c>
      <c r="F711" s="1">
        <v>535.54999999999995</v>
      </c>
      <c r="G711" s="1">
        <v>10603.824000000001</v>
      </c>
      <c r="H711" s="1">
        <v>-3366.2930000000001</v>
      </c>
      <c r="I711" s="1">
        <v>0</v>
      </c>
    </row>
    <row r="712" spans="1:9" hidden="1" x14ac:dyDescent="0.25">
      <c r="A712" s="1" t="s">
        <v>158</v>
      </c>
      <c r="B712" s="1" t="s">
        <v>169</v>
      </c>
      <c r="C712" s="1" t="s">
        <v>25</v>
      </c>
      <c r="D712" s="1">
        <v>0</v>
      </c>
      <c r="E712" s="1">
        <v>0</v>
      </c>
      <c r="F712" s="1">
        <v>535.54999999999995</v>
      </c>
      <c r="G712" s="1">
        <v>8675.8559999999998</v>
      </c>
      <c r="H712" s="1">
        <v>-1224.107</v>
      </c>
      <c r="I712" s="1">
        <v>0</v>
      </c>
    </row>
    <row r="713" spans="1:9" hidden="1" x14ac:dyDescent="0.25">
      <c r="A713" s="1" t="s">
        <v>158</v>
      </c>
      <c r="B713" s="1" t="s">
        <v>169</v>
      </c>
      <c r="C713" s="1" t="s">
        <v>10</v>
      </c>
      <c r="D713" s="1">
        <v>0</v>
      </c>
      <c r="E713" s="1">
        <v>0</v>
      </c>
      <c r="F713" s="1">
        <v>535.54999999999995</v>
      </c>
      <c r="G713" s="1">
        <v>8675.8559999999998</v>
      </c>
      <c r="H713" s="1">
        <v>-3366.2930000000001</v>
      </c>
      <c r="I713" s="1">
        <v>0</v>
      </c>
    </row>
    <row r="714" spans="1:9" hidden="1" x14ac:dyDescent="0.25">
      <c r="A714" s="1" t="s">
        <v>158</v>
      </c>
      <c r="B714" s="1" t="s">
        <v>170</v>
      </c>
      <c r="C714" s="1" t="s">
        <v>25</v>
      </c>
      <c r="D714" s="1">
        <v>0</v>
      </c>
      <c r="E714" s="1">
        <v>-443.06</v>
      </c>
      <c r="F714" s="1">
        <v>0</v>
      </c>
      <c r="G714" s="1">
        <v>7310.4229999999998</v>
      </c>
      <c r="H714" s="1">
        <v>0</v>
      </c>
      <c r="I714" s="1">
        <v>-1012.699</v>
      </c>
    </row>
    <row r="715" spans="1:9" hidden="1" x14ac:dyDescent="0.25">
      <c r="A715" s="1" t="s">
        <v>158</v>
      </c>
      <c r="B715" s="1" t="s">
        <v>170</v>
      </c>
      <c r="C715" s="1" t="s">
        <v>10</v>
      </c>
      <c r="D715" s="1">
        <v>0</v>
      </c>
      <c r="E715" s="1">
        <v>-443.06</v>
      </c>
      <c r="F715" s="1">
        <v>0</v>
      </c>
      <c r="G715" s="1">
        <v>7310.4229999999998</v>
      </c>
      <c r="H715" s="1">
        <v>0</v>
      </c>
      <c r="I715" s="1">
        <v>-2784.9229999999998</v>
      </c>
    </row>
    <row r="716" spans="1:9" hidden="1" x14ac:dyDescent="0.25">
      <c r="A716" s="1" t="s">
        <v>158</v>
      </c>
      <c r="B716" s="1" t="s">
        <v>171</v>
      </c>
      <c r="C716" s="1" t="s">
        <v>25</v>
      </c>
      <c r="D716" s="1">
        <v>0</v>
      </c>
      <c r="E716" s="1">
        <v>-443.06</v>
      </c>
      <c r="F716" s="1">
        <v>0</v>
      </c>
      <c r="G716" s="1">
        <v>5981.2550000000001</v>
      </c>
      <c r="H716" s="1">
        <v>0</v>
      </c>
      <c r="I716" s="1">
        <v>-1012.699</v>
      </c>
    </row>
    <row r="717" spans="1:9" hidden="1" x14ac:dyDescent="0.25">
      <c r="A717" s="1" t="s">
        <v>158</v>
      </c>
      <c r="B717" s="1" t="s">
        <v>171</v>
      </c>
      <c r="C717" s="1" t="s">
        <v>10</v>
      </c>
      <c r="D717" s="1">
        <v>0</v>
      </c>
      <c r="E717" s="1">
        <v>-443.06</v>
      </c>
      <c r="F717" s="1">
        <v>0</v>
      </c>
      <c r="G717" s="1">
        <v>5981.2550000000001</v>
      </c>
      <c r="H717" s="1">
        <v>0</v>
      </c>
      <c r="I717" s="1">
        <v>-2784.9229999999998</v>
      </c>
    </row>
    <row r="718" spans="1:9" hidden="1" x14ac:dyDescent="0.25">
      <c r="A718" s="1" t="s">
        <v>158</v>
      </c>
      <c r="B718" s="1" t="s">
        <v>172</v>
      </c>
      <c r="C718" s="1" t="s">
        <v>25</v>
      </c>
      <c r="D718" s="1">
        <v>0</v>
      </c>
      <c r="E718" s="1">
        <v>443.06</v>
      </c>
      <c r="F718" s="1">
        <v>0</v>
      </c>
      <c r="G718" s="1">
        <v>-7310.4229999999998</v>
      </c>
      <c r="H718" s="1">
        <v>0</v>
      </c>
      <c r="I718" s="1">
        <v>1012.699</v>
      </c>
    </row>
    <row r="719" spans="1:9" hidden="1" x14ac:dyDescent="0.25">
      <c r="A719" s="1" t="s">
        <v>158</v>
      </c>
      <c r="B719" s="1" t="s">
        <v>172</v>
      </c>
      <c r="C719" s="1" t="s">
        <v>10</v>
      </c>
      <c r="D719" s="1">
        <v>0</v>
      </c>
      <c r="E719" s="1">
        <v>443.06</v>
      </c>
      <c r="F719" s="1">
        <v>0</v>
      </c>
      <c r="G719" s="1">
        <v>-7310.4229999999998</v>
      </c>
      <c r="H719" s="1">
        <v>0</v>
      </c>
      <c r="I719" s="1">
        <v>2784.9229999999998</v>
      </c>
    </row>
    <row r="720" spans="1:9" hidden="1" x14ac:dyDescent="0.25">
      <c r="A720" s="1" t="s">
        <v>158</v>
      </c>
      <c r="B720" s="1" t="s">
        <v>173</v>
      </c>
      <c r="C720" s="1" t="s">
        <v>25</v>
      </c>
      <c r="D720" s="1">
        <v>0</v>
      </c>
      <c r="E720" s="1">
        <v>443.06</v>
      </c>
      <c r="F720" s="1">
        <v>0</v>
      </c>
      <c r="G720" s="1">
        <v>-5981.2550000000001</v>
      </c>
      <c r="H720" s="1">
        <v>0</v>
      </c>
      <c r="I720" s="1">
        <v>1012.699</v>
      </c>
    </row>
    <row r="721" spans="1:9" hidden="1" x14ac:dyDescent="0.25">
      <c r="A721" s="1" t="s">
        <v>158</v>
      </c>
      <c r="B721" s="1" t="s">
        <v>173</v>
      </c>
      <c r="C721" s="1" t="s">
        <v>10</v>
      </c>
      <c r="D721" s="1">
        <v>0</v>
      </c>
      <c r="E721" s="1">
        <v>443.06</v>
      </c>
      <c r="F721" s="1">
        <v>0</v>
      </c>
      <c r="G721" s="1">
        <v>-5981.2550000000001</v>
      </c>
      <c r="H721" s="1">
        <v>0</v>
      </c>
      <c r="I721" s="1">
        <v>2784.9229999999998</v>
      </c>
    </row>
    <row r="722" spans="1:9" hidden="1" x14ac:dyDescent="0.25">
      <c r="A722" s="1" t="s">
        <v>158</v>
      </c>
      <c r="B722" s="1" t="s">
        <v>174</v>
      </c>
      <c r="C722" s="1" t="s">
        <v>25</v>
      </c>
      <c r="D722" s="1">
        <v>0</v>
      </c>
      <c r="E722" s="1">
        <v>0</v>
      </c>
      <c r="F722" s="1">
        <v>-535.54999999999995</v>
      </c>
      <c r="G722" s="1">
        <v>-10603.824000000001</v>
      </c>
      <c r="H722" s="1">
        <v>1224.107</v>
      </c>
      <c r="I722" s="1">
        <v>0</v>
      </c>
    </row>
    <row r="723" spans="1:9" hidden="1" x14ac:dyDescent="0.25">
      <c r="A723" s="1" t="s">
        <v>158</v>
      </c>
      <c r="B723" s="1" t="s">
        <v>174</v>
      </c>
      <c r="C723" s="1" t="s">
        <v>10</v>
      </c>
      <c r="D723" s="1">
        <v>0</v>
      </c>
      <c r="E723" s="1">
        <v>0</v>
      </c>
      <c r="F723" s="1">
        <v>-535.54999999999995</v>
      </c>
      <c r="G723" s="1">
        <v>-10603.824000000001</v>
      </c>
      <c r="H723" s="1">
        <v>3366.2930000000001</v>
      </c>
      <c r="I723" s="1">
        <v>0</v>
      </c>
    </row>
    <row r="724" spans="1:9" hidden="1" x14ac:dyDescent="0.25">
      <c r="A724" s="1" t="s">
        <v>158</v>
      </c>
      <c r="B724" s="1" t="s">
        <v>175</v>
      </c>
      <c r="C724" s="1" t="s">
        <v>25</v>
      </c>
      <c r="D724" s="1">
        <v>0</v>
      </c>
      <c r="E724" s="1">
        <v>0</v>
      </c>
      <c r="F724" s="1">
        <v>-535.54999999999995</v>
      </c>
      <c r="G724" s="1">
        <v>-8675.8559999999998</v>
      </c>
      <c r="H724" s="1">
        <v>1224.107</v>
      </c>
      <c r="I724" s="1">
        <v>0</v>
      </c>
    </row>
    <row r="725" spans="1:9" hidden="1" x14ac:dyDescent="0.25">
      <c r="A725" s="1" t="s">
        <v>158</v>
      </c>
      <c r="B725" s="1" t="s">
        <v>175</v>
      </c>
      <c r="C725" s="1" t="s">
        <v>10</v>
      </c>
      <c r="D725" s="1">
        <v>0</v>
      </c>
      <c r="E725" s="1">
        <v>0</v>
      </c>
      <c r="F725" s="1">
        <v>-535.54999999999995</v>
      </c>
      <c r="G725" s="1">
        <v>-8675.8559999999998</v>
      </c>
      <c r="H725" s="1">
        <v>3366.2930000000001</v>
      </c>
      <c r="I725" s="1">
        <v>0</v>
      </c>
    </row>
    <row r="726" spans="1:9" hidden="1" x14ac:dyDescent="0.25">
      <c r="A726" s="1" t="s">
        <v>158</v>
      </c>
      <c r="B726" s="1" t="s">
        <v>176</v>
      </c>
      <c r="C726" s="1" t="s">
        <v>25</v>
      </c>
      <c r="D726" s="1">
        <v>0</v>
      </c>
      <c r="E726" s="1">
        <v>0</v>
      </c>
      <c r="F726" s="1">
        <v>535.54999999999995</v>
      </c>
      <c r="G726" s="1">
        <v>10603.824000000001</v>
      </c>
      <c r="H726" s="1">
        <v>-1224.107</v>
      </c>
      <c r="I726" s="1">
        <v>0</v>
      </c>
    </row>
    <row r="727" spans="1:9" hidden="1" x14ac:dyDescent="0.25">
      <c r="A727" s="1" t="s">
        <v>158</v>
      </c>
      <c r="B727" s="1" t="s">
        <v>176</v>
      </c>
      <c r="C727" s="1" t="s">
        <v>10</v>
      </c>
      <c r="D727" s="1">
        <v>0</v>
      </c>
      <c r="E727" s="1">
        <v>0</v>
      </c>
      <c r="F727" s="1">
        <v>535.54999999999995</v>
      </c>
      <c r="G727" s="1">
        <v>10603.824000000001</v>
      </c>
      <c r="H727" s="1">
        <v>-3366.2930000000001</v>
      </c>
      <c r="I727" s="1">
        <v>0</v>
      </c>
    </row>
    <row r="728" spans="1:9" hidden="1" x14ac:dyDescent="0.25">
      <c r="A728" s="1" t="s">
        <v>158</v>
      </c>
      <c r="B728" s="1" t="s">
        <v>177</v>
      </c>
      <c r="C728" s="1" t="s">
        <v>25</v>
      </c>
      <c r="D728" s="1">
        <v>0</v>
      </c>
      <c r="E728" s="1">
        <v>0</v>
      </c>
      <c r="F728" s="1">
        <v>535.54999999999995</v>
      </c>
      <c r="G728" s="1">
        <v>8675.8559999999998</v>
      </c>
      <c r="H728" s="1">
        <v>-1224.107</v>
      </c>
      <c r="I728" s="1">
        <v>0</v>
      </c>
    </row>
    <row r="729" spans="1:9" hidden="1" x14ac:dyDescent="0.25">
      <c r="A729" s="1" t="s">
        <v>158</v>
      </c>
      <c r="B729" s="1" t="s">
        <v>177</v>
      </c>
      <c r="C729" s="1" t="s">
        <v>10</v>
      </c>
      <c r="D729" s="1">
        <v>0</v>
      </c>
      <c r="E729" s="1">
        <v>0</v>
      </c>
      <c r="F729" s="1">
        <v>535.54999999999995</v>
      </c>
      <c r="G729" s="1">
        <v>8675.8559999999998</v>
      </c>
      <c r="H729" s="1">
        <v>-3366.2930000000001</v>
      </c>
      <c r="I729" s="1">
        <v>0</v>
      </c>
    </row>
    <row r="730" spans="1:9" hidden="1" x14ac:dyDescent="0.25">
      <c r="A730" s="1" t="s">
        <v>158</v>
      </c>
      <c r="B730" s="1" t="s">
        <v>178</v>
      </c>
      <c r="C730" s="1" t="s">
        <v>25</v>
      </c>
      <c r="D730" s="1">
        <v>0</v>
      </c>
      <c r="E730" s="1">
        <v>-132.91999999999999</v>
      </c>
      <c r="F730" s="1">
        <v>0</v>
      </c>
      <c r="G730" s="1">
        <v>2193.127</v>
      </c>
      <c r="H730" s="1">
        <v>0</v>
      </c>
      <c r="I730" s="1">
        <v>-303.81</v>
      </c>
    </row>
    <row r="731" spans="1:9" hidden="1" x14ac:dyDescent="0.25">
      <c r="A731" s="1" t="s">
        <v>158</v>
      </c>
      <c r="B731" s="1" t="s">
        <v>178</v>
      </c>
      <c r="C731" s="1" t="s">
        <v>10</v>
      </c>
      <c r="D731" s="1">
        <v>0</v>
      </c>
      <c r="E731" s="1">
        <v>-132.91999999999999</v>
      </c>
      <c r="F731" s="1">
        <v>0</v>
      </c>
      <c r="G731" s="1">
        <v>2193.127</v>
      </c>
      <c r="H731" s="1">
        <v>0</v>
      </c>
      <c r="I731" s="1">
        <v>-835.47699999999998</v>
      </c>
    </row>
    <row r="732" spans="1:9" hidden="1" x14ac:dyDescent="0.25">
      <c r="A732" s="1" t="s">
        <v>158</v>
      </c>
      <c r="B732" s="1" t="s">
        <v>179</v>
      </c>
      <c r="C732" s="1" t="s">
        <v>25</v>
      </c>
      <c r="D732" s="1">
        <v>0</v>
      </c>
      <c r="E732" s="1">
        <v>-132.91999999999999</v>
      </c>
      <c r="F732" s="1">
        <v>0</v>
      </c>
      <c r="G732" s="1">
        <v>1794.376</v>
      </c>
      <c r="H732" s="1">
        <v>0</v>
      </c>
      <c r="I732" s="1">
        <v>-303.81</v>
      </c>
    </row>
    <row r="733" spans="1:9" hidden="1" x14ac:dyDescent="0.25">
      <c r="A733" s="1" t="s">
        <v>158</v>
      </c>
      <c r="B733" s="1" t="s">
        <v>179</v>
      </c>
      <c r="C733" s="1" t="s">
        <v>10</v>
      </c>
      <c r="D733" s="1">
        <v>0</v>
      </c>
      <c r="E733" s="1">
        <v>-132.91999999999999</v>
      </c>
      <c r="F733" s="1">
        <v>0</v>
      </c>
      <c r="G733" s="1">
        <v>1794.376</v>
      </c>
      <c r="H733" s="1">
        <v>0</v>
      </c>
      <c r="I733" s="1">
        <v>-835.47699999999998</v>
      </c>
    </row>
    <row r="734" spans="1:9" hidden="1" x14ac:dyDescent="0.25">
      <c r="A734" s="1" t="s">
        <v>158</v>
      </c>
      <c r="B734" s="1" t="s">
        <v>180</v>
      </c>
      <c r="C734" s="1" t="s">
        <v>25</v>
      </c>
      <c r="D734" s="1">
        <v>0</v>
      </c>
      <c r="E734" s="1">
        <v>132.91999999999999</v>
      </c>
      <c r="F734" s="1">
        <v>0</v>
      </c>
      <c r="G734" s="1">
        <v>-2193.127</v>
      </c>
      <c r="H734" s="1">
        <v>0</v>
      </c>
      <c r="I734" s="1">
        <v>303.81</v>
      </c>
    </row>
    <row r="735" spans="1:9" hidden="1" x14ac:dyDescent="0.25">
      <c r="A735" s="1" t="s">
        <v>158</v>
      </c>
      <c r="B735" s="1" t="s">
        <v>180</v>
      </c>
      <c r="C735" s="1" t="s">
        <v>10</v>
      </c>
      <c r="D735" s="1">
        <v>0</v>
      </c>
      <c r="E735" s="1">
        <v>132.91999999999999</v>
      </c>
      <c r="F735" s="1">
        <v>0</v>
      </c>
      <c r="G735" s="1">
        <v>-2193.127</v>
      </c>
      <c r="H735" s="1">
        <v>0</v>
      </c>
      <c r="I735" s="1">
        <v>835.47699999999998</v>
      </c>
    </row>
    <row r="736" spans="1:9" hidden="1" x14ac:dyDescent="0.25">
      <c r="A736" s="1" t="s">
        <v>158</v>
      </c>
      <c r="B736" s="1" t="s">
        <v>181</v>
      </c>
      <c r="C736" s="1" t="s">
        <v>25</v>
      </c>
      <c r="D736" s="1">
        <v>0</v>
      </c>
      <c r="E736" s="1">
        <v>132.91999999999999</v>
      </c>
      <c r="F736" s="1">
        <v>0</v>
      </c>
      <c r="G736" s="1">
        <v>-1794.376</v>
      </c>
      <c r="H736" s="1">
        <v>0</v>
      </c>
      <c r="I736" s="1">
        <v>303.81</v>
      </c>
    </row>
    <row r="737" spans="1:9" hidden="1" x14ac:dyDescent="0.25">
      <c r="A737" s="1" t="s">
        <v>158</v>
      </c>
      <c r="B737" s="1" t="s">
        <v>181</v>
      </c>
      <c r="C737" s="1" t="s">
        <v>10</v>
      </c>
      <c r="D737" s="1">
        <v>0</v>
      </c>
      <c r="E737" s="1">
        <v>132.91999999999999</v>
      </c>
      <c r="F737" s="1">
        <v>0</v>
      </c>
      <c r="G737" s="1">
        <v>-1794.376</v>
      </c>
      <c r="H737" s="1">
        <v>0</v>
      </c>
      <c r="I737" s="1">
        <v>835.47699999999998</v>
      </c>
    </row>
    <row r="738" spans="1:9" hidden="1" x14ac:dyDescent="0.25">
      <c r="A738" s="1" t="s">
        <v>158</v>
      </c>
      <c r="B738" s="1" t="s">
        <v>182</v>
      </c>
      <c r="C738" s="1" t="s">
        <v>25</v>
      </c>
      <c r="D738" s="1">
        <v>0</v>
      </c>
      <c r="E738" s="1">
        <v>0</v>
      </c>
      <c r="F738" s="1">
        <v>-160.66</v>
      </c>
      <c r="G738" s="1">
        <v>-3181.1469999999999</v>
      </c>
      <c r="H738" s="1">
        <v>367.23200000000003</v>
      </c>
      <c r="I738" s="1">
        <v>0</v>
      </c>
    </row>
    <row r="739" spans="1:9" hidden="1" x14ac:dyDescent="0.25">
      <c r="A739" s="1" t="s">
        <v>158</v>
      </c>
      <c r="B739" s="1" t="s">
        <v>182</v>
      </c>
      <c r="C739" s="1" t="s">
        <v>10</v>
      </c>
      <c r="D739" s="1">
        <v>0</v>
      </c>
      <c r="E739" s="1">
        <v>0</v>
      </c>
      <c r="F739" s="1">
        <v>-160.66</v>
      </c>
      <c r="G739" s="1">
        <v>-3181.1469999999999</v>
      </c>
      <c r="H739" s="1">
        <v>1009.888</v>
      </c>
      <c r="I739" s="1">
        <v>0</v>
      </c>
    </row>
    <row r="740" spans="1:9" hidden="1" x14ac:dyDescent="0.25">
      <c r="A740" s="1" t="s">
        <v>158</v>
      </c>
      <c r="B740" s="1" t="s">
        <v>183</v>
      </c>
      <c r="C740" s="1" t="s">
        <v>25</v>
      </c>
      <c r="D740" s="1">
        <v>0</v>
      </c>
      <c r="E740" s="1">
        <v>0</v>
      </c>
      <c r="F740" s="1">
        <v>-160.66</v>
      </c>
      <c r="G740" s="1">
        <v>-2602.7570000000001</v>
      </c>
      <c r="H740" s="1">
        <v>367.23200000000003</v>
      </c>
      <c r="I740" s="1">
        <v>0</v>
      </c>
    </row>
    <row r="741" spans="1:9" hidden="1" x14ac:dyDescent="0.25">
      <c r="A741" s="1" t="s">
        <v>158</v>
      </c>
      <c r="B741" s="1" t="s">
        <v>183</v>
      </c>
      <c r="C741" s="1" t="s">
        <v>10</v>
      </c>
      <c r="D741" s="1">
        <v>0</v>
      </c>
      <c r="E741" s="1">
        <v>0</v>
      </c>
      <c r="F741" s="1">
        <v>-160.66</v>
      </c>
      <c r="G741" s="1">
        <v>-2602.7570000000001</v>
      </c>
      <c r="H741" s="1">
        <v>1009.888</v>
      </c>
      <c r="I741" s="1">
        <v>0</v>
      </c>
    </row>
    <row r="742" spans="1:9" hidden="1" x14ac:dyDescent="0.25">
      <c r="A742" s="1" t="s">
        <v>158</v>
      </c>
      <c r="B742" s="1" t="s">
        <v>184</v>
      </c>
      <c r="C742" s="1" t="s">
        <v>25</v>
      </c>
      <c r="D742" s="1">
        <v>0</v>
      </c>
      <c r="E742" s="1">
        <v>0</v>
      </c>
      <c r="F742" s="1">
        <v>160.66</v>
      </c>
      <c r="G742" s="1">
        <v>3181.1469999999999</v>
      </c>
      <c r="H742" s="1">
        <v>-367.23200000000003</v>
      </c>
      <c r="I742" s="1">
        <v>0</v>
      </c>
    </row>
    <row r="743" spans="1:9" hidden="1" x14ac:dyDescent="0.25">
      <c r="A743" s="1" t="s">
        <v>158</v>
      </c>
      <c r="B743" s="1" t="s">
        <v>184</v>
      </c>
      <c r="C743" s="1" t="s">
        <v>10</v>
      </c>
      <c r="D743" s="1">
        <v>0</v>
      </c>
      <c r="E743" s="1">
        <v>0</v>
      </c>
      <c r="F743" s="1">
        <v>160.66</v>
      </c>
      <c r="G743" s="1">
        <v>3181.1469999999999</v>
      </c>
      <c r="H743" s="1">
        <v>-1009.888</v>
      </c>
      <c r="I743" s="1">
        <v>0</v>
      </c>
    </row>
    <row r="744" spans="1:9" hidden="1" x14ac:dyDescent="0.25">
      <c r="A744" s="1" t="s">
        <v>158</v>
      </c>
      <c r="B744" s="1" t="s">
        <v>185</v>
      </c>
      <c r="C744" s="1" t="s">
        <v>25</v>
      </c>
      <c r="D744" s="1">
        <v>0</v>
      </c>
      <c r="E744" s="1">
        <v>0</v>
      </c>
      <c r="F744" s="1">
        <v>160.66</v>
      </c>
      <c r="G744" s="1">
        <v>2602.7570000000001</v>
      </c>
      <c r="H744" s="1">
        <v>-367.23200000000003</v>
      </c>
      <c r="I744" s="1">
        <v>0</v>
      </c>
    </row>
    <row r="745" spans="1:9" hidden="1" x14ac:dyDescent="0.25">
      <c r="A745" s="1" t="s">
        <v>158</v>
      </c>
      <c r="B745" s="1" t="s">
        <v>185</v>
      </c>
      <c r="C745" s="1" t="s">
        <v>10</v>
      </c>
      <c r="D745" s="1">
        <v>0</v>
      </c>
      <c r="E745" s="1">
        <v>0</v>
      </c>
      <c r="F745" s="1">
        <v>160.66</v>
      </c>
      <c r="G745" s="1">
        <v>2602.7570000000001</v>
      </c>
      <c r="H745" s="1">
        <v>-1009.888</v>
      </c>
      <c r="I745" s="1">
        <v>0</v>
      </c>
    </row>
    <row r="746" spans="1:9" hidden="1" x14ac:dyDescent="0.25">
      <c r="A746" s="1" t="s">
        <v>158</v>
      </c>
      <c r="B746" s="1" t="s">
        <v>186</v>
      </c>
      <c r="C746" s="1" t="s">
        <v>25</v>
      </c>
      <c r="D746" s="1">
        <v>0</v>
      </c>
      <c r="E746" s="1">
        <v>-132.91999999999999</v>
      </c>
      <c r="F746" s="1">
        <v>0</v>
      </c>
      <c r="G746" s="1">
        <v>2193.127</v>
      </c>
      <c r="H746" s="1">
        <v>0</v>
      </c>
      <c r="I746" s="1">
        <v>-303.81</v>
      </c>
    </row>
    <row r="747" spans="1:9" hidden="1" x14ac:dyDescent="0.25">
      <c r="A747" s="1" t="s">
        <v>158</v>
      </c>
      <c r="B747" s="1" t="s">
        <v>186</v>
      </c>
      <c r="C747" s="1" t="s">
        <v>10</v>
      </c>
      <c r="D747" s="1">
        <v>0</v>
      </c>
      <c r="E747" s="1">
        <v>-132.91999999999999</v>
      </c>
      <c r="F747" s="1">
        <v>0</v>
      </c>
      <c r="G747" s="1">
        <v>2193.127</v>
      </c>
      <c r="H747" s="1">
        <v>0</v>
      </c>
      <c r="I747" s="1">
        <v>-835.47699999999998</v>
      </c>
    </row>
    <row r="748" spans="1:9" hidden="1" x14ac:dyDescent="0.25">
      <c r="A748" s="1" t="s">
        <v>158</v>
      </c>
      <c r="B748" s="1" t="s">
        <v>187</v>
      </c>
      <c r="C748" s="1" t="s">
        <v>25</v>
      </c>
      <c r="D748" s="1">
        <v>0</v>
      </c>
      <c r="E748" s="1">
        <v>-132.91999999999999</v>
      </c>
      <c r="F748" s="1">
        <v>0</v>
      </c>
      <c r="G748" s="1">
        <v>1794.376</v>
      </c>
      <c r="H748" s="1">
        <v>0</v>
      </c>
      <c r="I748" s="1">
        <v>-303.81</v>
      </c>
    </row>
    <row r="749" spans="1:9" hidden="1" x14ac:dyDescent="0.25">
      <c r="A749" s="1" t="s">
        <v>158</v>
      </c>
      <c r="B749" s="1" t="s">
        <v>187</v>
      </c>
      <c r="C749" s="1" t="s">
        <v>10</v>
      </c>
      <c r="D749" s="1">
        <v>0</v>
      </c>
      <c r="E749" s="1">
        <v>-132.91999999999999</v>
      </c>
      <c r="F749" s="1">
        <v>0</v>
      </c>
      <c r="G749" s="1">
        <v>1794.376</v>
      </c>
      <c r="H749" s="1">
        <v>0</v>
      </c>
      <c r="I749" s="1">
        <v>-835.47699999999998</v>
      </c>
    </row>
    <row r="750" spans="1:9" hidden="1" x14ac:dyDescent="0.25">
      <c r="A750" s="1" t="s">
        <v>158</v>
      </c>
      <c r="B750" s="1" t="s">
        <v>188</v>
      </c>
      <c r="C750" s="1" t="s">
        <v>25</v>
      </c>
      <c r="D750" s="1">
        <v>0</v>
      </c>
      <c r="E750" s="1">
        <v>132.91999999999999</v>
      </c>
      <c r="F750" s="1">
        <v>0</v>
      </c>
      <c r="G750" s="1">
        <v>-2193.127</v>
      </c>
      <c r="H750" s="1">
        <v>0</v>
      </c>
      <c r="I750" s="1">
        <v>303.81</v>
      </c>
    </row>
    <row r="751" spans="1:9" hidden="1" x14ac:dyDescent="0.25">
      <c r="A751" s="1" t="s">
        <v>158</v>
      </c>
      <c r="B751" s="1" t="s">
        <v>188</v>
      </c>
      <c r="C751" s="1" t="s">
        <v>10</v>
      </c>
      <c r="D751" s="1">
        <v>0</v>
      </c>
      <c r="E751" s="1">
        <v>132.91999999999999</v>
      </c>
      <c r="F751" s="1">
        <v>0</v>
      </c>
      <c r="G751" s="1">
        <v>-2193.127</v>
      </c>
      <c r="H751" s="1">
        <v>0</v>
      </c>
      <c r="I751" s="1">
        <v>835.47699999999998</v>
      </c>
    </row>
    <row r="752" spans="1:9" hidden="1" x14ac:dyDescent="0.25">
      <c r="A752" s="1" t="s">
        <v>158</v>
      </c>
      <c r="B752" s="1" t="s">
        <v>189</v>
      </c>
      <c r="C752" s="1" t="s">
        <v>25</v>
      </c>
      <c r="D752" s="1">
        <v>0</v>
      </c>
      <c r="E752" s="1">
        <v>132.91999999999999</v>
      </c>
      <c r="F752" s="1">
        <v>0</v>
      </c>
      <c r="G752" s="1">
        <v>-1794.376</v>
      </c>
      <c r="H752" s="1">
        <v>0</v>
      </c>
      <c r="I752" s="1">
        <v>303.81</v>
      </c>
    </row>
    <row r="753" spans="1:9" hidden="1" x14ac:dyDescent="0.25">
      <c r="A753" s="1" t="s">
        <v>158</v>
      </c>
      <c r="B753" s="1" t="s">
        <v>189</v>
      </c>
      <c r="C753" s="1" t="s">
        <v>10</v>
      </c>
      <c r="D753" s="1">
        <v>0</v>
      </c>
      <c r="E753" s="1">
        <v>132.91999999999999</v>
      </c>
      <c r="F753" s="1">
        <v>0</v>
      </c>
      <c r="G753" s="1">
        <v>-1794.376</v>
      </c>
      <c r="H753" s="1">
        <v>0</v>
      </c>
      <c r="I753" s="1">
        <v>835.47699999999998</v>
      </c>
    </row>
    <row r="754" spans="1:9" hidden="1" x14ac:dyDescent="0.25">
      <c r="A754" s="1" t="s">
        <v>158</v>
      </c>
      <c r="B754" s="1" t="s">
        <v>190</v>
      </c>
      <c r="C754" s="1" t="s">
        <v>25</v>
      </c>
      <c r="D754" s="1">
        <v>0</v>
      </c>
      <c r="E754" s="1">
        <v>0</v>
      </c>
      <c r="F754" s="1">
        <v>-160.66</v>
      </c>
      <c r="G754" s="1">
        <v>-3181.1469999999999</v>
      </c>
      <c r="H754" s="1">
        <v>367.23200000000003</v>
      </c>
      <c r="I754" s="1">
        <v>0</v>
      </c>
    </row>
    <row r="755" spans="1:9" hidden="1" x14ac:dyDescent="0.25">
      <c r="A755" s="1" t="s">
        <v>158</v>
      </c>
      <c r="B755" s="1" t="s">
        <v>190</v>
      </c>
      <c r="C755" s="1" t="s">
        <v>10</v>
      </c>
      <c r="D755" s="1">
        <v>0</v>
      </c>
      <c r="E755" s="1">
        <v>0</v>
      </c>
      <c r="F755" s="1">
        <v>-160.66</v>
      </c>
      <c r="G755" s="1">
        <v>-3181.1469999999999</v>
      </c>
      <c r="H755" s="1">
        <v>1009.888</v>
      </c>
      <c r="I755" s="1">
        <v>0</v>
      </c>
    </row>
    <row r="756" spans="1:9" hidden="1" x14ac:dyDescent="0.25">
      <c r="A756" s="1" t="s">
        <v>158</v>
      </c>
      <c r="B756" s="1" t="s">
        <v>191</v>
      </c>
      <c r="C756" s="1" t="s">
        <v>25</v>
      </c>
      <c r="D756" s="1">
        <v>0</v>
      </c>
      <c r="E756" s="1">
        <v>0</v>
      </c>
      <c r="F756" s="1">
        <v>-160.66</v>
      </c>
      <c r="G756" s="1">
        <v>-2602.7570000000001</v>
      </c>
      <c r="H756" s="1">
        <v>367.23200000000003</v>
      </c>
      <c r="I756" s="1">
        <v>0</v>
      </c>
    </row>
    <row r="757" spans="1:9" hidden="1" x14ac:dyDescent="0.25">
      <c r="A757" s="1" t="s">
        <v>158</v>
      </c>
      <c r="B757" s="1" t="s">
        <v>191</v>
      </c>
      <c r="C757" s="1" t="s">
        <v>10</v>
      </c>
      <c r="D757" s="1">
        <v>0</v>
      </c>
      <c r="E757" s="1">
        <v>0</v>
      </c>
      <c r="F757" s="1">
        <v>-160.66</v>
      </c>
      <c r="G757" s="1">
        <v>-2602.7570000000001</v>
      </c>
      <c r="H757" s="1">
        <v>1009.888</v>
      </c>
      <c r="I757" s="1">
        <v>0</v>
      </c>
    </row>
    <row r="758" spans="1:9" hidden="1" x14ac:dyDescent="0.25">
      <c r="A758" s="1" t="s">
        <v>158</v>
      </c>
      <c r="B758" s="1" t="s">
        <v>192</v>
      </c>
      <c r="C758" s="1" t="s">
        <v>25</v>
      </c>
      <c r="D758" s="1">
        <v>0</v>
      </c>
      <c r="E758" s="1">
        <v>0</v>
      </c>
      <c r="F758" s="1">
        <v>160.66</v>
      </c>
      <c r="G758" s="1">
        <v>3181.1469999999999</v>
      </c>
      <c r="H758" s="1">
        <v>-367.23200000000003</v>
      </c>
      <c r="I758" s="1">
        <v>0</v>
      </c>
    </row>
    <row r="759" spans="1:9" hidden="1" x14ac:dyDescent="0.25">
      <c r="A759" s="1" t="s">
        <v>158</v>
      </c>
      <c r="B759" s="1" t="s">
        <v>192</v>
      </c>
      <c r="C759" s="1" t="s">
        <v>10</v>
      </c>
      <c r="D759" s="1">
        <v>0</v>
      </c>
      <c r="E759" s="1">
        <v>0</v>
      </c>
      <c r="F759" s="1">
        <v>160.66</v>
      </c>
      <c r="G759" s="1">
        <v>3181.1469999999999</v>
      </c>
      <c r="H759" s="1">
        <v>-1009.888</v>
      </c>
      <c r="I759" s="1">
        <v>0</v>
      </c>
    </row>
    <row r="760" spans="1:9" hidden="1" x14ac:dyDescent="0.25">
      <c r="A760" s="1" t="s">
        <v>158</v>
      </c>
      <c r="B760" s="1" t="s">
        <v>193</v>
      </c>
      <c r="C760" s="1" t="s">
        <v>25</v>
      </c>
      <c r="D760" s="1">
        <v>0</v>
      </c>
      <c r="E760" s="1">
        <v>0</v>
      </c>
      <c r="F760" s="1">
        <v>160.66</v>
      </c>
      <c r="G760" s="1">
        <v>2602.7570000000001</v>
      </c>
      <c r="H760" s="1">
        <v>-367.23200000000003</v>
      </c>
      <c r="I760" s="1">
        <v>0</v>
      </c>
    </row>
    <row r="761" spans="1:9" hidden="1" x14ac:dyDescent="0.25">
      <c r="A761" s="1" t="s">
        <v>158</v>
      </c>
      <c r="B761" s="1" t="s">
        <v>193</v>
      </c>
      <c r="C761" s="1" t="s">
        <v>10</v>
      </c>
      <c r="D761" s="1">
        <v>0</v>
      </c>
      <c r="E761" s="1">
        <v>0</v>
      </c>
      <c r="F761" s="1">
        <v>160.66</v>
      </c>
      <c r="G761" s="1">
        <v>2602.7570000000001</v>
      </c>
      <c r="H761" s="1">
        <v>-1009.888</v>
      </c>
      <c r="I761" s="1">
        <v>0</v>
      </c>
    </row>
    <row r="762" spans="1:9" hidden="1" x14ac:dyDescent="0.25">
      <c r="A762" s="1" t="s">
        <v>158</v>
      </c>
      <c r="B762" s="1" t="s">
        <v>194</v>
      </c>
      <c r="C762" s="1" t="s">
        <v>25</v>
      </c>
      <c r="D762" s="1">
        <v>0</v>
      </c>
      <c r="E762" s="1">
        <v>-443.06</v>
      </c>
      <c r="F762" s="1">
        <v>0</v>
      </c>
      <c r="G762" s="1">
        <v>7310.4229999999998</v>
      </c>
      <c r="H762" s="1">
        <v>0</v>
      </c>
      <c r="I762" s="1">
        <v>-1012.699</v>
      </c>
    </row>
    <row r="763" spans="1:9" hidden="1" x14ac:dyDescent="0.25">
      <c r="A763" s="1" t="s">
        <v>158</v>
      </c>
      <c r="B763" s="1" t="s">
        <v>194</v>
      </c>
      <c r="C763" s="1" t="s">
        <v>10</v>
      </c>
      <c r="D763" s="1">
        <v>0</v>
      </c>
      <c r="E763" s="1">
        <v>-443.06</v>
      </c>
      <c r="F763" s="1">
        <v>0</v>
      </c>
      <c r="G763" s="1">
        <v>7310.4229999999998</v>
      </c>
      <c r="H763" s="1">
        <v>0</v>
      </c>
      <c r="I763" s="1">
        <v>-2784.9229999999998</v>
      </c>
    </row>
    <row r="764" spans="1:9" hidden="1" x14ac:dyDescent="0.25">
      <c r="A764" s="1" t="s">
        <v>158</v>
      </c>
      <c r="B764" s="1" t="s">
        <v>195</v>
      </c>
      <c r="C764" s="1" t="s">
        <v>25</v>
      </c>
      <c r="D764" s="1">
        <v>0</v>
      </c>
      <c r="E764" s="1">
        <v>-443.06</v>
      </c>
      <c r="F764" s="1">
        <v>0</v>
      </c>
      <c r="G764" s="1">
        <v>5981.2550000000001</v>
      </c>
      <c r="H764" s="1">
        <v>0</v>
      </c>
      <c r="I764" s="1">
        <v>-1012.699</v>
      </c>
    </row>
    <row r="765" spans="1:9" hidden="1" x14ac:dyDescent="0.25">
      <c r="A765" s="1" t="s">
        <v>158</v>
      </c>
      <c r="B765" s="1" t="s">
        <v>195</v>
      </c>
      <c r="C765" s="1" t="s">
        <v>10</v>
      </c>
      <c r="D765" s="1">
        <v>0</v>
      </c>
      <c r="E765" s="1">
        <v>-443.06</v>
      </c>
      <c r="F765" s="1">
        <v>0</v>
      </c>
      <c r="G765" s="1">
        <v>5981.2550000000001</v>
      </c>
      <c r="H765" s="1">
        <v>0</v>
      </c>
      <c r="I765" s="1">
        <v>-2784.9229999999998</v>
      </c>
    </row>
    <row r="766" spans="1:9" hidden="1" x14ac:dyDescent="0.25">
      <c r="A766" s="1" t="s">
        <v>158</v>
      </c>
      <c r="B766" s="1" t="s">
        <v>196</v>
      </c>
      <c r="C766" s="1" t="s">
        <v>25</v>
      </c>
      <c r="D766" s="1">
        <v>0</v>
      </c>
      <c r="E766" s="1">
        <v>443.06</v>
      </c>
      <c r="F766" s="1">
        <v>0</v>
      </c>
      <c r="G766" s="1">
        <v>-7310.4229999999998</v>
      </c>
      <c r="H766" s="1">
        <v>0</v>
      </c>
      <c r="I766" s="1">
        <v>1012.699</v>
      </c>
    </row>
    <row r="767" spans="1:9" hidden="1" x14ac:dyDescent="0.25">
      <c r="A767" s="1" t="s">
        <v>158</v>
      </c>
      <c r="B767" s="1" t="s">
        <v>196</v>
      </c>
      <c r="C767" s="1" t="s">
        <v>10</v>
      </c>
      <c r="D767" s="1">
        <v>0</v>
      </c>
      <c r="E767" s="1">
        <v>443.06</v>
      </c>
      <c r="F767" s="1">
        <v>0</v>
      </c>
      <c r="G767" s="1">
        <v>-7310.4229999999998</v>
      </c>
      <c r="H767" s="1">
        <v>0</v>
      </c>
      <c r="I767" s="1">
        <v>2784.9229999999998</v>
      </c>
    </row>
    <row r="768" spans="1:9" hidden="1" x14ac:dyDescent="0.25">
      <c r="A768" s="1" t="s">
        <v>158</v>
      </c>
      <c r="B768" s="1" t="s">
        <v>197</v>
      </c>
      <c r="C768" s="1" t="s">
        <v>25</v>
      </c>
      <c r="D768" s="1">
        <v>0</v>
      </c>
      <c r="E768" s="1">
        <v>443.06</v>
      </c>
      <c r="F768" s="1">
        <v>0</v>
      </c>
      <c r="G768" s="1">
        <v>-5981.2550000000001</v>
      </c>
      <c r="H768" s="1">
        <v>0</v>
      </c>
      <c r="I768" s="1">
        <v>1012.699</v>
      </c>
    </row>
    <row r="769" spans="1:9" hidden="1" x14ac:dyDescent="0.25">
      <c r="A769" s="1" t="s">
        <v>158</v>
      </c>
      <c r="B769" s="1" t="s">
        <v>197</v>
      </c>
      <c r="C769" s="1" t="s">
        <v>10</v>
      </c>
      <c r="D769" s="1">
        <v>0</v>
      </c>
      <c r="E769" s="1">
        <v>443.06</v>
      </c>
      <c r="F769" s="1">
        <v>0</v>
      </c>
      <c r="G769" s="1">
        <v>-5981.2550000000001</v>
      </c>
      <c r="H769" s="1">
        <v>0</v>
      </c>
      <c r="I769" s="1">
        <v>2784.9229999999998</v>
      </c>
    </row>
    <row r="770" spans="1:9" hidden="1" x14ac:dyDescent="0.25">
      <c r="A770" s="1" t="s">
        <v>158</v>
      </c>
      <c r="B770" s="1" t="s">
        <v>198</v>
      </c>
      <c r="C770" s="1" t="s">
        <v>25</v>
      </c>
      <c r="D770" s="1">
        <v>0</v>
      </c>
      <c r="E770" s="1">
        <v>0</v>
      </c>
      <c r="F770" s="1">
        <v>-535.54999999999995</v>
      </c>
      <c r="G770" s="1">
        <v>-10603.824000000001</v>
      </c>
      <c r="H770" s="1">
        <v>1224.107</v>
      </c>
      <c r="I770" s="1">
        <v>0</v>
      </c>
    </row>
    <row r="771" spans="1:9" hidden="1" x14ac:dyDescent="0.25">
      <c r="A771" s="1" t="s">
        <v>158</v>
      </c>
      <c r="B771" s="1" t="s">
        <v>198</v>
      </c>
      <c r="C771" s="1" t="s">
        <v>10</v>
      </c>
      <c r="D771" s="1">
        <v>0</v>
      </c>
      <c r="E771" s="1">
        <v>0</v>
      </c>
      <c r="F771" s="1">
        <v>-535.54999999999995</v>
      </c>
      <c r="G771" s="1">
        <v>-10603.824000000001</v>
      </c>
      <c r="H771" s="1">
        <v>3366.2930000000001</v>
      </c>
      <c r="I771" s="1">
        <v>0</v>
      </c>
    </row>
    <row r="772" spans="1:9" hidden="1" x14ac:dyDescent="0.25">
      <c r="A772" s="1" t="s">
        <v>158</v>
      </c>
      <c r="B772" s="1" t="s">
        <v>199</v>
      </c>
      <c r="C772" s="1" t="s">
        <v>25</v>
      </c>
      <c r="D772" s="1">
        <v>0</v>
      </c>
      <c r="E772" s="1">
        <v>0</v>
      </c>
      <c r="F772" s="1">
        <v>-535.54999999999995</v>
      </c>
      <c r="G772" s="1">
        <v>-8675.8559999999998</v>
      </c>
      <c r="H772" s="1">
        <v>1224.107</v>
      </c>
      <c r="I772" s="1">
        <v>0</v>
      </c>
    </row>
    <row r="773" spans="1:9" hidden="1" x14ac:dyDescent="0.25">
      <c r="A773" s="1" t="s">
        <v>158</v>
      </c>
      <c r="B773" s="1" t="s">
        <v>199</v>
      </c>
      <c r="C773" s="1" t="s">
        <v>10</v>
      </c>
      <c r="D773" s="1">
        <v>0</v>
      </c>
      <c r="E773" s="1">
        <v>0</v>
      </c>
      <c r="F773" s="1">
        <v>-535.54999999999995</v>
      </c>
      <c r="G773" s="1">
        <v>-8675.8559999999998</v>
      </c>
      <c r="H773" s="1">
        <v>3366.2930000000001</v>
      </c>
      <c r="I773" s="1">
        <v>0</v>
      </c>
    </row>
    <row r="774" spans="1:9" hidden="1" x14ac:dyDescent="0.25">
      <c r="A774" s="1" t="s">
        <v>158</v>
      </c>
      <c r="B774" s="1" t="s">
        <v>200</v>
      </c>
      <c r="C774" s="1" t="s">
        <v>25</v>
      </c>
      <c r="D774" s="1">
        <v>0</v>
      </c>
      <c r="E774" s="1">
        <v>0</v>
      </c>
      <c r="F774" s="1">
        <v>535.54999999999995</v>
      </c>
      <c r="G774" s="1">
        <v>10603.824000000001</v>
      </c>
      <c r="H774" s="1">
        <v>-1224.107</v>
      </c>
      <c r="I774" s="1">
        <v>0</v>
      </c>
    </row>
    <row r="775" spans="1:9" hidden="1" x14ac:dyDescent="0.25">
      <c r="A775" s="1" t="s">
        <v>158</v>
      </c>
      <c r="B775" s="1" t="s">
        <v>200</v>
      </c>
      <c r="C775" s="1" t="s">
        <v>10</v>
      </c>
      <c r="D775" s="1">
        <v>0</v>
      </c>
      <c r="E775" s="1">
        <v>0</v>
      </c>
      <c r="F775" s="1">
        <v>535.54999999999995</v>
      </c>
      <c r="G775" s="1">
        <v>10603.824000000001</v>
      </c>
      <c r="H775" s="1">
        <v>-3366.2930000000001</v>
      </c>
      <c r="I775" s="1">
        <v>0</v>
      </c>
    </row>
    <row r="776" spans="1:9" hidden="1" x14ac:dyDescent="0.25">
      <c r="A776" s="1" t="s">
        <v>158</v>
      </c>
      <c r="B776" s="1" t="s">
        <v>201</v>
      </c>
      <c r="C776" s="1" t="s">
        <v>25</v>
      </c>
      <c r="D776" s="1">
        <v>0</v>
      </c>
      <c r="E776" s="1">
        <v>0</v>
      </c>
      <c r="F776" s="1">
        <v>535.54999999999995</v>
      </c>
      <c r="G776" s="1">
        <v>8675.8559999999998</v>
      </c>
      <c r="H776" s="1">
        <v>-1224.107</v>
      </c>
      <c r="I776" s="1">
        <v>0</v>
      </c>
    </row>
    <row r="777" spans="1:9" hidden="1" x14ac:dyDescent="0.25">
      <c r="A777" s="1" t="s">
        <v>158</v>
      </c>
      <c r="B777" s="1" t="s">
        <v>201</v>
      </c>
      <c r="C777" s="1" t="s">
        <v>10</v>
      </c>
      <c r="D777" s="1">
        <v>0</v>
      </c>
      <c r="E777" s="1">
        <v>0</v>
      </c>
      <c r="F777" s="1">
        <v>535.54999999999995</v>
      </c>
      <c r="G777" s="1">
        <v>8675.8559999999998</v>
      </c>
      <c r="H777" s="1">
        <v>-3366.2930000000001</v>
      </c>
      <c r="I777" s="1">
        <v>0</v>
      </c>
    </row>
    <row r="778" spans="1:9" hidden="1" x14ac:dyDescent="0.25">
      <c r="A778" s="1" t="s">
        <v>158</v>
      </c>
      <c r="B778" s="1" t="s">
        <v>202</v>
      </c>
      <c r="C778" s="1" t="s">
        <v>25</v>
      </c>
      <c r="D778" s="1">
        <v>0</v>
      </c>
      <c r="E778" s="1">
        <v>-443.06</v>
      </c>
      <c r="F778" s="1">
        <v>0</v>
      </c>
      <c r="G778" s="1">
        <v>7310.4229999999998</v>
      </c>
      <c r="H778" s="1">
        <v>0</v>
      </c>
      <c r="I778" s="1">
        <v>-1012.699</v>
      </c>
    </row>
    <row r="779" spans="1:9" hidden="1" x14ac:dyDescent="0.25">
      <c r="A779" s="1" t="s">
        <v>158</v>
      </c>
      <c r="B779" s="1" t="s">
        <v>202</v>
      </c>
      <c r="C779" s="1" t="s">
        <v>10</v>
      </c>
      <c r="D779" s="1">
        <v>0</v>
      </c>
      <c r="E779" s="1">
        <v>-443.06</v>
      </c>
      <c r="F779" s="1">
        <v>0</v>
      </c>
      <c r="G779" s="1">
        <v>7310.4229999999998</v>
      </c>
      <c r="H779" s="1">
        <v>0</v>
      </c>
      <c r="I779" s="1">
        <v>-2784.9229999999998</v>
      </c>
    </row>
    <row r="780" spans="1:9" hidden="1" x14ac:dyDescent="0.25">
      <c r="A780" s="1" t="s">
        <v>158</v>
      </c>
      <c r="B780" s="1" t="s">
        <v>203</v>
      </c>
      <c r="C780" s="1" t="s">
        <v>25</v>
      </c>
      <c r="D780" s="1">
        <v>0</v>
      </c>
      <c r="E780" s="1">
        <v>-443.06</v>
      </c>
      <c r="F780" s="1">
        <v>0</v>
      </c>
      <c r="G780" s="1">
        <v>5981.2550000000001</v>
      </c>
      <c r="H780" s="1">
        <v>0</v>
      </c>
      <c r="I780" s="1">
        <v>-1012.699</v>
      </c>
    </row>
    <row r="781" spans="1:9" hidden="1" x14ac:dyDescent="0.25">
      <c r="A781" s="1" t="s">
        <v>158</v>
      </c>
      <c r="B781" s="1" t="s">
        <v>203</v>
      </c>
      <c r="C781" s="1" t="s">
        <v>10</v>
      </c>
      <c r="D781" s="1">
        <v>0</v>
      </c>
      <c r="E781" s="1">
        <v>-443.06</v>
      </c>
      <c r="F781" s="1">
        <v>0</v>
      </c>
      <c r="G781" s="1">
        <v>5981.2550000000001</v>
      </c>
      <c r="H781" s="1">
        <v>0</v>
      </c>
      <c r="I781" s="1">
        <v>-2784.9229999999998</v>
      </c>
    </row>
    <row r="782" spans="1:9" hidden="1" x14ac:dyDescent="0.25">
      <c r="A782" s="1" t="s">
        <v>158</v>
      </c>
      <c r="B782" s="1" t="s">
        <v>204</v>
      </c>
      <c r="C782" s="1" t="s">
        <v>25</v>
      </c>
      <c r="D782" s="1">
        <v>0</v>
      </c>
      <c r="E782" s="1">
        <v>443.06</v>
      </c>
      <c r="F782" s="1">
        <v>0</v>
      </c>
      <c r="G782" s="1">
        <v>-7310.4229999999998</v>
      </c>
      <c r="H782" s="1">
        <v>0</v>
      </c>
      <c r="I782" s="1">
        <v>1012.699</v>
      </c>
    </row>
    <row r="783" spans="1:9" hidden="1" x14ac:dyDescent="0.25">
      <c r="A783" s="1" t="s">
        <v>158</v>
      </c>
      <c r="B783" s="1" t="s">
        <v>204</v>
      </c>
      <c r="C783" s="1" t="s">
        <v>10</v>
      </c>
      <c r="D783" s="1">
        <v>0</v>
      </c>
      <c r="E783" s="1">
        <v>443.06</v>
      </c>
      <c r="F783" s="1">
        <v>0</v>
      </c>
      <c r="G783" s="1">
        <v>-7310.4229999999998</v>
      </c>
      <c r="H783" s="1">
        <v>0</v>
      </c>
      <c r="I783" s="1">
        <v>2784.9229999999998</v>
      </c>
    </row>
    <row r="784" spans="1:9" hidden="1" x14ac:dyDescent="0.25">
      <c r="A784" s="1" t="s">
        <v>158</v>
      </c>
      <c r="B784" s="1" t="s">
        <v>205</v>
      </c>
      <c r="C784" s="1" t="s">
        <v>25</v>
      </c>
      <c r="D784" s="1">
        <v>0</v>
      </c>
      <c r="E784" s="1">
        <v>443.06</v>
      </c>
      <c r="F784" s="1">
        <v>0</v>
      </c>
      <c r="G784" s="1">
        <v>-5981.2550000000001</v>
      </c>
      <c r="H784" s="1">
        <v>0</v>
      </c>
      <c r="I784" s="1">
        <v>1012.699</v>
      </c>
    </row>
    <row r="785" spans="1:9" hidden="1" x14ac:dyDescent="0.25">
      <c r="A785" s="1" t="s">
        <v>158</v>
      </c>
      <c r="B785" s="1" t="s">
        <v>205</v>
      </c>
      <c r="C785" s="1" t="s">
        <v>10</v>
      </c>
      <c r="D785" s="1">
        <v>0</v>
      </c>
      <c r="E785" s="1">
        <v>443.06</v>
      </c>
      <c r="F785" s="1">
        <v>0</v>
      </c>
      <c r="G785" s="1">
        <v>-5981.2550000000001</v>
      </c>
      <c r="H785" s="1">
        <v>0</v>
      </c>
      <c r="I785" s="1">
        <v>2784.9229999999998</v>
      </c>
    </row>
    <row r="786" spans="1:9" hidden="1" x14ac:dyDescent="0.25">
      <c r="A786" s="1" t="s">
        <v>158</v>
      </c>
      <c r="B786" s="1" t="s">
        <v>206</v>
      </c>
      <c r="C786" s="1" t="s">
        <v>25</v>
      </c>
      <c r="D786" s="1">
        <v>0</v>
      </c>
      <c r="E786" s="1">
        <v>0</v>
      </c>
      <c r="F786" s="1">
        <v>-535.54999999999995</v>
      </c>
      <c r="G786" s="1">
        <v>-10603.824000000001</v>
      </c>
      <c r="H786" s="1">
        <v>1224.107</v>
      </c>
      <c r="I786" s="1">
        <v>0</v>
      </c>
    </row>
    <row r="787" spans="1:9" hidden="1" x14ac:dyDescent="0.25">
      <c r="A787" s="1" t="s">
        <v>158</v>
      </c>
      <c r="B787" s="1" t="s">
        <v>206</v>
      </c>
      <c r="C787" s="1" t="s">
        <v>10</v>
      </c>
      <c r="D787" s="1">
        <v>0</v>
      </c>
      <c r="E787" s="1">
        <v>0</v>
      </c>
      <c r="F787" s="1">
        <v>-535.54999999999995</v>
      </c>
      <c r="G787" s="1">
        <v>-10603.824000000001</v>
      </c>
      <c r="H787" s="1">
        <v>3366.2930000000001</v>
      </c>
      <c r="I787" s="1">
        <v>0</v>
      </c>
    </row>
    <row r="788" spans="1:9" hidden="1" x14ac:dyDescent="0.25">
      <c r="A788" s="1" t="s">
        <v>158</v>
      </c>
      <c r="B788" s="1" t="s">
        <v>207</v>
      </c>
      <c r="C788" s="1" t="s">
        <v>25</v>
      </c>
      <c r="D788" s="1">
        <v>0</v>
      </c>
      <c r="E788" s="1">
        <v>0</v>
      </c>
      <c r="F788" s="1">
        <v>-535.54999999999995</v>
      </c>
      <c r="G788" s="1">
        <v>-8675.8559999999998</v>
      </c>
      <c r="H788" s="1">
        <v>1224.107</v>
      </c>
      <c r="I788" s="1">
        <v>0</v>
      </c>
    </row>
    <row r="789" spans="1:9" hidden="1" x14ac:dyDescent="0.25">
      <c r="A789" s="1" t="s">
        <v>158</v>
      </c>
      <c r="B789" s="1" t="s">
        <v>207</v>
      </c>
      <c r="C789" s="1" t="s">
        <v>10</v>
      </c>
      <c r="D789" s="1">
        <v>0</v>
      </c>
      <c r="E789" s="1">
        <v>0</v>
      </c>
      <c r="F789" s="1">
        <v>-535.54999999999995</v>
      </c>
      <c r="G789" s="1">
        <v>-8675.8559999999998</v>
      </c>
      <c r="H789" s="1">
        <v>3366.2930000000001</v>
      </c>
      <c r="I789" s="1">
        <v>0</v>
      </c>
    </row>
    <row r="790" spans="1:9" hidden="1" x14ac:dyDescent="0.25">
      <c r="A790" s="1" t="s">
        <v>158</v>
      </c>
      <c r="B790" s="1" t="s">
        <v>208</v>
      </c>
      <c r="C790" s="1" t="s">
        <v>25</v>
      </c>
      <c r="D790" s="1">
        <v>0</v>
      </c>
      <c r="E790" s="1">
        <v>0</v>
      </c>
      <c r="F790" s="1">
        <v>535.54999999999995</v>
      </c>
      <c r="G790" s="1">
        <v>10603.824000000001</v>
      </c>
      <c r="H790" s="1">
        <v>-1224.107</v>
      </c>
      <c r="I790" s="1">
        <v>0</v>
      </c>
    </row>
    <row r="791" spans="1:9" hidden="1" x14ac:dyDescent="0.25">
      <c r="A791" s="1" t="s">
        <v>158</v>
      </c>
      <c r="B791" s="1" t="s">
        <v>208</v>
      </c>
      <c r="C791" s="1" t="s">
        <v>10</v>
      </c>
      <c r="D791" s="1">
        <v>0</v>
      </c>
      <c r="E791" s="1">
        <v>0</v>
      </c>
      <c r="F791" s="1">
        <v>535.54999999999995</v>
      </c>
      <c r="G791" s="1">
        <v>10603.824000000001</v>
      </c>
      <c r="H791" s="1">
        <v>-3366.2930000000001</v>
      </c>
      <c r="I791" s="1">
        <v>0</v>
      </c>
    </row>
    <row r="792" spans="1:9" hidden="1" x14ac:dyDescent="0.25">
      <c r="A792" s="1" t="s">
        <v>158</v>
      </c>
      <c r="B792" s="1" t="s">
        <v>209</v>
      </c>
      <c r="C792" s="1" t="s">
        <v>25</v>
      </c>
      <c r="D792" s="1">
        <v>0</v>
      </c>
      <c r="E792" s="1">
        <v>0</v>
      </c>
      <c r="F792" s="1">
        <v>535.54999999999995</v>
      </c>
      <c r="G792" s="1">
        <v>8675.8559999999998</v>
      </c>
      <c r="H792" s="1">
        <v>-1224.107</v>
      </c>
      <c r="I792" s="1">
        <v>0</v>
      </c>
    </row>
    <row r="793" spans="1:9" hidden="1" x14ac:dyDescent="0.25">
      <c r="A793" s="1" t="s">
        <v>158</v>
      </c>
      <c r="B793" s="1" t="s">
        <v>209</v>
      </c>
      <c r="C793" s="1" t="s">
        <v>10</v>
      </c>
      <c r="D793" s="1">
        <v>0</v>
      </c>
      <c r="E793" s="1">
        <v>0</v>
      </c>
      <c r="F793" s="1">
        <v>535.54999999999995</v>
      </c>
      <c r="G793" s="1">
        <v>8675.8559999999998</v>
      </c>
      <c r="H793" s="1">
        <v>-3366.2930000000001</v>
      </c>
      <c r="I793" s="1">
        <v>0</v>
      </c>
    </row>
    <row r="794" spans="1:9" hidden="1" x14ac:dyDescent="0.25">
      <c r="A794" s="1" t="s">
        <v>158</v>
      </c>
      <c r="B794" s="1" t="s">
        <v>210</v>
      </c>
      <c r="C794" s="1" t="s">
        <v>25</v>
      </c>
      <c r="D794" s="1">
        <v>0</v>
      </c>
      <c r="E794" s="1">
        <v>-132.91999999999999</v>
      </c>
      <c r="F794" s="1">
        <v>0</v>
      </c>
      <c r="G794" s="1">
        <v>2193.127</v>
      </c>
      <c r="H794" s="1">
        <v>0</v>
      </c>
      <c r="I794" s="1">
        <v>-303.81</v>
      </c>
    </row>
    <row r="795" spans="1:9" hidden="1" x14ac:dyDescent="0.25">
      <c r="A795" s="1" t="s">
        <v>158</v>
      </c>
      <c r="B795" s="1" t="s">
        <v>210</v>
      </c>
      <c r="C795" s="1" t="s">
        <v>10</v>
      </c>
      <c r="D795" s="1">
        <v>0</v>
      </c>
      <c r="E795" s="1">
        <v>-132.91999999999999</v>
      </c>
      <c r="F795" s="1">
        <v>0</v>
      </c>
      <c r="G795" s="1">
        <v>2193.127</v>
      </c>
      <c r="H795" s="1">
        <v>0</v>
      </c>
      <c r="I795" s="1">
        <v>-835.47699999999998</v>
      </c>
    </row>
    <row r="796" spans="1:9" hidden="1" x14ac:dyDescent="0.25">
      <c r="A796" s="1" t="s">
        <v>158</v>
      </c>
      <c r="B796" s="1" t="s">
        <v>211</v>
      </c>
      <c r="C796" s="1" t="s">
        <v>25</v>
      </c>
      <c r="D796" s="1">
        <v>0</v>
      </c>
      <c r="E796" s="1">
        <v>-132.91999999999999</v>
      </c>
      <c r="F796" s="1">
        <v>0</v>
      </c>
      <c r="G796" s="1">
        <v>1794.376</v>
      </c>
      <c r="H796" s="1">
        <v>0</v>
      </c>
      <c r="I796" s="1">
        <v>-303.81</v>
      </c>
    </row>
    <row r="797" spans="1:9" hidden="1" x14ac:dyDescent="0.25">
      <c r="A797" s="1" t="s">
        <v>158</v>
      </c>
      <c r="B797" s="1" t="s">
        <v>211</v>
      </c>
      <c r="C797" s="1" t="s">
        <v>10</v>
      </c>
      <c r="D797" s="1">
        <v>0</v>
      </c>
      <c r="E797" s="1">
        <v>-132.91999999999999</v>
      </c>
      <c r="F797" s="1">
        <v>0</v>
      </c>
      <c r="G797" s="1">
        <v>1794.376</v>
      </c>
      <c r="H797" s="1">
        <v>0</v>
      </c>
      <c r="I797" s="1">
        <v>-835.47699999999998</v>
      </c>
    </row>
    <row r="798" spans="1:9" hidden="1" x14ac:dyDescent="0.25">
      <c r="A798" s="1" t="s">
        <v>158</v>
      </c>
      <c r="B798" s="1" t="s">
        <v>212</v>
      </c>
      <c r="C798" s="1" t="s">
        <v>25</v>
      </c>
      <c r="D798" s="1">
        <v>0</v>
      </c>
      <c r="E798" s="1">
        <v>132.91999999999999</v>
      </c>
      <c r="F798" s="1">
        <v>0</v>
      </c>
      <c r="G798" s="1">
        <v>-2193.127</v>
      </c>
      <c r="H798" s="1">
        <v>0</v>
      </c>
      <c r="I798" s="1">
        <v>303.81</v>
      </c>
    </row>
    <row r="799" spans="1:9" hidden="1" x14ac:dyDescent="0.25">
      <c r="A799" s="1" t="s">
        <v>158</v>
      </c>
      <c r="B799" s="1" t="s">
        <v>212</v>
      </c>
      <c r="C799" s="1" t="s">
        <v>10</v>
      </c>
      <c r="D799" s="1">
        <v>0</v>
      </c>
      <c r="E799" s="1">
        <v>132.91999999999999</v>
      </c>
      <c r="F799" s="1">
        <v>0</v>
      </c>
      <c r="G799" s="1">
        <v>-2193.127</v>
      </c>
      <c r="H799" s="1">
        <v>0</v>
      </c>
      <c r="I799" s="1">
        <v>835.47699999999998</v>
      </c>
    </row>
    <row r="800" spans="1:9" hidden="1" x14ac:dyDescent="0.25">
      <c r="A800" s="1" t="s">
        <v>158</v>
      </c>
      <c r="B800" s="1" t="s">
        <v>213</v>
      </c>
      <c r="C800" s="1" t="s">
        <v>25</v>
      </c>
      <c r="D800" s="1">
        <v>0</v>
      </c>
      <c r="E800" s="1">
        <v>132.91999999999999</v>
      </c>
      <c r="F800" s="1">
        <v>0</v>
      </c>
      <c r="G800" s="1">
        <v>-1794.376</v>
      </c>
      <c r="H800" s="1">
        <v>0</v>
      </c>
      <c r="I800" s="1">
        <v>303.81</v>
      </c>
    </row>
    <row r="801" spans="1:9" hidden="1" x14ac:dyDescent="0.25">
      <c r="A801" s="1" t="s">
        <v>158</v>
      </c>
      <c r="B801" s="1" t="s">
        <v>213</v>
      </c>
      <c r="C801" s="1" t="s">
        <v>10</v>
      </c>
      <c r="D801" s="1">
        <v>0</v>
      </c>
      <c r="E801" s="1">
        <v>132.91999999999999</v>
      </c>
      <c r="F801" s="1">
        <v>0</v>
      </c>
      <c r="G801" s="1">
        <v>-1794.376</v>
      </c>
      <c r="H801" s="1">
        <v>0</v>
      </c>
      <c r="I801" s="1">
        <v>835.47699999999998</v>
      </c>
    </row>
    <row r="802" spans="1:9" hidden="1" x14ac:dyDescent="0.25">
      <c r="A802" s="1" t="s">
        <v>158</v>
      </c>
      <c r="B802" s="1" t="s">
        <v>214</v>
      </c>
      <c r="C802" s="1" t="s">
        <v>25</v>
      </c>
      <c r="D802" s="1">
        <v>0</v>
      </c>
      <c r="E802" s="1">
        <v>0</v>
      </c>
      <c r="F802" s="1">
        <v>-160.66</v>
      </c>
      <c r="G802" s="1">
        <v>-3181.1469999999999</v>
      </c>
      <c r="H802" s="1">
        <v>367.23200000000003</v>
      </c>
      <c r="I802" s="1">
        <v>0</v>
      </c>
    </row>
    <row r="803" spans="1:9" hidden="1" x14ac:dyDescent="0.25">
      <c r="A803" s="1" t="s">
        <v>158</v>
      </c>
      <c r="B803" s="1" t="s">
        <v>214</v>
      </c>
      <c r="C803" s="1" t="s">
        <v>10</v>
      </c>
      <c r="D803" s="1">
        <v>0</v>
      </c>
      <c r="E803" s="1">
        <v>0</v>
      </c>
      <c r="F803" s="1">
        <v>-160.66</v>
      </c>
      <c r="G803" s="1">
        <v>-3181.1469999999999</v>
      </c>
      <c r="H803" s="1">
        <v>1009.888</v>
      </c>
      <c r="I803" s="1">
        <v>0</v>
      </c>
    </row>
    <row r="804" spans="1:9" hidden="1" x14ac:dyDescent="0.25">
      <c r="A804" s="1" t="s">
        <v>158</v>
      </c>
      <c r="B804" s="1" t="s">
        <v>215</v>
      </c>
      <c r="C804" s="1" t="s">
        <v>25</v>
      </c>
      <c r="D804" s="1">
        <v>0</v>
      </c>
      <c r="E804" s="1">
        <v>0</v>
      </c>
      <c r="F804" s="1">
        <v>-160.66</v>
      </c>
      <c r="G804" s="1">
        <v>-2602.7570000000001</v>
      </c>
      <c r="H804" s="1">
        <v>367.23200000000003</v>
      </c>
      <c r="I804" s="1">
        <v>0</v>
      </c>
    </row>
    <row r="805" spans="1:9" hidden="1" x14ac:dyDescent="0.25">
      <c r="A805" s="1" t="s">
        <v>158</v>
      </c>
      <c r="B805" s="1" t="s">
        <v>215</v>
      </c>
      <c r="C805" s="1" t="s">
        <v>10</v>
      </c>
      <c r="D805" s="1">
        <v>0</v>
      </c>
      <c r="E805" s="1">
        <v>0</v>
      </c>
      <c r="F805" s="1">
        <v>-160.66</v>
      </c>
      <c r="G805" s="1">
        <v>-2602.7570000000001</v>
      </c>
      <c r="H805" s="1">
        <v>1009.888</v>
      </c>
      <c r="I805" s="1">
        <v>0</v>
      </c>
    </row>
    <row r="806" spans="1:9" hidden="1" x14ac:dyDescent="0.25">
      <c r="A806" s="1" t="s">
        <v>158</v>
      </c>
      <c r="B806" s="1" t="s">
        <v>216</v>
      </c>
      <c r="C806" s="1" t="s">
        <v>25</v>
      </c>
      <c r="D806" s="1">
        <v>0</v>
      </c>
      <c r="E806" s="1">
        <v>0</v>
      </c>
      <c r="F806" s="1">
        <v>160.66</v>
      </c>
      <c r="G806" s="1">
        <v>3181.1469999999999</v>
      </c>
      <c r="H806" s="1">
        <v>-367.23200000000003</v>
      </c>
      <c r="I806" s="1">
        <v>0</v>
      </c>
    </row>
    <row r="807" spans="1:9" hidden="1" x14ac:dyDescent="0.25">
      <c r="A807" s="1" t="s">
        <v>158</v>
      </c>
      <c r="B807" s="1" t="s">
        <v>216</v>
      </c>
      <c r="C807" s="1" t="s">
        <v>10</v>
      </c>
      <c r="D807" s="1">
        <v>0</v>
      </c>
      <c r="E807" s="1">
        <v>0</v>
      </c>
      <c r="F807" s="1">
        <v>160.66</v>
      </c>
      <c r="G807" s="1">
        <v>3181.1469999999999</v>
      </c>
      <c r="H807" s="1">
        <v>-1009.888</v>
      </c>
      <c r="I807" s="1">
        <v>0</v>
      </c>
    </row>
    <row r="808" spans="1:9" hidden="1" x14ac:dyDescent="0.25">
      <c r="A808" s="1" t="s">
        <v>158</v>
      </c>
      <c r="B808" s="1" t="s">
        <v>217</v>
      </c>
      <c r="C808" s="1" t="s">
        <v>25</v>
      </c>
      <c r="D808" s="1">
        <v>0</v>
      </c>
      <c r="E808" s="1">
        <v>0</v>
      </c>
      <c r="F808" s="1">
        <v>160.66</v>
      </c>
      <c r="G808" s="1">
        <v>2602.7570000000001</v>
      </c>
      <c r="H808" s="1">
        <v>-367.23200000000003</v>
      </c>
      <c r="I808" s="1">
        <v>0</v>
      </c>
    </row>
    <row r="809" spans="1:9" hidden="1" x14ac:dyDescent="0.25">
      <c r="A809" s="1" t="s">
        <v>158</v>
      </c>
      <c r="B809" s="1" t="s">
        <v>217</v>
      </c>
      <c r="C809" s="1" t="s">
        <v>10</v>
      </c>
      <c r="D809" s="1">
        <v>0</v>
      </c>
      <c r="E809" s="1">
        <v>0</v>
      </c>
      <c r="F809" s="1">
        <v>160.66</v>
      </c>
      <c r="G809" s="1">
        <v>2602.7570000000001</v>
      </c>
      <c r="H809" s="1">
        <v>-1009.888</v>
      </c>
      <c r="I809" s="1">
        <v>0</v>
      </c>
    </row>
    <row r="810" spans="1:9" hidden="1" x14ac:dyDescent="0.25">
      <c r="A810" s="1" t="s">
        <v>158</v>
      </c>
      <c r="B810" s="1" t="s">
        <v>218</v>
      </c>
      <c r="C810" s="1" t="s">
        <v>25</v>
      </c>
      <c r="D810" s="1">
        <v>0</v>
      </c>
      <c r="E810" s="1">
        <v>-132.91999999999999</v>
      </c>
      <c r="F810" s="1">
        <v>0</v>
      </c>
      <c r="G810" s="1">
        <v>2193.127</v>
      </c>
      <c r="H810" s="1">
        <v>0</v>
      </c>
      <c r="I810" s="1">
        <v>-303.81</v>
      </c>
    </row>
    <row r="811" spans="1:9" hidden="1" x14ac:dyDescent="0.25">
      <c r="A811" s="1" t="s">
        <v>158</v>
      </c>
      <c r="B811" s="1" t="s">
        <v>218</v>
      </c>
      <c r="C811" s="1" t="s">
        <v>10</v>
      </c>
      <c r="D811" s="1">
        <v>0</v>
      </c>
      <c r="E811" s="1">
        <v>-132.91999999999999</v>
      </c>
      <c r="F811" s="1">
        <v>0</v>
      </c>
      <c r="G811" s="1">
        <v>2193.127</v>
      </c>
      <c r="H811" s="1">
        <v>0</v>
      </c>
      <c r="I811" s="1">
        <v>-835.47699999999998</v>
      </c>
    </row>
    <row r="812" spans="1:9" hidden="1" x14ac:dyDescent="0.25">
      <c r="A812" s="1" t="s">
        <v>158</v>
      </c>
      <c r="B812" s="1" t="s">
        <v>219</v>
      </c>
      <c r="C812" s="1" t="s">
        <v>25</v>
      </c>
      <c r="D812" s="1">
        <v>0</v>
      </c>
      <c r="E812" s="1">
        <v>-132.91999999999999</v>
      </c>
      <c r="F812" s="1">
        <v>0</v>
      </c>
      <c r="G812" s="1">
        <v>1794.376</v>
      </c>
      <c r="H812" s="1">
        <v>0</v>
      </c>
      <c r="I812" s="1">
        <v>-303.81</v>
      </c>
    </row>
    <row r="813" spans="1:9" hidden="1" x14ac:dyDescent="0.25">
      <c r="A813" s="1" t="s">
        <v>158</v>
      </c>
      <c r="B813" s="1" t="s">
        <v>219</v>
      </c>
      <c r="C813" s="1" t="s">
        <v>10</v>
      </c>
      <c r="D813" s="1">
        <v>0</v>
      </c>
      <c r="E813" s="1">
        <v>-132.91999999999999</v>
      </c>
      <c r="F813" s="1">
        <v>0</v>
      </c>
      <c r="G813" s="1">
        <v>1794.376</v>
      </c>
      <c r="H813" s="1">
        <v>0</v>
      </c>
      <c r="I813" s="1">
        <v>-835.47699999999998</v>
      </c>
    </row>
    <row r="814" spans="1:9" hidden="1" x14ac:dyDescent="0.25">
      <c r="A814" s="1" t="s">
        <v>158</v>
      </c>
      <c r="B814" s="1" t="s">
        <v>220</v>
      </c>
      <c r="C814" s="1" t="s">
        <v>25</v>
      </c>
      <c r="D814" s="1">
        <v>0</v>
      </c>
      <c r="E814" s="1">
        <v>132.91999999999999</v>
      </c>
      <c r="F814" s="1">
        <v>0</v>
      </c>
      <c r="G814" s="1">
        <v>-2193.127</v>
      </c>
      <c r="H814" s="1">
        <v>0</v>
      </c>
      <c r="I814" s="1">
        <v>303.81</v>
      </c>
    </row>
    <row r="815" spans="1:9" hidden="1" x14ac:dyDescent="0.25">
      <c r="A815" s="1" t="s">
        <v>158</v>
      </c>
      <c r="B815" s="1" t="s">
        <v>220</v>
      </c>
      <c r="C815" s="1" t="s">
        <v>10</v>
      </c>
      <c r="D815" s="1">
        <v>0</v>
      </c>
      <c r="E815" s="1">
        <v>132.91999999999999</v>
      </c>
      <c r="F815" s="1">
        <v>0</v>
      </c>
      <c r="G815" s="1">
        <v>-2193.127</v>
      </c>
      <c r="H815" s="1">
        <v>0</v>
      </c>
      <c r="I815" s="1">
        <v>835.47699999999998</v>
      </c>
    </row>
    <row r="816" spans="1:9" hidden="1" x14ac:dyDescent="0.25">
      <c r="A816" s="1" t="s">
        <v>158</v>
      </c>
      <c r="B816" s="1" t="s">
        <v>221</v>
      </c>
      <c r="C816" s="1" t="s">
        <v>25</v>
      </c>
      <c r="D816" s="1">
        <v>0</v>
      </c>
      <c r="E816" s="1">
        <v>132.91999999999999</v>
      </c>
      <c r="F816" s="1">
        <v>0</v>
      </c>
      <c r="G816" s="1">
        <v>-1794.376</v>
      </c>
      <c r="H816" s="1">
        <v>0</v>
      </c>
      <c r="I816" s="1">
        <v>303.81</v>
      </c>
    </row>
    <row r="817" spans="1:9" hidden="1" x14ac:dyDescent="0.25">
      <c r="A817" s="1" t="s">
        <v>158</v>
      </c>
      <c r="B817" s="1" t="s">
        <v>221</v>
      </c>
      <c r="C817" s="1" t="s">
        <v>10</v>
      </c>
      <c r="D817" s="1">
        <v>0</v>
      </c>
      <c r="E817" s="1">
        <v>132.91999999999999</v>
      </c>
      <c r="F817" s="1">
        <v>0</v>
      </c>
      <c r="G817" s="1">
        <v>-1794.376</v>
      </c>
      <c r="H817" s="1">
        <v>0</v>
      </c>
      <c r="I817" s="1">
        <v>835.47699999999998</v>
      </c>
    </row>
    <row r="818" spans="1:9" hidden="1" x14ac:dyDescent="0.25">
      <c r="A818" s="1" t="s">
        <v>158</v>
      </c>
      <c r="B818" s="1" t="s">
        <v>222</v>
      </c>
      <c r="C818" s="1" t="s">
        <v>25</v>
      </c>
      <c r="D818" s="1">
        <v>0</v>
      </c>
      <c r="E818" s="1">
        <v>0</v>
      </c>
      <c r="F818" s="1">
        <v>-160.66</v>
      </c>
      <c r="G818" s="1">
        <v>-3181.1469999999999</v>
      </c>
      <c r="H818" s="1">
        <v>367.23200000000003</v>
      </c>
      <c r="I818" s="1">
        <v>0</v>
      </c>
    </row>
    <row r="819" spans="1:9" hidden="1" x14ac:dyDescent="0.25">
      <c r="A819" s="1" t="s">
        <v>158</v>
      </c>
      <c r="B819" s="1" t="s">
        <v>222</v>
      </c>
      <c r="C819" s="1" t="s">
        <v>10</v>
      </c>
      <c r="D819" s="1">
        <v>0</v>
      </c>
      <c r="E819" s="1">
        <v>0</v>
      </c>
      <c r="F819" s="1">
        <v>-160.66</v>
      </c>
      <c r="G819" s="1">
        <v>-3181.1469999999999</v>
      </c>
      <c r="H819" s="1">
        <v>1009.888</v>
      </c>
      <c r="I819" s="1">
        <v>0</v>
      </c>
    </row>
    <row r="820" spans="1:9" hidden="1" x14ac:dyDescent="0.25">
      <c r="A820" s="1" t="s">
        <v>158</v>
      </c>
      <c r="B820" s="1" t="s">
        <v>223</v>
      </c>
      <c r="C820" s="1" t="s">
        <v>25</v>
      </c>
      <c r="D820" s="1">
        <v>0</v>
      </c>
      <c r="E820" s="1">
        <v>0</v>
      </c>
      <c r="F820" s="1">
        <v>-160.66</v>
      </c>
      <c r="G820" s="1">
        <v>-2602.7570000000001</v>
      </c>
      <c r="H820" s="1">
        <v>367.23200000000003</v>
      </c>
      <c r="I820" s="1">
        <v>0</v>
      </c>
    </row>
    <row r="821" spans="1:9" hidden="1" x14ac:dyDescent="0.25">
      <c r="A821" s="1" t="s">
        <v>158</v>
      </c>
      <c r="B821" s="1" t="s">
        <v>223</v>
      </c>
      <c r="C821" s="1" t="s">
        <v>10</v>
      </c>
      <c r="D821" s="1">
        <v>0</v>
      </c>
      <c r="E821" s="1">
        <v>0</v>
      </c>
      <c r="F821" s="1">
        <v>-160.66</v>
      </c>
      <c r="G821" s="1">
        <v>-2602.7570000000001</v>
      </c>
      <c r="H821" s="1">
        <v>1009.888</v>
      </c>
      <c r="I821" s="1">
        <v>0</v>
      </c>
    </row>
    <row r="822" spans="1:9" hidden="1" x14ac:dyDescent="0.25">
      <c r="A822" s="1" t="s">
        <v>158</v>
      </c>
      <c r="B822" s="1" t="s">
        <v>224</v>
      </c>
      <c r="C822" s="1" t="s">
        <v>25</v>
      </c>
      <c r="D822" s="1">
        <v>0</v>
      </c>
      <c r="E822" s="1">
        <v>0</v>
      </c>
      <c r="F822" s="1">
        <v>160.66</v>
      </c>
      <c r="G822" s="1">
        <v>3181.1469999999999</v>
      </c>
      <c r="H822" s="1">
        <v>-367.23200000000003</v>
      </c>
      <c r="I822" s="1">
        <v>0</v>
      </c>
    </row>
    <row r="823" spans="1:9" hidden="1" x14ac:dyDescent="0.25">
      <c r="A823" s="1" t="s">
        <v>158</v>
      </c>
      <c r="B823" s="1" t="s">
        <v>224</v>
      </c>
      <c r="C823" s="1" t="s">
        <v>10</v>
      </c>
      <c r="D823" s="1">
        <v>0</v>
      </c>
      <c r="E823" s="1">
        <v>0</v>
      </c>
      <c r="F823" s="1">
        <v>160.66</v>
      </c>
      <c r="G823" s="1">
        <v>3181.1469999999999</v>
      </c>
      <c r="H823" s="1">
        <v>-1009.888</v>
      </c>
      <c r="I823" s="1">
        <v>0</v>
      </c>
    </row>
    <row r="824" spans="1:9" hidden="1" x14ac:dyDescent="0.25">
      <c r="A824" s="1" t="s">
        <v>158</v>
      </c>
      <c r="B824" s="1" t="s">
        <v>225</v>
      </c>
      <c r="C824" s="1" t="s">
        <v>25</v>
      </c>
      <c r="D824" s="1">
        <v>0</v>
      </c>
      <c r="E824" s="1">
        <v>0</v>
      </c>
      <c r="F824" s="1">
        <v>160.66</v>
      </c>
      <c r="G824" s="1">
        <v>2602.7570000000001</v>
      </c>
      <c r="H824" s="1">
        <v>-367.23200000000003</v>
      </c>
      <c r="I824" s="1">
        <v>0</v>
      </c>
    </row>
    <row r="825" spans="1:9" hidden="1" x14ac:dyDescent="0.25">
      <c r="A825" s="1" t="s">
        <v>158</v>
      </c>
      <c r="B825" s="1" t="s">
        <v>225</v>
      </c>
      <c r="C825" s="1" t="s">
        <v>10</v>
      </c>
      <c r="D825" s="1">
        <v>0</v>
      </c>
      <c r="E825" s="1">
        <v>0</v>
      </c>
      <c r="F825" s="1">
        <v>160.66</v>
      </c>
      <c r="G825" s="1">
        <v>2602.7570000000001</v>
      </c>
      <c r="H825" s="1">
        <v>-1009.888</v>
      </c>
      <c r="I825" s="1">
        <v>0</v>
      </c>
    </row>
    <row r="826" spans="1:9" hidden="1" x14ac:dyDescent="0.25">
      <c r="A826" s="1" t="s">
        <v>158</v>
      </c>
      <c r="B826" s="1" t="s">
        <v>327</v>
      </c>
      <c r="C826" s="1" t="s">
        <v>25</v>
      </c>
      <c r="D826" s="1">
        <v>0</v>
      </c>
      <c r="E826" s="1">
        <v>0</v>
      </c>
      <c r="F826" s="1">
        <v>0</v>
      </c>
      <c r="G826" s="1">
        <v>0</v>
      </c>
      <c r="H826" s="1">
        <v>0</v>
      </c>
      <c r="I826" s="1">
        <v>0</v>
      </c>
    </row>
    <row r="827" spans="1:9" hidden="1" x14ac:dyDescent="0.25">
      <c r="A827" s="1" t="s">
        <v>158</v>
      </c>
      <c r="B827" s="1" t="s">
        <v>327</v>
      </c>
      <c r="C827" s="1" t="s">
        <v>10</v>
      </c>
      <c r="D827" s="1">
        <v>0</v>
      </c>
      <c r="E827" s="1">
        <v>0</v>
      </c>
      <c r="F827" s="1">
        <v>0</v>
      </c>
      <c r="G827" s="1">
        <v>0</v>
      </c>
      <c r="H827" s="1">
        <v>0</v>
      </c>
      <c r="I827" s="1">
        <v>0</v>
      </c>
    </row>
    <row r="828" spans="1:9" hidden="1" x14ac:dyDescent="0.25">
      <c r="A828" s="1" t="s">
        <v>158</v>
      </c>
      <c r="B828" s="1" t="s">
        <v>328</v>
      </c>
      <c r="C828" s="1" t="s">
        <v>25</v>
      </c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</row>
    <row r="829" spans="1:9" hidden="1" x14ac:dyDescent="0.25">
      <c r="A829" s="1" t="s">
        <v>158</v>
      </c>
      <c r="B829" s="1" t="s">
        <v>328</v>
      </c>
      <c r="C829" s="1" t="s">
        <v>10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</row>
    <row r="830" spans="1:9" hidden="1" x14ac:dyDescent="0.25">
      <c r="A830" s="1" t="s">
        <v>24</v>
      </c>
      <c r="B830" s="1" t="s">
        <v>9</v>
      </c>
      <c r="C830" s="1" t="s">
        <v>25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</row>
    <row r="831" spans="1:9" x14ac:dyDescent="0.25">
      <c r="A831" s="1" t="s">
        <v>24</v>
      </c>
      <c r="B831" s="1" t="s">
        <v>9</v>
      </c>
      <c r="C831" s="1" t="s">
        <v>10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</row>
    <row r="832" spans="1:9" hidden="1" x14ac:dyDescent="0.25">
      <c r="A832" s="1" t="s">
        <v>24</v>
      </c>
      <c r="B832" s="1" t="s">
        <v>26</v>
      </c>
      <c r="C832" s="1" t="s">
        <v>25</v>
      </c>
      <c r="D832" s="1">
        <v>0</v>
      </c>
      <c r="E832" s="1">
        <v>0</v>
      </c>
      <c r="F832" s="1">
        <v>0</v>
      </c>
      <c r="G832" s="1">
        <v>0</v>
      </c>
      <c r="H832" s="1">
        <v>0</v>
      </c>
      <c r="I832" s="1">
        <v>0</v>
      </c>
    </row>
    <row r="833" spans="1:9" hidden="1" x14ac:dyDescent="0.25">
      <c r="A833" s="1" t="s">
        <v>24</v>
      </c>
      <c r="B833" s="1" t="s">
        <v>26</v>
      </c>
      <c r="C833" s="1" t="s">
        <v>10</v>
      </c>
      <c r="D833" s="1">
        <v>0</v>
      </c>
      <c r="E833" s="1">
        <v>0</v>
      </c>
      <c r="F833" s="1">
        <v>0</v>
      </c>
      <c r="G833" s="1">
        <v>0</v>
      </c>
      <c r="H833" s="1">
        <v>0</v>
      </c>
      <c r="I833" s="1">
        <v>0</v>
      </c>
    </row>
    <row r="834" spans="1:9" hidden="1" x14ac:dyDescent="0.25">
      <c r="A834" s="1" t="s">
        <v>24</v>
      </c>
      <c r="B834" s="1" t="s">
        <v>20</v>
      </c>
      <c r="C834" s="1" t="s">
        <v>25</v>
      </c>
      <c r="D834" s="1">
        <v>0</v>
      </c>
      <c r="E834" s="1">
        <v>-406.89</v>
      </c>
      <c r="F834" s="1">
        <v>0</v>
      </c>
      <c r="G834" s="1">
        <v>6713.6530000000002</v>
      </c>
      <c r="H834" s="1">
        <v>0</v>
      </c>
      <c r="I834" s="1">
        <v>-1989.231</v>
      </c>
    </row>
    <row r="835" spans="1:9" hidden="1" x14ac:dyDescent="0.25">
      <c r="A835" s="1" t="s">
        <v>24</v>
      </c>
      <c r="B835" s="1" t="s">
        <v>20</v>
      </c>
      <c r="C835" s="1" t="s">
        <v>10</v>
      </c>
      <c r="D835" s="1">
        <v>0</v>
      </c>
      <c r="E835" s="1">
        <v>-406.89</v>
      </c>
      <c r="F835" s="1">
        <v>0</v>
      </c>
      <c r="G835" s="1">
        <v>6713.6530000000002</v>
      </c>
      <c r="H835" s="1">
        <v>0</v>
      </c>
      <c r="I835" s="1">
        <v>-3616.7829999999999</v>
      </c>
    </row>
    <row r="836" spans="1:9" hidden="1" x14ac:dyDescent="0.25">
      <c r="A836" s="1" t="s">
        <v>24</v>
      </c>
      <c r="B836" s="1" t="s">
        <v>21</v>
      </c>
      <c r="C836" s="1" t="s">
        <v>25</v>
      </c>
      <c r="D836" s="1">
        <v>0</v>
      </c>
      <c r="E836" s="1">
        <v>-406.89</v>
      </c>
      <c r="F836" s="1">
        <v>0</v>
      </c>
      <c r="G836" s="1">
        <v>5492.9889999999996</v>
      </c>
      <c r="H836" s="1">
        <v>0</v>
      </c>
      <c r="I836" s="1">
        <v>-1989.231</v>
      </c>
    </row>
    <row r="837" spans="1:9" hidden="1" x14ac:dyDescent="0.25">
      <c r="A837" s="1" t="s">
        <v>24</v>
      </c>
      <c r="B837" s="1" t="s">
        <v>21</v>
      </c>
      <c r="C837" s="1" t="s">
        <v>10</v>
      </c>
      <c r="D837" s="1">
        <v>0</v>
      </c>
      <c r="E837" s="1">
        <v>-406.89</v>
      </c>
      <c r="F837" s="1">
        <v>0</v>
      </c>
      <c r="G837" s="1">
        <v>5492.9889999999996</v>
      </c>
      <c r="H837" s="1">
        <v>0</v>
      </c>
      <c r="I837" s="1">
        <v>-3616.7829999999999</v>
      </c>
    </row>
    <row r="838" spans="1:9" hidden="1" x14ac:dyDescent="0.25">
      <c r="A838" s="1" t="s">
        <v>24</v>
      </c>
      <c r="B838" s="1" t="s">
        <v>22</v>
      </c>
      <c r="C838" s="1" t="s">
        <v>25</v>
      </c>
      <c r="D838" s="1">
        <v>0</v>
      </c>
      <c r="E838" s="1">
        <v>0</v>
      </c>
      <c r="F838" s="1">
        <v>-491.83</v>
      </c>
      <c r="G838" s="1">
        <v>-9738.2049999999999</v>
      </c>
      <c r="H838" s="1">
        <v>2404.4949999999999</v>
      </c>
      <c r="I838" s="1">
        <v>0</v>
      </c>
    </row>
    <row r="839" spans="1:9" hidden="1" x14ac:dyDescent="0.25">
      <c r="A839" s="1" t="s">
        <v>24</v>
      </c>
      <c r="B839" s="1" t="s">
        <v>22</v>
      </c>
      <c r="C839" s="1" t="s">
        <v>10</v>
      </c>
      <c r="D839" s="1">
        <v>0</v>
      </c>
      <c r="E839" s="1">
        <v>0</v>
      </c>
      <c r="F839" s="1">
        <v>-491.83</v>
      </c>
      <c r="G839" s="1">
        <v>-9738.2049999999999</v>
      </c>
      <c r="H839" s="1">
        <v>4371.8090000000002</v>
      </c>
      <c r="I839" s="1">
        <v>0</v>
      </c>
    </row>
    <row r="840" spans="1:9" hidden="1" x14ac:dyDescent="0.25">
      <c r="A840" s="1" t="s">
        <v>24</v>
      </c>
      <c r="B840" s="1" t="s">
        <v>23</v>
      </c>
      <c r="C840" s="1" t="s">
        <v>25</v>
      </c>
      <c r="D840" s="1">
        <v>0</v>
      </c>
      <c r="E840" s="1">
        <v>0</v>
      </c>
      <c r="F840" s="1">
        <v>-491.83</v>
      </c>
      <c r="G840" s="1">
        <v>-7967.6229999999996</v>
      </c>
      <c r="H840" s="1">
        <v>2404.4949999999999</v>
      </c>
      <c r="I840" s="1">
        <v>0</v>
      </c>
    </row>
    <row r="841" spans="1:9" hidden="1" x14ac:dyDescent="0.25">
      <c r="A841" s="1" t="s">
        <v>24</v>
      </c>
      <c r="B841" s="1" t="s">
        <v>23</v>
      </c>
      <c r="C841" s="1" t="s">
        <v>10</v>
      </c>
      <c r="D841" s="1">
        <v>0</v>
      </c>
      <c r="E841" s="1">
        <v>0</v>
      </c>
      <c r="F841" s="1">
        <v>-491.83</v>
      </c>
      <c r="G841" s="1">
        <v>-7967.6229999999996</v>
      </c>
      <c r="H841" s="1">
        <v>4371.8090000000002</v>
      </c>
      <c r="I841" s="1">
        <v>0</v>
      </c>
    </row>
    <row r="842" spans="1:9" hidden="1" x14ac:dyDescent="0.25">
      <c r="A842" s="1" t="s">
        <v>24</v>
      </c>
      <c r="B842" s="1" t="s">
        <v>321</v>
      </c>
      <c r="C842" s="1" t="s">
        <v>25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24</v>
      </c>
      <c r="B843" s="1" t="s">
        <v>321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24</v>
      </c>
      <c r="B844" s="1" t="s">
        <v>322</v>
      </c>
      <c r="C844" s="1" t="s">
        <v>25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24</v>
      </c>
      <c r="B845" s="1" t="s">
        <v>322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24</v>
      </c>
      <c r="B846" s="1" t="s">
        <v>323</v>
      </c>
      <c r="C846" s="1" t="s">
        <v>25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24</v>
      </c>
      <c r="B847" s="1" t="s">
        <v>323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24</v>
      </c>
      <c r="B848" s="1" t="s">
        <v>324</v>
      </c>
      <c r="C848" s="1" t="s">
        <v>25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24</v>
      </c>
      <c r="B849" s="1" t="s">
        <v>324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24</v>
      </c>
      <c r="B850" s="1" t="s">
        <v>325</v>
      </c>
      <c r="C850" s="1" t="s">
        <v>25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24</v>
      </c>
      <c r="B851" s="1" t="s">
        <v>325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24</v>
      </c>
      <c r="B852" s="1" t="s">
        <v>326</v>
      </c>
      <c r="C852" s="1" t="s">
        <v>25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24</v>
      </c>
      <c r="B853" s="1" t="s">
        <v>326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24</v>
      </c>
      <c r="B854" s="1" t="s">
        <v>27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27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28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28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29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29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30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30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11</v>
      </c>
      <c r="C862" s="1" t="s">
        <v>25</v>
      </c>
      <c r="D862" s="1">
        <v>0</v>
      </c>
      <c r="E862" s="1">
        <v>191.7</v>
      </c>
      <c r="F862" s="1">
        <v>0</v>
      </c>
      <c r="G862" s="1">
        <v>3312.6089999999999</v>
      </c>
      <c r="H862" s="1">
        <v>0</v>
      </c>
      <c r="I862" s="1">
        <v>1018.086</v>
      </c>
    </row>
    <row r="863" spans="1:9" hidden="1" x14ac:dyDescent="0.25">
      <c r="A863" s="1" t="s">
        <v>24</v>
      </c>
      <c r="B863" s="1" t="s">
        <v>11</v>
      </c>
      <c r="C863" s="1" t="s">
        <v>10</v>
      </c>
      <c r="D863" s="1">
        <v>0</v>
      </c>
      <c r="E863" s="1">
        <v>191.7</v>
      </c>
      <c r="F863" s="1">
        <v>0</v>
      </c>
      <c r="G863" s="1">
        <v>3312.6089999999999</v>
      </c>
      <c r="H863" s="1">
        <v>0</v>
      </c>
      <c r="I863" s="1">
        <v>1689.4649999999999</v>
      </c>
    </row>
    <row r="864" spans="1:9" hidden="1" x14ac:dyDescent="0.25">
      <c r="A864" s="1" t="s">
        <v>24</v>
      </c>
      <c r="B864" s="1" t="s">
        <v>12</v>
      </c>
      <c r="C864" s="1" t="s">
        <v>25</v>
      </c>
      <c r="D864" s="1">
        <v>0</v>
      </c>
      <c r="E864" s="1">
        <v>0</v>
      </c>
      <c r="F864" s="1">
        <v>503.47</v>
      </c>
      <c r="G864" s="1">
        <v>10086.433000000001</v>
      </c>
      <c r="H864" s="1">
        <v>2556.8760000000002</v>
      </c>
      <c r="I864" s="1">
        <v>0</v>
      </c>
    </row>
    <row r="865" spans="1:9" hidden="1" x14ac:dyDescent="0.25">
      <c r="A865" s="1" t="s">
        <v>24</v>
      </c>
      <c r="B865" s="1" t="s">
        <v>12</v>
      </c>
      <c r="C865" s="1" t="s">
        <v>10</v>
      </c>
      <c r="D865" s="1">
        <v>0</v>
      </c>
      <c r="E865" s="1">
        <v>0</v>
      </c>
      <c r="F865" s="1">
        <v>503.47</v>
      </c>
      <c r="G865" s="1">
        <v>10086.433000000001</v>
      </c>
      <c r="H865" s="1">
        <v>4515.5739999999996</v>
      </c>
      <c r="I865" s="1">
        <v>0</v>
      </c>
    </row>
    <row r="866" spans="1:9" hidden="1" x14ac:dyDescent="0.25">
      <c r="A866" s="1" t="s">
        <v>24</v>
      </c>
      <c r="B866" s="1" t="s">
        <v>13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13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31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31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32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32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33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33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34</v>
      </c>
      <c r="C874" s="1" t="s">
        <v>25</v>
      </c>
      <c r="D874" s="1">
        <v>0</v>
      </c>
      <c r="E874" s="1">
        <v>-406.89</v>
      </c>
      <c r="F874" s="1">
        <v>0</v>
      </c>
      <c r="G874" s="1">
        <v>6713.6530000000002</v>
      </c>
      <c r="H874" s="1">
        <v>0</v>
      </c>
      <c r="I874" s="1">
        <v>-1989.231</v>
      </c>
    </row>
    <row r="875" spans="1:9" hidden="1" x14ac:dyDescent="0.25">
      <c r="A875" s="1" t="s">
        <v>24</v>
      </c>
      <c r="B875" s="1" t="s">
        <v>34</v>
      </c>
      <c r="C875" s="1" t="s">
        <v>10</v>
      </c>
      <c r="D875" s="1">
        <v>0</v>
      </c>
      <c r="E875" s="1">
        <v>-406.89</v>
      </c>
      <c r="F875" s="1">
        <v>0</v>
      </c>
      <c r="G875" s="1">
        <v>6713.6530000000002</v>
      </c>
      <c r="H875" s="1">
        <v>0</v>
      </c>
      <c r="I875" s="1">
        <v>-3616.7829999999999</v>
      </c>
    </row>
    <row r="876" spans="1:9" hidden="1" x14ac:dyDescent="0.25">
      <c r="A876" s="1" t="s">
        <v>24</v>
      </c>
      <c r="B876" s="1" t="s">
        <v>35</v>
      </c>
      <c r="C876" s="1" t="s">
        <v>25</v>
      </c>
      <c r="D876" s="1">
        <v>0</v>
      </c>
      <c r="E876" s="1">
        <v>-406.89</v>
      </c>
      <c r="F876" s="1">
        <v>0</v>
      </c>
      <c r="G876" s="1">
        <v>5492.9889999999996</v>
      </c>
      <c r="H876" s="1">
        <v>0</v>
      </c>
      <c r="I876" s="1">
        <v>-1989.231</v>
      </c>
    </row>
    <row r="877" spans="1:9" hidden="1" x14ac:dyDescent="0.25">
      <c r="A877" s="1" t="s">
        <v>24</v>
      </c>
      <c r="B877" s="1" t="s">
        <v>35</v>
      </c>
      <c r="C877" s="1" t="s">
        <v>10</v>
      </c>
      <c r="D877" s="1">
        <v>0</v>
      </c>
      <c r="E877" s="1">
        <v>-406.89</v>
      </c>
      <c r="F877" s="1">
        <v>0</v>
      </c>
      <c r="G877" s="1">
        <v>5492.9889999999996</v>
      </c>
      <c r="H877" s="1">
        <v>0</v>
      </c>
      <c r="I877" s="1">
        <v>-3616.7829999999999</v>
      </c>
    </row>
    <row r="878" spans="1:9" hidden="1" x14ac:dyDescent="0.25">
      <c r="A878" s="1" t="s">
        <v>24</v>
      </c>
      <c r="B878" s="1" t="s">
        <v>36</v>
      </c>
      <c r="C878" s="1" t="s">
        <v>25</v>
      </c>
      <c r="D878" s="1">
        <v>0</v>
      </c>
      <c r="E878" s="1">
        <v>406.89</v>
      </c>
      <c r="F878" s="1">
        <v>0</v>
      </c>
      <c r="G878" s="1">
        <v>-6713.6530000000002</v>
      </c>
      <c r="H878" s="1">
        <v>0</v>
      </c>
      <c r="I878" s="1">
        <v>1989.231</v>
      </c>
    </row>
    <row r="879" spans="1:9" hidden="1" x14ac:dyDescent="0.25">
      <c r="A879" s="1" t="s">
        <v>24</v>
      </c>
      <c r="B879" s="1" t="s">
        <v>36</v>
      </c>
      <c r="C879" s="1" t="s">
        <v>10</v>
      </c>
      <c r="D879" s="1">
        <v>0</v>
      </c>
      <c r="E879" s="1">
        <v>406.89</v>
      </c>
      <c r="F879" s="1">
        <v>0</v>
      </c>
      <c r="G879" s="1">
        <v>-6713.6530000000002</v>
      </c>
      <c r="H879" s="1">
        <v>0</v>
      </c>
      <c r="I879" s="1">
        <v>3616.7829999999999</v>
      </c>
    </row>
    <row r="880" spans="1:9" hidden="1" x14ac:dyDescent="0.25">
      <c r="A880" s="1" t="s">
        <v>24</v>
      </c>
      <c r="B880" s="1" t="s">
        <v>37</v>
      </c>
      <c r="C880" s="1" t="s">
        <v>25</v>
      </c>
      <c r="D880" s="1">
        <v>0</v>
      </c>
      <c r="E880" s="1">
        <v>406.89</v>
      </c>
      <c r="F880" s="1">
        <v>0</v>
      </c>
      <c r="G880" s="1">
        <v>-5492.9889999999996</v>
      </c>
      <c r="H880" s="1">
        <v>0</v>
      </c>
      <c r="I880" s="1">
        <v>1989.231</v>
      </c>
    </row>
    <row r="881" spans="1:9" hidden="1" x14ac:dyDescent="0.25">
      <c r="A881" s="1" t="s">
        <v>24</v>
      </c>
      <c r="B881" s="1" t="s">
        <v>37</v>
      </c>
      <c r="C881" s="1" t="s">
        <v>10</v>
      </c>
      <c r="D881" s="1">
        <v>0</v>
      </c>
      <c r="E881" s="1">
        <v>406.89</v>
      </c>
      <c r="F881" s="1">
        <v>0</v>
      </c>
      <c r="G881" s="1">
        <v>-5492.9889999999996</v>
      </c>
      <c r="H881" s="1">
        <v>0</v>
      </c>
      <c r="I881" s="1">
        <v>3616.7829999999999</v>
      </c>
    </row>
    <row r="882" spans="1:9" hidden="1" x14ac:dyDescent="0.25">
      <c r="A882" s="1" t="s">
        <v>24</v>
      </c>
      <c r="B882" s="1" t="s">
        <v>38</v>
      </c>
      <c r="C882" s="1" t="s">
        <v>25</v>
      </c>
      <c r="D882" s="1">
        <v>0</v>
      </c>
      <c r="E882" s="1">
        <v>0</v>
      </c>
      <c r="F882" s="1">
        <v>-491.83</v>
      </c>
      <c r="G882" s="1">
        <v>-9738.2049999999999</v>
      </c>
      <c r="H882" s="1">
        <v>2404.4949999999999</v>
      </c>
      <c r="I882" s="1">
        <v>0</v>
      </c>
    </row>
    <row r="883" spans="1:9" hidden="1" x14ac:dyDescent="0.25">
      <c r="A883" s="1" t="s">
        <v>24</v>
      </c>
      <c r="B883" s="1" t="s">
        <v>38</v>
      </c>
      <c r="C883" s="1" t="s">
        <v>10</v>
      </c>
      <c r="D883" s="1">
        <v>0</v>
      </c>
      <c r="E883" s="1">
        <v>0</v>
      </c>
      <c r="F883" s="1">
        <v>-491.83</v>
      </c>
      <c r="G883" s="1">
        <v>-9738.2049999999999</v>
      </c>
      <c r="H883" s="1">
        <v>4371.8090000000002</v>
      </c>
      <c r="I883" s="1">
        <v>0</v>
      </c>
    </row>
    <row r="884" spans="1:9" hidden="1" x14ac:dyDescent="0.25">
      <c r="A884" s="1" t="s">
        <v>24</v>
      </c>
      <c r="B884" s="1" t="s">
        <v>39</v>
      </c>
      <c r="C884" s="1" t="s">
        <v>25</v>
      </c>
      <c r="D884" s="1">
        <v>0</v>
      </c>
      <c r="E884" s="1">
        <v>0</v>
      </c>
      <c r="F884" s="1">
        <v>-491.83</v>
      </c>
      <c r="G884" s="1">
        <v>-7967.6229999999996</v>
      </c>
      <c r="H884" s="1">
        <v>2404.4949999999999</v>
      </c>
      <c r="I884" s="1">
        <v>0</v>
      </c>
    </row>
    <row r="885" spans="1:9" hidden="1" x14ac:dyDescent="0.25">
      <c r="A885" s="1" t="s">
        <v>24</v>
      </c>
      <c r="B885" s="1" t="s">
        <v>39</v>
      </c>
      <c r="C885" s="1" t="s">
        <v>10</v>
      </c>
      <c r="D885" s="1">
        <v>0</v>
      </c>
      <c r="E885" s="1">
        <v>0</v>
      </c>
      <c r="F885" s="1">
        <v>-491.83</v>
      </c>
      <c r="G885" s="1">
        <v>-7967.6229999999996</v>
      </c>
      <c r="H885" s="1">
        <v>4371.8090000000002</v>
      </c>
      <c r="I885" s="1">
        <v>0</v>
      </c>
    </row>
    <row r="886" spans="1:9" hidden="1" x14ac:dyDescent="0.25">
      <c r="A886" s="1" t="s">
        <v>24</v>
      </c>
      <c r="B886" s="1" t="s">
        <v>40</v>
      </c>
      <c r="C886" s="1" t="s">
        <v>25</v>
      </c>
      <c r="D886" s="1">
        <v>0</v>
      </c>
      <c r="E886" s="1">
        <v>0</v>
      </c>
      <c r="F886" s="1">
        <v>491.83</v>
      </c>
      <c r="G886" s="1">
        <v>9738.2049999999999</v>
      </c>
      <c r="H886" s="1">
        <v>-2404.4949999999999</v>
      </c>
      <c r="I886" s="1">
        <v>0</v>
      </c>
    </row>
    <row r="887" spans="1:9" hidden="1" x14ac:dyDescent="0.25">
      <c r="A887" s="1" t="s">
        <v>24</v>
      </c>
      <c r="B887" s="1" t="s">
        <v>40</v>
      </c>
      <c r="C887" s="1" t="s">
        <v>10</v>
      </c>
      <c r="D887" s="1">
        <v>0</v>
      </c>
      <c r="E887" s="1">
        <v>0</v>
      </c>
      <c r="F887" s="1">
        <v>491.83</v>
      </c>
      <c r="G887" s="1">
        <v>9738.2049999999999</v>
      </c>
      <c r="H887" s="1">
        <v>-4371.8090000000002</v>
      </c>
      <c r="I887" s="1">
        <v>0</v>
      </c>
    </row>
    <row r="888" spans="1:9" hidden="1" x14ac:dyDescent="0.25">
      <c r="A888" s="1" t="s">
        <v>24</v>
      </c>
      <c r="B888" s="1" t="s">
        <v>41</v>
      </c>
      <c r="C888" s="1" t="s">
        <v>25</v>
      </c>
      <c r="D888" s="1">
        <v>0</v>
      </c>
      <c r="E888" s="1">
        <v>0</v>
      </c>
      <c r="F888" s="1">
        <v>491.83</v>
      </c>
      <c r="G888" s="1">
        <v>7967.6229999999996</v>
      </c>
      <c r="H888" s="1">
        <v>-2404.4949999999999</v>
      </c>
      <c r="I888" s="1">
        <v>0</v>
      </c>
    </row>
    <row r="889" spans="1:9" hidden="1" x14ac:dyDescent="0.25">
      <c r="A889" s="1" t="s">
        <v>24</v>
      </c>
      <c r="B889" s="1" t="s">
        <v>41</v>
      </c>
      <c r="C889" s="1" t="s">
        <v>10</v>
      </c>
      <c r="D889" s="1">
        <v>0</v>
      </c>
      <c r="E889" s="1">
        <v>0</v>
      </c>
      <c r="F889" s="1">
        <v>491.83</v>
      </c>
      <c r="G889" s="1">
        <v>7967.6229999999996</v>
      </c>
      <c r="H889" s="1">
        <v>-4371.8090000000002</v>
      </c>
      <c r="I889" s="1">
        <v>0</v>
      </c>
    </row>
    <row r="890" spans="1:9" hidden="1" x14ac:dyDescent="0.25">
      <c r="A890" s="1" t="s">
        <v>24</v>
      </c>
      <c r="B890" s="1" t="s">
        <v>42</v>
      </c>
      <c r="C890" s="1" t="s">
        <v>25</v>
      </c>
      <c r="D890" s="1">
        <v>0</v>
      </c>
      <c r="E890" s="1">
        <v>-406.89</v>
      </c>
      <c r="F890" s="1">
        <v>0</v>
      </c>
      <c r="G890" s="1">
        <v>6713.6530000000002</v>
      </c>
      <c r="H890" s="1">
        <v>0</v>
      </c>
      <c r="I890" s="1">
        <v>-1989.231</v>
      </c>
    </row>
    <row r="891" spans="1:9" hidden="1" x14ac:dyDescent="0.25">
      <c r="A891" s="1" t="s">
        <v>24</v>
      </c>
      <c r="B891" s="1" t="s">
        <v>42</v>
      </c>
      <c r="C891" s="1" t="s">
        <v>10</v>
      </c>
      <c r="D891" s="1">
        <v>0</v>
      </c>
      <c r="E891" s="1">
        <v>-406.89</v>
      </c>
      <c r="F891" s="1">
        <v>0</v>
      </c>
      <c r="G891" s="1">
        <v>6713.6530000000002</v>
      </c>
      <c r="H891" s="1">
        <v>0</v>
      </c>
      <c r="I891" s="1">
        <v>-3616.7829999999999</v>
      </c>
    </row>
    <row r="892" spans="1:9" hidden="1" x14ac:dyDescent="0.25">
      <c r="A892" s="1" t="s">
        <v>24</v>
      </c>
      <c r="B892" s="1" t="s">
        <v>43</v>
      </c>
      <c r="C892" s="1" t="s">
        <v>25</v>
      </c>
      <c r="D892" s="1">
        <v>0</v>
      </c>
      <c r="E892" s="1">
        <v>-406.89</v>
      </c>
      <c r="F892" s="1">
        <v>0</v>
      </c>
      <c r="G892" s="1">
        <v>5492.9889999999996</v>
      </c>
      <c r="H892" s="1">
        <v>0</v>
      </c>
      <c r="I892" s="1">
        <v>-1989.231</v>
      </c>
    </row>
    <row r="893" spans="1:9" hidden="1" x14ac:dyDescent="0.25">
      <c r="A893" s="1" t="s">
        <v>24</v>
      </c>
      <c r="B893" s="1" t="s">
        <v>43</v>
      </c>
      <c r="C893" s="1" t="s">
        <v>10</v>
      </c>
      <c r="D893" s="1">
        <v>0</v>
      </c>
      <c r="E893" s="1">
        <v>-406.89</v>
      </c>
      <c r="F893" s="1">
        <v>0</v>
      </c>
      <c r="G893" s="1">
        <v>5492.9889999999996</v>
      </c>
      <c r="H893" s="1">
        <v>0</v>
      </c>
      <c r="I893" s="1">
        <v>-3616.7829999999999</v>
      </c>
    </row>
    <row r="894" spans="1:9" hidden="1" x14ac:dyDescent="0.25">
      <c r="A894" s="1" t="s">
        <v>24</v>
      </c>
      <c r="B894" s="1" t="s">
        <v>44</v>
      </c>
      <c r="C894" s="1" t="s">
        <v>25</v>
      </c>
      <c r="D894" s="1">
        <v>0</v>
      </c>
      <c r="E894" s="1">
        <v>406.89</v>
      </c>
      <c r="F894" s="1">
        <v>0</v>
      </c>
      <c r="G894" s="1">
        <v>-6713.6530000000002</v>
      </c>
      <c r="H894" s="1">
        <v>0</v>
      </c>
      <c r="I894" s="1">
        <v>1989.231</v>
      </c>
    </row>
    <row r="895" spans="1:9" hidden="1" x14ac:dyDescent="0.25">
      <c r="A895" s="1" t="s">
        <v>24</v>
      </c>
      <c r="B895" s="1" t="s">
        <v>44</v>
      </c>
      <c r="C895" s="1" t="s">
        <v>10</v>
      </c>
      <c r="D895" s="1">
        <v>0</v>
      </c>
      <c r="E895" s="1">
        <v>406.89</v>
      </c>
      <c r="F895" s="1">
        <v>0</v>
      </c>
      <c r="G895" s="1">
        <v>-6713.6530000000002</v>
      </c>
      <c r="H895" s="1">
        <v>0</v>
      </c>
      <c r="I895" s="1">
        <v>3616.7829999999999</v>
      </c>
    </row>
    <row r="896" spans="1:9" hidden="1" x14ac:dyDescent="0.25">
      <c r="A896" s="1" t="s">
        <v>24</v>
      </c>
      <c r="B896" s="1" t="s">
        <v>45</v>
      </c>
      <c r="C896" s="1" t="s">
        <v>25</v>
      </c>
      <c r="D896" s="1">
        <v>0</v>
      </c>
      <c r="E896" s="1">
        <v>406.89</v>
      </c>
      <c r="F896" s="1">
        <v>0</v>
      </c>
      <c r="G896" s="1">
        <v>-5492.9889999999996</v>
      </c>
      <c r="H896" s="1">
        <v>0</v>
      </c>
      <c r="I896" s="1">
        <v>1989.231</v>
      </c>
    </row>
    <row r="897" spans="1:9" hidden="1" x14ac:dyDescent="0.25">
      <c r="A897" s="1" t="s">
        <v>24</v>
      </c>
      <c r="B897" s="1" t="s">
        <v>45</v>
      </c>
      <c r="C897" s="1" t="s">
        <v>10</v>
      </c>
      <c r="D897" s="1">
        <v>0</v>
      </c>
      <c r="E897" s="1">
        <v>406.89</v>
      </c>
      <c r="F897" s="1">
        <v>0</v>
      </c>
      <c r="G897" s="1">
        <v>-5492.9889999999996</v>
      </c>
      <c r="H897" s="1">
        <v>0</v>
      </c>
      <c r="I897" s="1">
        <v>3616.7829999999999</v>
      </c>
    </row>
    <row r="898" spans="1:9" hidden="1" x14ac:dyDescent="0.25">
      <c r="A898" s="1" t="s">
        <v>24</v>
      </c>
      <c r="B898" s="1" t="s">
        <v>46</v>
      </c>
      <c r="C898" s="1" t="s">
        <v>25</v>
      </c>
      <c r="D898" s="1">
        <v>0</v>
      </c>
      <c r="E898" s="1">
        <v>0</v>
      </c>
      <c r="F898" s="1">
        <v>-491.83</v>
      </c>
      <c r="G898" s="1">
        <v>-9738.2049999999999</v>
      </c>
      <c r="H898" s="1">
        <v>2404.4949999999999</v>
      </c>
      <c r="I898" s="1">
        <v>0</v>
      </c>
    </row>
    <row r="899" spans="1:9" hidden="1" x14ac:dyDescent="0.25">
      <c r="A899" s="1" t="s">
        <v>24</v>
      </c>
      <c r="B899" s="1" t="s">
        <v>46</v>
      </c>
      <c r="C899" s="1" t="s">
        <v>10</v>
      </c>
      <c r="D899" s="1">
        <v>0</v>
      </c>
      <c r="E899" s="1">
        <v>0</v>
      </c>
      <c r="F899" s="1">
        <v>-491.83</v>
      </c>
      <c r="G899" s="1">
        <v>-9738.2049999999999</v>
      </c>
      <c r="H899" s="1">
        <v>4371.8090000000002</v>
      </c>
      <c r="I899" s="1">
        <v>0</v>
      </c>
    </row>
    <row r="900" spans="1:9" hidden="1" x14ac:dyDescent="0.25">
      <c r="A900" s="1" t="s">
        <v>24</v>
      </c>
      <c r="B900" s="1" t="s">
        <v>47</v>
      </c>
      <c r="C900" s="1" t="s">
        <v>25</v>
      </c>
      <c r="D900" s="1">
        <v>0</v>
      </c>
      <c r="E900" s="1">
        <v>0</v>
      </c>
      <c r="F900" s="1">
        <v>-491.83</v>
      </c>
      <c r="G900" s="1">
        <v>-7967.6229999999996</v>
      </c>
      <c r="H900" s="1">
        <v>2404.4949999999999</v>
      </c>
      <c r="I900" s="1">
        <v>0</v>
      </c>
    </row>
    <row r="901" spans="1:9" hidden="1" x14ac:dyDescent="0.25">
      <c r="A901" s="1" t="s">
        <v>24</v>
      </c>
      <c r="B901" s="1" t="s">
        <v>47</v>
      </c>
      <c r="C901" s="1" t="s">
        <v>10</v>
      </c>
      <c r="D901" s="1">
        <v>0</v>
      </c>
      <c r="E901" s="1">
        <v>0</v>
      </c>
      <c r="F901" s="1">
        <v>-491.83</v>
      </c>
      <c r="G901" s="1">
        <v>-7967.6229999999996</v>
      </c>
      <c r="H901" s="1">
        <v>4371.8090000000002</v>
      </c>
      <c r="I901" s="1">
        <v>0</v>
      </c>
    </row>
    <row r="902" spans="1:9" hidden="1" x14ac:dyDescent="0.25">
      <c r="A902" s="1" t="s">
        <v>24</v>
      </c>
      <c r="B902" s="1" t="s">
        <v>48</v>
      </c>
      <c r="C902" s="1" t="s">
        <v>25</v>
      </c>
      <c r="D902" s="1">
        <v>0</v>
      </c>
      <c r="E902" s="1">
        <v>0</v>
      </c>
      <c r="F902" s="1">
        <v>491.83</v>
      </c>
      <c r="G902" s="1">
        <v>9738.2049999999999</v>
      </c>
      <c r="H902" s="1">
        <v>-2404.4949999999999</v>
      </c>
      <c r="I902" s="1">
        <v>0</v>
      </c>
    </row>
    <row r="903" spans="1:9" hidden="1" x14ac:dyDescent="0.25">
      <c r="A903" s="1" t="s">
        <v>24</v>
      </c>
      <c r="B903" s="1" t="s">
        <v>48</v>
      </c>
      <c r="C903" s="1" t="s">
        <v>10</v>
      </c>
      <c r="D903" s="1">
        <v>0</v>
      </c>
      <c r="E903" s="1">
        <v>0</v>
      </c>
      <c r="F903" s="1">
        <v>491.83</v>
      </c>
      <c r="G903" s="1">
        <v>9738.2049999999999</v>
      </c>
      <c r="H903" s="1">
        <v>-4371.8090000000002</v>
      </c>
      <c r="I903" s="1">
        <v>0</v>
      </c>
    </row>
    <row r="904" spans="1:9" hidden="1" x14ac:dyDescent="0.25">
      <c r="A904" s="1" t="s">
        <v>24</v>
      </c>
      <c r="B904" s="1" t="s">
        <v>49</v>
      </c>
      <c r="C904" s="1" t="s">
        <v>25</v>
      </c>
      <c r="D904" s="1">
        <v>0</v>
      </c>
      <c r="E904" s="1">
        <v>0</v>
      </c>
      <c r="F904" s="1">
        <v>491.83</v>
      </c>
      <c r="G904" s="1">
        <v>7967.6229999999996</v>
      </c>
      <c r="H904" s="1">
        <v>-2404.4949999999999</v>
      </c>
      <c r="I904" s="1">
        <v>0</v>
      </c>
    </row>
    <row r="905" spans="1:9" hidden="1" x14ac:dyDescent="0.25">
      <c r="A905" s="1" t="s">
        <v>24</v>
      </c>
      <c r="B905" s="1" t="s">
        <v>49</v>
      </c>
      <c r="C905" s="1" t="s">
        <v>10</v>
      </c>
      <c r="D905" s="1">
        <v>0</v>
      </c>
      <c r="E905" s="1">
        <v>0</v>
      </c>
      <c r="F905" s="1">
        <v>491.83</v>
      </c>
      <c r="G905" s="1">
        <v>7967.6229999999996</v>
      </c>
      <c r="H905" s="1">
        <v>-4371.8090000000002</v>
      </c>
      <c r="I905" s="1">
        <v>0</v>
      </c>
    </row>
    <row r="906" spans="1:9" hidden="1" x14ac:dyDescent="0.25">
      <c r="A906" s="1" t="s">
        <v>24</v>
      </c>
      <c r="B906" s="1" t="s">
        <v>50</v>
      </c>
      <c r="C906" s="1" t="s">
        <v>25</v>
      </c>
      <c r="D906" s="1">
        <v>0</v>
      </c>
      <c r="E906" s="1">
        <v>-122.07</v>
      </c>
      <c r="F906" s="1">
        <v>0</v>
      </c>
      <c r="G906" s="1">
        <v>2014.096</v>
      </c>
      <c r="H906" s="1">
        <v>0</v>
      </c>
      <c r="I906" s="1">
        <v>-596.76900000000001</v>
      </c>
    </row>
    <row r="907" spans="1:9" hidden="1" x14ac:dyDescent="0.25">
      <c r="A907" s="1" t="s">
        <v>24</v>
      </c>
      <c r="B907" s="1" t="s">
        <v>50</v>
      </c>
      <c r="C907" s="1" t="s">
        <v>10</v>
      </c>
      <c r="D907" s="1">
        <v>0</v>
      </c>
      <c r="E907" s="1">
        <v>-122.07</v>
      </c>
      <c r="F907" s="1">
        <v>0</v>
      </c>
      <c r="G907" s="1">
        <v>2014.096</v>
      </c>
      <c r="H907" s="1">
        <v>0</v>
      </c>
      <c r="I907" s="1">
        <v>-1085.0350000000001</v>
      </c>
    </row>
    <row r="908" spans="1:9" hidden="1" x14ac:dyDescent="0.25">
      <c r="A908" s="1" t="s">
        <v>24</v>
      </c>
      <c r="B908" s="1" t="s">
        <v>51</v>
      </c>
      <c r="C908" s="1" t="s">
        <v>25</v>
      </c>
      <c r="D908" s="1">
        <v>0</v>
      </c>
      <c r="E908" s="1">
        <v>-122.07</v>
      </c>
      <c r="F908" s="1">
        <v>0</v>
      </c>
      <c r="G908" s="1">
        <v>1647.8969999999999</v>
      </c>
      <c r="H908" s="1">
        <v>0</v>
      </c>
      <c r="I908" s="1">
        <v>-596.76900000000001</v>
      </c>
    </row>
    <row r="909" spans="1:9" hidden="1" x14ac:dyDescent="0.25">
      <c r="A909" s="1" t="s">
        <v>24</v>
      </c>
      <c r="B909" s="1" t="s">
        <v>51</v>
      </c>
      <c r="C909" s="1" t="s">
        <v>10</v>
      </c>
      <c r="D909" s="1">
        <v>0</v>
      </c>
      <c r="E909" s="1">
        <v>-122.07</v>
      </c>
      <c r="F909" s="1">
        <v>0</v>
      </c>
      <c r="G909" s="1">
        <v>1647.8969999999999</v>
      </c>
      <c r="H909" s="1">
        <v>0</v>
      </c>
      <c r="I909" s="1">
        <v>-1085.0350000000001</v>
      </c>
    </row>
    <row r="910" spans="1:9" hidden="1" x14ac:dyDescent="0.25">
      <c r="A910" s="1" t="s">
        <v>24</v>
      </c>
      <c r="B910" s="1" t="s">
        <v>52</v>
      </c>
      <c r="C910" s="1" t="s">
        <v>25</v>
      </c>
      <c r="D910" s="1">
        <v>0</v>
      </c>
      <c r="E910" s="1">
        <v>122.07</v>
      </c>
      <c r="F910" s="1">
        <v>0</v>
      </c>
      <c r="G910" s="1">
        <v>-2014.096</v>
      </c>
      <c r="H910" s="1">
        <v>0</v>
      </c>
      <c r="I910" s="1">
        <v>596.76900000000001</v>
      </c>
    </row>
    <row r="911" spans="1:9" hidden="1" x14ac:dyDescent="0.25">
      <c r="A911" s="1" t="s">
        <v>24</v>
      </c>
      <c r="B911" s="1" t="s">
        <v>52</v>
      </c>
      <c r="C911" s="1" t="s">
        <v>10</v>
      </c>
      <c r="D911" s="1">
        <v>0</v>
      </c>
      <c r="E911" s="1">
        <v>122.07</v>
      </c>
      <c r="F911" s="1">
        <v>0</v>
      </c>
      <c r="G911" s="1">
        <v>-2014.096</v>
      </c>
      <c r="H911" s="1">
        <v>0</v>
      </c>
      <c r="I911" s="1">
        <v>1085.0350000000001</v>
      </c>
    </row>
    <row r="912" spans="1:9" hidden="1" x14ac:dyDescent="0.25">
      <c r="A912" s="1" t="s">
        <v>24</v>
      </c>
      <c r="B912" s="1" t="s">
        <v>53</v>
      </c>
      <c r="C912" s="1" t="s">
        <v>25</v>
      </c>
      <c r="D912" s="1">
        <v>0</v>
      </c>
      <c r="E912" s="1">
        <v>122.07</v>
      </c>
      <c r="F912" s="1">
        <v>0</v>
      </c>
      <c r="G912" s="1">
        <v>-1647.8969999999999</v>
      </c>
      <c r="H912" s="1">
        <v>0</v>
      </c>
      <c r="I912" s="1">
        <v>596.76900000000001</v>
      </c>
    </row>
    <row r="913" spans="1:9" hidden="1" x14ac:dyDescent="0.25">
      <c r="A913" s="1" t="s">
        <v>24</v>
      </c>
      <c r="B913" s="1" t="s">
        <v>53</v>
      </c>
      <c r="C913" s="1" t="s">
        <v>10</v>
      </c>
      <c r="D913" s="1">
        <v>0</v>
      </c>
      <c r="E913" s="1">
        <v>122.07</v>
      </c>
      <c r="F913" s="1">
        <v>0</v>
      </c>
      <c r="G913" s="1">
        <v>-1647.8969999999999</v>
      </c>
      <c r="H913" s="1">
        <v>0</v>
      </c>
      <c r="I913" s="1">
        <v>1085.0350000000001</v>
      </c>
    </row>
    <row r="914" spans="1:9" hidden="1" x14ac:dyDescent="0.25">
      <c r="A914" s="1" t="s">
        <v>24</v>
      </c>
      <c r="B914" s="1" t="s">
        <v>54</v>
      </c>
      <c r="C914" s="1" t="s">
        <v>25</v>
      </c>
      <c r="D914" s="1">
        <v>0</v>
      </c>
      <c r="E914" s="1">
        <v>0</v>
      </c>
      <c r="F914" s="1">
        <v>-147.55000000000001</v>
      </c>
      <c r="G914" s="1">
        <v>-2921.462</v>
      </c>
      <c r="H914" s="1">
        <v>721.34900000000005</v>
      </c>
      <c r="I914" s="1">
        <v>0</v>
      </c>
    </row>
    <row r="915" spans="1:9" hidden="1" x14ac:dyDescent="0.25">
      <c r="A915" s="1" t="s">
        <v>24</v>
      </c>
      <c r="B915" s="1" t="s">
        <v>54</v>
      </c>
      <c r="C915" s="1" t="s">
        <v>10</v>
      </c>
      <c r="D915" s="1">
        <v>0</v>
      </c>
      <c r="E915" s="1">
        <v>0</v>
      </c>
      <c r="F915" s="1">
        <v>-147.55000000000001</v>
      </c>
      <c r="G915" s="1">
        <v>-2921.462</v>
      </c>
      <c r="H915" s="1">
        <v>1311.5429999999999</v>
      </c>
      <c r="I915" s="1">
        <v>0</v>
      </c>
    </row>
    <row r="916" spans="1:9" hidden="1" x14ac:dyDescent="0.25">
      <c r="A916" s="1" t="s">
        <v>24</v>
      </c>
      <c r="B916" s="1" t="s">
        <v>55</v>
      </c>
      <c r="C916" s="1" t="s">
        <v>25</v>
      </c>
      <c r="D916" s="1">
        <v>0</v>
      </c>
      <c r="E916" s="1">
        <v>0</v>
      </c>
      <c r="F916" s="1">
        <v>-147.55000000000001</v>
      </c>
      <c r="G916" s="1">
        <v>-2390.2869999999998</v>
      </c>
      <c r="H916" s="1">
        <v>721.34900000000005</v>
      </c>
      <c r="I916" s="1">
        <v>0</v>
      </c>
    </row>
    <row r="917" spans="1:9" hidden="1" x14ac:dyDescent="0.25">
      <c r="A917" s="1" t="s">
        <v>24</v>
      </c>
      <c r="B917" s="1" t="s">
        <v>55</v>
      </c>
      <c r="C917" s="1" t="s">
        <v>10</v>
      </c>
      <c r="D917" s="1">
        <v>0</v>
      </c>
      <c r="E917" s="1">
        <v>0</v>
      </c>
      <c r="F917" s="1">
        <v>-147.55000000000001</v>
      </c>
      <c r="G917" s="1">
        <v>-2390.2869999999998</v>
      </c>
      <c r="H917" s="1">
        <v>1311.5429999999999</v>
      </c>
      <c r="I917" s="1">
        <v>0</v>
      </c>
    </row>
    <row r="918" spans="1:9" hidden="1" x14ac:dyDescent="0.25">
      <c r="A918" s="1" t="s">
        <v>24</v>
      </c>
      <c r="B918" s="1" t="s">
        <v>56</v>
      </c>
      <c r="C918" s="1" t="s">
        <v>25</v>
      </c>
      <c r="D918" s="1">
        <v>0</v>
      </c>
      <c r="E918" s="1">
        <v>0</v>
      </c>
      <c r="F918" s="1">
        <v>147.55000000000001</v>
      </c>
      <c r="G918" s="1">
        <v>2921.462</v>
      </c>
      <c r="H918" s="1">
        <v>-721.34900000000005</v>
      </c>
      <c r="I918" s="1">
        <v>0</v>
      </c>
    </row>
    <row r="919" spans="1:9" hidden="1" x14ac:dyDescent="0.25">
      <c r="A919" s="1" t="s">
        <v>24</v>
      </c>
      <c r="B919" s="1" t="s">
        <v>56</v>
      </c>
      <c r="C919" s="1" t="s">
        <v>10</v>
      </c>
      <c r="D919" s="1">
        <v>0</v>
      </c>
      <c r="E919" s="1">
        <v>0</v>
      </c>
      <c r="F919" s="1">
        <v>147.55000000000001</v>
      </c>
      <c r="G919" s="1">
        <v>2921.462</v>
      </c>
      <c r="H919" s="1">
        <v>-1311.5429999999999</v>
      </c>
      <c r="I919" s="1">
        <v>0</v>
      </c>
    </row>
    <row r="920" spans="1:9" hidden="1" x14ac:dyDescent="0.25">
      <c r="A920" s="1" t="s">
        <v>24</v>
      </c>
      <c r="B920" s="1" t="s">
        <v>57</v>
      </c>
      <c r="C920" s="1" t="s">
        <v>25</v>
      </c>
      <c r="D920" s="1">
        <v>0</v>
      </c>
      <c r="E920" s="1">
        <v>0</v>
      </c>
      <c r="F920" s="1">
        <v>147.55000000000001</v>
      </c>
      <c r="G920" s="1">
        <v>2390.2869999999998</v>
      </c>
      <c r="H920" s="1">
        <v>-721.34900000000005</v>
      </c>
      <c r="I920" s="1">
        <v>0</v>
      </c>
    </row>
    <row r="921" spans="1:9" hidden="1" x14ac:dyDescent="0.25">
      <c r="A921" s="1" t="s">
        <v>24</v>
      </c>
      <c r="B921" s="1" t="s">
        <v>57</v>
      </c>
      <c r="C921" s="1" t="s">
        <v>10</v>
      </c>
      <c r="D921" s="1">
        <v>0</v>
      </c>
      <c r="E921" s="1">
        <v>0</v>
      </c>
      <c r="F921" s="1">
        <v>147.55000000000001</v>
      </c>
      <c r="G921" s="1">
        <v>2390.2869999999998</v>
      </c>
      <c r="H921" s="1">
        <v>-1311.5429999999999</v>
      </c>
      <c r="I921" s="1">
        <v>0</v>
      </c>
    </row>
    <row r="922" spans="1:9" hidden="1" x14ac:dyDescent="0.25">
      <c r="A922" s="1" t="s">
        <v>24</v>
      </c>
      <c r="B922" s="1" t="s">
        <v>58</v>
      </c>
      <c r="C922" s="1" t="s">
        <v>25</v>
      </c>
      <c r="D922" s="1">
        <v>0</v>
      </c>
      <c r="E922" s="1">
        <v>-122.07</v>
      </c>
      <c r="F922" s="1">
        <v>0</v>
      </c>
      <c r="G922" s="1">
        <v>2014.096</v>
      </c>
      <c r="H922" s="1">
        <v>0</v>
      </c>
      <c r="I922" s="1">
        <v>-596.76900000000001</v>
      </c>
    </row>
    <row r="923" spans="1:9" hidden="1" x14ac:dyDescent="0.25">
      <c r="A923" s="1" t="s">
        <v>24</v>
      </c>
      <c r="B923" s="1" t="s">
        <v>58</v>
      </c>
      <c r="C923" s="1" t="s">
        <v>10</v>
      </c>
      <c r="D923" s="1">
        <v>0</v>
      </c>
      <c r="E923" s="1">
        <v>-122.07</v>
      </c>
      <c r="F923" s="1">
        <v>0</v>
      </c>
      <c r="G923" s="1">
        <v>2014.096</v>
      </c>
      <c r="H923" s="1">
        <v>0</v>
      </c>
      <c r="I923" s="1">
        <v>-1085.0350000000001</v>
      </c>
    </row>
    <row r="924" spans="1:9" hidden="1" x14ac:dyDescent="0.25">
      <c r="A924" s="1" t="s">
        <v>24</v>
      </c>
      <c r="B924" s="1" t="s">
        <v>59</v>
      </c>
      <c r="C924" s="1" t="s">
        <v>25</v>
      </c>
      <c r="D924" s="1">
        <v>0</v>
      </c>
      <c r="E924" s="1">
        <v>-122.07</v>
      </c>
      <c r="F924" s="1">
        <v>0</v>
      </c>
      <c r="G924" s="1">
        <v>1647.8969999999999</v>
      </c>
      <c r="H924" s="1">
        <v>0</v>
      </c>
      <c r="I924" s="1">
        <v>-596.76900000000001</v>
      </c>
    </row>
    <row r="925" spans="1:9" hidden="1" x14ac:dyDescent="0.25">
      <c r="A925" s="1" t="s">
        <v>24</v>
      </c>
      <c r="B925" s="1" t="s">
        <v>59</v>
      </c>
      <c r="C925" s="1" t="s">
        <v>10</v>
      </c>
      <c r="D925" s="1">
        <v>0</v>
      </c>
      <c r="E925" s="1">
        <v>-122.07</v>
      </c>
      <c r="F925" s="1">
        <v>0</v>
      </c>
      <c r="G925" s="1">
        <v>1647.8969999999999</v>
      </c>
      <c r="H925" s="1">
        <v>0</v>
      </c>
      <c r="I925" s="1">
        <v>-1085.0350000000001</v>
      </c>
    </row>
    <row r="926" spans="1:9" hidden="1" x14ac:dyDescent="0.25">
      <c r="A926" s="1" t="s">
        <v>24</v>
      </c>
      <c r="B926" s="1" t="s">
        <v>60</v>
      </c>
      <c r="C926" s="1" t="s">
        <v>25</v>
      </c>
      <c r="D926" s="1">
        <v>0</v>
      </c>
      <c r="E926" s="1">
        <v>122.07</v>
      </c>
      <c r="F926" s="1">
        <v>0</v>
      </c>
      <c r="G926" s="1">
        <v>-2014.096</v>
      </c>
      <c r="H926" s="1">
        <v>0</v>
      </c>
      <c r="I926" s="1">
        <v>596.76900000000001</v>
      </c>
    </row>
    <row r="927" spans="1:9" hidden="1" x14ac:dyDescent="0.25">
      <c r="A927" s="1" t="s">
        <v>24</v>
      </c>
      <c r="B927" s="1" t="s">
        <v>60</v>
      </c>
      <c r="C927" s="1" t="s">
        <v>10</v>
      </c>
      <c r="D927" s="1">
        <v>0</v>
      </c>
      <c r="E927" s="1">
        <v>122.07</v>
      </c>
      <c r="F927" s="1">
        <v>0</v>
      </c>
      <c r="G927" s="1">
        <v>-2014.096</v>
      </c>
      <c r="H927" s="1">
        <v>0</v>
      </c>
      <c r="I927" s="1">
        <v>1085.0350000000001</v>
      </c>
    </row>
    <row r="928" spans="1:9" hidden="1" x14ac:dyDescent="0.25">
      <c r="A928" s="1" t="s">
        <v>24</v>
      </c>
      <c r="B928" s="1" t="s">
        <v>61</v>
      </c>
      <c r="C928" s="1" t="s">
        <v>25</v>
      </c>
      <c r="D928" s="1">
        <v>0</v>
      </c>
      <c r="E928" s="1">
        <v>122.07</v>
      </c>
      <c r="F928" s="1">
        <v>0</v>
      </c>
      <c r="G928" s="1">
        <v>-1647.8969999999999</v>
      </c>
      <c r="H928" s="1">
        <v>0</v>
      </c>
      <c r="I928" s="1">
        <v>596.76900000000001</v>
      </c>
    </row>
    <row r="929" spans="1:9" hidden="1" x14ac:dyDescent="0.25">
      <c r="A929" s="1" t="s">
        <v>24</v>
      </c>
      <c r="B929" s="1" t="s">
        <v>61</v>
      </c>
      <c r="C929" s="1" t="s">
        <v>10</v>
      </c>
      <c r="D929" s="1">
        <v>0</v>
      </c>
      <c r="E929" s="1">
        <v>122.07</v>
      </c>
      <c r="F929" s="1">
        <v>0</v>
      </c>
      <c r="G929" s="1">
        <v>-1647.8969999999999</v>
      </c>
      <c r="H929" s="1">
        <v>0</v>
      </c>
      <c r="I929" s="1">
        <v>1085.0350000000001</v>
      </c>
    </row>
    <row r="930" spans="1:9" hidden="1" x14ac:dyDescent="0.25">
      <c r="A930" s="1" t="s">
        <v>24</v>
      </c>
      <c r="B930" s="1" t="s">
        <v>62</v>
      </c>
      <c r="C930" s="1" t="s">
        <v>25</v>
      </c>
      <c r="D930" s="1">
        <v>0</v>
      </c>
      <c r="E930" s="1">
        <v>0</v>
      </c>
      <c r="F930" s="1">
        <v>-147.55000000000001</v>
      </c>
      <c r="G930" s="1">
        <v>-2921.462</v>
      </c>
      <c r="H930" s="1">
        <v>721.34900000000005</v>
      </c>
      <c r="I930" s="1">
        <v>0</v>
      </c>
    </row>
    <row r="931" spans="1:9" hidden="1" x14ac:dyDescent="0.25">
      <c r="A931" s="1" t="s">
        <v>24</v>
      </c>
      <c r="B931" s="1" t="s">
        <v>62</v>
      </c>
      <c r="C931" s="1" t="s">
        <v>10</v>
      </c>
      <c r="D931" s="1">
        <v>0</v>
      </c>
      <c r="E931" s="1">
        <v>0</v>
      </c>
      <c r="F931" s="1">
        <v>-147.55000000000001</v>
      </c>
      <c r="G931" s="1">
        <v>-2921.462</v>
      </c>
      <c r="H931" s="1">
        <v>1311.5429999999999</v>
      </c>
      <c r="I931" s="1">
        <v>0</v>
      </c>
    </row>
    <row r="932" spans="1:9" hidden="1" x14ac:dyDescent="0.25">
      <c r="A932" s="1" t="s">
        <v>24</v>
      </c>
      <c r="B932" s="1" t="s">
        <v>63</v>
      </c>
      <c r="C932" s="1" t="s">
        <v>25</v>
      </c>
      <c r="D932" s="1">
        <v>0</v>
      </c>
      <c r="E932" s="1">
        <v>0</v>
      </c>
      <c r="F932" s="1">
        <v>-147.55000000000001</v>
      </c>
      <c r="G932" s="1">
        <v>-2390.2869999999998</v>
      </c>
      <c r="H932" s="1">
        <v>721.34900000000005</v>
      </c>
      <c r="I932" s="1">
        <v>0</v>
      </c>
    </row>
    <row r="933" spans="1:9" hidden="1" x14ac:dyDescent="0.25">
      <c r="A933" s="1" t="s">
        <v>24</v>
      </c>
      <c r="B933" s="1" t="s">
        <v>63</v>
      </c>
      <c r="C933" s="1" t="s">
        <v>10</v>
      </c>
      <c r="D933" s="1">
        <v>0</v>
      </c>
      <c r="E933" s="1">
        <v>0</v>
      </c>
      <c r="F933" s="1">
        <v>-147.55000000000001</v>
      </c>
      <c r="G933" s="1">
        <v>-2390.2869999999998</v>
      </c>
      <c r="H933" s="1">
        <v>1311.5429999999999</v>
      </c>
      <c r="I933" s="1">
        <v>0</v>
      </c>
    </row>
    <row r="934" spans="1:9" hidden="1" x14ac:dyDescent="0.25">
      <c r="A934" s="1" t="s">
        <v>24</v>
      </c>
      <c r="B934" s="1" t="s">
        <v>64</v>
      </c>
      <c r="C934" s="1" t="s">
        <v>25</v>
      </c>
      <c r="D934" s="1">
        <v>0</v>
      </c>
      <c r="E934" s="1">
        <v>0</v>
      </c>
      <c r="F934" s="1">
        <v>147.55000000000001</v>
      </c>
      <c r="G934" s="1">
        <v>2921.462</v>
      </c>
      <c r="H934" s="1">
        <v>-721.34900000000005</v>
      </c>
      <c r="I934" s="1">
        <v>0</v>
      </c>
    </row>
    <row r="935" spans="1:9" hidden="1" x14ac:dyDescent="0.25">
      <c r="A935" s="1" t="s">
        <v>24</v>
      </c>
      <c r="B935" s="1" t="s">
        <v>64</v>
      </c>
      <c r="C935" s="1" t="s">
        <v>10</v>
      </c>
      <c r="D935" s="1">
        <v>0</v>
      </c>
      <c r="E935" s="1">
        <v>0</v>
      </c>
      <c r="F935" s="1">
        <v>147.55000000000001</v>
      </c>
      <c r="G935" s="1">
        <v>2921.462</v>
      </c>
      <c r="H935" s="1">
        <v>-1311.5429999999999</v>
      </c>
      <c r="I935" s="1">
        <v>0</v>
      </c>
    </row>
    <row r="936" spans="1:9" hidden="1" x14ac:dyDescent="0.25">
      <c r="A936" s="1" t="s">
        <v>24</v>
      </c>
      <c r="B936" s="1" t="s">
        <v>65</v>
      </c>
      <c r="C936" s="1" t="s">
        <v>25</v>
      </c>
      <c r="D936" s="1">
        <v>0</v>
      </c>
      <c r="E936" s="1">
        <v>0</v>
      </c>
      <c r="F936" s="1">
        <v>147.55000000000001</v>
      </c>
      <c r="G936" s="1">
        <v>2390.2869999999998</v>
      </c>
      <c r="H936" s="1">
        <v>-721.34900000000005</v>
      </c>
      <c r="I936" s="1">
        <v>0</v>
      </c>
    </row>
    <row r="937" spans="1:9" hidden="1" x14ac:dyDescent="0.25">
      <c r="A937" s="1" t="s">
        <v>24</v>
      </c>
      <c r="B937" s="1" t="s">
        <v>65</v>
      </c>
      <c r="C937" s="1" t="s">
        <v>10</v>
      </c>
      <c r="D937" s="1">
        <v>0</v>
      </c>
      <c r="E937" s="1">
        <v>0</v>
      </c>
      <c r="F937" s="1">
        <v>147.55000000000001</v>
      </c>
      <c r="G937" s="1">
        <v>2390.2869999999998</v>
      </c>
      <c r="H937" s="1">
        <v>-1311.5429999999999</v>
      </c>
      <c r="I937" s="1">
        <v>0</v>
      </c>
    </row>
    <row r="938" spans="1:9" hidden="1" x14ac:dyDescent="0.25">
      <c r="A938" s="1" t="s">
        <v>24</v>
      </c>
      <c r="B938" s="1" t="s">
        <v>66</v>
      </c>
      <c r="C938" s="1" t="s">
        <v>25</v>
      </c>
      <c r="D938" s="1">
        <v>0</v>
      </c>
      <c r="E938" s="1">
        <v>-406.89</v>
      </c>
      <c r="F938" s="1">
        <v>0</v>
      </c>
      <c r="G938" s="1">
        <v>6713.6530000000002</v>
      </c>
      <c r="H938" s="1">
        <v>0</v>
      </c>
      <c r="I938" s="1">
        <v>-1989.231</v>
      </c>
    </row>
    <row r="939" spans="1:9" hidden="1" x14ac:dyDescent="0.25">
      <c r="A939" s="1" t="s">
        <v>24</v>
      </c>
      <c r="B939" s="1" t="s">
        <v>66</v>
      </c>
      <c r="C939" s="1" t="s">
        <v>10</v>
      </c>
      <c r="D939" s="1">
        <v>0</v>
      </c>
      <c r="E939" s="1">
        <v>-406.89</v>
      </c>
      <c r="F939" s="1">
        <v>0</v>
      </c>
      <c r="G939" s="1">
        <v>6713.6530000000002</v>
      </c>
      <c r="H939" s="1">
        <v>0</v>
      </c>
      <c r="I939" s="1">
        <v>-3616.7829999999999</v>
      </c>
    </row>
    <row r="940" spans="1:9" hidden="1" x14ac:dyDescent="0.25">
      <c r="A940" s="1" t="s">
        <v>24</v>
      </c>
      <c r="B940" s="1" t="s">
        <v>67</v>
      </c>
      <c r="C940" s="1" t="s">
        <v>25</v>
      </c>
      <c r="D940" s="1">
        <v>0</v>
      </c>
      <c r="E940" s="1">
        <v>-406.89</v>
      </c>
      <c r="F940" s="1">
        <v>0</v>
      </c>
      <c r="G940" s="1">
        <v>5492.9889999999996</v>
      </c>
      <c r="H940" s="1">
        <v>0</v>
      </c>
      <c r="I940" s="1">
        <v>-1989.231</v>
      </c>
    </row>
    <row r="941" spans="1:9" hidden="1" x14ac:dyDescent="0.25">
      <c r="A941" s="1" t="s">
        <v>24</v>
      </c>
      <c r="B941" s="1" t="s">
        <v>67</v>
      </c>
      <c r="C941" s="1" t="s">
        <v>10</v>
      </c>
      <c r="D941" s="1">
        <v>0</v>
      </c>
      <c r="E941" s="1">
        <v>-406.89</v>
      </c>
      <c r="F941" s="1">
        <v>0</v>
      </c>
      <c r="G941" s="1">
        <v>5492.9889999999996</v>
      </c>
      <c r="H941" s="1">
        <v>0</v>
      </c>
      <c r="I941" s="1">
        <v>-3616.7829999999999</v>
      </c>
    </row>
    <row r="942" spans="1:9" hidden="1" x14ac:dyDescent="0.25">
      <c r="A942" s="1" t="s">
        <v>24</v>
      </c>
      <c r="B942" s="1" t="s">
        <v>68</v>
      </c>
      <c r="C942" s="1" t="s">
        <v>25</v>
      </c>
      <c r="D942" s="1">
        <v>0</v>
      </c>
      <c r="E942" s="1">
        <v>406.89</v>
      </c>
      <c r="F942" s="1">
        <v>0</v>
      </c>
      <c r="G942" s="1">
        <v>-6713.6530000000002</v>
      </c>
      <c r="H942" s="1">
        <v>0</v>
      </c>
      <c r="I942" s="1">
        <v>1989.231</v>
      </c>
    </row>
    <row r="943" spans="1:9" hidden="1" x14ac:dyDescent="0.25">
      <c r="A943" s="1" t="s">
        <v>24</v>
      </c>
      <c r="B943" s="1" t="s">
        <v>68</v>
      </c>
      <c r="C943" s="1" t="s">
        <v>10</v>
      </c>
      <c r="D943" s="1">
        <v>0</v>
      </c>
      <c r="E943" s="1">
        <v>406.89</v>
      </c>
      <c r="F943" s="1">
        <v>0</v>
      </c>
      <c r="G943" s="1">
        <v>-6713.6530000000002</v>
      </c>
      <c r="H943" s="1">
        <v>0</v>
      </c>
      <c r="I943" s="1">
        <v>3616.7829999999999</v>
      </c>
    </row>
    <row r="944" spans="1:9" hidden="1" x14ac:dyDescent="0.25">
      <c r="A944" s="1" t="s">
        <v>24</v>
      </c>
      <c r="B944" s="1" t="s">
        <v>69</v>
      </c>
      <c r="C944" s="1" t="s">
        <v>25</v>
      </c>
      <c r="D944" s="1">
        <v>0</v>
      </c>
      <c r="E944" s="1">
        <v>406.89</v>
      </c>
      <c r="F944" s="1">
        <v>0</v>
      </c>
      <c r="G944" s="1">
        <v>-5492.9889999999996</v>
      </c>
      <c r="H944" s="1">
        <v>0</v>
      </c>
      <c r="I944" s="1">
        <v>1989.231</v>
      </c>
    </row>
    <row r="945" spans="1:9" hidden="1" x14ac:dyDescent="0.25">
      <c r="A945" s="1" t="s">
        <v>24</v>
      </c>
      <c r="B945" s="1" t="s">
        <v>69</v>
      </c>
      <c r="C945" s="1" t="s">
        <v>10</v>
      </c>
      <c r="D945" s="1">
        <v>0</v>
      </c>
      <c r="E945" s="1">
        <v>406.89</v>
      </c>
      <c r="F945" s="1">
        <v>0</v>
      </c>
      <c r="G945" s="1">
        <v>-5492.9889999999996</v>
      </c>
      <c r="H945" s="1">
        <v>0</v>
      </c>
      <c r="I945" s="1">
        <v>3616.7829999999999</v>
      </c>
    </row>
    <row r="946" spans="1:9" hidden="1" x14ac:dyDescent="0.25">
      <c r="A946" s="1" t="s">
        <v>24</v>
      </c>
      <c r="B946" s="1" t="s">
        <v>70</v>
      </c>
      <c r="C946" s="1" t="s">
        <v>25</v>
      </c>
      <c r="D946" s="1">
        <v>0</v>
      </c>
      <c r="E946" s="1">
        <v>0</v>
      </c>
      <c r="F946" s="1">
        <v>-491.83</v>
      </c>
      <c r="G946" s="1">
        <v>-9738.2049999999999</v>
      </c>
      <c r="H946" s="1">
        <v>2404.4949999999999</v>
      </c>
      <c r="I946" s="1">
        <v>0</v>
      </c>
    </row>
    <row r="947" spans="1:9" hidden="1" x14ac:dyDescent="0.25">
      <c r="A947" s="1" t="s">
        <v>24</v>
      </c>
      <c r="B947" s="1" t="s">
        <v>70</v>
      </c>
      <c r="C947" s="1" t="s">
        <v>10</v>
      </c>
      <c r="D947" s="1">
        <v>0</v>
      </c>
      <c r="E947" s="1">
        <v>0</v>
      </c>
      <c r="F947" s="1">
        <v>-491.83</v>
      </c>
      <c r="G947" s="1">
        <v>-9738.2049999999999</v>
      </c>
      <c r="H947" s="1">
        <v>4371.8090000000002</v>
      </c>
      <c r="I947" s="1">
        <v>0</v>
      </c>
    </row>
    <row r="948" spans="1:9" hidden="1" x14ac:dyDescent="0.25">
      <c r="A948" s="1" t="s">
        <v>24</v>
      </c>
      <c r="B948" s="1" t="s">
        <v>71</v>
      </c>
      <c r="C948" s="1" t="s">
        <v>25</v>
      </c>
      <c r="D948" s="1">
        <v>0</v>
      </c>
      <c r="E948" s="1">
        <v>0</v>
      </c>
      <c r="F948" s="1">
        <v>-491.83</v>
      </c>
      <c r="G948" s="1">
        <v>-7967.6229999999996</v>
      </c>
      <c r="H948" s="1">
        <v>2404.4949999999999</v>
      </c>
      <c r="I948" s="1">
        <v>0</v>
      </c>
    </row>
    <row r="949" spans="1:9" hidden="1" x14ac:dyDescent="0.25">
      <c r="A949" s="1" t="s">
        <v>24</v>
      </c>
      <c r="B949" s="1" t="s">
        <v>71</v>
      </c>
      <c r="C949" s="1" t="s">
        <v>10</v>
      </c>
      <c r="D949" s="1">
        <v>0</v>
      </c>
      <c r="E949" s="1">
        <v>0</v>
      </c>
      <c r="F949" s="1">
        <v>-491.83</v>
      </c>
      <c r="G949" s="1">
        <v>-7967.6229999999996</v>
      </c>
      <c r="H949" s="1">
        <v>4371.8090000000002</v>
      </c>
      <c r="I949" s="1">
        <v>0</v>
      </c>
    </row>
    <row r="950" spans="1:9" hidden="1" x14ac:dyDescent="0.25">
      <c r="A950" s="1" t="s">
        <v>24</v>
      </c>
      <c r="B950" s="1" t="s">
        <v>72</v>
      </c>
      <c r="C950" s="1" t="s">
        <v>25</v>
      </c>
      <c r="D950" s="1">
        <v>0</v>
      </c>
      <c r="E950" s="1">
        <v>0</v>
      </c>
      <c r="F950" s="1">
        <v>491.83</v>
      </c>
      <c r="G950" s="1">
        <v>9738.2049999999999</v>
      </c>
      <c r="H950" s="1">
        <v>-2404.4949999999999</v>
      </c>
      <c r="I950" s="1">
        <v>0</v>
      </c>
    </row>
    <row r="951" spans="1:9" hidden="1" x14ac:dyDescent="0.25">
      <c r="A951" s="1" t="s">
        <v>24</v>
      </c>
      <c r="B951" s="1" t="s">
        <v>72</v>
      </c>
      <c r="C951" s="1" t="s">
        <v>10</v>
      </c>
      <c r="D951" s="1">
        <v>0</v>
      </c>
      <c r="E951" s="1">
        <v>0</v>
      </c>
      <c r="F951" s="1">
        <v>491.83</v>
      </c>
      <c r="G951" s="1">
        <v>9738.2049999999999</v>
      </c>
      <c r="H951" s="1">
        <v>-4371.8090000000002</v>
      </c>
      <c r="I951" s="1">
        <v>0</v>
      </c>
    </row>
    <row r="952" spans="1:9" hidden="1" x14ac:dyDescent="0.25">
      <c r="A952" s="1" t="s">
        <v>24</v>
      </c>
      <c r="B952" s="1" t="s">
        <v>73</v>
      </c>
      <c r="C952" s="1" t="s">
        <v>25</v>
      </c>
      <c r="D952" s="1">
        <v>0</v>
      </c>
      <c r="E952" s="1">
        <v>0</v>
      </c>
      <c r="F952" s="1">
        <v>491.83</v>
      </c>
      <c r="G952" s="1">
        <v>7967.6229999999996</v>
      </c>
      <c r="H952" s="1">
        <v>-2404.4949999999999</v>
      </c>
      <c r="I952" s="1">
        <v>0</v>
      </c>
    </row>
    <row r="953" spans="1:9" hidden="1" x14ac:dyDescent="0.25">
      <c r="A953" s="1" t="s">
        <v>24</v>
      </c>
      <c r="B953" s="1" t="s">
        <v>73</v>
      </c>
      <c r="C953" s="1" t="s">
        <v>10</v>
      </c>
      <c r="D953" s="1">
        <v>0</v>
      </c>
      <c r="E953" s="1">
        <v>0</v>
      </c>
      <c r="F953" s="1">
        <v>491.83</v>
      </c>
      <c r="G953" s="1">
        <v>7967.6229999999996</v>
      </c>
      <c r="H953" s="1">
        <v>-4371.8090000000002</v>
      </c>
      <c r="I953" s="1">
        <v>0</v>
      </c>
    </row>
    <row r="954" spans="1:9" hidden="1" x14ac:dyDescent="0.25">
      <c r="A954" s="1" t="s">
        <v>24</v>
      </c>
      <c r="B954" s="1" t="s">
        <v>74</v>
      </c>
      <c r="C954" s="1" t="s">
        <v>25</v>
      </c>
      <c r="D954" s="1">
        <v>0</v>
      </c>
      <c r="E954" s="1">
        <v>-406.89</v>
      </c>
      <c r="F954" s="1">
        <v>0</v>
      </c>
      <c r="G954" s="1">
        <v>6713.6530000000002</v>
      </c>
      <c r="H954" s="1">
        <v>0</v>
      </c>
      <c r="I954" s="1">
        <v>-1989.231</v>
      </c>
    </row>
    <row r="955" spans="1:9" hidden="1" x14ac:dyDescent="0.25">
      <c r="A955" s="1" t="s">
        <v>24</v>
      </c>
      <c r="B955" s="1" t="s">
        <v>74</v>
      </c>
      <c r="C955" s="1" t="s">
        <v>10</v>
      </c>
      <c r="D955" s="1">
        <v>0</v>
      </c>
      <c r="E955" s="1">
        <v>-406.89</v>
      </c>
      <c r="F955" s="1">
        <v>0</v>
      </c>
      <c r="G955" s="1">
        <v>6713.6530000000002</v>
      </c>
      <c r="H955" s="1">
        <v>0</v>
      </c>
      <c r="I955" s="1">
        <v>-3616.7829999999999</v>
      </c>
    </row>
    <row r="956" spans="1:9" hidden="1" x14ac:dyDescent="0.25">
      <c r="A956" s="1" t="s">
        <v>24</v>
      </c>
      <c r="B956" s="1" t="s">
        <v>75</v>
      </c>
      <c r="C956" s="1" t="s">
        <v>25</v>
      </c>
      <c r="D956" s="1">
        <v>0</v>
      </c>
      <c r="E956" s="1">
        <v>-406.89</v>
      </c>
      <c r="F956" s="1">
        <v>0</v>
      </c>
      <c r="G956" s="1">
        <v>5492.9889999999996</v>
      </c>
      <c r="H956" s="1">
        <v>0</v>
      </c>
      <c r="I956" s="1">
        <v>-1989.231</v>
      </c>
    </row>
    <row r="957" spans="1:9" hidden="1" x14ac:dyDescent="0.25">
      <c r="A957" s="1" t="s">
        <v>24</v>
      </c>
      <c r="B957" s="1" t="s">
        <v>75</v>
      </c>
      <c r="C957" s="1" t="s">
        <v>10</v>
      </c>
      <c r="D957" s="1">
        <v>0</v>
      </c>
      <c r="E957" s="1">
        <v>-406.89</v>
      </c>
      <c r="F957" s="1">
        <v>0</v>
      </c>
      <c r="G957" s="1">
        <v>5492.9889999999996</v>
      </c>
      <c r="H957" s="1">
        <v>0</v>
      </c>
      <c r="I957" s="1">
        <v>-3616.7829999999999</v>
      </c>
    </row>
    <row r="958" spans="1:9" hidden="1" x14ac:dyDescent="0.25">
      <c r="A958" s="1" t="s">
        <v>24</v>
      </c>
      <c r="B958" s="1" t="s">
        <v>76</v>
      </c>
      <c r="C958" s="1" t="s">
        <v>25</v>
      </c>
      <c r="D958" s="1">
        <v>0</v>
      </c>
      <c r="E958" s="1">
        <v>406.89</v>
      </c>
      <c r="F958" s="1">
        <v>0</v>
      </c>
      <c r="G958" s="1">
        <v>-6713.6530000000002</v>
      </c>
      <c r="H958" s="1">
        <v>0</v>
      </c>
      <c r="I958" s="1">
        <v>1989.231</v>
      </c>
    </row>
    <row r="959" spans="1:9" hidden="1" x14ac:dyDescent="0.25">
      <c r="A959" s="1" t="s">
        <v>24</v>
      </c>
      <c r="B959" s="1" t="s">
        <v>76</v>
      </c>
      <c r="C959" s="1" t="s">
        <v>10</v>
      </c>
      <c r="D959" s="1">
        <v>0</v>
      </c>
      <c r="E959" s="1">
        <v>406.89</v>
      </c>
      <c r="F959" s="1">
        <v>0</v>
      </c>
      <c r="G959" s="1">
        <v>-6713.6530000000002</v>
      </c>
      <c r="H959" s="1">
        <v>0</v>
      </c>
      <c r="I959" s="1">
        <v>3616.7829999999999</v>
      </c>
    </row>
    <row r="960" spans="1:9" hidden="1" x14ac:dyDescent="0.25">
      <c r="A960" s="1" t="s">
        <v>24</v>
      </c>
      <c r="B960" s="1" t="s">
        <v>77</v>
      </c>
      <c r="C960" s="1" t="s">
        <v>25</v>
      </c>
      <c r="D960" s="1">
        <v>0</v>
      </c>
      <c r="E960" s="1">
        <v>406.89</v>
      </c>
      <c r="F960" s="1">
        <v>0</v>
      </c>
      <c r="G960" s="1">
        <v>-5492.9889999999996</v>
      </c>
      <c r="H960" s="1">
        <v>0</v>
      </c>
      <c r="I960" s="1">
        <v>1989.231</v>
      </c>
    </row>
    <row r="961" spans="1:9" hidden="1" x14ac:dyDescent="0.25">
      <c r="A961" s="1" t="s">
        <v>24</v>
      </c>
      <c r="B961" s="1" t="s">
        <v>77</v>
      </c>
      <c r="C961" s="1" t="s">
        <v>10</v>
      </c>
      <c r="D961" s="1">
        <v>0</v>
      </c>
      <c r="E961" s="1">
        <v>406.89</v>
      </c>
      <c r="F961" s="1">
        <v>0</v>
      </c>
      <c r="G961" s="1">
        <v>-5492.9889999999996</v>
      </c>
      <c r="H961" s="1">
        <v>0</v>
      </c>
      <c r="I961" s="1">
        <v>3616.7829999999999</v>
      </c>
    </row>
    <row r="962" spans="1:9" hidden="1" x14ac:dyDescent="0.25">
      <c r="A962" s="1" t="s">
        <v>24</v>
      </c>
      <c r="B962" s="1" t="s">
        <v>78</v>
      </c>
      <c r="C962" s="1" t="s">
        <v>25</v>
      </c>
      <c r="D962" s="1">
        <v>0</v>
      </c>
      <c r="E962" s="1">
        <v>0</v>
      </c>
      <c r="F962" s="1">
        <v>-491.83</v>
      </c>
      <c r="G962" s="1">
        <v>-9738.2049999999999</v>
      </c>
      <c r="H962" s="1">
        <v>2404.4949999999999</v>
      </c>
      <c r="I962" s="1">
        <v>0</v>
      </c>
    </row>
    <row r="963" spans="1:9" hidden="1" x14ac:dyDescent="0.25">
      <c r="A963" s="1" t="s">
        <v>24</v>
      </c>
      <c r="B963" s="1" t="s">
        <v>78</v>
      </c>
      <c r="C963" s="1" t="s">
        <v>10</v>
      </c>
      <c r="D963" s="1">
        <v>0</v>
      </c>
      <c r="E963" s="1">
        <v>0</v>
      </c>
      <c r="F963" s="1">
        <v>-491.83</v>
      </c>
      <c r="G963" s="1">
        <v>-9738.2049999999999</v>
      </c>
      <c r="H963" s="1">
        <v>4371.8090000000002</v>
      </c>
      <c r="I963" s="1">
        <v>0</v>
      </c>
    </row>
    <row r="964" spans="1:9" hidden="1" x14ac:dyDescent="0.25">
      <c r="A964" s="1" t="s">
        <v>24</v>
      </c>
      <c r="B964" s="1" t="s">
        <v>79</v>
      </c>
      <c r="C964" s="1" t="s">
        <v>25</v>
      </c>
      <c r="D964" s="1">
        <v>0</v>
      </c>
      <c r="E964" s="1">
        <v>0</v>
      </c>
      <c r="F964" s="1">
        <v>-491.83</v>
      </c>
      <c r="G964" s="1">
        <v>-7967.6229999999996</v>
      </c>
      <c r="H964" s="1">
        <v>2404.4949999999999</v>
      </c>
      <c r="I964" s="1">
        <v>0</v>
      </c>
    </row>
    <row r="965" spans="1:9" hidden="1" x14ac:dyDescent="0.25">
      <c r="A965" s="1" t="s">
        <v>24</v>
      </c>
      <c r="B965" s="1" t="s">
        <v>79</v>
      </c>
      <c r="C965" s="1" t="s">
        <v>10</v>
      </c>
      <c r="D965" s="1">
        <v>0</v>
      </c>
      <c r="E965" s="1">
        <v>0</v>
      </c>
      <c r="F965" s="1">
        <v>-491.83</v>
      </c>
      <c r="G965" s="1">
        <v>-7967.6229999999996</v>
      </c>
      <c r="H965" s="1">
        <v>4371.8090000000002</v>
      </c>
      <c r="I965" s="1">
        <v>0</v>
      </c>
    </row>
    <row r="966" spans="1:9" hidden="1" x14ac:dyDescent="0.25">
      <c r="A966" s="1" t="s">
        <v>24</v>
      </c>
      <c r="B966" s="1" t="s">
        <v>80</v>
      </c>
      <c r="C966" s="1" t="s">
        <v>25</v>
      </c>
      <c r="D966" s="1">
        <v>0</v>
      </c>
      <c r="E966" s="1">
        <v>0</v>
      </c>
      <c r="F966" s="1">
        <v>491.83</v>
      </c>
      <c r="G966" s="1">
        <v>9738.2049999999999</v>
      </c>
      <c r="H966" s="1">
        <v>-2404.4949999999999</v>
      </c>
      <c r="I966" s="1">
        <v>0</v>
      </c>
    </row>
    <row r="967" spans="1:9" hidden="1" x14ac:dyDescent="0.25">
      <c r="A967" s="1" t="s">
        <v>24</v>
      </c>
      <c r="B967" s="1" t="s">
        <v>80</v>
      </c>
      <c r="C967" s="1" t="s">
        <v>10</v>
      </c>
      <c r="D967" s="1">
        <v>0</v>
      </c>
      <c r="E967" s="1">
        <v>0</v>
      </c>
      <c r="F967" s="1">
        <v>491.83</v>
      </c>
      <c r="G967" s="1">
        <v>9738.2049999999999</v>
      </c>
      <c r="H967" s="1">
        <v>-4371.8090000000002</v>
      </c>
      <c r="I967" s="1">
        <v>0</v>
      </c>
    </row>
    <row r="968" spans="1:9" hidden="1" x14ac:dyDescent="0.25">
      <c r="A968" s="1" t="s">
        <v>24</v>
      </c>
      <c r="B968" s="1" t="s">
        <v>81</v>
      </c>
      <c r="C968" s="1" t="s">
        <v>25</v>
      </c>
      <c r="D968" s="1">
        <v>0</v>
      </c>
      <c r="E968" s="1">
        <v>0</v>
      </c>
      <c r="F968" s="1">
        <v>491.83</v>
      </c>
      <c r="G968" s="1">
        <v>7967.6229999999996</v>
      </c>
      <c r="H968" s="1">
        <v>-2404.4949999999999</v>
      </c>
      <c r="I968" s="1">
        <v>0</v>
      </c>
    </row>
    <row r="969" spans="1:9" hidden="1" x14ac:dyDescent="0.25">
      <c r="A969" s="1" t="s">
        <v>24</v>
      </c>
      <c r="B969" s="1" t="s">
        <v>81</v>
      </c>
      <c r="C969" s="1" t="s">
        <v>10</v>
      </c>
      <c r="D969" s="1">
        <v>0</v>
      </c>
      <c r="E969" s="1">
        <v>0</v>
      </c>
      <c r="F969" s="1">
        <v>491.83</v>
      </c>
      <c r="G969" s="1">
        <v>7967.6229999999996</v>
      </c>
      <c r="H969" s="1">
        <v>-4371.8090000000002</v>
      </c>
      <c r="I969" s="1">
        <v>0</v>
      </c>
    </row>
    <row r="970" spans="1:9" hidden="1" x14ac:dyDescent="0.25">
      <c r="A970" s="1" t="s">
        <v>24</v>
      </c>
      <c r="B970" s="1" t="s">
        <v>82</v>
      </c>
      <c r="C970" s="1" t="s">
        <v>25</v>
      </c>
      <c r="D970" s="1">
        <v>0</v>
      </c>
      <c r="E970" s="1">
        <v>-122.07</v>
      </c>
      <c r="F970" s="1">
        <v>0</v>
      </c>
      <c r="G970" s="1">
        <v>2014.096</v>
      </c>
      <c r="H970" s="1">
        <v>0</v>
      </c>
      <c r="I970" s="1">
        <v>-596.76900000000001</v>
      </c>
    </row>
    <row r="971" spans="1:9" hidden="1" x14ac:dyDescent="0.25">
      <c r="A971" s="1" t="s">
        <v>24</v>
      </c>
      <c r="B971" s="1" t="s">
        <v>82</v>
      </c>
      <c r="C971" s="1" t="s">
        <v>10</v>
      </c>
      <c r="D971" s="1">
        <v>0</v>
      </c>
      <c r="E971" s="1">
        <v>-122.07</v>
      </c>
      <c r="F971" s="1">
        <v>0</v>
      </c>
      <c r="G971" s="1">
        <v>2014.096</v>
      </c>
      <c r="H971" s="1">
        <v>0</v>
      </c>
      <c r="I971" s="1">
        <v>-1085.0350000000001</v>
      </c>
    </row>
    <row r="972" spans="1:9" hidden="1" x14ac:dyDescent="0.25">
      <c r="A972" s="1" t="s">
        <v>24</v>
      </c>
      <c r="B972" s="1" t="s">
        <v>83</v>
      </c>
      <c r="C972" s="1" t="s">
        <v>25</v>
      </c>
      <c r="D972" s="1">
        <v>0</v>
      </c>
      <c r="E972" s="1">
        <v>-122.07</v>
      </c>
      <c r="F972" s="1">
        <v>0</v>
      </c>
      <c r="G972" s="1">
        <v>1647.8969999999999</v>
      </c>
      <c r="H972" s="1">
        <v>0</v>
      </c>
      <c r="I972" s="1">
        <v>-596.76900000000001</v>
      </c>
    </row>
    <row r="973" spans="1:9" hidden="1" x14ac:dyDescent="0.25">
      <c r="A973" s="1" t="s">
        <v>24</v>
      </c>
      <c r="B973" s="1" t="s">
        <v>83</v>
      </c>
      <c r="C973" s="1" t="s">
        <v>10</v>
      </c>
      <c r="D973" s="1">
        <v>0</v>
      </c>
      <c r="E973" s="1">
        <v>-122.07</v>
      </c>
      <c r="F973" s="1">
        <v>0</v>
      </c>
      <c r="G973" s="1">
        <v>1647.8969999999999</v>
      </c>
      <c r="H973" s="1">
        <v>0</v>
      </c>
      <c r="I973" s="1">
        <v>-1085.0350000000001</v>
      </c>
    </row>
    <row r="974" spans="1:9" hidden="1" x14ac:dyDescent="0.25">
      <c r="A974" s="1" t="s">
        <v>24</v>
      </c>
      <c r="B974" s="1" t="s">
        <v>84</v>
      </c>
      <c r="C974" s="1" t="s">
        <v>25</v>
      </c>
      <c r="D974" s="1">
        <v>0</v>
      </c>
      <c r="E974" s="1">
        <v>122.07</v>
      </c>
      <c r="F974" s="1">
        <v>0</v>
      </c>
      <c r="G974" s="1">
        <v>-2014.096</v>
      </c>
      <c r="H974" s="1">
        <v>0</v>
      </c>
      <c r="I974" s="1">
        <v>596.76900000000001</v>
      </c>
    </row>
    <row r="975" spans="1:9" hidden="1" x14ac:dyDescent="0.25">
      <c r="A975" s="1" t="s">
        <v>24</v>
      </c>
      <c r="B975" s="1" t="s">
        <v>84</v>
      </c>
      <c r="C975" s="1" t="s">
        <v>10</v>
      </c>
      <c r="D975" s="1">
        <v>0</v>
      </c>
      <c r="E975" s="1">
        <v>122.07</v>
      </c>
      <c r="F975" s="1">
        <v>0</v>
      </c>
      <c r="G975" s="1">
        <v>-2014.096</v>
      </c>
      <c r="H975" s="1">
        <v>0</v>
      </c>
      <c r="I975" s="1">
        <v>1085.0350000000001</v>
      </c>
    </row>
    <row r="976" spans="1:9" hidden="1" x14ac:dyDescent="0.25">
      <c r="A976" s="1" t="s">
        <v>24</v>
      </c>
      <c r="B976" s="1" t="s">
        <v>85</v>
      </c>
      <c r="C976" s="1" t="s">
        <v>25</v>
      </c>
      <c r="D976" s="1">
        <v>0</v>
      </c>
      <c r="E976" s="1">
        <v>122.07</v>
      </c>
      <c r="F976" s="1">
        <v>0</v>
      </c>
      <c r="G976" s="1">
        <v>-1647.8969999999999</v>
      </c>
      <c r="H976" s="1">
        <v>0</v>
      </c>
      <c r="I976" s="1">
        <v>596.76900000000001</v>
      </c>
    </row>
    <row r="977" spans="1:9" hidden="1" x14ac:dyDescent="0.25">
      <c r="A977" s="1" t="s">
        <v>24</v>
      </c>
      <c r="B977" s="1" t="s">
        <v>85</v>
      </c>
      <c r="C977" s="1" t="s">
        <v>10</v>
      </c>
      <c r="D977" s="1">
        <v>0</v>
      </c>
      <c r="E977" s="1">
        <v>122.07</v>
      </c>
      <c r="F977" s="1">
        <v>0</v>
      </c>
      <c r="G977" s="1">
        <v>-1647.8969999999999</v>
      </c>
      <c r="H977" s="1">
        <v>0</v>
      </c>
      <c r="I977" s="1">
        <v>1085.0350000000001</v>
      </c>
    </row>
    <row r="978" spans="1:9" hidden="1" x14ac:dyDescent="0.25">
      <c r="A978" s="1" t="s">
        <v>24</v>
      </c>
      <c r="B978" s="1" t="s">
        <v>86</v>
      </c>
      <c r="C978" s="1" t="s">
        <v>25</v>
      </c>
      <c r="D978" s="1">
        <v>0</v>
      </c>
      <c r="E978" s="1">
        <v>0</v>
      </c>
      <c r="F978" s="1">
        <v>-147.55000000000001</v>
      </c>
      <c r="G978" s="1">
        <v>-2921.462</v>
      </c>
      <c r="H978" s="1">
        <v>721.34900000000005</v>
      </c>
      <c r="I978" s="1">
        <v>0</v>
      </c>
    </row>
    <row r="979" spans="1:9" hidden="1" x14ac:dyDescent="0.25">
      <c r="A979" s="1" t="s">
        <v>24</v>
      </c>
      <c r="B979" s="1" t="s">
        <v>86</v>
      </c>
      <c r="C979" s="1" t="s">
        <v>10</v>
      </c>
      <c r="D979" s="1">
        <v>0</v>
      </c>
      <c r="E979" s="1">
        <v>0</v>
      </c>
      <c r="F979" s="1">
        <v>-147.55000000000001</v>
      </c>
      <c r="G979" s="1">
        <v>-2921.462</v>
      </c>
      <c r="H979" s="1">
        <v>1311.5429999999999</v>
      </c>
      <c r="I979" s="1">
        <v>0</v>
      </c>
    </row>
    <row r="980" spans="1:9" hidden="1" x14ac:dyDescent="0.25">
      <c r="A980" s="1" t="s">
        <v>24</v>
      </c>
      <c r="B980" s="1" t="s">
        <v>87</v>
      </c>
      <c r="C980" s="1" t="s">
        <v>25</v>
      </c>
      <c r="D980" s="1">
        <v>0</v>
      </c>
      <c r="E980" s="1">
        <v>0</v>
      </c>
      <c r="F980" s="1">
        <v>-147.55000000000001</v>
      </c>
      <c r="G980" s="1">
        <v>-2390.2869999999998</v>
      </c>
      <c r="H980" s="1">
        <v>721.34900000000005</v>
      </c>
      <c r="I980" s="1">
        <v>0</v>
      </c>
    </row>
    <row r="981" spans="1:9" hidden="1" x14ac:dyDescent="0.25">
      <c r="A981" s="1" t="s">
        <v>24</v>
      </c>
      <c r="B981" s="1" t="s">
        <v>87</v>
      </c>
      <c r="C981" s="1" t="s">
        <v>10</v>
      </c>
      <c r="D981" s="1">
        <v>0</v>
      </c>
      <c r="E981" s="1">
        <v>0</v>
      </c>
      <c r="F981" s="1">
        <v>-147.55000000000001</v>
      </c>
      <c r="G981" s="1">
        <v>-2390.2869999999998</v>
      </c>
      <c r="H981" s="1">
        <v>1311.5429999999999</v>
      </c>
      <c r="I981" s="1">
        <v>0</v>
      </c>
    </row>
    <row r="982" spans="1:9" hidden="1" x14ac:dyDescent="0.25">
      <c r="A982" s="1" t="s">
        <v>24</v>
      </c>
      <c r="B982" s="1" t="s">
        <v>88</v>
      </c>
      <c r="C982" s="1" t="s">
        <v>25</v>
      </c>
      <c r="D982" s="1">
        <v>0</v>
      </c>
      <c r="E982" s="1">
        <v>0</v>
      </c>
      <c r="F982" s="1">
        <v>147.55000000000001</v>
      </c>
      <c r="G982" s="1">
        <v>2921.462</v>
      </c>
      <c r="H982" s="1">
        <v>-721.34900000000005</v>
      </c>
      <c r="I982" s="1">
        <v>0</v>
      </c>
    </row>
    <row r="983" spans="1:9" hidden="1" x14ac:dyDescent="0.25">
      <c r="A983" s="1" t="s">
        <v>24</v>
      </c>
      <c r="B983" s="1" t="s">
        <v>88</v>
      </c>
      <c r="C983" s="1" t="s">
        <v>10</v>
      </c>
      <c r="D983" s="1">
        <v>0</v>
      </c>
      <c r="E983" s="1">
        <v>0</v>
      </c>
      <c r="F983" s="1">
        <v>147.55000000000001</v>
      </c>
      <c r="G983" s="1">
        <v>2921.462</v>
      </c>
      <c r="H983" s="1">
        <v>-1311.5429999999999</v>
      </c>
      <c r="I983" s="1">
        <v>0</v>
      </c>
    </row>
    <row r="984" spans="1:9" hidden="1" x14ac:dyDescent="0.25">
      <c r="A984" s="1" t="s">
        <v>24</v>
      </c>
      <c r="B984" s="1" t="s">
        <v>89</v>
      </c>
      <c r="C984" s="1" t="s">
        <v>25</v>
      </c>
      <c r="D984" s="1">
        <v>0</v>
      </c>
      <c r="E984" s="1">
        <v>0</v>
      </c>
      <c r="F984" s="1">
        <v>147.55000000000001</v>
      </c>
      <c r="G984" s="1">
        <v>2390.2869999999998</v>
      </c>
      <c r="H984" s="1">
        <v>-721.34900000000005</v>
      </c>
      <c r="I984" s="1">
        <v>0</v>
      </c>
    </row>
    <row r="985" spans="1:9" hidden="1" x14ac:dyDescent="0.25">
      <c r="A985" s="1" t="s">
        <v>24</v>
      </c>
      <c r="B985" s="1" t="s">
        <v>89</v>
      </c>
      <c r="C985" s="1" t="s">
        <v>10</v>
      </c>
      <c r="D985" s="1">
        <v>0</v>
      </c>
      <c r="E985" s="1">
        <v>0</v>
      </c>
      <c r="F985" s="1">
        <v>147.55000000000001</v>
      </c>
      <c r="G985" s="1">
        <v>2390.2869999999998</v>
      </c>
      <c r="H985" s="1">
        <v>-1311.5429999999999</v>
      </c>
      <c r="I985" s="1">
        <v>0</v>
      </c>
    </row>
    <row r="986" spans="1:9" hidden="1" x14ac:dyDescent="0.25">
      <c r="A986" s="1" t="s">
        <v>24</v>
      </c>
      <c r="B986" s="1" t="s">
        <v>90</v>
      </c>
      <c r="C986" s="1" t="s">
        <v>25</v>
      </c>
      <c r="D986" s="1">
        <v>0</v>
      </c>
      <c r="E986" s="1">
        <v>-122.07</v>
      </c>
      <c r="F986" s="1">
        <v>0</v>
      </c>
      <c r="G986" s="1">
        <v>2014.096</v>
      </c>
      <c r="H986" s="1">
        <v>0</v>
      </c>
      <c r="I986" s="1">
        <v>-596.76900000000001</v>
      </c>
    </row>
    <row r="987" spans="1:9" hidden="1" x14ac:dyDescent="0.25">
      <c r="A987" s="1" t="s">
        <v>24</v>
      </c>
      <c r="B987" s="1" t="s">
        <v>90</v>
      </c>
      <c r="C987" s="1" t="s">
        <v>10</v>
      </c>
      <c r="D987" s="1">
        <v>0</v>
      </c>
      <c r="E987" s="1">
        <v>-122.07</v>
      </c>
      <c r="F987" s="1">
        <v>0</v>
      </c>
      <c r="G987" s="1">
        <v>2014.096</v>
      </c>
      <c r="H987" s="1">
        <v>0</v>
      </c>
      <c r="I987" s="1">
        <v>-1085.0350000000001</v>
      </c>
    </row>
    <row r="988" spans="1:9" hidden="1" x14ac:dyDescent="0.25">
      <c r="A988" s="1" t="s">
        <v>24</v>
      </c>
      <c r="B988" s="1" t="s">
        <v>91</v>
      </c>
      <c r="C988" s="1" t="s">
        <v>25</v>
      </c>
      <c r="D988" s="1">
        <v>0</v>
      </c>
      <c r="E988" s="1">
        <v>-122.07</v>
      </c>
      <c r="F988" s="1">
        <v>0</v>
      </c>
      <c r="G988" s="1">
        <v>1647.8969999999999</v>
      </c>
      <c r="H988" s="1">
        <v>0</v>
      </c>
      <c r="I988" s="1">
        <v>-596.76900000000001</v>
      </c>
    </row>
    <row r="989" spans="1:9" hidden="1" x14ac:dyDescent="0.25">
      <c r="A989" s="1" t="s">
        <v>24</v>
      </c>
      <c r="B989" s="1" t="s">
        <v>91</v>
      </c>
      <c r="C989" s="1" t="s">
        <v>10</v>
      </c>
      <c r="D989" s="1">
        <v>0</v>
      </c>
      <c r="E989" s="1">
        <v>-122.07</v>
      </c>
      <c r="F989" s="1">
        <v>0</v>
      </c>
      <c r="G989" s="1">
        <v>1647.8969999999999</v>
      </c>
      <c r="H989" s="1">
        <v>0</v>
      </c>
      <c r="I989" s="1">
        <v>-1085.0350000000001</v>
      </c>
    </row>
    <row r="990" spans="1:9" hidden="1" x14ac:dyDescent="0.25">
      <c r="A990" s="1" t="s">
        <v>24</v>
      </c>
      <c r="B990" s="1" t="s">
        <v>92</v>
      </c>
      <c r="C990" s="1" t="s">
        <v>25</v>
      </c>
      <c r="D990" s="1">
        <v>0</v>
      </c>
      <c r="E990" s="1">
        <v>122.07</v>
      </c>
      <c r="F990" s="1">
        <v>0</v>
      </c>
      <c r="G990" s="1">
        <v>-2014.096</v>
      </c>
      <c r="H990" s="1">
        <v>0</v>
      </c>
      <c r="I990" s="1">
        <v>596.76900000000001</v>
      </c>
    </row>
    <row r="991" spans="1:9" hidden="1" x14ac:dyDescent="0.25">
      <c r="A991" s="1" t="s">
        <v>24</v>
      </c>
      <c r="B991" s="1" t="s">
        <v>92</v>
      </c>
      <c r="C991" s="1" t="s">
        <v>10</v>
      </c>
      <c r="D991" s="1">
        <v>0</v>
      </c>
      <c r="E991" s="1">
        <v>122.07</v>
      </c>
      <c r="F991" s="1">
        <v>0</v>
      </c>
      <c r="G991" s="1">
        <v>-2014.096</v>
      </c>
      <c r="H991" s="1">
        <v>0</v>
      </c>
      <c r="I991" s="1">
        <v>1085.0350000000001</v>
      </c>
    </row>
    <row r="992" spans="1:9" hidden="1" x14ac:dyDescent="0.25">
      <c r="A992" s="1" t="s">
        <v>24</v>
      </c>
      <c r="B992" s="1" t="s">
        <v>93</v>
      </c>
      <c r="C992" s="1" t="s">
        <v>25</v>
      </c>
      <c r="D992" s="1">
        <v>0</v>
      </c>
      <c r="E992" s="1">
        <v>122.07</v>
      </c>
      <c r="F992" s="1">
        <v>0</v>
      </c>
      <c r="G992" s="1">
        <v>-1647.8969999999999</v>
      </c>
      <c r="H992" s="1">
        <v>0</v>
      </c>
      <c r="I992" s="1">
        <v>596.76900000000001</v>
      </c>
    </row>
    <row r="993" spans="1:9" hidden="1" x14ac:dyDescent="0.25">
      <c r="A993" s="1" t="s">
        <v>24</v>
      </c>
      <c r="B993" s="1" t="s">
        <v>93</v>
      </c>
      <c r="C993" s="1" t="s">
        <v>10</v>
      </c>
      <c r="D993" s="1">
        <v>0</v>
      </c>
      <c r="E993" s="1">
        <v>122.07</v>
      </c>
      <c r="F993" s="1">
        <v>0</v>
      </c>
      <c r="G993" s="1">
        <v>-1647.8969999999999</v>
      </c>
      <c r="H993" s="1">
        <v>0</v>
      </c>
      <c r="I993" s="1">
        <v>1085.0350000000001</v>
      </c>
    </row>
    <row r="994" spans="1:9" hidden="1" x14ac:dyDescent="0.25">
      <c r="A994" s="1" t="s">
        <v>24</v>
      </c>
      <c r="B994" s="1" t="s">
        <v>94</v>
      </c>
      <c r="C994" s="1" t="s">
        <v>25</v>
      </c>
      <c r="D994" s="1">
        <v>0</v>
      </c>
      <c r="E994" s="1">
        <v>0</v>
      </c>
      <c r="F994" s="1">
        <v>-147.55000000000001</v>
      </c>
      <c r="G994" s="1">
        <v>-2921.462</v>
      </c>
      <c r="H994" s="1">
        <v>721.34900000000005</v>
      </c>
      <c r="I994" s="1">
        <v>0</v>
      </c>
    </row>
    <row r="995" spans="1:9" hidden="1" x14ac:dyDescent="0.25">
      <c r="A995" s="1" t="s">
        <v>24</v>
      </c>
      <c r="B995" s="1" t="s">
        <v>94</v>
      </c>
      <c r="C995" s="1" t="s">
        <v>10</v>
      </c>
      <c r="D995" s="1">
        <v>0</v>
      </c>
      <c r="E995" s="1">
        <v>0</v>
      </c>
      <c r="F995" s="1">
        <v>-147.55000000000001</v>
      </c>
      <c r="G995" s="1">
        <v>-2921.462</v>
      </c>
      <c r="H995" s="1">
        <v>1311.5429999999999</v>
      </c>
      <c r="I995" s="1">
        <v>0</v>
      </c>
    </row>
    <row r="996" spans="1:9" hidden="1" x14ac:dyDescent="0.25">
      <c r="A996" s="1" t="s">
        <v>24</v>
      </c>
      <c r="B996" s="1" t="s">
        <v>95</v>
      </c>
      <c r="C996" s="1" t="s">
        <v>25</v>
      </c>
      <c r="D996" s="1">
        <v>0</v>
      </c>
      <c r="E996" s="1">
        <v>0</v>
      </c>
      <c r="F996" s="1">
        <v>-147.55000000000001</v>
      </c>
      <c r="G996" s="1">
        <v>-2390.2869999999998</v>
      </c>
      <c r="H996" s="1">
        <v>721.34900000000005</v>
      </c>
      <c r="I996" s="1">
        <v>0</v>
      </c>
    </row>
    <row r="997" spans="1:9" hidden="1" x14ac:dyDescent="0.25">
      <c r="A997" s="1" t="s">
        <v>24</v>
      </c>
      <c r="B997" s="1" t="s">
        <v>95</v>
      </c>
      <c r="C997" s="1" t="s">
        <v>10</v>
      </c>
      <c r="D997" s="1">
        <v>0</v>
      </c>
      <c r="E997" s="1">
        <v>0</v>
      </c>
      <c r="F997" s="1">
        <v>-147.55000000000001</v>
      </c>
      <c r="G997" s="1">
        <v>-2390.2869999999998</v>
      </c>
      <c r="H997" s="1">
        <v>1311.5429999999999</v>
      </c>
      <c r="I997" s="1">
        <v>0</v>
      </c>
    </row>
    <row r="998" spans="1:9" hidden="1" x14ac:dyDescent="0.25">
      <c r="A998" s="1" t="s">
        <v>24</v>
      </c>
      <c r="B998" s="1" t="s">
        <v>96</v>
      </c>
      <c r="C998" s="1" t="s">
        <v>25</v>
      </c>
      <c r="D998" s="1">
        <v>0</v>
      </c>
      <c r="E998" s="1">
        <v>0</v>
      </c>
      <c r="F998" s="1">
        <v>147.55000000000001</v>
      </c>
      <c r="G998" s="1">
        <v>2921.462</v>
      </c>
      <c r="H998" s="1">
        <v>-721.34900000000005</v>
      </c>
      <c r="I998" s="1">
        <v>0</v>
      </c>
    </row>
    <row r="999" spans="1:9" hidden="1" x14ac:dyDescent="0.25">
      <c r="A999" s="1" t="s">
        <v>24</v>
      </c>
      <c r="B999" s="1" t="s">
        <v>96</v>
      </c>
      <c r="C999" s="1" t="s">
        <v>10</v>
      </c>
      <c r="D999" s="1">
        <v>0</v>
      </c>
      <c r="E999" s="1">
        <v>0</v>
      </c>
      <c r="F999" s="1">
        <v>147.55000000000001</v>
      </c>
      <c r="G999" s="1">
        <v>2921.462</v>
      </c>
      <c r="H999" s="1">
        <v>-1311.5429999999999</v>
      </c>
      <c r="I999" s="1">
        <v>0</v>
      </c>
    </row>
    <row r="1000" spans="1:9" hidden="1" x14ac:dyDescent="0.25">
      <c r="A1000" s="1" t="s">
        <v>24</v>
      </c>
      <c r="B1000" s="1" t="s">
        <v>97</v>
      </c>
      <c r="C1000" s="1" t="s">
        <v>25</v>
      </c>
      <c r="D1000" s="1">
        <v>0</v>
      </c>
      <c r="E1000" s="1">
        <v>0</v>
      </c>
      <c r="F1000" s="1">
        <v>147.55000000000001</v>
      </c>
      <c r="G1000" s="1">
        <v>2390.2869999999998</v>
      </c>
      <c r="H1000" s="1">
        <v>-721.34900000000005</v>
      </c>
      <c r="I1000" s="1">
        <v>0</v>
      </c>
    </row>
    <row r="1001" spans="1:9" hidden="1" x14ac:dyDescent="0.25">
      <c r="A1001" s="1" t="s">
        <v>24</v>
      </c>
      <c r="B1001" s="1" t="s">
        <v>97</v>
      </c>
      <c r="C1001" s="1" t="s">
        <v>10</v>
      </c>
      <c r="D1001" s="1">
        <v>0</v>
      </c>
      <c r="E1001" s="1">
        <v>0</v>
      </c>
      <c r="F1001" s="1">
        <v>147.55000000000001</v>
      </c>
      <c r="G1001" s="1">
        <v>2390.2869999999998</v>
      </c>
      <c r="H1001" s="1">
        <v>-1311.5429999999999</v>
      </c>
      <c r="I1001" s="1">
        <v>0</v>
      </c>
    </row>
    <row r="1002" spans="1:9" hidden="1" x14ac:dyDescent="0.25">
      <c r="A1002" s="1" t="s">
        <v>24</v>
      </c>
      <c r="B1002" s="1" t="s">
        <v>14</v>
      </c>
      <c r="C1002" s="1" t="s">
        <v>25</v>
      </c>
      <c r="D1002" s="1">
        <v>0</v>
      </c>
      <c r="E1002" s="1">
        <v>239.45</v>
      </c>
      <c r="F1002" s="1">
        <v>0</v>
      </c>
      <c r="G1002" s="1">
        <v>4137.8370000000004</v>
      </c>
      <c r="H1002" s="1">
        <v>0</v>
      </c>
      <c r="I1002" s="1">
        <v>1271.7080000000001</v>
      </c>
    </row>
    <row r="1003" spans="1:9" hidden="1" x14ac:dyDescent="0.25">
      <c r="A1003" s="1" t="s">
        <v>24</v>
      </c>
      <c r="B1003" s="1" t="s">
        <v>14</v>
      </c>
      <c r="C1003" s="1" t="s">
        <v>10</v>
      </c>
      <c r="D1003" s="1">
        <v>0</v>
      </c>
      <c r="E1003" s="1">
        <v>239.45</v>
      </c>
      <c r="F1003" s="1">
        <v>0</v>
      </c>
      <c r="G1003" s="1">
        <v>4137.8370000000004</v>
      </c>
      <c r="H1003" s="1">
        <v>0</v>
      </c>
      <c r="I1003" s="1">
        <v>2110.34</v>
      </c>
    </row>
    <row r="1004" spans="1:9" hidden="1" x14ac:dyDescent="0.25">
      <c r="A1004" s="1" t="s">
        <v>24</v>
      </c>
      <c r="B1004" s="1" t="s">
        <v>98</v>
      </c>
      <c r="C1004" s="1" t="s">
        <v>25</v>
      </c>
      <c r="D1004" s="1">
        <v>0</v>
      </c>
      <c r="E1004" s="1">
        <v>-239.45</v>
      </c>
      <c r="F1004" s="1">
        <v>0</v>
      </c>
      <c r="G1004" s="1">
        <v>-4137.8370000000004</v>
      </c>
      <c r="H1004" s="1">
        <v>0</v>
      </c>
      <c r="I1004" s="1">
        <v>-1271.7080000000001</v>
      </c>
    </row>
    <row r="1005" spans="1:9" hidden="1" x14ac:dyDescent="0.25">
      <c r="A1005" s="1" t="s">
        <v>24</v>
      </c>
      <c r="B1005" s="1" t="s">
        <v>98</v>
      </c>
      <c r="C1005" s="1" t="s">
        <v>10</v>
      </c>
      <c r="D1005" s="1">
        <v>0</v>
      </c>
      <c r="E1005" s="1">
        <v>-239.45</v>
      </c>
      <c r="F1005" s="1">
        <v>0</v>
      </c>
      <c r="G1005" s="1">
        <v>-4137.8370000000004</v>
      </c>
      <c r="H1005" s="1">
        <v>0</v>
      </c>
      <c r="I1005" s="1">
        <v>-2110.34</v>
      </c>
    </row>
    <row r="1006" spans="1:9" hidden="1" x14ac:dyDescent="0.25">
      <c r="A1006" s="1" t="s">
        <v>24</v>
      </c>
      <c r="B1006" s="1" t="s">
        <v>15</v>
      </c>
      <c r="C1006" s="1" t="s">
        <v>25</v>
      </c>
      <c r="D1006" s="1">
        <v>0</v>
      </c>
      <c r="E1006" s="1">
        <v>0</v>
      </c>
      <c r="F1006" s="1">
        <v>604.76</v>
      </c>
      <c r="G1006" s="1">
        <v>12115.743</v>
      </c>
      <c r="H1006" s="1">
        <v>3071.299</v>
      </c>
      <c r="I1006" s="1">
        <v>0</v>
      </c>
    </row>
    <row r="1007" spans="1:9" hidden="1" x14ac:dyDescent="0.25">
      <c r="A1007" s="1" t="s">
        <v>24</v>
      </c>
      <c r="B1007" s="1" t="s">
        <v>15</v>
      </c>
      <c r="C1007" s="1" t="s">
        <v>10</v>
      </c>
      <c r="D1007" s="1">
        <v>0</v>
      </c>
      <c r="E1007" s="1">
        <v>0</v>
      </c>
      <c r="F1007" s="1">
        <v>604.76</v>
      </c>
      <c r="G1007" s="1">
        <v>12115.743</v>
      </c>
      <c r="H1007" s="1">
        <v>5424.0720000000001</v>
      </c>
      <c r="I1007" s="1">
        <v>0</v>
      </c>
    </row>
    <row r="1008" spans="1:9" hidden="1" x14ac:dyDescent="0.25">
      <c r="A1008" s="1" t="s">
        <v>24</v>
      </c>
      <c r="B1008" s="1" t="s">
        <v>99</v>
      </c>
      <c r="C1008" s="1" t="s">
        <v>25</v>
      </c>
      <c r="D1008" s="1">
        <v>0</v>
      </c>
      <c r="E1008" s="1">
        <v>0</v>
      </c>
      <c r="F1008" s="1">
        <v>-604.76</v>
      </c>
      <c r="G1008" s="1">
        <v>-12115.743</v>
      </c>
      <c r="H1008" s="1">
        <v>-3071.299</v>
      </c>
      <c r="I1008" s="1">
        <v>0</v>
      </c>
    </row>
    <row r="1009" spans="1:9" hidden="1" x14ac:dyDescent="0.25">
      <c r="A1009" s="1" t="s">
        <v>24</v>
      </c>
      <c r="B1009" s="1" t="s">
        <v>99</v>
      </c>
      <c r="C1009" s="1" t="s">
        <v>10</v>
      </c>
      <c r="D1009" s="1">
        <v>0</v>
      </c>
      <c r="E1009" s="1">
        <v>0</v>
      </c>
      <c r="F1009" s="1">
        <v>-604.76</v>
      </c>
      <c r="G1009" s="1">
        <v>-12115.743</v>
      </c>
      <c r="H1009" s="1">
        <v>-5424.0720000000001</v>
      </c>
      <c r="I1009" s="1">
        <v>0</v>
      </c>
    </row>
    <row r="1010" spans="1:9" hidden="1" x14ac:dyDescent="0.25">
      <c r="A1010" s="1" t="s">
        <v>24</v>
      </c>
      <c r="B1010" s="1" t="s">
        <v>100</v>
      </c>
      <c r="C1010" s="1" t="s">
        <v>25</v>
      </c>
      <c r="D1010" s="1">
        <v>0</v>
      </c>
      <c r="E1010" s="1">
        <v>239.45</v>
      </c>
      <c r="F1010" s="1">
        <v>0</v>
      </c>
      <c r="G1010" s="1">
        <v>4137.8370000000004</v>
      </c>
      <c r="H1010" s="1">
        <v>0</v>
      </c>
      <c r="I1010" s="1">
        <v>1271.7080000000001</v>
      </c>
    </row>
    <row r="1011" spans="1:9" hidden="1" x14ac:dyDescent="0.25">
      <c r="A1011" s="1" t="s">
        <v>24</v>
      </c>
      <c r="B1011" s="1" t="s">
        <v>100</v>
      </c>
      <c r="C1011" s="1" t="s">
        <v>10</v>
      </c>
      <c r="D1011" s="1">
        <v>0</v>
      </c>
      <c r="E1011" s="1">
        <v>239.45</v>
      </c>
      <c r="F1011" s="1">
        <v>0</v>
      </c>
      <c r="G1011" s="1">
        <v>4137.8370000000004</v>
      </c>
      <c r="H1011" s="1">
        <v>0</v>
      </c>
      <c r="I1011" s="1">
        <v>2110.34</v>
      </c>
    </row>
    <row r="1012" spans="1:9" hidden="1" x14ac:dyDescent="0.25">
      <c r="A1012" s="1" t="s">
        <v>24</v>
      </c>
      <c r="B1012" s="1" t="s">
        <v>101</v>
      </c>
      <c r="C1012" s="1" t="s">
        <v>25</v>
      </c>
      <c r="D1012" s="1">
        <v>0</v>
      </c>
      <c r="E1012" s="1">
        <v>-239.45</v>
      </c>
      <c r="F1012" s="1">
        <v>0</v>
      </c>
      <c r="G1012" s="1">
        <v>-4137.8370000000004</v>
      </c>
      <c r="H1012" s="1">
        <v>0</v>
      </c>
      <c r="I1012" s="1">
        <v>-1271.7080000000001</v>
      </c>
    </row>
    <row r="1013" spans="1:9" hidden="1" x14ac:dyDescent="0.25">
      <c r="A1013" s="1" t="s">
        <v>24</v>
      </c>
      <c r="B1013" s="1" t="s">
        <v>101</v>
      </c>
      <c r="C1013" s="1" t="s">
        <v>10</v>
      </c>
      <c r="D1013" s="1">
        <v>0</v>
      </c>
      <c r="E1013" s="1">
        <v>-239.45</v>
      </c>
      <c r="F1013" s="1">
        <v>0</v>
      </c>
      <c r="G1013" s="1">
        <v>-4137.8370000000004</v>
      </c>
      <c r="H1013" s="1">
        <v>0</v>
      </c>
      <c r="I1013" s="1">
        <v>-2110.34</v>
      </c>
    </row>
    <row r="1014" spans="1:9" hidden="1" x14ac:dyDescent="0.25">
      <c r="A1014" s="1" t="s">
        <v>24</v>
      </c>
      <c r="B1014" s="1" t="s">
        <v>102</v>
      </c>
      <c r="C1014" s="1" t="s">
        <v>25</v>
      </c>
      <c r="D1014" s="1">
        <v>0</v>
      </c>
      <c r="E1014" s="1">
        <v>239.45</v>
      </c>
      <c r="F1014" s="1">
        <v>0</v>
      </c>
      <c r="G1014" s="1">
        <v>4137.8370000000004</v>
      </c>
      <c r="H1014" s="1">
        <v>0</v>
      </c>
      <c r="I1014" s="1">
        <v>1271.7080000000001</v>
      </c>
    </row>
    <row r="1015" spans="1:9" hidden="1" x14ac:dyDescent="0.25">
      <c r="A1015" s="1" t="s">
        <v>24</v>
      </c>
      <c r="B1015" s="1" t="s">
        <v>102</v>
      </c>
      <c r="C1015" s="1" t="s">
        <v>10</v>
      </c>
      <c r="D1015" s="1">
        <v>0</v>
      </c>
      <c r="E1015" s="1">
        <v>239.45</v>
      </c>
      <c r="F1015" s="1">
        <v>0</v>
      </c>
      <c r="G1015" s="1">
        <v>4137.8370000000004</v>
      </c>
      <c r="H1015" s="1">
        <v>0</v>
      </c>
      <c r="I1015" s="1">
        <v>2110.34</v>
      </c>
    </row>
    <row r="1016" spans="1:9" hidden="1" x14ac:dyDescent="0.25">
      <c r="A1016" s="1" t="s">
        <v>24</v>
      </c>
      <c r="B1016" s="1" t="s">
        <v>103</v>
      </c>
      <c r="C1016" s="1" t="s">
        <v>25</v>
      </c>
      <c r="D1016" s="1">
        <v>0</v>
      </c>
      <c r="E1016" s="1">
        <v>-239.45</v>
      </c>
      <c r="F1016" s="1">
        <v>0</v>
      </c>
      <c r="G1016" s="1">
        <v>-4137.8370000000004</v>
      </c>
      <c r="H1016" s="1">
        <v>0</v>
      </c>
      <c r="I1016" s="1">
        <v>-1271.7080000000001</v>
      </c>
    </row>
    <row r="1017" spans="1:9" hidden="1" x14ac:dyDescent="0.25">
      <c r="A1017" s="1" t="s">
        <v>24</v>
      </c>
      <c r="B1017" s="1" t="s">
        <v>103</v>
      </c>
      <c r="C1017" s="1" t="s">
        <v>10</v>
      </c>
      <c r="D1017" s="1">
        <v>0</v>
      </c>
      <c r="E1017" s="1">
        <v>-239.45</v>
      </c>
      <c r="F1017" s="1">
        <v>0</v>
      </c>
      <c r="G1017" s="1">
        <v>-4137.8370000000004</v>
      </c>
      <c r="H1017" s="1">
        <v>0</v>
      </c>
      <c r="I1017" s="1">
        <v>-2110.34</v>
      </c>
    </row>
    <row r="1018" spans="1:9" hidden="1" x14ac:dyDescent="0.25">
      <c r="A1018" s="1" t="s">
        <v>24</v>
      </c>
      <c r="B1018" s="1" t="s">
        <v>104</v>
      </c>
      <c r="C1018" s="1" t="s">
        <v>25</v>
      </c>
      <c r="D1018" s="1">
        <v>0</v>
      </c>
      <c r="E1018" s="1">
        <v>0</v>
      </c>
      <c r="F1018" s="1">
        <v>604.76</v>
      </c>
      <c r="G1018" s="1">
        <v>12115.743</v>
      </c>
      <c r="H1018" s="1">
        <v>3071.299</v>
      </c>
      <c r="I1018" s="1">
        <v>0</v>
      </c>
    </row>
    <row r="1019" spans="1:9" hidden="1" x14ac:dyDescent="0.25">
      <c r="A1019" s="1" t="s">
        <v>24</v>
      </c>
      <c r="B1019" s="1" t="s">
        <v>104</v>
      </c>
      <c r="C1019" s="1" t="s">
        <v>10</v>
      </c>
      <c r="D1019" s="1">
        <v>0</v>
      </c>
      <c r="E1019" s="1">
        <v>0</v>
      </c>
      <c r="F1019" s="1">
        <v>604.76</v>
      </c>
      <c r="G1019" s="1">
        <v>12115.743</v>
      </c>
      <c r="H1019" s="1">
        <v>5424.0720000000001</v>
      </c>
      <c r="I1019" s="1">
        <v>0</v>
      </c>
    </row>
    <row r="1020" spans="1:9" hidden="1" x14ac:dyDescent="0.25">
      <c r="A1020" s="1" t="s">
        <v>24</v>
      </c>
      <c r="B1020" s="1" t="s">
        <v>105</v>
      </c>
      <c r="C1020" s="1" t="s">
        <v>25</v>
      </c>
      <c r="D1020" s="1">
        <v>0</v>
      </c>
      <c r="E1020" s="1">
        <v>0</v>
      </c>
      <c r="F1020" s="1">
        <v>-604.76</v>
      </c>
      <c r="G1020" s="1">
        <v>-12115.743</v>
      </c>
      <c r="H1020" s="1">
        <v>-3071.299</v>
      </c>
      <c r="I1020" s="1">
        <v>0</v>
      </c>
    </row>
    <row r="1021" spans="1:9" hidden="1" x14ac:dyDescent="0.25">
      <c r="A1021" s="1" t="s">
        <v>24</v>
      </c>
      <c r="B1021" s="1" t="s">
        <v>105</v>
      </c>
      <c r="C1021" s="1" t="s">
        <v>10</v>
      </c>
      <c r="D1021" s="1">
        <v>0</v>
      </c>
      <c r="E1021" s="1">
        <v>0</v>
      </c>
      <c r="F1021" s="1">
        <v>-604.76</v>
      </c>
      <c r="G1021" s="1">
        <v>-12115.743</v>
      </c>
      <c r="H1021" s="1">
        <v>-5424.0720000000001</v>
      </c>
      <c r="I1021" s="1">
        <v>0</v>
      </c>
    </row>
    <row r="1022" spans="1:9" hidden="1" x14ac:dyDescent="0.25">
      <c r="A1022" s="1" t="s">
        <v>24</v>
      </c>
      <c r="B1022" s="1" t="s">
        <v>106</v>
      </c>
      <c r="C1022" s="1" t="s">
        <v>25</v>
      </c>
      <c r="D1022" s="1">
        <v>0</v>
      </c>
      <c r="E1022" s="1">
        <v>0</v>
      </c>
      <c r="F1022" s="1">
        <v>604.76</v>
      </c>
      <c r="G1022" s="1">
        <v>12115.743</v>
      </c>
      <c r="H1022" s="1">
        <v>3071.299</v>
      </c>
      <c r="I1022" s="1">
        <v>0</v>
      </c>
    </row>
    <row r="1023" spans="1:9" hidden="1" x14ac:dyDescent="0.25">
      <c r="A1023" s="1" t="s">
        <v>24</v>
      </c>
      <c r="B1023" s="1" t="s">
        <v>106</v>
      </c>
      <c r="C1023" s="1" t="s">
        <v>10</v>
      </c>
      <c r="D1023" s="1">
        <v>0</v>
      </c>
      <c r="E1023" s="1">
        <v>0</v>
      </c>
      <c r="F1023" s="1">
        <v>604.76</v>
      </c>
      <c r="G1023" s="1">
        <v>12115.743</v>
      </c>
      <c r="H1023" s="1">
        <v>5424.0720000000001</v>
      </c>
      <c r="I1023" s="1">
        <v>0</v>
      </c>
    </row>
    <row r="1024" spans="1:9" hidden="1" x14ac:dyDescent="0.25">
      <c r="A1024" s="1" t="s">
        <v>24</v>
      </c>
      <c r="B1024" s="1" t="s">
        <v>107</v>
      </c>
      <c r="C1024" s="1" t="s">
        <v>25</v>
      </c>
      <c r="D1024" s="1">
        <v>0</v>
      </c>
      <c r="E1024" s="1">
        <v>0</v>
      </c>
      <c r="F1024" s="1">
        <v>-604.76</v>
      </c>
      <c r="G1024" s="1">
        <v>-12115.743</v>
      </c>
      <c r="H1024" s="1">
        <v>-3071.299</v>
      </c>
      <c r="I1024" s="1">
        <v>0</v>
      </c>
    </row>
    <row r="1025" spans="1:9" hidden="1" x14ac:dyDescent="0.25">
      <c r="A1025" s="1" t="s">
        <v>24</v>
      </c>
      <c r="B1025" s="1" t="s">
        <v>107</v>
      </c>
      <c r="C1025" s="1" t="s">
        <v>10</v>
      </c>
      <c r="D1025" s="1">
        <v>0</v>
      </c>
      <c r="E1025" s="1">
        <v>0</v>
      </c>
      <c r="F1025" s="1">
        <v>-604.76</v>
      </c>
      <c r="G1025" s="1">
        <v>-12115.743</v>
      </c>
      <c r="H1025" s="1">
        <v>-5424.0720000000001</v>
      </c>
      <c r="I1025" s="1">
        <v>0</v>
      </c>
    </row>
    <row r="1026" spans="1:9" hidden="1" x14ac:dyDescent="0.25">
      <c r="A1026" s="1" t="s">
        <v>24</v>
      </c>
      <c r="B1026" s="1" t="s">
        <v>108</v>
      </c>
      <c r="C1026" s="1" t="s">
        <v>25</v>
      </c>
      <c r="D1026" s="1">
        <v>0</v>
      </c>
      <c r="E1026" s="1">
        <v>71.84</v>
      </c>
      <c r="F1026" s="1">
        <v>0</v>
      </c>
      <c r="G1026" s="1">
        <v>1241.3510000000001</v>
      </c>
      <c r="H1026" s="1">
        <v>0</v>
      </c>
      <c r="I1026" s="1">
        <v>381.512</v>
      </c>
    </row>
    <row r="1027" spans="1:9" hidden="1" x14ac:dyDescent="0.25">
      <c r="A1027" s="1" t="s">
        <v>24</v>
      </c>
      <c r="B1027" s="1" t="s">
        <v>108</v>
      </c>
      <c r="C1027" s="1" t="s">
        <v>10</v>
      </c>
      <c r="D1027" s="1">
        <v>0</v>
      </c>
      <c r="E1027" s="1">
        <v>71.84</v>
      </c>
      <c r="F1027" s="1">
        <v>0</v>
      </c>
      <c r="G1027" s="1">
        <v>1241.3510000000001</v>
      </c>
      <c r="H1027" s="1">
        <v>0</v>
      </c>
      <c r="I1027" s="1">
        <v>633.10199999999998</v>
      </c>
    </row>
    <row r="1028" spans="1:9" hidden="1" x14ac:dyDescent="0.25">
      <c r="A1028" s="1" t="s">
        <v>24</v>
      </c>
      <c r="B1028" s="1" t="s">
        <v>109</v>
      </c>
      <c r="C1028" s="1" t="s">
        <v>25</v>
      </c>
      <c r="D1028" s="1">
        <v>0</v>
      </c>
      <c r="E1028" s="1">
        <v>-71.84</v>
      </c>
      <c r="F1028" s="1">
        <v>0</v>
      </c>
      <c r="G1028" s="1">
        <v>-1241.3510000000001</v>
      </c>
      <c r="H1028" s="1">
        <v>0</v>
      </c>
      <c r="I1028" s="1">
        <v>-381.512</v>
      </c>
    </row>
    <row r="1029" spans="1:9" hidden="1" x14ac:dyDescent="0.25">
      <c r="A1029" s="1" t="s">
        <v>24</v>
      </c>
      <c r="B1029" s="1" t="s">
        <v>109</v>
      </c>
      <c r="C1029" s="1" t="s">
        <v>10</v>
      </c>
      <c r="D1029" s="1">
        <v>0</v>
      </c>
      <c r="E1029" s="1">
        <v>-71.84</v>
      </c>
      <c r="F1029" s="1">
        <v>0</v>
      </c>
      <c r="G1029" s="1">
        <v>-1241.3510000000001</v>
      </c>
      <c r="H1029" s="1">
        <v>0</v>
      </c>
      <c r="I1029" s="1">
        <v>-633.10199999999998</v>
      </c>
    </row>
    <row r="1030" spans="1:9" hidden="1" x14ac:dyDescent="0.25">
      <c r="A1030" s="1" t="s">
        <v>24</v>
      </c>
      <c r="B1030" s="1" t="s">
        <v>110</v>
      </c>
      <c r="C1030" s="1" t="s">
        <v>25</v>
      </c>
      <c r="D1030" s="1">
        <v>0</v>
      </c>
      <c r="E1030" s="1">
        <v>71.84</v>
      </c>
      <c r="F1030" s="1">
        <v>0</v>
      </c>
      <c r="G1030" s="1">
        <v>1241.3510000000001</v>
      </c>
      <c r="H1030" s="1">
        <v>0</v>
      </c>
      <c r="I1030" s="1">
        <v>381.512</v>
      </c>
    </row>
    <row r="1031" spans="1:9" hidden="1" x14ac:dyDescent="0.25">
      <c r="A1031" s="1" t="s">
        <v>24</v>
      </c>
      <c r="B1031" s="1" t="s">
        <v>110</v>
      </c>
      <c r="C1031" s="1" t="s">
        <v>10</v>
      </c>
      <c r="D1031" s="1">
        <v>0</v>
      </c>
      <c r="E1031" s="1">
        <v>71.84</v>
      </c>
      <c r="F1031" s="1">
        <v>0</v>
      </c>
      <c r="G1031" s="1">
        <v>1241.3510000000001</v>
      </c>
      <c r="H1031" s="1">
        <v>0</v>
      </c>
      <c r="I1031" s="1">
        <v>633.10199999999998</v>
      </c>
    </row>
    <row r="1032" spans="1:9" hidden="1" x14ac:dyDescent="0.25">
      <c r="A1032" s="1" t="s">
        <v>24</v>
      </c>
      <c r="B1032" s="1" t="s">
        <v>111</v>
      </c>
      <c r="C1032" s="1" t="s">
        <v>25</v>
      </c>
      <c r="D1032" s="1">
        <v>0</v>
      </c>
      <c r="E1032" s="1">
        <v>-71.84</v>
      </c>
      <c r="F1032" s="1">
        <v>0</v>
      </c>
      <c r="G1032" s="1">
        <v>-1241.3510000000001</v>
      </c>
      <c r="H1032" s="1">
        <v>0</v>
      </c>
      <c r="I1032" s="1">
        <v>-381.512</v>
      </c>
    </row>
    <row r="1033" spans="1:9" hidden="1" x14ac:dyDescent="0.25">
      <c r="A1033" s="1" t="s">
        <v>24</v>
      </c>
      <c r="B1033" s="1" t="s">
        <v>111</v>
      </c>
      <c r="C1033" s="1" t="s">
        <v>10</v>
      </c>
      <c r="D1033" s="1">
        <v>0</v>
      </c>
      <c r="E1033" s="1">
        <v>-71.84</v>
      </c>
      <c r="F1033" s="1">
        <v>0</v>
      </c>
      <c r="G1033" s="1">
        <v>-1241.3510000000001</v>
      </c>
      <c r="H1033" s="1">
        <v>0</v>
      </c>
      <c r="I1033" s="1">
        <v>-633.10199999999998</v>
      </c>
    </row>
    <row r="1034" spans="1:9" hidden="1" x14ac:dyDescent="0.25">
      <c r="A1034" s="1" t="s">
        <v>24</v>
      </c>
      <c r="B1034" s="1" t="s">
        <v>112</v>
      </c>
      <c r="C1034" s="1" t="s">
        <v>25</v>
      </c>
      <c r="D1034" s="1">
        <v>0</v>
      </c>
      <c r="E1034" s="1">
        <v>0</v>
      </c>
      <c r="F1034" s="1">
        <v>181.43</v>
      </c>
      <c r="G1034" s="1">
        <v>3634.723</v>
      </c>
      <c r="H1034" s="1">
        <v>921.39</v>
      </c>
      <c r="I1034" s="1">
        <v>0</v>
      </c>
    </row>
    <row r="1035" spans="1:9" hidden="1" x14ac:dyDescent="0.25">
      <c r="A1035" s="1" t="s">
        <v>24</v>
      </c>
      <c r="B1035" s="1" t="s">
        <v>112</v>
      </c>
      <c r="C1035" s="1" t="s">
        <v>10</v>
      </c>
      <c r="D1035" s="1">
        <v>0</v>
      </c>
      <c r="E1035" s="1">
        <v>0</v>
      </c>
      <c r="F1035" s="1">
        <v>181.43</v>
      </c>
      <c r="G1035" s="1">
        <v>3634.723</v>
      </c>
      <c r="H1035" s="1">
        <v>1627.222</v>
      </c>
      <c r="I1035" s="1">
        <v>0</v>
      </c>
    </row>
    <row r="1036" spans="1:9" hidden="1" x14ac:dyDescent="0.25">
      <c r="A1036" s="1" t="s">
        <v>24</v>
      </c>
      <c r="B1036" s="1" t="s">
        <v>113</v>
      </c>
      <c r="C1036" s="1" t="s">
        <v>25</v>
      </c>
      <c r="D1036" s="1">
        <v>0</v>
      </c>
      <c r="E1036" s="1">
        <v>0</v>
      </c>
      <c r="F1036" s="1">
        <v>-181.43</v>
      </c>
      <c r="G1036" s="1">
        <v>-3634.723</v>
      </c>
      <c r="H1036" s="1">
        <v>-921.39</v>
      </c>
      <c r="I1036" s="1">
        <v>0</v>
      </c>
    </row>
    <row r="1037" spans="1:9" hidden="1" x14ac:dyDescent="0.25">
      <c r="A1037" s="1" t="s">
        <v>24</v>
      </c>
      <c r="B1037" s="1" t="s">
        <v>113</v>
      </c>
      <c r="C1037" s="1" t="s">
        <v>10</v>
      </c>
      <c r="D1037" s="1">
        <v>0</v>
      </c>
      <c r="E1037" s="1">
        <v>0</v>
      </c>
      <c r="F1037" s="1">
        <v>-181.43</v>
      </c>
      <c r="G1037" s="1">
        <v>-3634.723</v>
      </c>
      <c r="H1037" s="1">
        <v>-1627.222</v>
      </c>
      <c r="I1037" s="1">
        <v>0</v>
      </c>
    </row>
    <row r="1038" spans="1:9" hidden="1" x14ac:dyDescent="0.25">
      <c r="A1038" s="1" t="s">
        <v>24</v>
      </c>
      <c r="B1038" s="1" t="s">
        <v>114</v>
      </c>
      <c r="C1038" s="1" t="s">
        <v>25</v>
      </c>
      <c r="D1038" s="1">
        <v>0</v>
      </c>
      <c r="E1038" s="1">
        <v>0</v>
      </c>
      <c r="F1038" s="1">
        <v>181.43</v>
      </c>
      <c r="G1038" s="1">
        <v>3634.723</v>
      </c>
      <c r="H1038" s="1">
        <v>921.39</v>
      </c>
      <c r="I1038" s="1">
        <v>0</v>
      </c>
    </row>
    <row r="1039" spans="1:9" hidden="1" x14ac:dyDescent="0.25">
      <c r="A1039" s="1" t="s">
        <v>24</v>
      </c>
      <c r="B1039" s="1" t="s">
        <v>114</v>
      </c>
      <c r="C1039" s="1" t="s">
        <v>10</v>
      </c>
      <c r="D1039" s="1">
        <v>0</v>
      </c>
      <c r="E1039" s="1">
        <v>0</v>
      </c>
      <c r="F1039" s="1">
        <v>181.43</v>
      </c>
      <c r="G1039" s="1">
        <v>3634.723</v>
      </c>
      <c r="H1039" s="1">
        <v>1627.222</v>
      </c>
      <c r="I1039" s="1">
        <v>0</v>
      </c>
    </row>
    <row r="1040" spans="1:9" hidden="1" x14ac:dyDescent="0.25">
      <c r="A1040" s="1" t="s">
        <v>24</v>
      </c>
      <c r="B1040" s="1" t="s">
        <v>115</v>
      </c>
      <c r="C1040" s="1" t="s">
        <v>25</v>
      </c>
      <c r="D1040" s="1">
        <v>0</v>
      </c>
      <c r="E1040" s="1">
        <v>0</v>
      </c>
      <c r="F1040" s="1">
        <v>-181.43</v>
      </c>
      <c r="G1040" s="1">
        <v>-3634.723</v>
      </c>
      <c r="H1040" s="1">
        <v>-921.39</v>
      </c>
      <c r="I1040" s="1">
        <v>0</v>
      </c>
    </row>
    <row r="1041" spans="1:9" hidden="1" x14ac:dyDescent="0.25">
      <c r="A1041" s="1" t="s">
        <v>24</v>
      </c>
      <c r="B1041" s="1" t="s">
        <v>115</v>
      </c>
      <c r="C1041" s="1" t="s">
        <v>10</v>
      </c>
      <c r="D1041" s="1">
        <v>0</v>
      </c>
      <c r="E1041" s="1">
        <v>0</v>
      </c>
      <c r="F1041" s="1">
        <v>-181.43</v>
      </c>
      <c r="G1041" s="1">
        <v>-3634.723</v>
      </c>
      <c r="H1041" s="1">
        <v>-1627.222</v>
      </c>
      <c r="I1041" s="1">
        <v>0</v>
      </c>
    </row>
    <row r="1042" spans="1:9" hidden="1" x14ac:dyDescent="0.25">
      <c r="A1042" s="1" t="s">
        <v>24</v>
      </c>
      <c r="B1042" s="1" t="s">
        <v>116</v>
      </c>
      <c r="C1042" s="1" t="s">
        <v>25</v>
      </c>
      <c r="D1042" s="1">
        <v>0</v>
      </c>
      <c r="E1042" s="1">
        <v>239.45</v>
      </c>
      <c r="F1042" s="1">
        <v>0</v>
      </c>
      <c r="G1042" s="1">
        <v>4137.8370000000004</v>
      </c>
      <c r="H1042" s="1">
        <v>0</v>
      </c>
      <c r="I1042" s="1">
        <v>1271.7080000000001</v>
      </c>
    </row>
    <row r="1043" spans="1:9" hidden="1" x14ac:dyDescent="0.25">
      <c r="A1043" s="1" t="s">
        <v>24</v>
      </c>
      <c r="B1043" s="1" t="s">
        <v>116</v>
      </c>
      <c r="C1043" s="1" t="s">
        <v>10</v>
      </c>
      <c r="D1043" s="1">
        <v>0</v>
      </c>
      <c r="E1043" s="1">
        <v>239.45</v>
      </c>
      <c r="F1043" s="1">
        <v>0</v>
      </c>
      <c r="G1043" s="1">
        <v>4137.8370000000004</v>
      </c>
      <c r="H1043" s="1">
        <v>0</v>
      </c>
      <c r="I1043" s="1">
        <v>2110.34</v>
      </c>
    </row>
    <row r="1044" spans="1:9" hidden="1" x14ac:dyDescent="0.25">
      <c r="A1044" s="1" t="s">
        <v>24</v>
      </c>
      <c r="B1044" s="1" t="s">
        <v>117</v>
      </c>
      <c r="C1044" s="1" t="s">
        <v>25</v>
      </c>
      <c r="D1044" s="1">
        <v>0</v>
      </c>
      <c r="E1044" s="1">
        <v>-239.45</v>
      </c>
      <c r="F1044" s="1">
        <v>0</v>
      </c>
      <c r="G1044" s="1">
        <v>-4137.8370000000004</v>
      </c>
      <c r="H1044" s="1">
        <v>0</v>
      </c>
      <c r="I1044" s="1">
        <v>-1271.7080000000001</v>
      </c>
    </row>
    <row r="1045" spans="1:9" hidden="1" x14ac:dyDescent="0.25">
      <c r="A1045" s="1" t="s">
        <v>24</v>
      </c>
      <c r="B1045" s="1" t="s">
        <v>117</v>
      </c>
      <c r="C1045" s="1" t="s">
        <v>10</v>
      </c>
      <c r="D1045" s="1">
        <v>0</v>
      </c>
      <c r="E1045" s="1">
        <v>-239.45</v>
      </c>
      <c r="F1045" s="1">
        <v>0</v>
      </c>
      <c r="G1045" s="1">
        <v>-4137.8370000000004</v>
      </c>
      <c r="H1045" s="1">
        <v>0</v>
      </c>
      <c r="I1045" s="1">
        <v>-2110.34</v>
      </c>
    </row>
    <row r="1046" spans="1:9" hidden="1" x14ac:dyDescent="0.25">
      <c r="A1046" s="1" t="s">
        <v>24</v>
      </c>
      <c r="B1046" s="1" t="s">
        <v>118</v>
      </c>
      <c r="C1046" s="1" t="s">
        <v>25</v>
      </c>
      <c r="D1046" s="1">
        <v>0</v>
      </c>
      <c r="E1046" s="1">
        <v>239.45</v>
      </c>
      <c r="F1046" s="1">
        <v>0</v>
      </c>
      <c r="G1046" s="1">
        <v>4137.8370000000004</v>
      </c>
      <c r="H1046" s="1">
        <v>0</v>
      </c>
      <c r="I1046" s="1">
        <v>1271.7080000000001</v>
      </c>
    </row>
    <row r="1047" spans="1:9" hidden="1" x14ac:dyDescent="0.25">
      <c r="A1047" s="1" t="s">
        <v>24</v>
      </c>
      <c r="B1047" s="1" t="s">
        <v>118</v>
      </c>
      <c r="C1047" s="1" t="s">
        <v>10</v>
      </c>
      <c r="D1047" s="1">
        <v>0</v>
      </c>
      <c r="E1047" s="1">
        <v>239.45</v>
      </c>
      <c r="F1047" s="1">
        <v>0</v>
      </c>
      <c r="G1047" s="1">
        <v>4137.8370000000004</v>
      </c>
      <c r="H1047" s="1">
        <v>0</v>
      </c>
      <c r="I1047" s="1">
        <v>2110.34</v>
      </c>
    </row>
    <row r="1048" spans="1:9" hidden="1" x14ac:dyDescent="0.25">
      <c r="A1048" s="1" t="s">
        <v>24</v>
      </c>
      <c r="B1048" s="1" t="s">
        <v>119</v>
      </c>
      <c r="C1048" s="1" t="s">
        <v>25</v>
      </c>
      <c r="D1048" s="1">
        <v>0</v>
      </c>
      <c r="E1048" s="1">
        <v>-239.45</v>
      </c>
      <c r="F1048" s="1">
        <v>0</v>
      </c>
      <c r="G1048" s="1">
        <v>-4137.8370000000004</v>
      </c>
      <c r="H1048" s="1">
        <v>0</v>
      </c>
      <c r="I1048" s="1">
        <v>-1271.7080000000001</v>
      </c>
    </row>
    <row r="1049" spans="1:9" hidden="1" x14ac:dyDescent="0.25">
      <c r="A1049" s="1" t="s">
        <v>24</v>
      </c>
      <c r="B1049" s="1" t="s">
        <v>119</v>
      </c>
      <c r="C1049" s="1" t="s">
        <v>10</v>
      </c>
      <c r="D1049" s="1">
        <v>0</v>
      </c>
      <c r="E1049" s="1">
        <v>-239.45</v>
      </c>
      <c r="F1049" s="1">
        <v>0</v>
      </c>
      <c r="G1049" s="1">
        <v>-4137.8370000000004</v>
      </c>
      <c r="H1049" s="1">
        <v>0</v>
      </c>
      <c r="I1049" s="1">
        <v>-2110.34</v>
      </c>
    </row>
    <row r="1050" spans="1:9" hidden="1" x14ac:dyDescent="0.25">
      <c r="A1050" s="1" t="s">
        <v>24</v>
      </c>
      <c r="B1050" s="1" t="s">
        <v>120</v>
      </c>
      <c r="C1050" s="1" t="s">
        <v>25</v>
      </c>
      <c r="D1050" s="1">
        <v>0</v>
      </c>
      <c r="E1050" s="1">
        <v>0</v>
      </c>
      <c r="F1050" s="1">
        <v>604.76</v>
      </c>
      <c r="G1050" s="1">
        <v>12115.743</v>
      </c>
      <c r="H1050" s="1">
        <v>3071.299</v>
      </c>
      <c r="I1050" s="1">
        <v>0</v>
      </c>
    </row>
    <row r="1051" spans="1:9" hidden="1" x14ac:dyDescent="0.25">
      <c r="A1051" s="1" t="s">
        <v>24</v>
      </c>
      <c r="B1051" s="1" t="s">
        <v>120</v>
      </c>
      <c r="C1051" s="1" t="s">
        <v>10</v>
      </c>
      <c r="D1051" s="1">
        <v>0</v>
      </c>
      <c r="E1051" s="1">
        <v>0</v>
      </c>
      <c r="F1051" s="1">
        <v>604.76</v>
      </c>
      <c r="G1051" s="1">
        <v>12115.743</v>
      </c>
      <c r="H1051" s="1">
        <v>5424.0720000000001</v>
      </c>
      <c r="I1051" s="1">
        <v>0</v>
      </c>
    </row>
    <row r="1052" spans="1:9" hidden="1" x14ac:dyDescent="0.25">
      <c r="A1052" s="1" t="s">
        <v>24</v>
      </c>
      <c r="B1052" s="1" t="s">
        <v>121</v>
      </c>
      <c r="C1052" s="1" t="s">
        <v>25</v>
      </c>
      <c r="D1052" s="1">
        <v>0</v>
      </c>
      <c r="E1052" s="1">
        <v>0</v>
      </c>
      <c r="F1052" s="1">
        <v>-604.76</v>
      </c>
      <c r="G1052" s="1">
        <v>-12115.743</v>
      </c>
      <c r="H1052" s="1">
        <v>-3071.299</v>
      </c>
      <c r="I1052" s="1">
        <v>0</v>
      </c>
    </row>
    <row r="1053" spans="1:9" hidden="1" x14ac:dyDescent="0.25">
      <c r="A1053" s="1" t="s">
        <v>24</v>
      </c>
      <c r="B1053" s="1" t="s">
        <v>121</v>
      </c>
      <c r="C1053" s="1" t="s">
        <v>10</v>
      </c>
      <c r="D1053" s="1">
        <v>0</v>
      </c>
      <c r="E1053" s="1">
        <v>0</v>
      </c>
      <c r="F1053" s="1">
        <v>-604.76</v>
      </c>
      <c r="G1053" s="1">
        <v>-12115.743</v>
      </c>
      <c r="H1053" s="1">
        <v>-5424.0720000000001</v>
      </c>
      <c r="I1053" s="1">
        <v>0</v>
      </c>
    </row>
    <row r="1054" spans="1:9" hidden="1" x14ac:dyDescent="0.25">
      <c r="A1054" s="1" t="s">
        <v>24</v>
      </c>
      <c r="B1054" s="1" t="s">
        <v>122</v>
      </c>
      <c r="C1054" s="1" t="s">
        <v>25</v>
      </c>
      <c r="D1054" s="1">
        <v>0</v>
      </c>
      <c r="E1054" s="1">
        <v>0</v>
      </c>
      <c r="F1054" s="1">
        <v>604.76</v>
      </c>
      <c r="G1054" s="1">
        <v>12115.743</v>
      </c>
      <c r="H1054" s="1">
        <v>3071.299</v>
      </c>
      <c r="I1054" s="1">
        <v>0</v>
      </c>
    </row>
    <row r="1055" spans="1:9" hidden="1" x14ac:dyDescent="0.25">
      <c r="A1055" s="1" t="s">
        <v>24</v>
      </c>
      <c r="B1055" s="1" t="s">
        <v>122</v>
      </c>
      <c r="C1055" s="1" t="s">
        <v>10</v>
      </c>
      <c r="D1055" s="1">
        <v>0</v>
      </c>
      <c r="E1055" s="1">
        <v>0</v>
      </c>
      <c r="F1055" s="1">
        <v>604.76</v>
      </c>
      <c r="G1055" s="1">
        <v>12115.743</v>
      </c>
      <c r="H1055" s="1">
        <v>5424.0720000000001</v>
      </c>
      <c r="I1055" s="1">
        <v>0</v>
      </c>
    </row>
    <row r="1056" spans="1:9" hidden="1" x14ac:dyDescent="0.25">
      <c r="A1056" s="1" t="s">
        <v>24</v>
      </c>
      <c r="B1056" s="1" t="s">
        <v>123</v>
      </c>
      <c r="C1056" s="1" t="s">
        <v>25</v>
      </c>
      <c r="D1056" s="1">
        <v>0</v>
      </c>
      <c r="E1056" s="1">
        <v>0</v>
      </c>
      <c r="F1056" s="1">
        <v>-604.76</v>
      </c>
      <c r="G1056" s="1">
        <v>-12115.743</v>
      </c>
      <c r="H1056" s="1">
        <v>-3071.299</v>
      </c>
      <c r="I1056" s="1">
        <v>0</v>
      </c>
    </row>
    <row r="1057" spans="1:9" hidden="1" x14ac:dyDescent="0.25">
      <c r="A1057" s="1" t="s">
        <v>24</v>
      </c>
      <c r="B1057" s="1" t="s">
        <v>123</v>
      </c>
      <c r="C1057" s="1" t="s">
        <v>10</v>
      </c>
      <c r="D1057" s="1">
        <v>0</v>
      </c>
      <c r="E1057" s="1">
        <v>0</v>
      </c>
      <c r="F1057" s="1">
        <v>-604.76</v>
      </c>
      <c r="G1057" s="1">
        <v>-12115.743</v>
      </c>
      <c r="H1057" s="1">
        <v>-5424.0720000000001</v>
      </c>
      <c r="I1057" s="1">
        <v>0</v>
      </c>
    </row>
    <row r="1058" spans="1:9" hidden="1" x14ac:dyDescent="0.25">
      <c r="A1058" s="1" t="s">
        <v>24</v>
      </c>
      <c r="B1058" s="1" t="s">
        <v>124</v>
      </c>
      <c r="C1058" s="1" t="s">
        <v>25</v>
      </c>
      <c r="D1058" s="1">
        <v>0</v>
      </c>
      <c r="E1058" s="1">
        <v>71.84</v>
      </c>
      <c r="F1058" s="1">
        <v>0</v>
      </c>
      <c r="G1058" s="1">
        <v>1241.3510000000001</v>
      </c>
      <c r="H1058" s="1">
        <v>0</v>
      </c>
      <c r="I1058" s="1">
        <v>381.512</v>
      </c>
    </row>
    <row r="1059" spans="1:9" hidden="1" x14ac:dyDescent="0.25">
      <c r="A1059" s="1" t="s">
        <v>24</v>
      </c>
      <c r="B1059" s="1" t="s">
        <v>124</v>
      </c>
      <c r="C1059" s="1" t="s">
        <v>10</v>
      </c>
      <c r="D1059" s="1">
        <v>0</v>
      </c>
      <c r="E1059" s="1">
        <v>71.84</v>
      </c>
      <c r="F1059" s="1">
        <v>0</v>
      </c>
      <c r="G1059" s="1">
        <v>1241.3510000000001</v>
      </c>
      <c r="H1059" s="1">
        <v>0</v>
      </c>
      <c r="I1059" s="1">
        <v>633.10199999999998</v>
      </c>
    </row>
    <row r="1060" spans="1:9" hidden="1" x14ac:dyDescent="0.25">
      <c r="A1060" s="1" t="s">
        <v>24</v>
      </c>
      <c r="B1060" s="1" t="s">
        <v>125</v>
      </c>
      <c r="C1060" s="1" t="s">
        <v>25</v>
      </c>
      <c r="D1060" s="1">
        <v>0</v>
      </c>
      <c r="E1060" s="1">
        <v>-71.84</v>
      </c>
      <c r="F1060" s="1">
        <v>0</v>
      </c>
      <c r="G1060" s="1">
        <v>-1241.3510000000001</v>
      </c>
      <c r="H1060" s="1">
        <v>0</v>
      </c>
      <c r="I1060" s="1">
        <v>-381.512</v>
      </c>
    </row>
    <row r="1061" spans="1:9" hidden="1" x14ac:dyDescent="0.25">
      <c r="A1061" s="1" t="s">
        <v>24</v>
      </c>
      <c r="B1061" s="1" t="s">
        <v>125</v>
      </c>
      <c r="C1061" s="1" t="s">
        <v>10</v>
      </c>
      <c r="D1061" s="1">
        <v>0</v>
      </c>
      <c r="E1061" s="1">
        <v>-71.84</v>
      </c>
      <c r="F1061" s="1">
        <v>0</v>
      </c>
      <c r="G1061" s="1">
        <v>-1241.3510000000001</v>
      </c>
      <c r="H1061" s="1">
        <v>0</v>
      </c>
      <c r="I1061" s="1">
        <v>-633.10199999999998</v>
      </c>
    </row>
    <row r="1062" spans="1:9" hidden="1" x14ac:dyDescent="0.25">
      <c r="A1062" s="1" t="s">
        <v>24</v>
      </c>
      <c r="B1062" s="1" t="s">
        <v>126</v>
      </c>
      <c r="C1062" s="1" t="s">
        <v>25</v>
      </c>
      <c r="D1062" s="1">
        <v>0</v>
      </c>
      <c r="E1062" s="1">
        <v>71.84</v>
      </c>
      <c r="F1062" s="1">
        <v>0</v>
      </c>
      <c r="G1062" s="1">
        <v>1241.3510000000001</v>
      </c>
      <c r="H1062" s="1">
        <v>0</v>
      </c>
      <c r="I1062" s="1">
        <v>381.512</v>
      </c>
    </row>
    <row r="1063" spans="1:9" hidden="1" x14ac:dyDescent="0.25">
      <c r="A1063" s="1" t="s">
        <v>24</v>
      </c>
      <c r="B1063" s="1" t="s">
        <v>126</v>
      </c>
      <c r="C1063" s="1" t="s">
        <v>10</v>
      </c>
      <c r="D1063" s="1">
        <v>0</v>
      </c>
      <c r="E1063" s="1">
        <v>71.84</v>
      </c>
      <c r="F1063" s="1">
        <v>0</v>
      </c>
      <c r="G1063" s="1">
        <v>1241.3510000000001</v>
      </c>
      <c r="H1063" s="1">
        <v>0</v>
      </c>
      <c r="I1063" s="1">
        <v>633.10199999999998</v>
      </c>
    </row>
    <row r="1064" spans="1:9" hidden="1" x14ac:dyDescent="0.25">
      <c r="A1064" s="1" t="s">
        <v>24</v>
      </c>
      <c r="B1064" s="1" t="s">
        <v>127</v>
      </c>
      <c r="C1064" s="1" t="s">
        <v>25</v>
      </c>
      <c r="D1064" s="1">
        <v>0</v>
      </c>
      <c r="E1064" s="1">
        <v>-71.84</v>
      </c>
      <c r="F1064" s="1">
        <v>0</v>
      </c>
      <c r="G1064" s="1">
        <v>-1241.3510000000001</v>
      </c>
      <c r="H1064" s="1">
        <v>0</v>
      </c>
      <c r="I1064" s="1">
        <v>-381.512</v>
      </c>
    </row>
    <row r="1065" spans="1:9" hidden="1" x14ac:dyDescent="0.25">
      <c r="A1065" s="1" t="s">
        <v>24</v>
      </c>
      <c r="B1065" s="1" t="s">
        <v>127</v>
      </c>
      <c r="C1065" s="1" t="s">
        <v>10</v>
      </c>
      <c r="D1065" s="1">
        <v>0</v>
      </c>
      <c r="E1065" s="1">
        <v>-71.84</v>
      </c>
      <c r="F1065" s="1">
        <v>0</v>
      </c>
      <c r="G1065" s="1">
        <v>-1241.3510000000001</v>
      </c>
      <c r="H1065" s="1">
        <v>0</v>
      </c>
      <c r="I1065" s="1">
        <v>-633.10199999999998</v>
      </c>
    </row>
    <row r="1066" spans="1:9" hidden="1" x14ac:dyDescent="0.25">
      <c r="A1066" s="1" t="s">
        <v>24</v>
      </c>
      <c r="B1066" s="1" t="s">
        <v>128</v>
      </c>
      <c r="C1066" s="1" t="s">
        <v>25</v>
      </c>
      <c r="D1066" s="1">
        <v>0</v>
      </c>
      <c r="E1066" s="1">
        <v>0</v>
      </c>
      <c r="F1066" s="1">
        <v>181.43</v>
      </c>
      <c r="G1066" s="1">
        <v>3634.723</v>
      </c>
      <c r="H1066" s="1">
        <v>921.39</v>
      </c>
      <c r="I1066" s="1">
        <v>0</v>
      </c>
    </row>
    <row r="1067" spans="1:9" hidden="1" x14ac:dyDescent="0.25">
      <c r="A1067" s="1" t="s">
        <v>24</v>
      </c>
      <c r="B1067" s="1" t="s">
        <v>128</v>
      </c>
      <c r="C1067" s="1" t="s">
        <v>10</v>
      </c>
      <c r="D1067" s="1">
        <v>0</v>
      </c>
      <c r="E1067" s="1">
        <v>0</v>
      </c>
      <c r="F1067" s="1">
        <v>181.43</v>
      </c>
      <c r="G1067" s="1">
        <v>3634.723</v>
      </c>
      <c r="H1067" s="1">
        <v>1627.222</v>
      </c>
      <c r="I1067" s="1">
        <v>0</v>
      </c>
    </row>
    <row r="1068" spans="1:9" hidden="1" x14ac:dyDescent="0.25">
      <c r="A1068" s="1" t="s">
        <v>24</v>
      </c>
      <c r="B1068" s="1" t="s">
        <v>129</v>
      </c>
      <c r="C1068" s="1" t="s">
        <v>25</v>
      </c>
      <c r="D1068" s="1">
        <v>0</v>
      </c>
      <c r="E1068" s="1">
        <v>0</v>
      </c>
      <c r="F1068" s="1">
        <v>-181.43</v>
      </c>
      <c r="G1068" s="1">
        <v>-3634.723</v>
      </c>
      <c r="H1068" s="1">
        <v>-921.39</v>
      </c>
      <c r="I1068" s="1">
        <v>0</v>
      </c>
    </row>
    <row r="1069" spans="1:9" hidden="1" x14ac:dyDescent="0.25">
      <c r="A1069" s="1" t="s">
        <v>24</v>
      </c>
      <c r="B1069" s="1" t="s">
        <v>129</v>
      </c>
      <c r="C1069" s="1" t="s">
        <v>10</v>
      </c>
      <c r="D1069" s="1">
        <v>0</v>
      </c>
      <c r="E1069" s="1">
        <v>0</v>
      </c>
      <c r="F1069" s="1">
        <v>-181.43</v>
      </c>
      <c r="G1069" s="1">
        <v>-3634.723</v>
      </c>
      <c r="H1069" s="1">
        <v>-1627.222</v>
      </c>
      <c r="I1069" s="1">
        <v>0</v>
      </c>
    </row>
    <row r="1070" spans="1:9" hidden="1" x14ac:dyDescent="0.25">
      <c r="A1070" s="1" t="s">
        <v>24</v>
      </c>
      <c r="B1070" s="1" t="s">
        <v>130</v>
      </c>
      <c r="C1070" s="1" t="s">
        <v>25</v>
      </c>
      <c r="D1070" s="1">
        <v>0</v>
      </c>
      <c r="E1070" s="1">
        <v>0</v>
      </c>
      <c r="F1070" s="1">
        <v>181.43</v>
      </c>
      <c r="G1070" s="1">
        <v>3634.723</v>
      </c>
      <c r="H1070" s="1">
        <v>921.39</v>
      </c>
      <c r="I1070" s="1">
        <v>0</v>
      </c>
    </row>
    <row r="1071" spans="1:9" hidden="1" x14ac:dyDescent="0.25">
      <c r="A1071" s="1" t="s">
        <v>24</v>
      </c>
      <c r="B1071" s="1" t="s">
        <v>130</v>
      </c>
      <c r="C1071" s="1" t="s">
        <v>10</v>
      </c>
      <c r="D1071" s="1">
        <v>0</v>
      </c>
      <c r="E1071" s="1">
        <v>0</v>
      </c>
      <c r="F1071" s="1">
        <v>181.43</v>
      </c>
      <c r="G1071" s="1">
        <v>3634.723</v>
      </c>
      <c r="H1071" s="1">
        <v>1627.222</v>
      </c>
      <c r="I1071" s="1">
        <v>0</v>
      </c>
    </row>
    <row r="1072" spans="1:9" hidden="1" x14ac:dyDescent="0.25">
      <c r="A1072" s="1" t="s">
        <v>24</v>
      </c>
      <c r="B1072" s="1" t="s">
        <v>131</v>
      </c>
      <c r="C1072" s="1" t="s">
        <v>25</v>
      </c>
      <c r="D1072" s="1">
        <v>0</v>
      </c>
      <c r="E1072" s="1">
        <v>0</v>
      </c>
      <c r="F1072" s="1">
        <v>-181.43</v>
      </c>
      <c r="G1072" s="1">
        <v>-3634.723</v>
      </c>
      <c r="H1072" s="1">
        <v>-921.39</v>
      </c>
      <c r="I1072" s="1">
        <v>0</v>
      </c>
    </row>
    <row r="1073" spans="1:9" hidden="1" x14ac:dyDescent="0.25">
      <c r="A1073" s="1" t="s">
        <v>24</v>
      </c>
      <c r="B1073" s="1" t="s">
        <v>131</v>
      </c>
      <c r="C1073" s="1" t="s">
        <v>10</v>
      </c>
      <c r="D1073" s="1">
        <v>0</v>
      </c>
      <c r="E1073" s="1">
        <v>0</v>
      </c>
      <c r="F1073" s="1">
        <v>-181.43</v>
      </c>
      <c r="G1073" s="1">
        <v>-3634.723</v>
      </c>
      <c r="H1073" s="1">
        <v>-1627.222</v>
      </c>
      <c r="I1073" s="1">
        <v>0</v>
      </c>
    </row>
    <row r="1074" spans="1:9" hidden="1" x14ac:dyDescent="0.25">
      <c r="A1074" s="1" t="s">
        <v>24</v>
      </c>
      <c r="B1074" s="1" t="s">
        <v>132</v>
      </c>
      <c r="C1074" s="1" t="s">
        <v>25</v>
      </c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</row>
    <row r="1075" spans="1:9" hidden="1" x14ac:dyDescent="0.25">
      <c r="A1075" s="1" t="s">
        <v>24</v>
      </c>
      <c r="B1075" s="1" t="s">
        <v>132</v>
      </c>
      <c r="C1075" s="1" t="s">
        <v>10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</row>
    <row r="1076" spans="1:9" hidden="1" x14ac:dyDescent="0.25">
      <c r="A1076" s="1" t="s">
        <v>24</v>
      </c>
      <c r="B1076" s="1" t="s">
        <v>133</v>
      </c>
      <c r="C1076" s="1" t="s">
        <v>25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</row>
    <row r="1077" spans="1:9" hidden="1" x14ac:dyDescent="0.25">
      <c r="A1077" s="1" t="s">
        <v>24</v>
      </c>
      <c r="B1077" s="1" t="s">
        <v>133</v>
      </c>
      <c r="C1077" s="1" t="s">
        <v>10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</row>
    <row r="1078" spans="1:9" hidden="1" x14ac:dyDescent="0.25">
      <c r="A1078" s="1" t="s">
        <v>24</v>
      </c>
      <c r="B1078" s="1" t="s">
        <v>134</v>
      </c>
      <c r="C1078" s="1" t="s">
        <v>25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</row>
    <row r="1079" spans="1:9" hidden="1" x14ac:dyDescent="0.25">
      <c r="A1079" s="1" t="s">
        <v>24</v>
      </c>
      <c r="B1079" s="1" t="s">
        <v>134</v>
      </c>
      <c r="C1079" s="1" t="s">
        <v>10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</row>
    <row r="1080" spans="1:9" hidden="1" x14ac:dyDescent="0.25">
      <c r="A1080" s="1" t="s">
        <v>24</v>
      </c>
      <c r="B1080" s="1" t="s">
        <v>135</v>
      </c>
      <c r="C1080" s="1" t="s">
        <v>25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24</v>
      </c>
      <c r="B1081" s="1" t="s">
        <v>135</v>
      </c>
      <c r="C1081" s="1" t="s">
        <v>10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24</v>
      </c>
      <c r="B1082" s="1" t="s">
        <v>136</v>
      </c>
      <c r="C1082" s="1" t="s">
        <v>25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</row>
    <row r="1083" spans="1:9" hidden="1" x14ac:dyDescent="0.25">
      <c r="A1083" s="1" t="s">
        <v>24</v>
      </c>
      <c r="B1083" s="1" t="s">
        <v>136</v>
      </c>
      <c r="C1083" s="1" t="s">
        <v>10</v>
      </c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</row>
    <row r="1084" spans="1:9" hidden="1" x14ac:dyDescent="0.25">
      <c r="A1084" s="1" t="s">
        <v>24</v>
      </c>
      <c r="B1084" s="1" t="s">
        <v>137</v>
      </c>
      <c r="C1084" s="1" t="s">
        <v>25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</row>
    <row r="1085" spans="1:9" hidden="1" x14ac:dyDescent="0.25">
      <c r="A1085" s="1" t="s">
        <v>24</v>
      </c>
      <c r="B1085" s="1" t="s">
        <v>137</v>
      </c>
      <c r="C1085" s="1" t="s">
        <v>10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</row>
    <row r="1086" spans="1:9" hidden="1" x14ac:dyDescent="0.25">
      <c r="A1086" s="1" t="s">
        <v>24</v>
      </c>
      <c r="B1086" s="1" t="s">
        <v>138</v>
      </c>
      <c r="C1086" s="1" t="s">
        <v>25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</row>
    <row r="1087" spans="1:9" hidden="1" x14ac:dyDescent="0.25">
      <c r="A1087" s="1" t="s">
        <v>24</v>
      </c>
      <c r="B1087" s="1" t="s">
        <v>138</v>
      </c>
      <c r="C1087" s="1" t="s">
        <v>10</v>
      </c>
      <c r="D1087" s="1">
        <v>0</v>
      </c>
      <c r="E1087" s="1">
        <v>0</v>
      </c>
      <c r="F1087" s="1">
        <v>0</v>
      </c>
      <c r="G1087" s="1">
        <v>0</v>
      </c>
      <c r="H1087" s="1">
        <v>0</v>
      </c>
      <c r="I1087" s="1">
        <v>0</v>
      </c>
    </row>
    <row r="1088" spans="1:9" hidden="1" x14ac:dyDescent="0.25">
      <c r="A1088" s="1" t="s">
        <v>24</v>
      </c>
      <c r="B1088" s="1" t="s">
        <v>139</v>
      </c>
      <c r="C1088" s="1" t="s">
        <v>25</v>
      </c>
      <c r="D1088" s="1">
        <v>0</v>
      </c>
      <c r="E1088" s="1">
        <v>0</v>
      </c>
      <c r="F1088" s="1">
        <v>0</v>
      </c>
      <c r="G1088" s="1">
        <v>0</v>
      </c>
      <c r="H1088" s="1">
        <v>0</v>
      </c>
      <c r="I1088" s="1">
        <v>0</v>
      </c>
    </row>
    <row r="1089" spans="1:9" hidden="1" x14ac:dyDescent="0.25">
      <c r="A1089" s="1" t="s">
        <v>24</v>
      </c>
      <c r="B1089" s="1" t="s">
        <v>139</v>
      </c>
      <c r="C1089" s="1" t="s">
        <v>10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</row>
    <row r="1090" spans="1:9" hidden="1" x14ac:dyDescent="0.25">
      <c r="A1090" s="1" t="s">
        <v>24</v>
      </c>
      <c r="B1090" s="1" t="s">
        <v>140</v>
      </c>
      <c r="C1090" s="1" t="s">
        <v>25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24</v>
      </c>
      <c r="B1091" s="1" t="s">
        <v>140</v>
      </c>
      <c r="C1091" s="1" t="s">
        <v>10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24</v>
      </c>
      <c r="B1092" s="1" t="s">
        <v>141</v>
      </c>
      <c r="C1092" s="1" t="s">
        <v>25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</row>
    <row r="1093" spans="1:9" hidden="1" x14ac:dyDescent="0.25">
      <c r="A1093" s="1" t="s">
        <v>24</v>
      </c>
      <c r="B1093" s="1" t="s">
        <v>141</v>
      </c>
      <c r="C1093" s="1" t="s">
        <v>10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0</v>
      </c>
    </row>
    <row r="1094" spans="1:9" hidden="1" x14ac:dyDescent="0.25">
      <c r="A1094" s="1" t="s">
        <v>24</v>
      </c>
      <c r="B1094" s="1" t="s">
        <v>142</v>
      </c>
      <c r="C1094" s="1" t="s">
        <v>25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0</v>
      </c>
    </row>
    <row r="1095" spans="1:9" hidden="1" x14ac:dyDescent="0.25">
      <c r="A1095" s="1" t="s">
        <v>24</v>
      </c>
      <c r="B1095" s="1" t="s">
        <v>142</v>
      </c>
      <c r="C1095" s="1" t="s">
        <v>10</v>
      </c>
      <c r="D1095" s="1">
        <v>0</v>
      </c>
      <c r="E1095" s="1">
        <v>0</v>
      </c>
      <c r="F1095" s="1">
        <v>0</v>
      </c>
      <c r="G1095" s="1">
        <v>0</v>
      </c>
      <c r="H1095" s="1">
        <v>0</v>
      </c>
      <c r="I1095" s="1">
        <v>0</v>
      </c>
    </row>
    <row r="1096" spans="1:9" hidden="1" x14ac:dyDescent="0.25">
      <c r="A1096" s="1" t="s">
        <v>24</v>
      </c>
      <c r="B1096" s="1" t="s">
        <v>143</v>
      </c>
      <c r="C1096" s="1" t="s">
        <v>25</v>
      </c>
      <c r="D1096" s="1">
        <v>0</v>
      </c>
      <c r="E1096" s="1">
        <v>0</v>
      </c>
      <c r="F1096" s="1">
        <v>0</v>
      </c>
      <c r="G1096" s="1">
        <v>0</v>
      </c>
      <c r="H1096" s="1">
        <v>0</v>
      </c>
      <c r="I1096" s="1">
        <v>0</v>
      </c>
    </row>
    <row r="1097" spans="1:9" hidden="1" x14ac:dyDescent="0.25">
      <c r="A1097" s="1" t="s">
        <v>24</v>
      </c>
      <c r="B1097" s="1" t="s">
        <v>143</v>
      </c>
      <c r="C1097" s="1" t="s">
        <v>10</v>
      </c>
      <c r="D1097" s="1">
        <v>0</v>
      </c>
      <c r="E1097" s="1">
        <v>0</v>
      </c>
      <c r="F1097" s="1">
        <v>0</v>
      </c>
      <c r="G1097" s="1">
        <v>0</v>
      </c>
      <c r="H1097" s="1">
        <v>0</v>
      </c>
      <c r="I1097" s="1">
        <v>0</v>
      </c>
    </row>
    <row r="1098" spans="1:9" hidden="1" x14ac:dyDescent="0.25">
      <c r="A1098" s="1" t="s">
        <v>24</v>
      </c>
      <c r="B1098" s="1" t="s">
        <v>144</v>
      </c>
      <c r="C1098" s="1" t="s">
        <v>25</v>
      </c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</row>
    <row r="1099" spans="1:9" hidden="1" x14ac:dyDescent="0.25">
      <c r="A1099" s="1" t="s">
        <v>24</v>
      </c>
      <c r="B1099" s="1" t="s">
        <v>144</v>
      </c>
      <c r="C1099" s="1" t="s">
        <v>10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</row>
    <row r="1100" spans="1:9" hidden="1" x14ac:dyDescent="0.25">
      <c r="A1100" s="1" t="s">
        <v>24</v>
      </c>
      <c r="B1100" s="1" t="s">
        <v>145</v>
      </c>
      <c r="C1100" s="1" t="s">
        <v>25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24</v>
      </c>
      <c r="B1101" s="1" t="s">
        <v>145</v>
      </c>
      <c r="C1101" s="1" t="s">
        <v>10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24</v>
      </c>
      <c r="B1102" s="1" t="s">
        <v>146</v>
      </c>
      <c r="C1102" s="1" t="s">
        <v>25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</row>
    <row r="1103" spans="1:9" hidden="1" x14ac:dyDescent="0.25">
      <c r="A1103" s="1" t="s">
        <v>24</v>
      </c>
      <c r="B1103" s="1" t="s">
        <v>146</v>
      </c>
      <c r="C1103" s="1" t="s">
        <v>10</v>
      </c>
      <c r="D1103" s="1">
        <v>0</v>
      </c>
      <c r="E1103" s="1">
        <v>0</v>
      </c>
      <c r="F1103" s="1">
        <v>0</v>
      </c>
      <c r="G1103" s="1">
        <v>0</v>
      </c>
      <c r="H1103" s="1">
        <v>0</v>
      </c>
      <c r="I1103" s="1">
        <v>0</v>
      </c>
    </row>
    <row r="1104" spans="1:9" hidden="1" x14ac:dyDescent="0.25">
      <c r="A1104" s="1" t="s">
        <v>24</v>
      </c>
      <c r="B1104" s="1" t="s">
        <v>147</v>
      </c>
      <c r="C1104" s="1" t="s">
        <v>25</v>
      </c>
      <c r="D1104" s="1">
        <v>0</v>
      </c>
      <c r="E1104" s="1">
        <v>0</v>
      </c>
      <c r="F1104" s="1">
        <v>0</v>
      </c>
      <c r="G1104" s="1">
        <v>0</v>
      </c>
      <c r="H1104" s="1">
        <v>0</v>
      </c>
      <c r="I1104" s="1">
        <v>0</v>
      </c>
    </row>
    <row r="1105" spans="1:9" hidden="1" x14ac:dyDescent="0.25">
      <c r="A1105" s="1" t="s">
        <v>24</v>
      </c>
      <c r="B1105" s="1" t="s">
        <v>147</v>
      </c>
      <c r="C1105" s="1" t="s">
        <v>10</v>
      </c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</row>
    <row r="1106" spans="1:9" hidden="1" x14ac:dyDescent="0.25">
      <c r="A1106" s="1" t="s">
        <v>24</v>
      </c>
      <c r="B1106" s="1" t="s">
        <v>159</v>
      </c>
      <c r="C1106" s="1" t="s">
        <v>25</v>
      </c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</row>
    <row r="1107" spans="1:9" hidden="1" x14ac:dyDescent="0.25">
      <c r="A1107" s="1" t="s">
        <v>24</v>
      </c>
      <c r="B1107" s="1" t="s">
        <v>159</v>
      </c>
      <c r="C1107" s="1" t="s">
        <v>10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</row>
    <row r="1108" spans="1:9" hidden="1" x14ac:dyDescent="0.25">
      <c r="A1108" s="1" t="s">
        <v>24</v>
      </c>
      <c r="B1108" s="1" t="s">
        <v>160</v>
      </c>
      <c r="C1108" s="1" t="s">
        <v>25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</row>
    <row r="1109" spans="1:9" hidden="1" x14ac:dyDescent="0.25">
      <c r="A1109" s="1" t="s">
        <v>24</v>
      </c>
      <c r="B1109" s="1" t="s">
        <v>160</v>
      </c>
      <c r="C1109" s="1" t="s">
        <v>10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</row>
    <row r="1110" spans="1:9" hidden="1" x14ac:dyDescent="0.25">
      <c r="A1110" s="1" t="s">
        <v>24</v>
      </c>
      <c r="B1110" s="1" t="s">
        <v>161</v>
      </c>
      <c r="C1110" s="1" t="s">
        <v>25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24</v>
      </c>
      <c r="B1111" s="1" t="s">
        <v>161</v>
      </c>
      <c r="C1111" s="1" t="s">
        <v>10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24</v>
      </c>
      <c r="B1112" s="1" t="s">
        <v>162</v>
      </c>
      <c r="C1112" s="1" t="s">
        <v>25</v>
      </c>
      <c r="D1112" s="1">
        <v>0</v>
      </c>
      <c r="E1112" s="1">
        <v>-569.64</v>
      </c>
      <c r="F1112" s="1">
        <v>0</v>
      </c>
      <c r="G1112" s="1">
        <v>9399.1149999999998</v>
      </c>
      <c r="H1112" s="1">
        <v>0</v>
      </c>
      <c r="I1112" s="1">
        <v>-2784.9229999999998</v>
      </c>
    </row>
    <row r="1113" spans="1:9" hidden="1" x14ac:dyDescent="0.25">
      <c r="A1113" s="1" t="s">
        <v>24</v>
      </c>
      <c r="B1113" s="1" t="s">
        <v>162</v>
      </c>
      <c r="C1113" s="1" t="s">
        <v>10</v>
      </c>
      <c r="D1113" s="1">
        <v>0</v>
      </c>
      <c r="E1113" s="1">
        <v>-569.64</v>
      </c>
      <c r="F1113" s="1">
        <v>0</v>
      </c>
      <c r="G1113" s="1">
        <v>9399.1149999999998</v>
      </c>
      <c r="H1113" s="1">
        <v>0</v>
      </c>
      <c r="I1113" s="1">
        <v>-5063.4960000000001</v>
      </c>
    </row>
    <row r="1114" spans="1:9" hidden="1" x14ac:dyDescent="0.25">
      <c r="A1114" s="1" t="s">
        <v>24</v>
      </c>
      <c r="B1114" s="1" t="s">
        <v>163</v>
      </c>
      <c r="C1114" s="1" t="s">
        <v>25</v>
      </c>
      <c r="D1114" s="1">
        <v>0</v>
      </c>
      <c r="E1114" s="1">
        <v>-569.64</v>
      </c>
      <c r="F1114" s="1">
        <v>0</v>
      </c>
      <c r="G1114" s="1">
        <v>7690.1850000000004</v>
      </c>
      <c r="H1114" s="1">
        <v>0</v>
      </c>
      <c r="I1114" s="1">
        <v>-2784.9229999999998</v>
      </c>
    </row>
    <row r="1115" spans="1:9" hidden="1" x14ac:dyDescent="0.25">
      <c r="A1115" s="1" t="s">
        <v>24</v>
      </c>
      <c r="B1115" s="1" t="s">
        <v>163</v>
      </c>
      <c r="C1115" s="1" t="s">
        <v>10</v>
      </c>
      <c r="D1115" s="1">
        <v>0</v>
      </c>
      <c r="E1115" s="1">
        <v>-569.64</v>
      </c>
      <c r="F1115" s="1">
        <v>0</v>
      </c>
      <c r="G1115" s="1">
        <v>7690.1850000000004</v>
      </c>
      <c r="H1115" s="1">
        <v>0</v>
      </c>
      <c r="I1115" s="1">
        <v>-5063.4960000000001</v>
      </c>
    </row>
    <row r="1116" spans="1:9" hidden="1" x14ac:dyDescent="0.25">
      <c r="A1116" s="1" t="s">
        <v>24</v>
      </c>
      <c r="B1116" s="1" t="s">
        <v>164</v>
      </c>
      <c r="C1116" s="1" t="s">
        <v>25</v>
      </c>
      <c r="D1116" s="1">
        <v>0</v>
      </c>
      <c r="E1116" s="1">
        <v>569.64</v>
      </c>
      <c r="F1116" s="1">
        <v>0</v>
      </c>
      <c r="G1116" s="1">
        <v>-9399.1149999999998</v>
      </c>
      <c r="H1116" s="1">
        <v>0</v>
      </c>
      <c r="I1116" s="1">
        <v>2784.9229999999998</v>
      </c>
    </row>
    <row r="1117" spans="1:9" hidden="1" x14ac:dyDescent="0.25">
      <c r="A1117" s="1" t="s">
        <v>24</v>
      </c>
      <c r="B1117" s="1" t="s">
        <v>164</v>
      </c>
      <c r="C1117" s="1" t="s">
        <v>10</v>
      </c>
      <c r="D1117" s="1">
        <v>0</v>
      </c>
      <c r="E1117" s="1">
        <v>569.64</v>
      </c>
      <c r="F1117" s="1">
        <v>0</v>
      </c>
      <c r="G1117" s="1">
        <v>-9399.1149999999998</v>
      </c>
      <c r="H1117" s="1">
        <v>0</v>
      </c>
      <c r="I1117" s="1">
        <v>5063.4960000000001</v>
      </c>
    </row>
    <row r="1118" spans="1:9" hidden="1" x14ac:dyDescent="0.25">
      <c r="A1118" s="1" t="s">
        <v>24</v>
      </c>
      <c r="B1118" s="1" t="s">
        <v>165</v>
      </c>
      <c r="C1118" s="1" t="s">
        <v>25</v>
      </c>
      <c r="D1118" s="1">
        <v>0</v>
      </c>
      <c r="E1118" s="1">
        <v>569.64</v>
      </c>
      <c r="F1118" s="1">
        <v>0</v>
      </c>
      <c r="G1118" s="1">
        <v>-7690.1850000000004</v>
      </c>
      <c r="H1118" s="1">
        <v>0</v>
      </c>
      <c r="I1118" s="1">
        <v>2784.9229999999998</v>
      </c>
    </row>
    <row r="1119" spans="1:9" hidden="1" x14ac:dyDescent="0.25">
      <c r="A1119" s="1" t="s">
        <v>24</v>
      </c>
      <c r="B1119" s="1" t="s">
        <v>165</v>
      </c>
      <c r="C1119" s="1" t="s">
        <v>10</v>
      </c>
      <c r="D1119" s="1">
        <v>0</v>
      </c>
      <c r="E1119" s="1">
        <v>569.64</v>
      </c>
      <c r="F1119" s="1">
        <v>0</v>
      </c>
      <c r="G1119" s="1">
        <v>-7690.1850000000004</v>
      </c>
      <c r="H1119" s="1">
        <v>0</v>
      </c>
      <c r="I1119" s="1">
        <v>5063.4960000000001</v>
      </c>
    </row>
    <row r="1120" spans="1:9" hidden="1" x14ac:dyDescent="0.25">
      <c r="A1120" s="1" t="s">
        <v>24</v>
      </c>
      <c r="B1120" s="1" t="s">
        <v>166</v>
      </c>
      <c r="C1120" s="1" t="s">
        <v>25</v>
      </c>
      <c r="D1120" s="1">
        <v>0</v>
      </c>
      <c r="E1120" s="1">
        <v>0</v>
      </c>
      <c r="F1120" s="1">
        <v>-688.56</v>
      </c>
      <c r="G1120" s="1">
        <v>-13633.487999999999</v>
      </c>
      <c r="H1120" s="1">
        <v>3366.2930000000001</v>
      </c>
      <c r="I1120" s="1">
        <v>0</v>
      </c>
    </row>
    <row r="1121" spans="1:9" hidden="1" x14ac:dyDescent="0.25">
      <c r="A1121" s="1" t="s">
        <v>24</v>
      </c>
      <c r="B1121" s="1" t="s">
        <v>166</v>
      </c>
      <c r="C1121" s="1" t="s">
        <v>10</v>
      </c>
      <c r="D1121" s="1">
        <v>0</v>
      </c>
      <c r="E1121" s="1">
        <v>0</v>
      </c>
      <c r="F1121" s="1">
        <v>-688.56</v>
      </c>
      <c r="G1121" s="1">
        <v>-13633.487999999999</v>
      </c>
      <c r="H1121" s="1">
        <v>6120.5330000000004</v>
      </c>
      <c r="I1121" s="1">
        <v>0</v>
      </c>
    </row>
    <row r="1122" spans="1:9" hidden="1" x14ac:dyDescent="0.25">
      <c r="A1122" s="1" t="s">
        <v>24</v>
      </c>
      <c r="B1122" s="1" t="s">
        <v>167</v>
      </c>
      <c r="C1122" s="1" t="s">
        <v>25</v>
      </c>
      <c r="D1122" s="1">
        <v>0</v>
      </c>
      <c r="E1122" s="1">
        <v>0</v>
      </c>
      <c r="F1122" s="1">
        <v>-688.56</v>
      </c>
      <c r="G1122" s="1">
        <v>-11154.672</v>
      </c>
      <c r="H1122" s="1">
        <v>3366.2930000000001</v>
      </c>
      <c r="I1122" s="1">
        <v>0</v>
      </c>
    </row>
    <row r="1123" spans="1:9" hidden="1" x14ac:dyDescent="0.25">
      <c r="A1123" s="1" t="s">
        <v>24</v>
      </c>
      <c r="B1123" s="1" t="s">
        <v>167</v>
      </c>
      <c r="C1123" s="1" t="s">
        <v>10</v>
      </c>
      <c r="D1123" s="1">
        <v>0</v>
      </c>
      <c r="E1123" s="1">
        <v>0</v>
      </c>
      <c r="F1123" s="1">
        <v>-688.56</v>
      </c>
      <c r="G1123" s="1">
        <v>-11154.672</v>
      </c>
      <c r="H1123" s="1">
        <v>6120.5330000000004</v>
      </c>
      <c r="I1123" s="1">
        <v>0</v>
      </c>
    </row>
    <row r="1124" spans="1:9" hidden="1" x14ac:dyDescent="0.25">
      <c r="A1124" s="1" t="s">
        <v>24</v>
      </c>
      <c r="B1124" s="1" t="s">
        <v>168</v>
      </c>
      <c r="C1124" s="1" t="s">
        <v>25</v>
      </c>
      <c r="D1124" s="1">
        <v>0</v>
      </c>
      <c r="E1124" s="1">
        <v>0</v>
      </c>
      <c r="F1124" s="1">
        <v>688.56</v>
      </c>
      <c r="G1124" s="1">
        <v>13633.487999999999</v>
      </c>
      <c r="H1124" s="1">
        <v>-3366.2930000000001</v>
      </c>
      <c r="I1124" s="1">
        <v>0</v>
      </c>
    </row>
    <row r="1125" spans="1:9" hidden="1" x14ac:dyDescent="0.25">
      <c r="A1125" s="1" t="s">
        <v>24</v>
      </c>
      <c r="B1125" s="1" t="s">
        <v>168</v>
      </c>
      <c r="C1125" s="1" t="s">
        <v>10</v>
      </c>
      <c r="D1125" s="1">
        <v>0</v>
      </c>
      <c r="E1125" s="1">
        <v>0</v>
      </c>
      <c r="F1125" s="1">
        <v>688.56</v>
      </c>
      <c r="G1125" s="1">
        <v>13633.487999999999</v>
      </c>
      <c r="H1125" s="1">
        <v>-6120.5330000000004</v>
      </c>
      <c r="I1125" s="1">
        <v>0</v>
      </c>
    </row>
    <row r="1126" spans="1:9" hidden="1" x14ac:dyDescent="0.25">
      <c r="A1126" s="1" t="s">
        <v>24</v>
      </c>
      <c r="B1126" s="1" t="s">
        <v>169</v>
      </c>
      <c r="C1126" s="1" t="s">
        <v>25</v>
      </c>
      <c r="D1126" s="1">
        <v>0</v>
      </c>
      <c r="E1126" s="1">
        <v>0</v>
      </c>
      <c r="F1126" s="1">
        <v>688.56</v>
      </c>
      <c r="G1126" s="1">
        <v>11154.672</v>
      </c>
      <c r="H1126" s="1">
        <v>-3366.2930000000001</v>
      </c>
      <c r="I1126" s="1">
        <v>0</v>
      </c>
    </row>
    <row r="1127" spans="1:9" hidden="1" x14ac:dyDescent="0.25">
      <c r="A1127" s="1" t="s">
        <v>24</v>
      </c>
      <c r="B1127" s="1" t="s">
        <v>169</v>
      </c>
      <c r="C1127" s="1" t="s">
        <v>10</v>
      </c>
      <c r="D1127" s="1">
        <v>0</v>
      </c>
      <c r="E1127" s="1">
        <v>0</v>
      </c>
      <c r="F1127" s="1">
        <v>688.56</v>
      </c>
      <c r="G1127" s="1">
        <v>11154.672</v>
      </c>
      <c r="H1127" s="1">
        <v>-6120.5330000000004</v>
      </c>
      <c r="I1127" s="1">
        <v>0</v>
      </c>
    </row>
    <row r="1128" spans="1:9" hidden="1" x14ac:dyDescent="0.25">
      <c r="A1128" s="1" t="s">
        <v>24</v>
      </c>
      <c r="B1128" s="1" t="s">
        <v>170</v>
      </c>
      <c r="C1128" s="1" t="s">
        <v>25</v>
      </c>
      <c r="D1128" s="1">
        <v>0</v>
      </c>
      <c r="E1128" s="1">
        <v>-569.64</v>
      </c>
      <c r="F1128" s="1">
        <v>0</v>
      </c>
      <c r="G1128" s="1">
        <v>9399.1149999999998</v>
      </c>
      <c r="H1128" s="1">
        <v>0</v>
      </c>
      <c r="I1128" s="1">
        <v>-2784.9229999999998</v>
      </c>
    </row>
    <row r="1129" spans="1:9" hidden="1" x14ac:dyDescent="0.25">
      <c r="A1129" s="1" t="s">
        <v>24</v>
      </c>
      <c r="B1129" s="1" t="s">
        <v>170</v>
      </c>
      <c r="C1129" s="1" t="s">
        <v>10</v>
      </c>
      <c r="D1129" s="1">
        <v>0</v>
      </c>
      <c r="E1129" s="1">
        <v>-569.64</v>
      </c>
      <c r="F1129" s="1">
        <v>0</v>
      </c>
      <c r="G1129" s="1">
        <v>9399.1149999999998</v>
      </c>
      <c r="H1129" s="1">
        <v>0</v>
      </c>
      <c r="I1129" s="1">
        <v>-5063.4960000000001</v>
      </c>
    </row>
    <row r="1130" spans="1:9" hidden="1" x14ac:dyDescent="0.25">
      <c r="A1130" s="1" t="s">
        <v>24</v>
      </c>
      <c r="B1130" s="1" t="s">
        <v>171</v>
      </c>
      <c r="C1130" s="1" t="s">
        <v>25</v>
      </c>
      <c r="D1130" s="1">
        <v>0</v>
      </c>
      <c r="E1130" s="1">
        <v>-569.64</v>
      </c>
      <c r="F1130" s="1">
        <v>0</v>
      </c>
      <c r="G1130" s="1">
        <v>7690.1850000000004</v>
      </c>
      <c r="H1130" s="1">
        <v>0</v>
      </c>
      <c r="I1130" s="1">
        <v>-2784.9229999999998</v>
      </c>
    </row>
    <row r="1131" spans="1:9" hidden="1" x14ac:dyDescent="0.25">
      <c r="A1131" s="1" t="s">
        <v>24</v>
      </c>
      <c r="B1131" s="1" t="s">
        <v>171</v>
      </c>
      <c r="C1131" s="1" t="s">
        <v>10</v>
      </c>
      <c r="D1131" s="1">
        <v>0</v>
      </c>
      <c r="E1131" s="1">
        <v>-569.64</v>
      </c>
      <c r="F1131" s="1">
        <v>0</v>
      </c>
      <c r="G1131" s="1">
        <v>7690.1850000000004</v>
      </c>
      <c r="H1131" s="1">
        <v>0</v>
      </c>
      <c r="I1131" s="1">
        <v>-5063.4960000000001</v>
      </c>
    </row>
    <row r="1132" spans="1:9" hidden="1" x14ac:dyDescent="0.25">
      <c r="A1132" s="1" t="s">
        <v>24</v>
      </c>
      <c r="B1132" s="1" t="s">
        <v>172</v>
      </c>
      <c r="C1132" s="1" t="s">
        <v>25</v>
      </c>
      <c r="D1132" s="1">
        <v>0</v>
      </c>
      <c r="E1132" s="1">
        <v>569.64</v>
      </c>
      <c r="F1132" s="1">
        <v>0</v>
      </c>
      <c r="G1132" s="1">
        <v>-9399.1149999999998</v>
      </c>
      <c r="H1132" s="1">
        <v>0</v>
      </c>
      <c r="I1132" s="1">
        <v>2784.9229999999998</v>
      </c>
    </row>
    <row r="1133" spans="1:9" hidden="1" x14ac:dyDescent="0.25">
      <c r="A1133" s="1" t="s">
        <v>24</v>
      </c>
      <c r="B1133" s="1" t="s">
        <v>172</v>
      </c>
      <c r="C1133" s="1" t="s">
        <v>10</v>
      </c>
      <c r="D1133" s="1">
        <v>0</v>
      </c>
      <c r="E1133" s="1">
        <v>569.64</v>
      </c>
      <c r="F1133" s="1">
        <v>0</v>
      </c>
      <c r="G1133" s="1">
        <v>-9399.1149999999998</v>
      </c>
      <c r="H1133" s="1">
        <v>0</v>
      </c>
      <c r="I1133" s="1">
        <v>5063.4960000000001</v>
      </c>
    </row>
    <row r="1134" spans="1:9" hidden="1" x14ac:dyDescent="0.25">
      <c r="A1134" s="1" t="s">
        <v>24</v>
      </c>
      <c r="B1134" s="1" t="s">
        <v>173</v>
      </c>
      <c r="C1134" s="1" t="s">
        <v>25</v>
      </c>
      <c r="D1134" s="1">
        <v>0</v>
      </c>
      <c r="E1134" s="1">
        <v>569.64</v>
      </c>
      <c r="F1134" s="1">
        <v>0</v>
      </c>
      <c r="G1134" s="1">
        <v>-7690.1850000000004</v>
      </c>
      <c r="H1134" s="1">
        <v>0</v>
      </c>
      <c r="I1134" s="1">
        <v>2784.9229999999998</v>
      </c>
    </row>
    <row r="1135" spans="1:9" hidden="1" x14ac:dyDescent="0.25">
      <c r="A1135" s="1" t="s">
        <v>24</v>
      </c>
      <c r="B1135" s="1" t="s">
        <v>173</v>
      </c>
      <c r="C1135" s="1" t="s">
        <v>10</v>
      </c>
      <c r="D1135" s="1">
        <v>0</v>
      </c>
      <c r="E1135" s="1">
        <v>569.64</v>
      </c>
      <c r="F1135" s="1">
        <v>0</v>
      </c>
      <c r="G1135" s="1">
        <v>-7690.1850000000004</v>
      </c>
      <c r="H1135" s="1">
        <v>0</v>
      </c>
      <c r="I1135" s="1">
        <v>5063.4960000000001</v>
      </c>
    </row>
    <row r="1136" spans="1:9" hidden="1" x14ac:dyDescent="0.25">
      <c r="A1136" s="1" t="s">
        <v>24</v>
      </c>
      <c r="B1136" s="1" t="s">
        <v>174</v>
      </c>
      <c r="C1136" s="1" t="s">
        <v>25</v>
      </c>
      <c r="D1136" s="1">
        <v>0</v>
      </c>
      <c r="E1136" s="1">
        <v>0</v>
      </c>
      <c r="F1136" s="1">
        <v>-688.56</v>
      </c>
      <c r="G1136" s="1">
        <v>-13633.487999999999</v>
      </c>
      <c r="H1136" s="1">
        <v>3366.2930000000001</v>
      </c>
      <c r="I1136" s="1">
        <v>0</v>
      </c>
    </row>
    <row r="1137" spans="1:9" hidden="1" x14ac:dyDescent="0.25">
      <c r="A1137" s="1" t="s">
        <v>24</v>
      </c>
      <c r="B1137" s="1" t="s">
        <v>174</v>
      </c>
      <c r="C1137" s="1" t="s">
        <v>10</v>
      </c>
      <c r="D1137" s="1">
        <v>0</v>
      </c>
      <c r="E1137" s="1">
        <v>0</v>
      </c>
      <c r="F1137" s="1">
        <v>-688.56</v>
      </c>
      <c r="G1137" s="1">
        <v>-13633.487999999999</v>
      </c>
      <c r="H1137" s="1">
        <v>6120.5330000000004</v>
      </c>
      <c r="I1137" s="1">
        <v>0</v>
      </c>
    </row>
    <row r="1138" spans="1:9" hidden="1" x14ac:dyDescent="0.25">
      <c r="A1138" s="1" t="s">
        <v>24</v>
      </c>
      <c r="B1138" s="1" t="s">
        <v>175</v>
      </c>
      <c r="C1138" s="1" t="s">
        <v>25</v>
      </c>
      <c r="D1138" s="1">
        <v>0</v>
      </c>
      <c r="E1138" s="1">
        <v>0</v>
      </c>
      <c r="F1138" s="1">
        <v>-688.56</v>
      </c>
      <c r="G1138" s="1">
        <v>-11154.672</v>
      </c>
      <c r="H1138" s="1">
        <v>3366.2930000000001</v>
      </c>
      <c r="I1138" s="1">
        <v>0</v>
      </c>
    </row>
    <row r="1139" spans="1:9" hidden="1" x14ac:dyDescent="0.25">
      <c r="A1139" s="1" t="s">
        <v>24</v>
      </c>
      <c r="B1139" s="1" t="s">
        <v>175</v>
      </c>
      <c r="C1139" s="1" t="s">
        <v>10</v>
      </c>
      <c r="D1139" s="1">
        <v>0</v>
      </c>
      <c r="E1139" s="1">
        <v>0</v>
      </c>
      <c r="F1139" s="1">
        <v>-688.56</v>
      </c>
      <c r="G1139" s="1">
        <v>-11154.672</v>
      </c>
      <c r="H1139" s="1">
        <v>6120.5330000000004</v>
      </c>
      <c r="I1139" s="1">
        <v>0</v>
      </c>
    </row>
    <row r="1140" spans="1:9" hidden="1" x14ac:dyDescent="0.25">
      <c r="A1140" s="1" t="s">
        <v>24</v>
      </c>
      <c r="B1140" s="1" t="s">
        <v>176</v>
      </c>
      <c r="C1140" s="1" t="s">
        <v>25</v>
      </c>
      <c r="D1140" s="1">
        <v>0</v>
      </c>
      <c r="E1140" s="1">
        <v>0</v>
      </c>
      <c r="F1140" s="1">
        <v>688.56</v>
      </c>
      <c r="G1140" s="1">
        <v>13633.487999999999</v>
      </c>
      <c r="H1140" s="1">
        <v>-3366.2930000000001</v>
      </c>
      <c r="I1140" s="1">
        <v>0</v>
      </c>
    </row>
    <row r="1141" spans="1:9" hidden="1" x14ac:dyDescent="0.25">
      <c r="A1141" s="1" t="s">
        <v>24</v>
      </c>
      <c r="B1141" s="1" t="s">
        <v>176</v>
      </c>
      <c r="C1141" s="1" t="s">
        <v>10</v>
      </c>
      <c r="D1141" s="1">
        <v>0</v>
      </c>
      <c r="E1141" s="1">
        <v>0</v>
      </c>
      <c r="F1141" s="1">
        <v>688.56</v>
      </c>
      <c r="G1141" s="1">
        <v>13633.487999999999</v>
      </c>
      <c r="H1141" s="1">
        <v>-6120.5330000000004</v>
      </c>
      <c r="I1141" s="1">
        <v>0</v>
      </c>
    </row>
    <row r="1142" spans="1:9" hidden="1" x14ac:dyDescent="0.25">
      <c r="A1142" s="1" t="s">
        <v>24</v>
      </c>
      <c r="B1142" s="1" t="s">
        <v>177</v>
      </c>
      <c r="C1142" s="1" t="s">
        <v>25</v>
      </c>
      <c r="D1142" s="1">
        <v>0</v>
      </c>
      <c r="E1142" s="1">
        <v>0</v>
      </c>
      <c r="F1142" s="1">
        <v>688.56</v>
      </c>
      <c r="G1142" s="1">
        <v>11154.672</v>
      </c>
      <c r="H1142" s="1">
        <v>-3366.2930000000001</v>
      </c>
      <c r="I1142" s="1">
        <v>0</v>
      </c>
    </row>
    <row r="1143" spans="1:9" hidden="1" x14ac:dyDescent="0.25">
      <c r="A1143" s="1" t="s">
        <v>24</v>
      </c>
      <c r="B1143" s="1" t="s">
        <v>177</v>
      </c>
      <c r="C1143" s="1" t="s">
        <v>10</v>
      </c>
      <c r="D1143" s="1">
        <v>0</v>
      </c>
      <c r="E1143" s="1">
        <v>0</v>
      </c>
      <c r="F1143" s="1">
        <v>688.56</v>
      </c>
      <c r="G1143" s="1">
        <v>11154.672</v>
      </c>
      <c r="H1143" s="1">
        <v>-6120.5330000000004</v>
      </c>
      <c r="I1143" s="1">
        <v>0</v>
      </c>
    </row>
    <row r="1144" spans="1:9" hidden="1" x14ac:dyDescent="0.25">
      <c r="A1144" s="1" t="s">
        <v>24</v>
      </c>
      <c r="B1144" s="1" t="s">
        <v>178</v>
      </c>
      <c r="C1144" s="1" t="s">
        <v>25</v>
      </c>
      <c r="D1144" s="1">
        <v>0</v>
      </c>
      <c r="E1144" s="1">
        <v>-170.89</v>
      </c>
      <c r="F1144" s="1">
        <v>0</v>
      </c>
      <c r="G1144" s="1">
        <v>2819.7339999999999</v>
      </c>
      <c r="H1144" s="1">
        <v>0</v>
      </c>
      <c r="I1144" s="1">
        <v>-835.47699999999998</v>
      </c>
    </row>
    <row r="1145" spans="1:9" hidden="1" x14ac:dyDescent="0.25">
      <c r="A1145" s="1" t="s">
        <v>24</v>
      </c>
      <c r="B1145" s="1" t="s">
        <v>178</v>
      </c>
      <c r="C1145" s="1" t="s">
        <v>10</v>
      </c>
      <c r="D1145" s="1">
        <v>0</v>
      </c>
      <c r="E1145" s="1">
        <v>-170.89</v>
      </c>
      <c r="F1145" s="1">
        <v>0</v>
      </c>
      <c r="G1145" s="1">
        <v>2819.7339999999999</v>
      </c>
      <c r="H1145" s="1">
        <v>0</v>
      </c>
      <c r="I1145" s="1">
        <v>-1519.049</v>
      </c>
    </row>
    <row r="1146" spans="1:9" hidden="1" x14ac:dyDescent="0.25">
      <c r="A1146" s="1" t="s">
        <v>24</v>
      </c>
      <c r="B1146" s="1" t="s">
        <v>179</v>
      </c>
      <c r="C1146" s="1" t="s">
        <v>25</v>
      </c>
      <c r="D1146" s="1">
        <v>0</v>
      </c>
      <c r="E1146" s="1">
        <v>-170.89</v>
      </c>
      <c r="F1146" s="1">
        <v>0</v>
      </c>
      <c r="G1146" s="1">
        <v>2307.0549999999998</v>
      </c>
      <c r="H1146" s="1">
        <v>0</v>
      </c>
      <c r="I1146" s="1">
        <v>-835.47699999999998</v>
      </c>
    </row>
    <row r="1147" spans="1:9" hidden="1" x14ac:dyDescent="0.25">
      <c r="A1147" s="1" t="s">
        <v>24</v>
      </c>
      <c r="B1147" s="1" t="s">
        <v>179</v>
      </c>
      <c r="C1147" s="1" t="s">
        <v>10</v>
      </c>
      <c r="D1147" s="1">
        <v>0</v>
      </c>
      <c r="E1147" s="1">
        <v>-170.89</v>
      </c>
      <c r="F1147" s="1">
        <v>0</v>
      </c>
      <c r="G1147" s="1">
        <v>2307.0549999999998</v>
      </c>
      <c r="H1147" s="1">
        <v>0</v>
      </c>
      <c r="I1147" s="1">
        <v>-1519.049</v>
      </c>
    </row>
    <row r="1148" spans="1:9" hidden="1" x14ac:dyDescent="0.25">
      <c r="A1148" s="1" t="s">
        <v>24</v>
      </c>
      <c r="B1148" s="1" t="s">
        <v>180</v>
      </c>
      <c r="C1148" s="1" t="s">
        <v>25</v>
      </c>
      <c r="D1148" s="1">
        <v>0</v>
      </c>
      <c r="E1148" s="1">
        <v>170.89</v>
      </c>
      <c r="F1148" s="1">
        <v>0</v>
      </c>
      <c r="G1148" s="1">
        <v>-2819.7339999999999</v>
      </c>
      <c r="H1148" s="1">
        <v>0</v>
      </c>
      <c r="I1148" s="1">
        <v>835.47699999999998</v>
      </c>
    </row>
    <row r="1149" spans="1:9" hidden="1" x14ac:dyDescent="0.25">
      <c r="A1149" s="1" t="s">
        <v>24</v>
      </c>
      <c r="B1149" s="1" t="s">
        <v>180</v>
      </c>
      <c r="C1149" s="1" t="s">
        <v>10</v>
      </c>
      <c r="D1149" s="1">
        <v>0</v>
      </c>
      <c r="E1149" s="1">
        <v>170.89</v>
      </c>
      <c r="F1149" s="1">
        <v>0</v>
      </c>
      <c r="G1149" s="1">
        <v>-2819.7339999999999</v>
      </c>
      <c r="H1149" s="1">
        <v>0</v>
      </c>
      <c r="I1149" s="1">
        <v>1519.049</v>
      </c>
    </row>
    <row r="1150" spans="1:9" hidden="1" x14ac:dyDescent="0.25">
      <c r="A1150" s="1" t="s">
        <v>24</v>
      </c>
      <c r="B1150" s="1" t="s">
        <v>181</v>
      </c>
      <c r="C1150" s="1" t="s">
        <v>25</v>
      </c>
      <c r="D1150" s="1">
        <v>0</v>
      </c>
      <c r="E1150" s="1">
        <v>170.89</v>
      </c>
      <c r="F1150" s="1">
        <v>0</v>
      </c>
      <c r="G1150" s="1">
        <v>-2307.0549999999998</v>
      </c>
      <c r="H1150" s="1">
        <v>0</v>
      </c>
      <c r="I1150" s="1">
        <v>835.47699999999998</v>
      </c>
    </row>
    <row r="1151" spans="1:9" hidden="1" x14ac:dyDescent="0.25">
      <c r="A1151" s="1" t="s">
        <v>24</v>
      </c>
      <c r="B1151" s="1" t="s">
        <v>181</v>
      </c>
      <c r="C1151" s="1" t="s">
        <v>10</v>
      </c>
      <c r="D1151" s="1">
        <v>0</v>
      </c>
      <c r="E1151" s="1">
        <v>170.89</v>
      </c>
      <c r="F1151" s="1">
        <v>0</v>
      </c>
      <c r="G1151" s="1">
        <v>-2307.0549999999998</v>
      </c>
      <c r="H1151" s="1">
        <v>0</v>
      </c>
      <c r="I1151" s="1">
        <v>1519.049</v>
      </c>
    </row>
    <row r="1152" spans="1:9" hidden="1" x14ac:dyDescent="0.25">
      <c r="A1152" s="1" t="s">
        <v>24</v>
      </c>
      <c r="B1152" s="1" t="s">
        <v>182</v>
      </c>
      <c r="C1152" s="1" t="s">
        <v>25</v>
      </c>
      <c r="D1152" s="1">
        <v>0</v>
      </c>
      <c r="E1152" s="1">
        <v>0</v>
      </c>
      <c r="F1152" s="1">
        <v>-206.57</v>
      </c>
      <c r="G1152" s="1">
        <v>-4090.0459999999998</v>
      </c>
      <c r="H1152" s="1">
        <v>1009.888</v>
      </c>
      <c r="I1152" s="1">
        <v>0</v>
      </c>
    </row>
    <row r="1153" spans="1:9" hidden="1" x14ac:dyDescent="0.25">
      <c r="A1153" s="1" t="s">
        <v>24</v>
      </c>
      <c r="B1153" s="1" t="s">
        <v>182</v>
      </c>
      <c r="C1153" s="1" t="s">
        <v>10</v>
      </c>
      <c r="D1153" s="1">
        <v>0</v>
      </c>
      <c r="E1153" s="1">
        <v>0</v>
      </c>
      <c r="F1153" s="1">
        <v>-206.57</v>
      </c>
      <c r="G1153" s="1">
        <v>-4090.0459999999998</v>
      </c>
      <c r="H1153" s="1">
        <v>1836.16</v>
      </c>
      <c r="I1153" s="1">
        <v>0</v>
      </c>
    </row>
    <row r="1154" spans="1:9" hidden="1" x14ac:dyDescent="0.25">
      <c r="A1154" s="1" t="s">
        <v>24</v>
      </c>
      <c r="B1154" s="1" t="s">
        <v>183</v>
      </c>
      <c r="C1154" s="1" t="s">
        <v>25</v>
      </c>
      <c r="D1154" s="1">
        <v>0</v>
      </c>
      <c r="E1154" s="1">
        <v>0</v>
      </c>
      <c r="F1154" s="1">
        <v>-206.57</v>
      </c>
      <c r="G1154" s="1">
        <v>-3346.4009999999998</v>
      </c>
      <c r="H1154" s="1">
        <v>1009.888</v>
      </c>
      <c r="I1154" s="1">
        <v>0</v>
      </c>
    </row>
    <row r="1155" spans="1:9" hidden="1" x14ac:dyDescent="0.25">
      <c r="A1155" s="1" t="s">
        <v>24</v>
      </c>
      <c r="B1155" s="1" t="s">
        <v>183</v>
      </c>
      <c r="C1155" s="1" t="s">
        <v>10</v>
      </c>
      <c r="D1155" s="1">
        <v>0</v>
      </c>
      <c r="E1155" s="1">
        <v>0</v>
      </c>
      <c r="F1155" s="1">
        <v>-206.57</v>
      </c>
      <c r="G1155" s="1">
        <v>-3346.4009999999998</v>
      </c>
      <c r="H1155" s="1">
        <v>1836.16</v>
      </c>
      <c r="I1155" s="1">
        <v>0</v>
      </c>
    </row>
    <row r="1156" spans="1:9" hidden="1" x14ac:dyDescent="0.25">
      <c r="A1156" s="1" t="s">
        <v>24</v>
      </c>
      <c r="B1156" s="1" t="s">
        <v>184</v>
      </c>
      <c r="C1156" s="1" t="s">
        <v>25</v>
      </c>
      <c r="D1156" s="1">
        <v>0</v>
      </c>
      <c r="E1156" s="1">
        <v>0</v>
      </c>
      <c r="F1156" s="1">
        <v>206.57</v>
      </c>
      <c r="G1156" s="1">
        <v>4090.0459999999998</v>
      </c>
      <c r="H1156" s="1">
        <v>-1009.888</v>
      </c>
      <c r="I1156" s="1">
        <v>0</v>
      </c>
    </row>
    <row r="1157" spans="1:9" hidden="1" x14ac:dyDescent="0.25">
      <c r="A1157" s="1" t="s">
        <v>24</v>
      </c>
      <c r="B1157" s="1" t="s">
        <v>184</v>
      </c>
      <c r="C1157" s="1" t="s">
        <v>10</v>
      </c>
      <c r="D1157" s="1">
        <v>0</v>
      </c>
      <c r="E1157" s="1">
        <v>0</v>
      </c>
      <c r="F1157" s="1">
        <v>206.57</v>
      </c>
      <c r="G1157" s="1">
        <v>4090.0459999999998</v>
      </c>
      <c r="H1157" s="1">
        <v>-1836.16</v>
      </c>
      <c r="I1157" s="1">
        <v>0</v>
      </c>
    </row>
    <row r="1158" spans="1:9" hidden="1" x14ac:dyDescent="0.25">
      <c r="A1158" s="1" t="s">
        <v>24</v>
      </c>
      <c r="B1158" s="1" t="s">
        <v>185</v>
      </c>
      <c r="C1158" s="1" t="s">
        <v>25</v>
      </c>
      <c r="D1158" s="1">
        <v>0</v>
      </c>
      <c r="E1158" s="1">
        <v>0</v>
      </c>
      <c r="F1158" s="1">
        <v>206.57</v>
      </c>
      <c r="G1158" s="1">
        <v>3346.4009999999998</v>
      </c>
      <c r="H1158" s="1">
        <v>-1009.888</v>
      </c>
      <c r="I1158" s="1">
        <v>0</v>
      </c>
    </row>
    <row r="1159" spans="1:9" hidden="1" x14ac:dyDescent="0.25">
      <c r="A1159" s="1" t="s">
        <v>24</v>
      </c>
      <c r="B1159" s="1" t="s">
        <v>185</v>
      </c>
      <c r="C1159" s="1" t="s">
        <v>10</v>
      </c>
      <c r="D1159" s="1">
        <v>0</v>
      </c>
      <c r="E1159" s="1">
        <v>0</v>
      </c>
      <c r="F1159" s="1">
        <v>206.57</v>
      </c>
      <c r="G1159" s="1">
        <v>3346.4009999999998</v>
      </c>
      <c r="H1159" s="1">
        <v>-1836.16</v>
      </c>
      <c r="I1159" s="1">
        <v>0</v>
      </c>
    </row>
    <row r="1160" spans="1:9" hidden="1" x14ac:dyDescent="0.25">
      <c r="A1160" s="1" t="s">
        <v>24</v>
      </c>
      <c r="B1160" s="1" t="s">
        <v>186</v>
      </c>
      <c r="C1160" s="1" t="s">
        <v>25</v>
      </c>
      <c r="D1160" s="1">
        <v>0</v>
      </c>
      <c r="E1160" s="1">
        <v>-170.89</v>
      </c>
      <c r="F1160" s="1">
        <v>0</v>
      </c>
      <c r="G1160" s="1">
        <v>2819.7339999999999</v>
      </c>
      <c r="H1160" s="1">
        <v>0</v>
      </c>
      <c r="I1160" s="1">
        <v>-835.47699999999998</v>
      </c>
    </row>
    <row r="1161" spans="1:9" hidden="1" x14ac:dyDescent="0.25">
      <c r="A1161" s="1" t="s">
        <v>24</v>
      </c>
      <c r="B1161" s="1" t="s">
        <v>186</v>
      </c>
      <c r="C1161" s="1" t="s">
        <v>10</v>
      </c>
      <c r="D1161" s="1">
        <v>0</v>
      </c>
      <c r="E1161" s="1">
        <v>-170.89</v>
      </c>
      <c r="F1161" s="1">
        <v>0</v>
      </c>
      <c r="G1161" s="1">
        <v>2819.7339999999999</v>
      </c>
      <c r="H1161" s="1">
        <v>0</v>
      </c>
      <c r="I1161" s="1">
        <v>-1519.049</v>
      </c>
    </row>
    <row r="1162" spans="1:9" hidden="1" x14ac:dyDescent="0.25">
      <c r="A1162" s="1" t="s">
        <v>24</v>
      </c>
      <c r="B1162" s="1" t="s">
        <v>187</v>
      </c>
      <c r="C1162" s="1" t="s">
        <v>25</v>
      </c>
      <c r="D1162" s="1">
        <v>0</v>
      </c>
      <c r="E1162" s="1">
        <v>-170.89</v>
      </c>
      <c r="F1162" s="1">
        <v>0</v>
      </c>
      <c r="G1162" s="1">
        <v>2307.0549999999998</v>
      </c>
      <c r="H1162" s="1">
        <v>0</v>
      </c>
      <c r="I1162" s="1">
        <v>-835.47699999999998</v>
      </c>
    </row>
    <row r="1163" spans="1:9" hidden="1" x14ac:dyDescent="0.25">
      <c r="A1163" s="1" t="s">
        <v>24</v>
      </c>
      <c r="B1163" s="1" t="s">
        <v>187</v>
      </c>
      <c r="C1163" s="1" t="s">
        <v>10</v>
      </c>
      <c r="D1163" s="1">
        <v>0</v>
      </c>
      <c r="E1163" s="1">
        <v>-170.89</v>
      </c>
      <c r="F1163" s="1">
        <v>0</v>
      </c>
      <c r="G1163" s="1">
        <v>2307.0549999999998</v>
      </c>
      <c r="H1163" s="1">
        <v>0</v>
      </c>
      <c r="I1163" s="1">
        <v>-1519.049</v>
      </c>
    </row>
    <row r="1164" spans="1:9" hidden="1" x14ac:dyDescent="0.25">
      <c r="A1164" s="1" t="s">
        <v>24</v>
      </c>
      <c r="B1164" s="1" t="s">
        <v>188</v>
      </c>
      <c r="C1164" s="1" t="s">
        <v>25</v>
      </c>
      <c r="D1164" s="1">
        <v>0</v>
      </c>
      <c r="E1164" s="1">
        <v>170.89</v>
      </c>
      <c r="F1164" s="1">
        <v>0</v>
      </c>
      <c r="G1164" s="1">
        <v>-2819.7339999999999</v>
      </c>
      <c r="H1164" s="1">
        <v>0</v>
      </c>
      <c r="I1164" s="1">
        <v>835.47699999999998</v>
      </c>
    </row>
    <row r="1165" spans="1:9" hidden="1" x14ac:dyDescent="0.25">
      <c r="A1165" s="1" t="s">
        <v>24</v>
      </c>
      <c r="B1165" s="1" t="s">
        <v>188</v>
      </c>
      <c r="C1165" s="1" t="s">
        <v>10</v>
      </c>
      <c r="D1165" s="1">
        <v>0</v>
      </c>
      <c r="E1165" s="1">
        <v>170.89</v>
      </c>
      <c r="F1165" s="1">
        <v>0</v>
      </c>
      <c r="G1165" s="1">
        <v>-2819.7339999999999</v>
      </c>
      <c r="H1165" s="1">
        <v>0</v>
      </c>
      <c r="I1165" s="1">
        <v>1519.049</v>
      </c>
    </row>
    <row r="1166" spans="1:9" hidden="1" x14ac:dyDescent="0.25">
      <c r="A1166" s="1" t="s">
        <v>24</v>
      </c>
      <c r="B1166" s="1" t="s">
        <v>189</v>
      </c>
      <c r="C1166" s="1" t="s">
        <v>25</v>
      </c>
      <c r="D1166" s="1">
        <v>0</v>
      </c>
      <c r="E1166" s="1">
        <v>170.89</v>
      </c>
      <c r="F1166" s="1">
        <v>0</v>
      </c>
      <c r="G1166" s="1">
        <v>-2307.0549999999998</v>
      </c>
      <c r="H1166" s="1">
        <v>0</v>
      </c>
      <c r="I1166" s="1">
        <v>835.47699999999998</v>
      </c>
    </row>
    <row r="1167" spans="1:9" hidden="1" x14ac:dyDescent="0.25">
      <c r="A1167" s="1" t="s">
        <v>24</v>
      </c>
      <c r="B1167" s="1" t="s">
        <v>189</v>
      </c>
      <c r="C1167" s="1" t="s">
        <v>10</v>
      </c>
      <c r="D1167" s="1">
        <v>0</v>
      </c>
      <c r="E1167" s="1">
        <v>170.89</v>
      </c>
      <c r="F1167" s="1">
        <v>0</v>
      </c>
      <c r="G1167" s="1">
        <v>-2307.0549999999998</v>
      </c>
      <c r="H1167" s="1">
        <v>0</v>
      </c>
      <c r="I1167" s="1">
        <v>1519.049</v>
      </c>
    </row>
    <row r="1168" spans="1:9" hidden="1" x14ac:dyDescent="0.25">
      <c r="A1168" s="1" t="s">
        <v>24</v>
      </c>
      <c r="B1168" s="1" t="s">
        <v>190</v>
      </c>
      <c r="C1168" s="1" t="s">
        <v>25</v>
      </c>
      <c r="D1168" s="1">
        <v>0</v>
      </c>
      <c r="E1168" s="1">
        <v>0</v>
      </c>
      <c r="F1168" s="1">
        <v>-206.57</v>
      </c>
      <c r="G1168" s="1">
        <v>-4090.0459999999998</v>
      </c>
      <c r="H1168" s="1">
        <v>1009.888</v>
      </c>
      <c r="I1168" s="1">
        <v>0</v>
      </c>
    </row>
    <row r="1169" spans="1:9" hidden="1" x14ac:dyDescent="0.25">
      <c r="A1169" s="1" t="s">
        <v>24</v>
      </c>
      <c r="B1169" s="1" t="s">
        <v>190</v>
      </c>
      <c r="C1169" s="1" t="s">
        <v>10</v>
      </c>
      <c r="D1169" s="1">
        <v>0</v>
      </c>
      <c r="E1169" s="1">
        <v>0</v>
      </c>
      <c r="F1169" s="1">
        <v>-206.57</v>
      </c>
      <c r="G1169" s="1">
        <v>-4090.0459999999998</v>
      </c>
      <c r="H1169" s="1">
        <v>1836.16</v>
      </c>
      <c r="I1169" s="1">
        <v>0</v>
      </c>
    </row>
    <row r="1170" spans="1:9" hidden="1" x14ac:dyDescent="0.25">
      <c r="A1170" s="1" t="s">
        <v>24</v>
      </c>
      <c r="B1170" s="1" t="s">
        <v>191</v>
      </c>
      <c r="C1170" s="1" t="s">
        <v>25</v>
      </c>
      <c r="D1170" s="1">
        <v>0</v>
      </c>
      <c r="E1170" s="1">
        <v>0</v>
      </c>
      <c r="F1170" s="1">
        <v>-206.57</v>
      </c>
      <c r="G1170" s="1">
        <v>-3346.4009999999998</v>
      </c>
      <c r="H1170" s="1">
        <v>1009.888</v>
      </c>
      <c r="I1170" s="1">
        <v>0</v>
      </c>
    </row>
    <row r="1171" spans="1:9" hidden="1" x14ac:dyDescent="0.25">
      <c r="A1171" s="1" t="s">
        <v>24</v>
      </c>
      <c r="B1171" s="1" t="s">
        <v>191</v>
      </c>
      <c r="C1171" s="1" t="s">
        <v>10</v>
      </c>
      <c r="D1171" s="1">
        <v>0</v>
      </c>
      <c r="E1171" s="1">
        <v>0</v>
      </c>
      <c r="F1171" s="1">
        <v>-206.57</v>
      </c>
      <c r="G1171" s="1">
        <v>-3346.4009999999998</v>
      </c>
      <c r="H1171" s="1">
        <v>1836.16</v>
      </c>
      <c r="I1171" s="1">
        <v>0</v>
      </c>
    </row>
    <row r="1172" spans="1:9" hidden="1" x14ac:dyDescent="0.25">
      <c r="A1172" s="1" t="s">
        <v>24</v>
      </c>
      <c r="B1172" s="1" t="s">
        <v>192</v>
      </c>
      <c r="C1172" s="1" t="s">
        <v>25</v>
      </c>
      <c r="D1172" s="1">
        <v>0</v>
      </c>
      <c r="E1172" s="1">
        <v>0</v>
      </c>
      <c r="F1172" s="1">
        <v>206.57</v>
      </c>
      <c r="G1172" s="1">
        <v>4090.0459999999998</v>
      </c>
      <c r="H1172" s="1">
        <v>-1009.888</v>
      </c>
      <c r="I1172" s="1">
        <v>0</v>
      </c>
    </row>
    <row r="1173" spans="1:9" hidden="1" x14ac:dyDescent="0.25">
      <c r="A1173" s="1" t="s">
        <v>24</v>
      </c>
      <c r="B1173" s="1" t="s">
        <v>192</v>
      </c>
      <c r="C1173" s="1" t="s">
        <v>10</v>
      </c>
      <c r="D1173" s="1">
        <v>0</v>
      </c>
      <c r="E1173" s="1">
        <v>0</v>
      </c>
      <c r="F1173" s="1">
        <v>206.57</v>
      </c>
      <c r="G1173" s="1">
        <v>4090.0459999999998</v>
      </c>
      <c r="H1173" s="1">
        <v>-1836.16</v>
      </c>
      <c r="I1173" s="1">
        <v>0</v>
      </c>
    </row>
    <row r="1174" spans="1:9" hidden="1" x14ac:dyDescent="0.25">
      <c r="A1174" s="1" t="s">
        <v>24</v>
      </c>
      <c r="B1174" s="1" t="s">
        <v>193</v>
      </c>
      <c r="C1174" s="1" t="s">
        <v>25</v>
      </c>
      <c r="D1174" s="1">
        <v>0</v>
      </c>
      <c r="E1174" s="1">
        <v>0</v>
      </c>
      <c r="F1174" s="1">
        <v>206.57</v>
      </c>
      <c r="G1174" s="1">
        <v>3346.4009999999998</v>
      </c>
      <c r="H1174" s="1">
        <v>-1009.888</v>
      </c>
      <c r="I1174" s="1">
        <v>0</v>
      </c>
    </row>
    <row r="1175" spans="1:9" hidden="1" x14ac:dyDescent="0.25">
      <c r="A1175" s="1" t="s">
        <v>24</v>
      </c>
      <c r="B1175" s="1" t="s">
        <v>193</v>
      </c>
      <c r="C1175" s="1" t="s">
        <v>10</v>
      </c>
      <c r="D1175" s="1">
        <v>0</v>
      </c>
      <c r="E1175" s="1">
        <v>0</v>
      </c>
      <c r="F1175" s="1">
        <v>206.57</v>
      </c>
      <c r="G1175" s="1">
        <v>3346.4009999999998</v>
      </c>
      <c r="H1175" s="1">
        <v>-1836.16</v>
      </c>
      <c r="I1175" s="1">
        <v>0</v>
      </c>
    </row>
    <row r="1176" spans="1:9" hidden="1" x14ac:dyDescent="0.25">
      <c r="A1176" s="1" t="s">
        <v>24</v>
      </c>
      <c r="B1176" s="1" t="s">
        <v>194</v>
      </c>
      <c r="C1176" s="1" t="s">
        <v>25</v>
      </c>
      <c r="D1176" s="1">
        <v>0</v>
      </c>
      <c r="E1176" s="1">
        <v>-569.64</v>
      </c>
      <c r="F1176" s="1">
        <v>0</v>
      </c>
      <c r="G1176" s="1">
        <v>9399.1149999999998</v>
      </c>
      <c r="H1176" s="1">
        <v>0</v>
      </c>
      <c r="I1176" s="1">
        <v>-2784.9229999999998</v>
      </c>
    </row>
    <row r="1177" spans="1:9" hidden="1" x14ac:dyDescent="0.25">
      <c r="A1177" s="1" t="s">
        <v>24</v>
      </c>
      <c r="B1177" s="1" t="s">
        <v>194</v>
      </c>
      <c r="C1177" s="1" t="s">
        <v>10</v>
      </c>
      <c r="D1177" s="1">
        <v>0</v>
      </c>
      <c r="E1177" s="1">
        <v>-569.64</v>
      </c>
      <c r="F1177" s="1">
        <v>0</v>
      </c>
      <c r="G1177" s="1">
        <v>9399.1149999999998</v>
      </c>
      <c r="H1177" s="1">
        <v>0</v>
      </c>
      <c r="I1177" s="1">
        <v>-5063.4960000000001</v>
      </c>
    </row>
    <row r="1178" spans="1:9" hidden="1" x14ac:dyDescent="0.25">
      <c r="A1178" s="1" t="s">
        <v>24</v>
      </c>
      <c r="B1178" s="1" t="s">
        <v>195</v>
      </c>
      <c r="C1178" s="1" t="s">
        <v>25</v>
      </c>
      <c r="D1178" s="1">
        <v>0</v>
      </c>
      <c r="E1178" s="1">
        <v>-569.64</v>
      </c>
      <c r="F1178" s="1">
        <v>0</v>
      </c>
      <c r="G1178" s="1">
        <v>7690.1850000000004</v>
      </c>
      <c r="H1178" s="1">
        <v>0</v>
      </c>
      <c r="I1178" s="1">
        <v>-2784.9229999999998</v>
      </c>
    </row>
    <row r="1179" spans="1:9" hidden="1" x14ac:dyDescent="0.25">
      <c r="A1179" s="1" t="s">
        <v>24</v>
      </c>
      <c r="B1179" s="1" t="s">
        <v>195</v>
      </c>
      <c r="C1179" s="1" t="s">
        <v>10</v>
      </c>
      <c r="D1179" s="1">
        <v>0</v>
      </c>
      <c r="E1179" s="1">
        <v>-569.64</v>
      </c>
      <c r="F1179" s="1">
        <v>0</v>
      </c>
      <c r="G1179" s="1">
        <v>7690.1850000000004</v>
      </c>
      <c r="H1179" s="1">
        <v>0</v>
      </c>
      <c r="I1179" s="1">
        <v>-5063.4960000000001</v>
      </c>
    </row>
    <row r="1180" spans="1:9" hidden="1" x14ac:dyDescent="0.25">
      <c r="A1180" s="1" t="s">
        <v>24</v>
      </c>
      <c r="B1180" s="1" t="s">
        <v>196</v>
      </c>
      <c r="C1180" s="1" t="s">
        <v>25</v>
      </c>
      <c r="D1180" s="1">
        <v>0</v>
      </c>
      <c r="E1180" s="1">
        <v>569.64</v>
      </c>
      <c r="F1180" s="1">
        <v>0</v>
      </c>
      <c r="G1180" s="1">
        <v>-9399.1149999999998</v>
      </c>
      <c r="H1180" s="1">
        <v>0</v>
      </c>
      <c r="I1180" s="1">
        <v>2784.9229999999998</v>
      </c>
    </row>
    <row r="1181" spans="1:9" hidden="1" x14ac:dyDescent="0.25">
      <c r="A1181" s="1" t="s">
        <v>24</v>
      </c>
      <c r="B1181" s="1" t="s">
        <v>196</v>
      </c>
      <c r="C1181" s="1" t="s">
        <v>10</v>
      </c>
      <c r="D1181" s="1">
        <v>0</v>
      </c>
      <c r="E1181" s="1">
        <v>569.64</v>
      </c>
      <c r="F1181" s="1">
        <v>0</v>
      </c>
      <c r="G1181" s="1">
        <v>-9399.1149999999998</v>
      </c>
      <c r="H1181" s="1">
        <v>0</v>
      </c>
      <c r="I1181" s="1">
        <v>5063.4960000000001</v>
      </c>
    </row>
    <row r="1182" spans="1:9" hidden="1" x14ac:dyDescent="0.25">
      <c r="A1182" s="1" t="s">
        <v>24</v>
      </c>
      <c r="B1182" s="1" t="s">
        <v>197</v>
      </c>
      <c r="C1182" s="1" t="s">
        <v>25</v>
      </c>
      <c r="D1182" s="1">
        <v>0</v>
      </c>
      <c r="E1182" s="1">
        <v>569.64</v>
      </c>
      <c r="F1182" s="1">
        <v>0</v>
      </c>
      <c r="G1182" s="1">
        <v>-7690.1850000000004</v>
      </c>
      <c r="H1182" s="1">
        <v>0</v>
      </c>
      <c r="I1182" s="1">
        <v>2784.9229999999998</v>
      </c>
    </row>
    <row r="1183" spans="1:9" hidden="1" x14ac:dyDescent="0.25">
      <c r="A1183" s="1" t="s">
        <v>24</v>
      </c>
      <c r="B1183" s="1" t="s">
        <v>197</v>
      </c>
      <c r="C1183" s="1" t="s">
        <v>10</v>
      </c>
      <c r="D1183" s="1">
        <v>0</v>
      </c>
      <c r="E1183" s="1">
        <v>569.64</v>
      </c>
      <c r="F1183" s="1">
        <v>0</v>
      </c>
      <c r="G1183" s="1">
        <v>-7690.1850000000004</v>
      </c>
      <c r="H1183" s="1">
        <v>0</v>
      </c>
      <c r="I1183" s="1">
        <v>5063.4960000000001</v>
      </c>
    </row>
    <row r="1184" spans="1:9" hidden="1" x14ac:dyDescent="0.25">
      <c r="A1184" s="1" t="s">
        <v>24</v>
      </c>
      <c r="B1184" s="1" t="s">
        <v>198</v>
      </c>
      <c r="C1184" s="1" t="s">
        <v>25</v>
      </c>
      <c r="D1184" s="1">
        <v>0</v>
      </c>
      <c r="E1184" s="1">
        <v>0</v>
      </c>
      <c r="F1184" s="1">
        <v>-688.56</v>
      </c>
      <c r="G1184" s="1">
        <v>-13633.487999999999</v>
      </c>
      <c r="H1184" s="1">
        <v>3366.2930000000001</v>
      </c>
      <c r="I1184" s="1">
        <v>0</v>
      </c>
    </row>
    <row r="1185" spans="1:9" hidden="1" x14ac:dyDescent="0.25">
      <c r="A1185" s="1" t="s">
        <v>24</v>
      </c>
      <c r="B1185" s="1" t="s">
        <v>198</v>
      </c>
      <c r="C1185" s="1" t="s">
        <v>10</v>
      </c>
      <c r="D1185" s="1">
        <v>0</v>
      </c>
      <c r="E1185" s="1">
        <v>0</v>
      </c>
      <c r="F1185" s="1">
        <v>-688.56</v>
      </c>
      <c r="G1185" s="1">
        <v>-13633.487999999999</v>
      </c>
      <c r="H1185" s="1">
        <v>6120.5330000000004</v>
      </c>
      <c r="I1185" s="1">
        <v>0</v>
      </c>
    </row>
    <row r="1186" spans="1:9" hidden="1" x14ac:dyDescent="0.25">
      <c r="A1186" s="1" t="s">
        <v>24</v>
      </c>
      <c r="B1186" s="1" t="s">
        <v>199</v>
      </c>
      <c r="C1186" s="1" t="s">
        <v>25</v>
      </c>
      <c r="D1186" s="1">
        <v>0</v>
      </c>
      <c r="E1186" s="1">
        <v>0</v>
      </c>
      <c r="F1186" s="1">
        <v>-688.56</v>
      </c>
      <c r="G1186" s="1">
        <v>-11154.672</v>
      </c>
      <c r="H1186" s="1">
        <v>3366.2930000000001</v>
      </c>
      <c r="I1186" s="1">
        <v>0</v>
      </c>
    </row>
    <row r="1187" spans="1:9" hidden="1" x14ac:dyDescent="0.25">
      <c r="A1187" s="1" t="s">
        <v>24</v>
      </c>
      <c r="B1187" s="1" t="s">
        <v>199</v>
      </c>
      <c r="C1187" s="1" t="s">
        <v>10</v>
      </c>
      <c r="D1187" s="1">
        <v>0</v>
      </c>
      <c r="E1187" s="1">
        <v>0</v>
      </c>
      <c r="F1187" s="1">
        <v>-688.56</v>
      </c>
      <c r="G1187" s="1">
        <v>-11154.672</v>
      </c>
      <c r="H1187" s="1">
        <v>6120.5330000000004</v>
      </c>
      <c r="I1187" s="1">
        <v>0</v>
      </c>
    </row>
    <row r="1188" spans="1:9" hidden="1" x14ac:dyDescent="0.25">
      <c r="A1188" s="1" t="s">
        <v>24</v>
      </c>
      <c r="B1188" s="1" t="s">
        <v>200</v>
      </c>
      <c r="C1188" s="1" t="s">
        <v>25</v>
      </c>
      <c r="D1188" s="1">
        <v>0</v>
      </c>
      <c r="E1188" s="1">
        <v>0</v>
      </c>
      <c r="F1188" s="1">
        <v>688.56</v>
      </c>
      <c r="G1188" s="1">
        <v>13633.487999999999</v>
      </c>
      <c r="H1188" s="1">
        <v>-3366.2930000000001</v>
      </c>
      <c r="I1188" s="1">
        <v>0</v>
      </c>
    </row>
    <row r="1189" spans="1:9" hidden="1" x14ac:dyDescent="0.25">
      <c r="A1189" s="1" t="s">
        <v>24</v>
      </c>
      <c r="B1189" s="1" t="s">
        <v>200</v>
      </c>
      <c r="C1189" s="1" t="s">
        <v>10</v>
      </c>
      <c r="D1189" s="1">
        <v>0</v>
      </c>
      <c r="E1189" s="1">
        <v>0</v>
      </c>
      <c r="F1189" s="1">
        <v>688.56</v>
      </c>
      <c r="G1189" s="1">
        <v>13633.487999999999</v>
      </c>
      <c r="H1189" s="1">
        <v>-6120.5330000000004</v>
      </c>
      <c r="I1189" s="1">
        <v>0</v>
      </c>
    </row>
    <row r="1190" spans="1:9" hidden="1" x14ac:dyDescent="0.25">
      <c r="A1190" s="1" t="s">
        <v>24</v>
      </c>
      <c r="B1190" s="1" t="s">
        <v>201</v>
      </c>
      <c r="C1190" s="1" t="s">
        <v>25</v>
      </c>
      <c r="D1190" s="1">
        <v>0</v>
      </c>
      <c r="E1190" s="1">
        <v>0</v>
      </c>
      <c r="F1190" s="1">
        <v>688.56</v>
      </c>
      <c r="G1190" s="1">
        <v>11154.672</v>
      </c>
      <c r="H1190" s="1">
        <v>-3366.2930000000001</v>
      </c>
      <c r="I1190" s="1">
        <v>0</v>
      </c>
    </row>
    <row r="1191" spans="1:9" hidden="1" x14ac:dyDescent="0.25">
      <c r="A1191" s="1" t="s">
        <v>24</v>
      </c>
      <c r="B1191" s="1" t="s">
        <v>201</v>
      </c>
      <c r="C1191" s="1" t="s">
        <v>10</v>
      </c>
      <c r="D1191" s="1">
        <v>0</v>
      </c>
      <c r="E1191" s="1">
        <v>0</v>
      </c>
      <c r="F1191" s="1">
        <v>688.56</v>
      </c>
      <c r="G1191" s="1">
        <v>11154.672</v>
      </c>
      <c r="H1191" s="1">
        <v>-6120.5330000000004</v>
      </c>
      <c r="I1191" s="1">
        <v>0</v>
      </c>
    </row>
    <row r="1192" spans="1:9" hidden="1" x14ac:dyDescent="0.25">
      <c r="A1192" s="1" t="s">
        <v>24</v>
      </c>
      <c r="B1192" s="1" t="s">
        <v>202</v>
      </c>
      <c r="C1192" s="1" t="s">
        <v>25</v>
      </c>
      <c r="D1192" s="1">
        <v>0</v>
      </c>
      <c r="E1192" s="1">
        <v>-569.64</v>
      </c>
      <c r="F1192" s="1">
        <v>0</v>
      </c>
      <c r="G1192" s="1">
        <v>9399.1149999999998</v>
      </c>
      <c r="H1192" s="1">
        <v>0</v>
      </c>
      <c r="I1192" s="1">
        <v>-2784.9229999999998</v>
      </c>
    </row>
    <row r="1193" spans="1:9" hidden="1" x14ac:dyDescent="0.25">
      <c r="A1193" s="1" t="s">
        <v>24</v>
      </c>
      <c r="B1193" s="1" t="s">
        <v>202</v>
      </c>
      <c r="C1193" s="1" t="s">
        <v>10</v>
      </c>
      <c r="D1193" s="1">
        <v>0</v>
      </c>
      <c r="E1193" s="1">
        <v>-569.64</v>
      </c>
      <c r="F1193" s="1">
        <v>0</v>
      </c>
      <c r="G1193" s="1">
        <v>9399.1149999999998</v>
      </c>
      <c r="H1193" s="1">
        <v>0</v>
      </c>
      <c r="I1193" s="1">
        <v>-5063.4960000000001</v>
      </c>
    </row>
    <row r="1194" spans="1:9" hidden="1" x14ac:dyDescent="0.25">
      <c r="A1194" s="1" t="s">
        <v>24</v>
      </c>
      <c r="B1194" s="1" t="s">
        <v>203</v>
      </c>
      <c r="C1194" s="1" t="s">
        <v>25</v>
      </c>
      <c r="D1194" s="1">
        <v>0</v>
      </c>
      <c r="E1194" s="1">
        <v>-569.64</v>
      </c>
      <c r="F1194" s="1">
        <v>0</v>
      </c>
      <c r="G1194" s="1">
        <v>7690.1850000000004</v>
      </c>
      <c r="H1194" s="1">
        <v>0</v>
      </c>
      <c r="I1194" s="1">
        <v>-2784.9229999999998</v>
      </c>
    </row>
    <row r="1195" spans="1:9" hidden="1" x14ac:dyDescent="0.25">
      <c r="A1195" s="1" t="s">
        <v>24</v>
      </c>
      <c r="B1195" s="1" t="s">
        <v>203</v>
      </c>
      <c r="C1195" s="1" t="s">
        <v>10</v>
      </c>
      <c r="D1195" s="1">
        <v>0</v>
      </c>
      <c r="E1195" s="1">
        <v>-569.64</v>
      </c>
      <c r="F1195" s="1">
        <v>0</v>
      </c>
      <c r="G1195" s="1">
        <v>7690.1850000000004</v>
      </c>
      <c r="H1195" s="1">
        <v>0</v>
      </c>
      <c r="I1195" s="1">
        <v>-5063.4960000000001</v>
      </c>
    </row>
    <row r="1196" spans="1:9" hidden="1" x14ac:dyDescent="0.25">
      <c r="A1196" s="1" t="s">
        <v>24</v>
      </c>
      <c r="B1196" s="1" t="s">
        <v>204</v>
      </c>
      <c r="C1196" s="1" t="s">
        <v>25</v>
      </c>
      <c r="D1196" s="1">
        <v>0</v>
      </c>
      <c r="E1196" s="1">
        <v>569.64</v>
      </c>
      <c r="F1196" s="1">
        <v>0</v>
      </c>
      <c r="G1196" s="1">
        <v>-9399.1149999999998</v>
      </c>
      <c r="H1196" s="1">
        <v>0</v>
      </c>
      <c r="I1196" s="1">
        <v>2784.9229999999998</v>
      </c>
    </row>
    <row r="1197" spans="1:9" hidden="1" x14ac:dyDescent="0.25">
      <c r="A1197" s="1" t="s">
        <v>24</v>
      </c>
      <c r="B1197" s="1" t="s">
        <v>204</v>
      </c>
      <c r="C1197" s="1" t="s">
        <v>10</v>
      </c>
      <c r="D1197" s="1">
        <v>0</v>
      </c>
      <c r="E1197" s="1">
        <v>569.64</v>
      </c>
      <c r="F1197" s="1">
        <v>0</v>
      </c>
      <c r="G1197" s="1">
        <v>-9399.1149999999998</v>
      </c>
      <c r="H1197" s="1">
        <v>0</v>
      </c>
      <c r="I1197" s="1">
        <v>5063.4960000000001</v>
      </c>
    </row>
    <row r="1198" spans="1:9" hidden="1" x14ac:dyDescent="0.25">
      <c r="A1198" s="1" t="s">
        <v>24</v>
      </c>
      <c r="B1198" s="1" t="s">
        <v>205</v>
      </c>
      <c r="C1198" s="1" t="s">
        <v>25</v>
      </c>
      <c r="D1198" s="1">
        <v>0</v>
      </c>
      <c r="E1198" s="1">
        <v>569.64</v>
      </c>
      <c r="F1198" s="1">
        <v>0</v>
      </c>
      <c r="G1198" s="1">
        <v>-7690.1850000000004</v>
      </c>
      <c r="H1198" s="1">
        <v>0</v>
      </c>
      <c r="I1198" s="1">
        <v>2784.9229999999998</v>
      </c>
    </row>
    <row r="1199" spans="1:9" hidden="1" x14ac:dyDescent="0.25">
      <c r="A1199" s="1" t="s">
        <v>24</v>
      </c>
      <c r="B1199" s="1" t="s">
        <v>205</v>
      </c>
      <c r="C1199" s="1" t="s">
        <v>10</v>
      </c>
      <c r="D1199" s="1">
        <v>0</v>
      </c>
      <c r="E1199" s="1">
        <v>569.64</v>
      </c>
      <c r="F1199" s="1">
        <v>0</v>
      </c>
      <c r="G1199" s="1">
        <v>-7690.1850000000004</v>
      </c>
      <c r="H1199" s="1">
        <v>0</v>
      </c>
      <c r="I1199" s="1">
        <v>5063.4960000000001</v>
      </c>
    </row>
    <row r="1200" spans="1:9" hidden="1" x14ac:dyDescent="0.25">
      <c r="A1200" s="1" t="s">
        <v>24</v>
      </c>
      <c r="B1200" s="1" t="s">
        <v>206</v>
      </c>
      <c r="C1200" s="1" t="s">
        <v>25</v>
      </c>
      <c r="D1200" s="1">
        <v>0</v>
      </c>
      <c r="E1200" s="1">
        <v>0</v>
      </c>
      <c r="F1200" s="1">
        <v>-688.56</v>
      </c>
      <c r="G1200" s="1">
        <v>-13633.487999999999</v>
      </c>
      <c r="H1200" s="1">
        <v>3366.2930000000001</v>
      </c>
      <c r="I1200" s="1">
        <v>0</v>
      </c>
    </row>
    <row r="1201" spans="1:9" hidden="1" x14ac:dyDescent="0.25">
      <c r="A1201" s="1" t="s">
        <v>24</v>
      </c>
      <c r="B1201" s="1" t="s">
        <v>206</v>
      </c>
      <c r="C1201" s="1" t="s">
        <v>10</v>
      </c>
      <c r="D1201" s="1">
        <v>0</v>
      </c>
      <c r="E1201" s="1">
        <v>0</v>
      </c>
      <c r="F1201" s="1">
        <v>-688.56</v>
      </c>
      <c r="G1201" s="1">
        <v>-13633.487999999999</v>
      </c>
      <c r="H1201" s="1">
        <v>6120.5330000000004</v>
      </c>
      <c r="I1201" s="1">
        <v>0</v>
      </c>
    </row>
    <row r="1202" spans="1:9" hidden="1" x14ac:dyDescent="0.25">
      <c r="A1202" s="1" t="s">
        <v>24</v>
      </c>
      <c r="B1202" s="1" t="s">
        <v>207</v>
      </c>
      <c r="C1202" s="1" t="s">
        <v>25</v>
      </c>
      <c r="D1202" s="1">
        <v>0</v>
      </c>
      <c r="E1202" s="1">
        <v>0</v>
      </c>
      <c r="F1202" s="1">
        <v>-688.56</v>
      </c>
      <c r="G1202" s="1">
        <v>-11154.672</v>
      </c>
      <c r="H1202" s="1">
        <v>3366.2930000000001</v>
      </c>
      <c r="I1202" s="1">
        <v>0</v>
      </c>
    </row>
    <row r="1203" spans="1:9" hidden="1" x14ac:dyDescent="0.25">
      <c r="A1203" s="1" t="s">
        <v>24</v>
      </c>
      <c r="B1203" s="1" t="s">
        <v>207</v>
      </c>
      <c r="C1203" s="1" t="s">
        <v>10</v>
      </c>
      <c r="D1203" s="1">
        <v>0</v>
      </c>
      <c r="E1203" s="1">
        <v>0</v>
      </c>
      <c r="F1203" s="1">
        <v>-688.56</v>
      </c>
      <c r="G1203" s="1">
        <v>-11154.672</v>
      </c>
      <c r="H1203" s="1">
        <v>6120.5330000000004</v>
      </c>
      <c r="I1203" s="1">
        <v>0</v>
      </c>
    </row>
    <row r="1204" spans="1:9" hidden="1" x14ac:dyDescent="0.25">
      <c r="A1204" s="1" t="s">
        <v>24</v>
      </c>
      <c r="B1204" s="1" t="s">
        <v>208</v>
      </c>
      <c r="C1204" s="1" t="s">
        <v>25</v>
      </c>
      <c r="D1204" s="1">
        <v>0</v>
      </c>
      <c r="E1204" s="1">
        <v>0</v>
      </c>
      <c r="F1204" s="1">
        <v>688.56</v>
      </c>
      <c r="G1204" s="1">
        <v>13633.487999999999</v>
      </c>
      <c r="H1204" s="1">
        <v>-3366.2930000000001</v>
      </c>
      <c r="I1204" s="1">
        <v>0</v>
      </c>
    </row>
    <row r="1205" spans="1:9" hidden="1" x14ac:dyDescent="0.25">
      <c r="A1205" s="1" t="s">
        <v>24</v>
      </c>
      <c r="B1205" s="1" t="s">
        <v>208</v>
      </c>
      <c r="C1205" s="1" t="s">
        <v>10</v>
      </c>
      <c r="D1205" s="1">
        <v>0</v>
      </c>
      <c r="E1205" s="1">
        <v>0</v>
      </c>
      <c r="F1205" s="1">
        <v>688.56</v>
      </c>
      <c r="G1205" s="1">
        <v>13633.487999999999</v>
      </c>
      <c r="H1205" s="1">
        <v>-6120.5330000000004</v>
      </c>
      <c r="I1205" s="1">
        <v>0</v>
      </c>
    </row>
    <row r="1206" spans="1:9" hidden="1" x14ac:dyDescent="0.25">
      <c r="A1206" s="1" t="s">
        <v>24</v>
      </c>
      <c r="B1206" s="1" t="s">
        <v>209</v>
      </c>
      <c r="C1206" s="1" t="s">
        <v>25</v>
      </c>
      <c r="D1206" s="1">
        <v>0</v>
      </c>
      <c r="E1206" s="1">
        <v>0</v>
      </c>
      <c r="F1206" s="1">
        <v>688.56</v>
      </c>
      <c r="G1206" s="1">
        <v>11154.672</v>
      </c>
      <c r="H1206" s="1">
        <v>-3366.2930000000001</v>
      </c>
      <c r="I1206" s="1">
        <v>0</v>
      </c>
    </row>
    <row r="1207" spans="1:9" hidden="1" x14ac:dyDescent="0.25">
      <c r="A1207" s="1" t="s">
        <v>24</v>
      </c>
      <c r="B1207" s="1" t="s">
        <v>209</v>
      </c>
      <c r="C1207" s="1" t="s">
        <v>10</v>
      </c>
      <c r="D1207" s="1">
        <v>0</v>
      </c>
      <c r="E1207" s="1">
        <v>0</v>
      </c>
      <c r="F1207" s="1">
        <v>688.56</v>
      </c>
      <c r="G1207" s="1">
        <v>11154.672</v>
      </c>
      <c r="H1207" s="1">
        <v>-6120.5330000000004</v>
      </c>
      <c r="I1207" s="1">
        <v>0</v>
      </c>
    </row>
    <row r="1208" spans="1:9" hidden="1" x14ac:dyDescent="0.25">
      <c r="A1208" s="1" t="s">
        <v>24</v>
      </c>
      <c r="B1208" s="1" t="s">
        <v>210</v>
      </c>
      <c r="C1208" s="1" t="s">
        <v>25</v>
      </c>
      <c r="D1208" s="1">
        <v>0</v>
      </c>
      <c r="E1208" s="1">
        <v>-170.89</v>
      </c>
      <c r="F1208" s="1">
        <v>0</v>
      </c>
      <c r="G1208" s="1">
        <v>2819.7339999999999</v>
      </c>
      <c r="H1208" s="1">
        <v>0</v>
      </c>
      <c r="I1208" s="1">
        <v>-835.47699999999998</v>
      </c>
    </row>
    <row r="1209" spans="1:9" hidden="1" x14ac:dyDescent="0.25">
      <c r="A1209" s="1" t="s">
        <v>24</v>
      </c>
      <c r="B1209" s="1" t="s">
        <v>210</v>
      </c>
      <c r="C1209" s="1" t="s">
        <v>10</v>
      </c>
      <c r="D1209" s="1">
        <v>0</v>
      </c>
      <c r="E1209" s="1">
        <v>-170.89</v>
      </c>
      <c r="F1209" s="1">
        <v>0</v>
      </c>
      <c r="G1209" s="1">
        <v>2819.7339999999999</v>
      </c>
      <c r="H1209" s="1">
        <v>0</v>
      </c>
      <c r="I1209" s="1">
        <v>-1519.049</v>
      </c>
    </row>
    <row r="1210" spans="1:9" hidden="1" x14ac:dyDescent="0.25">
      <c r="A1210" s="1" t="s">
        <v>24</v>
      </c>
      <c r="B1210" s="1" t="s">
        <v>211</v>
      </c>
      <c r="C1210" s="1" t="s">
        <v>25</v>
      </c>
      <c r="D1210" s="1">
        <v>0</v>
      </c>
      <c r="E1210" s="1">
        <v>-170.89</v>
      </c>
      <c r="F1210" s="1">
        <v>0</v>
      </c>
      <c r="G1210" s="1">
        <v>2307.0549999999998</v>
      </c>
      <c r="H1210" s="1">
        <v>0</v>
      </c>
      <c r="I1210" s="1">
        <v>-835.47699999999998</v>
      </c>
    </row>
    <row r="1211" spans="1:9" hidden="1" x14ac:dyDescent="0.25">
      <c r="A1211" s="1" t="s">
        <v>24</v>
      </c>
      <c r="B1211" s="1" t="s">
        <v>211</v>
      </c>
      <c r="C1211" s="1" t="s">
        <v>10</v>
      </c>
      <c r="D1211" s="1">
        <v>0</v>
      </c>
      <c r="E1211" s="1">
        <v>-170.89</v>
      </c>
      <c r="F1211" s="1">
        <v>0</v>
      </c>
      <c r="G1211" s="1">
        <v>2307.0549999999998</v>
      </c>
      <c r="H1211" s="1">
        <v>0</v>
      </c>
      <c r="I1211" s="1">
        <v>-1519.049</v>
      </c>
    </row>
    <row r="1212" spans="1:9" hidden="1" x14ac:dyDescent="0.25">
      <c r="A1212" s="1" t="s">
        <v>24</v>
      </c>
      <c r="B1212" s="1" t="s">
        <v>212</v>
      </c>
      <c r="C1212" s="1" t="s">
        <v>25</v>
      </c>
      <c r="D1212" s="1">
        <v>0</v>
      </c>
      <c r="E1212" s="1">
        <v>170.89</v>
      </c>
      <c r="F1212" s="1">
        <v>0</v>
      </c>
      <c r="G1212" s="1">
        <v>-2819.7339999999999</v>
      </c>
      <c r="H1212" s="1">
        <v>0</v>
      </c>
      <c r="I1212" s="1">
        <v>835.47699999999998</v>
      </c>
    </row>
    <row r="1213" spans="1:9" hidden="1" x14ac:dyDescent="0.25">
      <c r="A1213" s="1" t="s">
        <v>24</v>
      </c>
      <c r="B1213" s="1" t="s">
        <v>212</v>
      </c>
      <c r="C1213" s="1" t="s">
        <v>10</v>
      </c>
      <c r="D1213" s="1">
        <v>0</v>
      </c>
      <c r="E1213" s="1">
        <v>170.89</v>
      </c>
      <c r="F1213" s="1">
        <v>0</v>
      </c>
      <c r="G1213" s="1">
        <v>-2819.7339999999999</v>
      </c>
      <c r="H1213" s="1">
        <v>0</v>
      </c>
      <c r="I1213" s="1">
        <v>1519.049</v>
      </c>
    </row>
    <row r="1214" spans="1:9" hidden="1" x14ac:dyDescent="0.25">
      <c r="A1214" s="1" t="s">
        <v>24</v>
      </c>
      <c r="B1214" s="1" t="s">
        <v>213</v>
      </c>
      <c r="C1214" s="1" t="s">
        <v>25</v>
      </c>
      <c r="D1214" s="1">
        <v>0</v>
      </c>
      <c r="E1214" s="1">
        <v>170.89</v>
      </c>
      <c r="F1214" s="1">
        <v>0</v>
      </c>
      <c r="G1214" s="1">
        <v>-2307.0549999999998</v>
      </c>
      <c r="H1214" s="1">
        <v>0</v>
      </c>
      <c r="I1214" s="1">
        <v>835.47699999999998</v>
      </c>
    </row>
    <row r="1215" spans="1:9" hidden="1" x14ac:dyDescent="0.25">
      <c r="A1215" s="1" t="s">
        <v>24</v>
      </c>
      <c r="B1215" s="1" t="s">
        <v>213</v>
      </c>
      <c r="C1215" s="1" t="s">
        <v>10</v>
      </c>
      <c r="D1215" s="1">
        <v>0</v>
      </c>
      <c r="E1215" s="1">
        <v>170.89</v>
      </c>
      <c r="F1215" s="1">
        <v>0</v>
      </c>
      <c r="G1215" s="1">
        <v>-2307.0549999999998</v>
      </c>
      <c r="H1215" s="1">
        <v>0</v>
      </c>
      <c r="I1215" s="1">
        <v>1519.049</v>
      </c>
    </row>
    <row r="1216" spans="1:9" hidden="1" x14ac:dyDescent="0.25">
      <c r="A1216" s="1" t="s">
        <v>24</v>
      </c>
      <c r="B1216" s="1" t="s">
        <v>214</v>
      </c>
      <c r="C1216" s="1" t="s">
        <v>25</v>
      </c>
      <c r="D1216" s="1">
        <v>0</v>
      </c>
      <c r="E1216" s="1">
        <v>0</v>
      </c>
      <c r="F1216" s="1">
        <v>-206.57</v>
      </c>
      <c r="G1216" s="1">
        <v>-4090.0459999999998</v>
      </c>
      <c r="H1216" s="1">
        <v>1009.888</v>
      </c>
      <c r="I1216" s="1">
        <v>0</v>
      </c>
    </row>
    <row r="1217" spans="1:9" hidden="1" x14ac:dyDescent="0.25">
      <c r="A1217" s="1" t="s">
        <v>24</v>
      </c>
      <c r="B1217" s="1" t="s">
        <v>214</v>
      </c>
      <c r="C1217" s="1" t="s">
        <v>10</v>
      </c>
      <c r="D1217" s="1">
        <v>0</v>
      </c>
      <c r="E1217" s="1">
        <v>0</v>
      </c>
      <c r="F1217" s="1">
        <v>-206.57</v>
      </c>
      <c r="G1217" s="1">
        <v>-4090.0459999999998</v>
      </c>
      <c r="H1217" s="1">
        <v>1836.16</v>
      </c>
      <c r="I1217" s="1">
        <v>0</v>
      </c>
    </row>
    <row r="1218" spans="1:9" hidden="1" x14ac:dyDescent="0.25">
      <c r="A1218" s="1" t="s">
        <v>24</v>
      </c>
      <c r="B1218" s="1" t="s">
        <v>215</v>
      </c>
      <c r="C1218" s="1" t="s">
        <v>25</v>
      </c>
      <c r="D1218" s="1">
        <v>0</v>
      </c>
      <c r="E1218" s="1">
        <v>0</v>
      </c>
      <c r="F1218" s="1">
        <v>-206.57</v>
      </c>
      <c r="G1218" s="1">
        <v>-3346.4009999999998</v>
      </c>
      <c r="H1218" s="1">
        <v>1009.888</v>
      </c>
      <c r="I1218" s="1">
        <v>0</v>
      </c>
    </row>
    <row r="1219" spans="1:9" hidden="1" x14ac:dyDescent="0.25">
      <c r="A1219" s="1" t="s">
        <v>24</v>
      </c>
      <c r="B1219" s="1" t="s">
        <v>215</v>
      </c>
      <c r="C1219" s="1" t="s">
        <v>10</v>
      </c>
      <c r="D1219" s="1">
        <v>0</v>
      </c>
      <c r="E1219" s="1">
        <v>0</v>
      </c>
      <c r="F1219" s="1">
        <v>-206.57</v>
      </c>
      <c r="G1219" s="1">
        <v>-3346.4009999999998</v>
      </c>
      <c r="H1219" s="1">
        <v>1836.16</v>
      </c>
      <c r="I1219" s="1">
        <v>0</v>
      </c>
    </row>
    <row r="1220" spans="1:9" hidden="1" x14ac:dyDescent="0.25">
      <c r="A1220" s="1" t="s">
        <v>24</v>
      </c>
      <c r="B1220" s="1" t="s">
        <v>216</v>
      </c>
      <c r="C1220" s="1" t="s">
        <v>25</v>
      </c>
      <c r="D1220" s="1">
        <v>0</v>
      </c>
      <c r="E1220" s="1">
        <v>0</v>
      </c>
      <c r="F1220" s="1">
        <v>206.57</v>
      </c>
      <c r="G1220" s="1">
        <v>4090.0459999999998</v>
      </c>
      <c r="H1220" s="1">
        <v>-1009.888</v>
      </c>
      <c r="I1220" s="1">
        <v>0</v>
      </c>
    </row>
    <row r="1221" spans="1:9" hidden="1" x14ac:dyDescent="0.25">
      <c r="A1221" s="1" t="s">
        <v>24</v>
      </c>
      <c r="B1221" s="1" t="s">
        <v>216</v>
      </c>
      <c r="C1221" s="1" t="s">
        <v>10</v>
      </c>
      <c r="D1221" s="1">
        <v>0</v>
      </c>
      <c r="E1221" s="1">
        <v>0</v>
      </c>
      <c r="F1221" s="1">
        <v>206.57</v>
      </c>
      <c r="G1221" s="1">
        <v>4090.0459999999998</v>
      </c>
      <c r="H1221" s="1">
        <v>-1836.16</v>
      </c>
      <c r="I1221" s="1">
        <v>0</v>
      </c>
    </row>
    <row r="1222" spans="1:9" hidden="1" x14ac:dyDescent="0.25">
      <c r="A1222" s="1" t="s">
        <v>24</v>
      </c>
      <c r="B1222" s="1" t="s">
        <v>217</v>
      </c>
      <c r="C1222" s="1" t="s">
        <v>25</v>
      </c>
      <c r="D1222" s="1">
        <v>0</v>
      </c>
      <c r="E1222" s="1">
        <v>0</v>
      </c>
      <c r="F1222" s="1">
        <v>206.57</v>
      </c>
      <c r="G1222" s="1">
        <v>3346.4009999999998</v>
      </c>
      <c r="H1222" s="1">
        <v>-1009.888</v>
      </c>
      <c r="I1222" s="1">
        <v>0</v>
      </c>
    </row>
    <row r="1223" spans="1:9" hidden="1" x14ac:dyDescent="0.25">
      <c r="A1223" s="1" t="s">
        <v>24</v>
      </c>
      <c r="B1223" s="1" t="s">
        <v>217</v>
      </c>
      <c r="C1223" s="1" t="s">
        <v>10</v>
      </c>
      <c r="D1223" s="1">
        <v>0</v>
      </c>
      <c r="E1223" s="1">
        <v>0</v>
      </c>
      <c r="F1223" s="1">
        <v>206.57</v>
      </c>
      <c r="G1223" s="1">
        <v>3346.4009999999998</v>
      </c>
      <c r="H1223" s="1">
        <v>-1836.16</v>
      </c>
      <c r="I1223" s="1">
        <v>0</v>
      </c>
    </row>
    <row r="1224" spans="1:9" hidden="1" x14ac:dyDescent="0.25">
      <c r="A1224" s="1" t="s">
        <v>24</v>
      </c>
      <c r="B1224" s="1" t="s">
        <v>218</v>
      </c>
      <c r="C1224" s="1" t="s">
        <v>25</v>
      </c>
      <c r="D1224" s="1">
        <v>0</v>
      </c>
      <c r="E1224" s="1">
        <v>-170.89</v>
      </c>
      <c r="F1224" s="1">
        <v>0</v>
      </c>
      <c r="G1224" s="1">
        <v>2819.7339999999999</v>
      </c>
      <c r="H1224" s="1">
        <v>0</v>
      </c>
      <c r="I1224" s="1">
        <v>-835.47699999999998</v>
      </c>
    </row>
    <row r="1225" spans="1:9" hidden="1" x14ac:dyDescent="0.25">
      <c r="A1225" s="1" t="s">
        <v>24</v>
      </c>
      <c r="B1225" s="1" t="s">
        <v>218</v>
      </c>
      <c r="C1225" s="1" t="s">
        <v>10</v>
      </c>
      <c r="D1225" s="1">
        <v>0</v>
      </c>
      <c r="E1225" s="1">
        <v>-170.89</v>
      </c>
      <c r="F1225" s="1">
        <v>0</v>
      </c>
      <c r="G1225" s="1">
        <v>2819.7339999999999</v>
      </c>
      <c r="H1225" s="1">
        <v>0</v>
      </c>
      <c r="I1225" s="1">
        <v>-1519.049</v>
      </c>
    </row>
    <row r="1226" spans="1:9" hidden="1" x14ac:dyDescent="0.25">
      <c r="A1226" s="1" t="s">
        <v>24</v>
      </c>
      <c r="B1226" s="1" t="s">
        <v>219</v>
      </c>
      <c r="C1226" s="1" t="s">
        <v>25</v>
      </c>
      <c r="D1226" s="1">
        <v>0</v>
      </c>
      <c r="E1226" s="1">
        <v>-170.89</v>
      </c>
      <c r="F1226" s="1">
        <v>0</v>
      </c>
      <c r="G1226" s="1">
        <v>2307.0549999999998</v>
      </c>
      <c r="H1226" s="1">
        <v>0</v>
      </c>
      <c r="I1226" s="1">
        <v>-835.47699999999998</v>
      </c>
    </row>
    <row r="1227" spans="1:9" hidden="1" x14ac:dyDescent="0.25">
      <c r="A1227" s="1" t="s">
        <v>24</v>
      </c>
      <c r="B1227" s="1" t="s">
        <v>219</v>
      </c>
      <c r="C1227" s="1" t="s">
        <v>10</v>
      </c>
      <c r="D1227" s="1">
        <v>0</v>
      </c>
      <c r="E1227" s="1">
        <v>-170.89</v>
      </c>
      <c r="F1227" s="1">
        <v>0</v>
      </c>
      <c r="G1227" s="1">
        <v>2307.0549999999998</v>
      </c>
      <c r="H1227" s="1">
        <v>0</v>
      </c>
      <c r="I1227" s="1">
        <v>-1519.049</v>
      </c>
    </row>
    <row r="1228" spans="1:9" hidden="1" x14ac:dyDescent="0.25">
      <c r="A1228" s="1" t="s">
        <v>24</v>
      </c>
      <c r="B1228" s="1" t="s">
        <v>220</v>
      </c>
      <c r="C1228" s="1" t="s">
        <v>25</v>
      </c>
      <c r="D1228" s="1">
        <v>0</v>
      </c>
      <c r="E1228" s="1">
        <v>170.89</v>
      </c>
      <c r="F1228" s="1">
        <v>0</v>
      </c>
      <c r="G1228" s="1">
        <v>-2819.7339999999999</v>
      </c>
      <c r="H1228" s="1">
        <v>0</v>
      </c>
      <c r="I1228" s="1">
        <v>835.47699999999998</v>
      </c>
    </row>
    <row r="1229" spans="1:9" hidden="1" x14ac:dyDescent="0.25">
      <c r="A1229" s="1" t="s">
        <v>24</v>
      </c>
      <c r="B1229" s="1" t="s">
        <v>220</v>
      </c>
      <c r="C1229" s="1" t="s">
        <v>10</v>
      </c>
      <c r="D1229" s="1">
        <v>0</v>
      </c>
      <c r="E1229" s="1">
        <v>170.89</v>
      </c>
      <c r="F1229" s="1">
        <v>0</v>
      </c>
      <c r="G1229" s="1">
        <v>-2819.7339999999999</v>
      </c>
      <c r="H1229" s="1">
        <v>0</v>
      </c>
      <c r="I1229" s="1">
        <v>1519.049</v>
      </c>
    </row>
    <row r="1230" spans="1:9" hidden="1" x14ac:dyDescent="0.25">
      <c r="A1230" s="1" t="s">
        <v>24</v>
      </c>
      <c r="B1230" s="1" t="s">
        <v>221</v>
      </c>
      <c r="C1230" s="1" t="s">
        <v>25</v>
      </c>
      <c r="D1230" s="1">
        <v>0</v>
      </c>
      <c r="E1230" s="1">
        <v>170.89</v>
      </c>
      <c r="F1230" s="1">
        <v>0</v>
      </c>
      <c r="G1230" s="1">
        <v>-2307.0549999999998</v>
      </c>
      <c r="H1230" s="1">
        <v>0</v>
      </c>
      <c r="I1230" s="1">
        <v>835.47699999999998</v>
      </c>
    </row>
    <row r="1231" spans="1:9" hidden="1" x14ac:dyDescent="0.25">
      <c r="A1231" s="1" t="s">
        <v>24</v>
      </c>
      <c r="B1231" s="1" t="s">
        <v>221</v>
      </c>
      <c r="C1231" s="1" t="s">
        <v>10</v>
      </c>
      <c r="D1231" s="1">
        <v>0</v>
      </c>
      <c r="E1231" s="1">
        <v>170.89</v>
      </c>
      <c r="F1231" s="1">
        <v>0</v>
      </c>
      <c r="G1231" s="1">
        <v>-2307.0549999999998</v>
      </c>
      <c r="H1231" s="1">
        <v>0</v>
      </c>
      <c r="I1231" s="1">
        <v>1519.049</v>
      </c>
    </row>
    <row r="1232" spans="1:9" hidden="1" x14ac:dyDescent="0.25">
      <c r="A1232" s="1" t="s">
        <v>24</v>
      </c>
      <c r="B1232" s="1" t="s">
        <v>222</v>
      </c>
      <c r="C1232" s="1" t="s">
        <v>25</v>
      </c>
      <c r="D1232" s="1">
        <v>0</v>
      </c>
      <c r="E1232" s="1">
        <v>0</v>
      </c>
      <c r="F1232" s="1">
        <v>-206.57</v>
      </c>
      <c r="G1232" s="1">
        <v>-4090.0459999999998</v>
      </c>
      <c r="H1232" s="1">
        <v>1009.888</v>
      </c>
      <c r="I1232" s="1">
        <v>0</v>
      </c>
    </row>
    <row r="1233" spans="1:9" hidden="1" x14ac:dyDescent="0.25">
      <c r="A1233" s="1" t="s">
        <v>24</v>
      </c>
      <c r="B1233" s="1" t="s">
        <v>222</v>
      </c>
      <c r="C1233" s="1" t="s">
        <v>10</v>
      </c>
      <c r="D1233" s="1">
        <v>0</v>
      </c>
      <c r="E1233" s="1">
        <v>0</v>
      </c>
      <c r="F1233" s="1">
        <v>-206.57</v>
      </c>
      <c r="G1233" s="1">
        <v>-4090.0459999999998</v>
      </c>
      <c r="H1233" s="1">
        <v>1836.16</v>
      </c>
      <c r="I1233" s="1">
        <v>0</v>
      </c>
    </row>
    <row r="1234" spans="1:9" hidden="1" x14ac:dyDescent="0.25">
      <c r="A1234" s="1" t="s">
        <v>24</v>
      </c>
      <c r="B1234" s="1" t="s">
        <v>223</v>
      </c>
      <c r="C1234" s="1" t="s">
        <v>25</v>
      </c>
      <c r="D1234" s="1">
        <v>0</v>
      </c>
      <c r="E1234" s="1">
        <v>0</v>
      </c>
      <c r="F1234" s="1">
        <v>-206.57</v>
      </c>
      <c r="G1234" s="1">
        <v>-3346.4009999999998</v>
      </c>
      <c r="H1234" s="1">
        <v>1009.888</v>
      </c>
      <c r="I1234" s="1">
        <v>0</v>
      </c>
    </row>
    <row r="1235" spans="1:9" hidden="1" x14ac:dyDescent="0.25">
      <c r="A1235" s="1" t="s">
        <v>24</v>
      </c>
      <c r="B1235" s="1" t="s">
        <v>223</v>
      </c>
      <c r="C1235" s="1" t="s">
        <v>10</v>
      </c>
      <c r="D1235" s="1">
        <v>0</v>
      </c>
      <c r="E1235" s="1">
        <v>0</v>
      </c>
      <c r="F1235" s="1">
        <v>-206.57</v>
      </c>
      <c r="G1235" s="1">
        <v>-3346.4009999999998</v>
      </c>
      <c r="H1235" s="1">
        <v>1836.16</v>
      </c>
      <c r="I1235" s="1">
        <v>0</v>
      </c>
    </row>
    <row r="1236" spans="1:9" hidden="1" x14ac:dyDescent="0.25">
      <c r="A1236" s="1" t="s">
        <v>24</v>
      </c>
      <c r="B1236" s="1" t="s">
        <v>224</v>
      </c>
      <c r="C1236" s="1" t="s">
        <v>25</v>
      </c>
      <c r="D1236" s="1">
        <v>0</v>
      </c>
      <c r="E1236" s="1">
        <v>0</v>
      </c>
      <c r="F1236" s="1">
        <v>206.57</v>
      </c>
      <c r="G1236" s="1">
        <v>4090.0459999999998</v>
      </c>
      <c r="H1236" s="1">
        <v>-1009.888</v>
      </c>
      <c r="I1236" s="1">
        <v>0</v>
      </c>
    </row>
    <row r="1237" spans="1:9" hidden="1" x14ac:dyDescent="0.25">
      <c r="A1237" s="1" t="s">
        <v>24</v>
      </c>
      <c r="B1237" s="1" t="s">
        <v>224</v>
      </c>
      <c r="C1237" s="1" t="s">
        <v>10</v>
      </c>
      <c r="D1237" s="1">
        <v>0</v>
      </c>
      <c r="E1237" s="1">
        <v>0</v>
      </c>
      <c r="F1237" s="1">
        <v>206.57</v>
      </c>
      <c r="G1237" s="1">
        <v>4090.0459999999998</v>
      </c>
      <c r="H1237" s="1">
        <v>-1836.16</v>
      </c>
      <c r="I1237" s="1">
        <v>0</v>
      </c>
    </row>
    <row r="1238" spans="1:9" hidden="1" x14ac:dyDescent="0.25">
      <c r="A1238" s="1" t="s">
        <v>24</v>
      </c>
      <c r="B1238" s="1" t="s">
        <v>225</v>
      </c>
      <c r="C1238" s="1" t="s">
        <v>25</v>
      </c>
      <c r="D1238" s="1">
        <v>0</v>
      </c>
      <c r="E1238" s="1">
        <v>0</v>
      </c>
      <c r="F1238" s="1">
        <v>206.57</v>
      </c>
      <c r="G1238" s="1">
        <v>3346.4009999999998</v>
      </c>
      <c r="H1238" s="1">
        <v>-1009.888</v>
      </c>
      <c r="I1238" s="1">
        <v>0</v>
      </c>
    </row>
    <row r="1239" spans="1:9" hidden="1" x14ac:dyDescent="0.25">
      <c r="A1239" s="1" t="s">
        <v>24</v>
      </c>
      <c r="B1239" s="1" t="s">
        <v>225</v>
      </c>
      <c r="C1239" s="1" t="s">
        <v>10</v>
      </c>
      <c r="D1239" s="1">
        <v>0</v>
      </c>
      <c r="E1239" s="1">
        <v>0</v>
      </c>
      <c r="F1239" s="1">
        <v>206.57</v>
      </c>
      <c r="G1239" s="1">
        <v>3346.4009999999998</v>
      </c>
      <c r="H1239" s="1">
        <v>-1836.16</v>
      </c>
      <c r="I1239" s="1">
        <v>0</v>
      </c>
    </row>
    <row r="1240" spans="1:9" hidden="1" x14ac:dyDescent="0.25">
      <c r="A1240" s="1" t="s">
        <v>24</v>
      </c>
      <c r="B1240" s="1" t="s">
        <v>327</v>
      </c>
      <c r="C1240" s="1" t="s">
        <v>25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24</v>
      </c>
      <c r="B1241" s="1" t="s">
        <v>327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24</v>
      </c>
      <c r="B1242" s="1" t="s">
        <v>328</v>
      </c>
      <c r="C1242" s="1" t="s">
        <v>25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24</v>
      </c>
      <c r="B1243" s="1" t="s">
        <v>328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16</v>
      </c>
      <c r="B1244" s="1" t="s">
        <v>9</v>
      </c>
      <c r="C1244" s="1" t="s">
        <v>25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x14ac:dyDescent="0.25">
      <c r="A1245" s="1" t="s">
        <v>16</v>
      </c>
      <c r="B1245" s="1" t="s">
        <v>9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16</v>
      </c>
      <c r="B1246" s="1" t="s">
        <v>26</v>
      </c>
      <c r="C1246" s="1" t="s">
        <v>25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16</v>
      </c>
      <c r="B1247" s="1" t="s">
        <v>26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16</v>
      </c>
      <c r="B1248" s="1" t="s">
        <v>20</v>
      </c>
      <c r="C1248" s="1" t="s">
        <v>25</v>
      </c>
      <c r="D1248" s="1">
        <v>0</v>
      </c>
      <c r="E1248" s="1">
        <v>-452.1</v>
      </c>
      <c r="F1248" s="1">
        <v>0</v>
      </c>
      <c r="G1248" s="1">
        <v>7459.6149999999998</v>
      </c>
      <c r="H1248" s="1">
        <v>0</v>
      </c>
      <c r="I1248" s="1">
        <v>-3616.7829999999999</v>
      </c>
    </row>
    <row r="1249" spans="1:9" hidden="1" x14ac:dyDescent="0.25">
      <c r="A1249" s="1" t="s">
        <v>16</v>
      </c>
      <c r="B1249" s="1" t="s">
        <v>20</v>
      </c>
      <c r="C1249" s="1" t="s">
        <v>10</v>
      </c>
      <c r="D1249" s="1">
        <v>0</v>
      </c>
      <c r="E1249" s="1">
        <v>-452.1</v>
      </c>
      <c r="F1249" s="1">
        <v>0</v>
      </c>
      <c r="G1249" s="1">
        <v>7459.6149999999998</v>
      </c>
      <c r="H1249" s="1">
        <v>0</v>
      </c>
      <c r="I1249" s="1">
        <v>-5425.174</v>
      </c>
    </row>
    <row r="1250" spans="1:9" hidden="1" x14ac:dyDescent="0.25">
      <c r="A1250" s="1" t="s">
        <v>16</v>
      </c>
      <c r="B1250" s="1" t="s">
        <v>21</v>
      </c>
      <c r="C1250" s="1" t="s">
        <v>25</v>
      </c>
      <c r="D1250" s="1">
        <v>0</v>
      </c>
      <c r="E1250" s="1">
        <v>-452.1</v>
      </c>
      <c r="F1250" s="1">
        <v>0</v>
      </c>
      <c r="G1250" s="1">
        <v>6103.3209999999999</v>
      </c>
      <c r="H1250" s="1">
        <v>0</v>
      </c>
      <c r="I1250" s="1">
        <v>-3616.7829999999999</v>
      </c>
    </row>
    <row r="1251" spans="1:9" hidden="1" x14ac:dyDescent="0.25">
      <c r="A1251" s="1" t="s">
        <v>16</v>
      </c>
      <c r="B1251" s="1" t="s">
        <v>21</v>
      </c>
      <c r="C1251" s="1" t="s">
        <v>10</v>
      </c>
      <c r="D1251" s="1">
        <v>0</v>
      </c>
      <c r="E1251" s="1">
        <v>-452.1</v>
      </c>
      <c r="F1251" s="1">
        <v>0</v>
      </c>
      <c r="G1251" s="1">
        <v>6103.3209999999999</v>
      </c>
      <c r="H1251" s="1">
        <v>0</v>
      </c>
      <c r="I1251" s="1">
        <v>-5425.174</v>
      </c>
    </row>
    <row r="1252" spans="1:9" hidden="1" x14ac:dyDescent="0.25">
      <c r="A1252" s="1" t="s">
        <v>16</v>
      </c>
      <c r="B1252" s="1" t="s">
        <v>22</v>
      </c>
      <c r="C1252" s="1" t="s">
        <v>25</v>
      </c>
      <c r="D1252" s="1">
        <v>0</v>
      </c>
      <c r="E1252" s="1">
        <v>0</v>
      </c>
      <c r="F1252" s="1">
        <v>-546.48</v>
      </c>
      <c r="G1252" s="1">
        <v>-10820.227999999999</v>
      </c>
      <c r="H1252" s="1">
        <v>4371.8090000000002</v>
      </c>
      <c r="I1252" s="1">
        <v>0</v>
      </c>
    </row>
    <row r="1253" spans="1:9" hidden="1" x14ac:dyDescent="0.25">
      <c r="A1253" s="1" t="s">
        <v>16</v>
      </c>
      <c r="B1253" s="1" t="s">
        <v>22</v>
      </c>
      <c r="C1253" s="1" t="s">
        <v>10</v>
      </c>
      <c r="D1253" s="1">
        <v>0</v>
      </c>
      <c r="E1253" s="1">
        <v>0</v>
      </c>
      <c r="F1253" s="1">
        <v>-546.48</v>
      </c>
      <c r="G1253" s="1">
        <v>-10820.227999999999</v>
      </c>
      <c r="H1253" s="1">
        <v>6557.7139999999999</v>
      </c>
      <c r="I1253" s="1">
        <v>0</v>
      </c>
    </row>
    <row r="1254" spans="1:9" hidden="1" x14ac:dyDescent="0.25">
      <c r="A1254" s="1" t="s">
        <v>16</v>
      </c>
      <c r="B1254" s="1" t="s">
        <v>23</v>
      </c>
      <c r="C1254" s="1" t="s">
        <v>25</v>
      </c>
      <c r="D1254" s="1">
        <v>0</v>
      </c>
      <c r="E1254" s="1">
        <v>0</v>
      </c>
      <c r="F1254" s="1">
        <v>-546.48</v>
      </c>
      <c r="G1254" s="1">
        <v>-8852.9140000000007</v>
      </c>
      <c r="H1254" s="1">
        <v>4371.8090000000002</v>
      </c>
      <c r="I1254" s="1">
        <v>0</v>
      </c>
    </row>
    <row r="1255" spans="1:9" hidden="1" x14ac:dyDescent="0.25">
      <c r="A1255" s="1" t="s">
        <v>16</v>
      </c>
      <c r="B1255" s="1" t="s">
        <v>23</v>
      </c>
      <c r="C1255" s="1" t="s">
        <v>10</v>
      </c>
      <c r="D1255" s="1">
        <v>0</v>
      </c>
      <c r="E1255" s="1">
        <v>0</v>
      </c>
      <c r="F1255" s="1">
        <v>-546.48</v>
      </c>
      <c r="G1255" s="1">
        <v>-8852.9140000000007</v>
      </c>
      <c r="H1255" s="1">
        <v>6557.7139999999999</v>
      </c>
      <c r="I1255" s="1">
        <v>0</v>
      </c>
    </row>
    <row r="1256" spans="1:9" hidden="1" x14ac:dyDescent="0.25">
      <c r="A1256" s="1" t="s">
        <v>16</v>
      </c>
      <c r="B1256" s="1" t="s">
        <v>321</v>
      </c>
      <c r="C1256" s="1" t="s">
        <v>25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16</v>
      </c>
      <c r="B1257" s="1" t="s">
        <v>321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16</v>
      </c>
      <c r="B1258" s="1" t="s">
        <v>322</v>
      </c>
      <c r="C1258" s="1" t="s">
        <v>25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16</v>
      </c>
      <c r="B1259" s="1" t="s">
        <v>322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16</v>
      </c>
      <c r="B1260" s="1" t="s">
        <v>323</v>
      </c>
      <c r="C1260" s="1" t="s">
        <v>25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16</v>
      </c>
      <c r="B1261" s="1" t="s">
        <v>323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16</v>
      </c>
      <c r="B1262" s="1" t="s">
        <v>324</v>
      </c>
      <c r="C1262" s="1" t="s">
        <v>25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16</v>
      </c>
      <c r="B1263" s="1" t="s">
        <v>324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16</v>
      </c>
      <c r="B1264" s="1" t="s">
        <v>325</v>
      </c>
      <c r="C1264" s="1" t="s">
        <v>25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16</v>
      </c>
      <c r="B1265" s="1" t="s">
        <v>325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16</v>
      </c>
      <c r="B1266" s="1" t="s">
        <v>326</v>
      </c>
      <c r="C1266" s="1" t="s">
        <v>25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16</v>
      </c>
      <c r="B1267" s="1" t="s">
        <v>326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16</v>
      </c>
      <c r="B1268" s="1" t="s">
        <v>27</v>
      </c>
      <c r="C1268" s="1" t="s">
        <v>25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16</v>
      </c>
      <c r="B1269" s="1" t="s">
        <v>27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16</v>
      </c>
      <c r="B1270" s="1" t="s">
        <v>28</v>
      </c>
      <c r="C1270" s="1" t="s">
        <v>25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16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16</v>
      </c>
      <c r="B1272" s="1" t="s">
        <v>29</v>
      </c>
      <c r="C1272" s="1" t="s">
        <v>25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16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16</v>
      </c>
      <c r="B1274" s="1" t="s">
        <v>30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11</v>
      </c>
      <c r="C1276" s="1" t="s">
        <v>25</v>
      </c>
      <c r="D1276" s="1">
        <v>0</v>
      </c>
      <c r="E1276" s="1">
        <v>224.31</v>
      </c>
      <c r="F1276" s="1">
        <v>0</v>
      </c>
      <c r="G1276" s="1">
        <v>3927.569</v>
      </c>
      <c r="H1276" s="1">
        <v>0</v>
      </c>
      <c r="I1276" s="1">
        <v>1689.4649999999999</v>
      </c>
    </row>
    <row r="1277" spans="1:9" hidden="1" x14ac:dyDescent="0.25">
      <c r="A1277" s="1" t="s">
        <v>16</v>
      </c>
      <c r="B1277" s="1" t="s">
        <v>11</v>
      </c>
      <c r="C1277" s="1" t="s">
        <v>10</v>
      </c>
      <c r="D1277" s="1">
        <v>0</v>
      </c>
      <c r="E1277" s="1">
        <v>224.31</v>
      </c>
      <c r="F1277" s="1">
        <v>0</v>
      </c>
      <c r="G1277" s="1">
        <v>3927.569</v>
      </c>
      <c r="H1277" s="1">
        <v>0</v>
      </c>
      <c r="I1277" s="1">
        <v>2469.7930000000001</v>
      </c>
    </row>
    <row r="1278" spans="1:9" hidden="1" x14ac:dyDescent="0.25">
      <c r="A1278" s="1" t="s">
        <v>16</v>
      </c>
      <c r="B1278" s="1" t="s">
        <v>12</v>
      </c>
      <c r="C1278" s="1" t="s">
        <v>25</v>
      </c>
      <c r="D1278" s="1">
        <v>0</v>
      </c>
      <c r="E1278" s="1">
        <v>0</v>
      </c>
      <c r="F1278" s="1">
        <v>558.86</v>
      </c>
      <c r="G1278" s="1">
        <v>11266.933000000001</v>
      </c>
      <c r="H1278" s="1">
        <v>4515.5739999999996</v>
      </c>
      <c r="I1278" s="1">
        <v>0</v>
      </c>
    </row>
    <row r="1279" spans="1:9" hidden="1" x14ac:dyDescent="0.25">
      <c r="A1279" s="1" t="s">
        <v>16</v>
      </c>
      <c r="B1279" s="1" t="s">
        <v>12</v>
      </c>
      <c r="C1279" s="1" t="s">
        <v>10</v>
      </c>
      <c r="D1279" s="1">
        <v>0</v>
      </c>
      <c r="E1279" s="1">
        <v>0</v>
      </c>
      <c r="F1279" s="1">
        <v>558.86</v>
      </c>
      <c r="G1279" s="1">
        <v>11266.933000000001</v>
      </c>
      <c r="H1279" s="1">
        <v>6679.3779999999997</v>
      </c>
      <c r="I1279" s="1">
        <v>0</v>
      </c>
    </row>
    <row r="1280" spans="1:9" hidden="1" x14ac:dyDescent="0.25">
      <c r="A1280" s="1" t="s">
        <v>16</v>
      </c>
      <c r="B1280" s="1" t="s">
        <v>13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16</v>
      </c>
      <c r="B1281" s="1" t="s">
        <v>13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31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31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33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33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34</v>
      </c>
      <c r="C1288" s="1" t="s">
        <v>25</v>
      </c>
      <c r="D1288" s="1">
        <v>0</v>
      </c>
      <c r="E1288" s="1">
        <v>-452.1</v>
      </c>
      <c r="F1288" s="1">
        <v>0</v>
      </c>
      <c r="G1288" s="1">
        <v>7459.6149999999998</v>
      </c>
      <c r="H1288" s="1">
        <v>0</v>
      </c>
      <c r="I1288" s="1">
        <v>-3616.7829999999999</v>
      </c>
    </row>
    <row r="1289" spans="1:9" hidden="1" x14ac:dyDescent="0.25">
      <c r="A1289" s="1" t="s">
        <v>16</v>
      </c>
      <c r="B1289" s="1" t="s">
        <v>34</v>
      </c>
      <c r="C1289" s="1" t="s">
        <v>10</v>
      </c>
      <c r="D1289" s="1">
        <v>0</v>
      </c>
      <c r="E1289" s="1">
        <v>-452.1</v>
      </c>
      <c r="F1289" s="1">
        <v>0</v>
      </c>
      <c r="G1289" s="1">
        <v>7459.6149999999998</v>
      </c>
      <c r="H1289" s="1">
        <v>0</v>
      </c>
      <c r="I1289" s="1">
        <v>-5425.174</v>
      </c>
    </row>
    <row r="1290" spans="1:9" hidden="1" x14ac:dyDescent="0.25">
      <c r="A1290" s="1" t="s">
        <v>16</v>
      </c>
      <c r="B1290" s="1" t="s">
        <v>35</v>
      </c>
      <c r="C1290" s="1" t="s">
        <v>25</v>
      </c>
      <c r="D1290" s="1">
        <v>0</v>
      </c>
      <c r="E1290" s="1">
        <v>-452.1</v>
      </c>
      <c r="F1290" s="1">
        <v>0</v>
      </c>
      <c r="G1290" s="1">
        <v>6103.3209999999999</v>
      </c>
      <c r="H1290" s="1">
        <v>0</v>
      </c>
      <c r="I1290" s="1">
        <v>-3616.7829999999999</v>
      </c>
    </row>
    <row r="1291" spans="1:9" hidden="1" x14ac:dyDescent="0.25">
      <c r="A1291" s="1" t="s">
        <v>16</v>
      </c>
      <c r="B1291" s="1" t="s">
        <v>35</v>
      </c>
      <c r="C1291" s="1" t="s">
        <v>10</v>
      </c>
      <c r="D1291" s="1">
        <v>0</v>
      </c>
      <c r="E1291" s="1">
        <v>-452.1</v>
      </c>
      <c r="F1291" s="1">
        <v>0</v>
      </c>
      <c r="G1291" s="1">
        <v>6103.3209999999999</v>
      </c>
      <c r="H1291" s="1">
        <v>0</v>
      </c>
      <c r="I1291" s="1">
        <v>-5425.174</v>
      </c>
    </row>
    <row r="1292" spans="1:9" hidden="1" x14ac:dyDescent="0.25">
      <c r="A1292" s="1" t="s">
        <v>16</v>
      </c>
      <c r="B1292" s="1" t="s">
        <v>36</v>
      </c>
      <c r="C1292" s="1" t="s">
        <v>25</v>
      </c>
      <c r="D1292" s="1">
        <v>0</v>
      </c>
      <c r="E1292" s="1">
        <v>452.1</v>
      </c>
      <c r="F1292" s="1">
        <v>0</v>
      </c>
      <c r="G1292" s="1">
        <v>-7459.6149999999998</v>
      </c>
      <c r="H1292" s="1">
        <v>0</v>
      </c>
      <c r="I1292" s="1">
        <v>3616.7829999999999</v>
      </c>
    </row>
    <row r="1293" spans="1:9" hidden="1" x14ac:dyDescent="0.25">
      <c r="A1293" s="1" t="s">
        <v>16</v>
      </c>
      <c r="B1293" s="1" t="s">
        <v>36</v>
      </c>
      <c r="C1293" s="1" t="s">
        <v>10</v>
      </c>
      <c r="D1293" s="1">
        <v>0</v>
      </c>
      <c r="E1293" s="1">
        <v>452.1</v>
      </c>
      <c r="F1293" s="1">
        <v>0</v>
      </c>
      <c r="G1293" s="1">
        <v>-7459.6149999999998</v>
      </c>
      <c r="H1293" s="1">
        <v>0</v>
      </c>
      <c r="I1293" s="1">
        <v>5425.174</v>
      </c>
    </row>
    <row r="1294" spans="1:9" hidden="1" x14ac:dyDescent="0.25">
      <c r="A1294" s="1" t="s">
        <v>16</v>
      </c>
      <c r="B1294" s="1" t="s">
        <v>37</v>
      </c>
      <c r="C1294" s="1" t="s">
        <v>25</v>
      </c>
      <c r="D1294" s="1">
        <v>0</v>
      </c>
      <c r="E1294" s="1">
        <v>452.1</v>
      </c>
      <c r="F1294" s="1">
        <v>0</v>
      </c>
      <c r="G1294" s="1">
        <v>-6103.3209999999999</v>
      </c>
      <c r="H1294" s="1">
        <v>0</v>
      </c>
      <c r="I1294" s="1">
        <v>3616.7829999999999</v>
      </c>
    </row>
    <row r="1295" spans="1:9" hidden="1" x14ac:dyDescent="0.25">
      <c r="A1295" s="1" t="s">
        <v>16</v>
      </c>
      <c r="B1295" s="1" t="s">
        <v>37</v>
      </c>
      <c r="C1295" s="1" t="s">
        <v>10</v>
      </c>
      <c r="D1295" s="1">
        <v>0</v>
      </c>
      <c r="E1295" s="1">
        <v>452.1</v>
      </c>
      <c r="F1295" s="1">
        <v>0</v>
      </c>
      <c r="G1295" s="1">
        <v>-6103.3209999999999</v>
      </c>
      <c r="H1295" s="1">
        <v>0</v>
      </c>
      <c r="I1295" s="1">
        <v>5425.174</v>
      </c>
    </row>
    <row r="1296" spans="1:9" hidden="1" x14ac:dyDescent="0.25">
      <c r="A1296" s="1" t="s">
        <v>16</v>
      </c>
      <c r="B1296" s="1" t="s">
        <v>38</v>
      </c>
      <c r="C1296" s="1" t="s">
        <v>25</v>
      </c>
      <c r="D1296" s="1">
        <v>0</v>
      </c>
      <c r="E1296" s="1">
        <v>0</v>
      </c>
      <c r="F1296" s="1">
        <v>-546.48</v>
      </c>
      <c r="G1296" s="1">
        <v>-10820.227999999999</v>
      </c>
      <c r="H1296" s="1">
        <v>4371.8090000000002</v>
      </c>
      <c r="I1296" s="1">
        <v>0</v>
      </c>
    </row>
    <row r="1297" spans="1:9" hidden="1" x14ac:dyDescent="0.25">
      <c r="A1297" s="1" t="s">
        <v>16</v>
      </c>
      <c r="B1297" s="1" t="s">
        <v>38</v>
      </c>
      <c r="C1297" s="1" t="s">
        <v>10</v>
      </c>
      <c r="D1297" s="1">
        <v>0</v>
      </c>
      <c r="E1297" s="1">
        <v>0</v>
      </c>
      <c r="F1297" s="1">
        <v>-546.48</v>
      </c>
      <c r="G1297" s="1">
        <v>-10820.227999999999</v>
      </c>
      <c r="H1297" s="1">
        <v>6557.7139999999999</v>
      </c>
      <c r="I1297" s="1">
        <v>0</v>
      </c>
    </row>
    <row r="1298" spans="1:9" hidden="1" x14ac:dyDescent="0.25">
      <c r="A1298" s="1" t="s">
        <v>16</v>
      </c>
      <c r="B1298" s="1" t="s">
        <v>39</v>
      </c>
      <c r="C1298" s="1" t="s">
        <v>25</v>
      </c>
      <c r="D1298" s="1">
        <v>0</v>
      </c>
      <c r="E1298" s="1">
        <v>0</v>
      </c>
      <c r="F1298" s="1">
        <v>-546.48</v>
      </c>
      <c r="G1298" s="1">
        <v>-8852.9140000000007</v>
      </c>
      <c r="H1298" s="1">
        <v>4371.8090000000002</v>
      </c>
      <c r="I1298" s="1">
        <v>0</v>
      </c>
    </row>
    <row r="1299" spans="1:9" hidden="1" x14ac:dyDescent="0.25">
      <c r="A1299" s="1" t="s">
        <v>16</v>
      </c>
      <c r="B1299" s="1" t="s">
        <v>39</v>
      </c>
      <c r="C1299" s="1" t="s">
        <v>10</v>
      </c>
      <c r="D1299" s="1">
        <v>0</v>
      </c>
      <c r="E1299" s="1">
        <v>0</v>
      </c>
      <c r="F1299" s="1">
        <v>-546.48</v>
      </c>
      <c r="G1299" s="1">
        <v>-8852.9140000000007</v>
      </c>
      <c r="H1299" s="1">
        <v>6557.7139999999999</v>
      </c>
      <c r="I1299" s="1">
        <v>0</v>
      </c>
    </row>
    <row r="1300" spans="1:9" hidden="1" x14ac:dyDescent="0.25">
      <c r="A1300" s="1" t="s">
        <v>16</v>
      </c>
      <c r="B1300" s="1" t="s">
        <v>40</v>
      </c>
      <c r="C1300" s="1" t="s">
        <v>25</v>
      </c>
      <c r="D1300" s="1">
        <v>0</v>
      </c>
      <c r="E1300" s="1">
        <v>0</v>
      </c>
      <c r="F1300" s="1">
        <v>546.48</v>
      </c>
      <c r="G1300" s="1">
        <v>10820.227999999999</v>
      </c>
      <c r="H1300" s="1">
        <v>-4371.8090000000002</v>
      </c>
      <c r="I1300" s="1">
        <v>0</v>
      </c>
    </row>
    <row r="1301" spans="1:9" hidden="1" x14ac:dyDescent="0.25">
      <c r="A1301" s="1" t="s">
        <v>16</v>
      </c>
      <c r="B1301" s="1" t="s">
        <v>40</v>
      </c>
      <c r="C1301" s="1" t="s">
        <v>10</v>
      </c>
      <c r="D1301" s="1">
        <v>0</v>
      </c>
      <c r="E1301" s="1">
        <v>0</v>
      </c>
      <c r="F1301" s="1">
        <v>546.48</v>
      </c>
      <c r="G1301" s="1">
        <v>10820.227999999999</v>
      </c>
      <c r="H1301" s="1">
        <v>-6557.7139999999999</v>
      </c>
      <c r="I1301" s="1">
        <v>0</v>
      </c>
    </row>
    <row r="1302" spans="1:9" hidden="1" x14ac:dyDescent="0.25">
      <c r="A1302" s="1" t="s">
        <v>16</v>
      </c>
      <c r="B1302" s="1" t="s">
        <v>41</v>
      </c>
      <c r="C1302" s="1" t="s">
        <v>25</v>
      </c>
      <c r="D1302" s="1">
        <v>0</v>
      </c>
      <c r="E1302" s="1">
        <v>0</v>
      </c>
      <c r="F1302" s="1">
        <v>546.48</v>
      </c>
      <c r="G1302" s="1">
        <v>8852.9140000000007</v>
      </c>
      <c r="H1302" s="1">
        <v>-4371.8090000000002</v>
      </c>
      <c r="I1302" s="1">
        <v>0</v>
      </c>
    </row>
    <row r="1303" spans="1:9" hidden="1" x14ac:dyDescent="0.25">
      <c r="A1303" s="1" t="s">
        <v>16</v>
      </c>
      <c r="B1303" s="1" t="s">
        <v>41</v>
      </c>
      <c r="C1303" s="1" t="s">
        <v>10</v>
      </c>
      <c r="D1303" s="1">
        <v>0</v>
      </c>
      <c r="E1303" s="1">
        <v>0</v>
      </c>
      <c r="F1303" s="1">
        <v>546.48</v>
      </c>
      <c r="G1303" s="1">
        <v>8852.9140000000007</v>
      </c>
      <c r="H1303" s="1">
        <v>-6557.7139999999999</v>
      </c>
      <c r="I1303" s="1">
        <v>0</v>
      </c>
    </row>
    <row r="1304" spans="1:9" hidden="1" x14ac:dyDescent="0.25">
      <c r="A1304" s="1" t="s">
        <v>16</v>
      </c>
      <c r="B1304" s="1" t="s">
        <v>42</v>
      </c>
      <c r="C1304" s="1" t="s">
        <v>25</v>
      </c>
      <c r="D1304" s="1">
        <v>0</v>
      </c>
      <c r="E1304" s="1">
        <v>-452.1</v>
      </c>
      <c r="F1304" s="1">
        <v>0</v>
      </c>
      <c r="G1304" s="1">
        <v>7459.6149999999998</v>
      </c>
      <c r="H1304" s="1">
        <v>0</v>
      </c>
      <c r="I1304" s="1">
        <v>-3616.7829999999999</v>
      </c>
    </row>
    <row r="1305" spans="1:9" hidden="1" x14ac:dyDescent="0.25">
      <c r="A1305" s="1" t="s">
        <v>16</v>
      </c>
      <c r="B1305" s="1" t="s">
        <v>42</v>
      </c>
      <c r="C1305" s="1" t="s">
        <v>10</v>
      </c>
      <c r="D1305" s="1">
        <v>0</v>
      </c>
      <c r="E1305" s="1">
        <v>-452.1</v>
      </c>
      <c r="F1305" s="1">
        <v>0</v>
      </c>
      <c r="G1305" s="1">
        <v>7459.6149999999998</v>
      </c>
      <c r="H1305" s="1">
        <v>0</v>
      </c>
      <c r="I1305" s="1">
        <v>-5425.174</v>
      </c>
    </row>
    <row r="1306" spans="1:9" hidden="1" x14ac:dyDescent="0.25">
      <c r="A1306" s="1" t="s">
        <v>16</v>
      </c>
      <c r="B1306" s="1" t="s">
        <v>43</v>
      </c>
      <c r="C1306" s="1" t="s">
        <v>25</v>
      </c>
      <c r="D1306" s="1">
        <v>0</v>
      </c>
      <c r="E1306" s="1">
        <v>-452.1</v>
      </c>
      <c r="F1306" s="1">
        <v>0</v>
      </c>
      <c r="G1306" s="1">
        <v>6103.3209999999999</v>
      </c>
      <c r="H1306" s="1">
        <v>0</v>
      </c>
      <c r="I1306" s="1">
        <v>-3616.7829999999999</v>
      </c>
    </row>
    <row r="1307" spans="1:9" hidden="1" x14ac:dyDescent="0.25">
      <c r="A1307" s="1" t="s">
        <v>16</v>
      </c>
      <c r="B1307" s="1" t="s">
        <v>43</v>
      </c>
      <c r="C1307" s="1" t="s">
        <v>10</v>
      </c>
      <c r="D1307" s="1">
        <v>0</v>
      </c>
      <c r="E1307" s="1">
        <v>-452.1</v>
      </c>
      <c r="F1307" s="1">
        <v>0</v>
      </c>
      <c r="G1307" s="1">
        <v>6103.3209999999999</v>
      </c>
      <c r="H1307" s="1">
        <v>0</v>
      </c>
      <c r="I1307" s="1">
        <v>-5425.174</v>
      </c>
    </row>
    <row r="1308" spans="1:9" hidden="1" x14ac:dyDescent="0.25">
      <c r="A1308" s="1" t="s">
        <v>16</v>
      </c>
      <c r="B1308" s="1" t="s">
        <v>44</v>
      </c>
      <c r="C1308" s="1" t="s">
        <v>25</v>
      </c>
      <c r="D1308" s="1">
        <v>0</v>
      </c>
      <c r="E1308" s="1">
        <v>452.1</v>
      </c>
      <c r="F1308" s="1">
        <v>0</v>
      </c>
      <c r="G1308" s="1">
        <v>-7459.6149999999998</v>
      </c>
      <c r="H1308" s="1">
        <v>0</v>
      </c>
      <c r="I1308" s="1">
        <v>3616.7829999999999</v>
      </c>
    </row>
    <row r="1309" spans="1:9" hidden="1" x14ac:dyDescent="0.25">
      <c r="A1309" s="1" t="s">
        <v>16</v>
      </c>
      <c r="B1309" s="1" t="s">
        <v>44</v>
      </c>
      <c r="C1309" s="1" t="s">
        <v>10</v>
      </c>
      <c r="D1309" s="1">
        <v>0</v>
      </c>
      <c r="E1309" s="1">
        <v>452.1</v>
      </c>
      <c r="F1309" s="1">
        <v>0</v>
      </c>
      <c r="G1309" s="1">
        <v>-7459.6149999999998</v>
      </c>
      <c r="H1309" s="1">
        <v>0</v>
      </c>
      <c r="I1309" s="1">
        <v>5425.174</v>
      </c>
    </row>
    <row r="1310" spans="1:9" hidden="1" x14ac:dyDescent="0.25">
      <c r="A1310" s="1" t="s">
        <v>16</v>
      </c>
      <c r="B1310" s="1" t="s">
        <v>45</v>
      </c>
      <c r="C1310" s="1" t="s">
        <v>25</v>
      </c>
      <c r="D1310" s="1">
        <v>0</v>
      </c>
      <c r="E1310" s="1">
        <v>452.1</v>
      </c>
      <c r="F1310" s="1">
        <v>0</v>
      </c>
      <c r="G1310" s="1">
        <v>-6103.3209999999999</v>
      </c>
      <c r="H1310" s="1">
        <v>0</v>
      </c>
      <c r="I1310" s="1">
        <v>3616.7829999999999</v>
      </c>
    </row>
    <row r="1311" spans="1:9" hidden="1" x14ac:dyDescent="0.25">
      <c r="A1311" s="1" t="s">
        <v>16</v>
      </c>
      <c r="B1311" s="1" t="s">
        <v>45</v>
      </c>
      <c r="C1311" s="1" t="s">
        <v>10</v>
      </c>
      <c r="D1311" s="1">
        <v>0</v>
      </c>
      <c r="E1311" s="1">
        <v>452.1</v>
      </c>
      <c r="F1311" s="1">
        <v>0</v>
      </c>
      <c r="G1311" s="1">
        <v>-6103.3209999999999</v>
      </c>
      <c r="H1311" s="1">
        <v>0</v>
      </c>
      <c r="I1311" s="1">
        <v>5425.174</v>
      </c>
    </row>
    <row r="1312" spans="1:9" hidden="1" x14ac:dyDescent="0.25">
      <c r="A1312" s="1" t="s">
        <v>16</v>
      </c>
      <c r="B1312" s="1" t="s">
        <v>46</v>
      </c>
      <c r="C1312" s="1" t="s">
        <v>25</v>
      </c>
      <c r="D1312" s="1">
        <v>0</v>
      </c>
      <c r="E1312" s="1">
        <v>0</v>
      </c>
      <c r="F1312" s="1">
        <v>-546.48</v>
      </c>
      <c r="G1312" s="1">
        <v>-10820.227999999999</v>
      </c>
      <c r="H1312" s="1">
        <v>4371.8090000000002</v>
      </c>
      <c r="I1312" s="1">
        <v>0</v>
      </c>
    </row>
    <row r="1313" spans="1:9" hidden="1" x14ac:dyDescent="0.25">
      <c r="A1313" s="1" t="s">
        <v>16</v>
      </c>
      <c r="B1313" s="1" t="s">
        <v>46</v>
      </c>
      <c r="C1313" s="1" t="s">
        <v>10</v>
      </c>
      <c r="D1313" s="1">
        <v>0</v>
      </c>
      <c r="E1313" s="1">
        <v>0</v>
      </c>
      <c r="F1313" s="1">
        <v>-546.48</v>
      </c>
      <c r="G1313" s="1">
        <v>-10820.227999999999</v>
      </c>
      <c r="H1313" s="1">
        <v>6557.7139999999999</v>
      </c>
      <c r="I1313" s="1">
        <v>0</v>
      </c>
    </row>
    <row r="1314" spans="1:9" hidden="1" x14ac:dyDescent="0.25">
      <c r="A1314" s="1" t="s">
        <v>16</v>
      </c>
      <c r="B1314" s="1" t="s">
        <v>47</v>
      </c>
      <c r="C1314" s="1" t="s">
        <v>25</v>
      </c>
      <c r="D1314" s="1">
        <v>0</v>
      </c>
      <c r="E1314" s="1">
        <v>0</v>
      </c>
      <c r="F1314" s="1">
        <v>-546.48</v>
      </c>
      <c r="G1314" s="1">
        <v>-8852.9140000000007</v>
      </c>
      <c r="H1314" s="1">
        <v>4371.8090000000002</v>
      </c>
      <c r="I1314" s="1">
        <v>0</v>
      </c>
    </row>
    <row r="1315" spans="1:9" hidden="1" x14ac:dyDescent="0.25">
      <c r="A1315" s="1" t="s">
        <v>16</v>
      </c>
      <c r="B1315" s="1" t="s">
        <v>47</v>
      </c>
      <c r="C1315" s="1" t="s">
        <v>10</v>
      </c>
      <c r="D1315" s="1">
        <v>0</v>
      </c>
      <c r="E1315" s="1">
        <v>0</v>
      </c>
      <c r="F1315" s="1">
        <v>-546.48</v>
      </c>
      <c r="G1315" s="1">
        <v>-8852.9140000000007</v>
      </c>
      <c r="H1315" s="1">
        <v>6557.7139999999999</v>
      </c>
      <c r="I1315" s="1">
        <v>0</v>
      </c>
    </row>
    <row r="1316" spans="1:9" hidden="1" x14ac:dyDescent="0.25">
      <c r="A1316" s="1" t="s">
        <v>16</v>
      </c>
      <c r="B1316" s="1" t="s">
        <v>48</v>
      </c>
      <c r="C1316" s="1" t="s">
        <v>25</v>
      </c>
      <c r="D1316" s="1">
        <v>0</v>
      </c>
      <c r="E1316" s="1">
        <v>0</v>
      </c>
      <c r="F1316" s="1">
        <v>546.48</v>
      </c>
      <c r="G1316" s="1">
        <v>10820.227999999999</v>
      </c>
      <c r="H1316" s="1">
        <v>-4371.8090000000002</v>
      </c>
      <c r="I1316" s="1">
        <v>0</v>
      </c>
    </row>
    <row r="1317" spans="1:9" hidden="1" x14ac:dyDescent="0.25">
      <c r="A1317" s="1" t="s">
        <v>16</v>
      </c>
      <c r="B1317" s="1" t="s">
        <v>48</v>
      </c>
      <c r="C1317" s="1" t="s">
        <v>10</v>
      </c>
      <c r="D1317" s="1">
        <v>0</v>
      </c>
      <c r="E1317" s="1">
        <v>0</v>
      </c>
      <c r="F1317" s="1">
        <v>546.48</v>
      </c>
      <c r="G1317" s="1">
        <v>10820.227999999999</v>
      </c>
      <c r="H1317" s="1">
        <v>-6557.7139999999999</v>
      </c>
      <c r="I1317" s="1">
        <v>0</v>
      </c>
    </row>
    <row r="1318" spans="1:9" hidden="1" x14ac:dyDescent="0.25">
      <c r="A1318" s="1" t="s">
        <v>16</v>
      </c>
      <c r="B1318" s="1" t="s">
        <v>49</v>
      </c>
      <c r="C1318" s="1" t="s">
        <v>25</v>
      </c>
      <c r="D1318" s="1">
        <v>0</v>
      </c>
      <c r="E1318" s="1">
        <v>0</v>
      </c>
      <c r="F1318" s="1">
        <v>546.48</v>
      </c>
      <c r="G1318" s="1">
        <v>8852.9140000000007</v>
      </c>
      <c r="H1318" s="1">
        <v>-4371.8090000000002</v>
      </c>
      <c r="I1318" s="1">
        <v>0</v>
      </c>
    </row>
    <row r="1319" spans="1:9" hidden="1" x14ac:dyDescent="0.25">
      <c r="A1319" s="1" t="s">
        <v>16</v>
      </c>
      <c r="B1319" s="1" t="s">
        <v>49</v>
      </c>
      <c r="C1319" s="1" t="s">
        <v>10</v>
      </c>
      <c r="D1319" s="1">
        <v>0</v>
      </c>
      <c r="E1319" s="1">
        <v>0</v>
      </c>
      <c r="F1319" s="1">
        <v>546.48</v>
      </c>
      <c r="G1319" s="1">
        <v>8852.9140000000007</v>
      </c>
      <c r="H1319" s="1">
        <v>-6557.7139999999999</v>
      </c>
      <c r="I1319" s="1">
        <v>0</v>
      </c>
    </row>
    <row r="1320" spans="1:9" hidden="1" x14ac:dyDescent="0.25">
      <c r="A1320" s="1" t="s">
        <v>16</v>
      </c>
      <c r="B1320" s="1" t="s">
        <v>50</v>
      </c>
      <c r="C1320" s="1" t="s">
        <v>25</v>
      </c>
      <c r="D1320" s="1">
        <v>0</v>
      </c>
      <c r="E1320" s="1">
        <v>-135.63</v>
      </c>
      <c r="F1320" s="1">
        <v>0</v>
      </c>
      <c r="G1320" s="1">
        <v>2237.884</v>
      </c>
      <c r="H1320" s="1">
        <v>0</v>
      </c>
      <c r="I1320" s="1">
        <v>-1085.0350000000001</v>
      </c>
    </row>
    <row r="1321" spans="1:9" hidden="1" x14ac:dyDescent="0.25">
      <c r="A1321" s="1" t="s">
        <v>16</v>
      </c>
      <c r="B1321" s="1" t="s">
        <v>50</v>
      </c>
      <c r="C1321" s="1" t="s">
        <v>10</v>
      </c>
      <c r="D1321" s="1">
        <v>0</v>
      </c>
      <c r="E1321" s="1">
        <v>-135.63</v>
      </c>
      <c r="F1321" s="1">
        <v>0</v>
      </c>
      <c r="G1321" s="1">
        <v>2237.884</v>
      </c>
      <c r="H1321" s="1">
        <v>0</v>
      </c>
      <c r="I1321" s="1">
        <v>-1627.5519999999999</v>
      </c>
    </row>
    <row r="1322" spans="1:9" hidden="1" x14ac:dyDescent="0.25">
      <c r="A1322" s="1" t="s">
        <v>16</v>
      </c>
      <c r="B1322" s="1" t="s">
        <v>51</v>
      </c>
      <c r="C1322" s="1" t="s">
        <v>25</v>
      </c>
      <c r="D1322" s="1">
        <v>0</v>
      </c>
      <c r="E1322" s="1">
        <v>-135.63</v>
      </c>
      <c r="F1322" s="1">
        <v>0</v>
      </c>
      <c r="G1322" s="1">
        <v>1830.9960000000001</v>
      </c>
      <c r="H1322" s="1">
        <v>0</v>
      </c>
      <c r="I1322" s="1">
        <v>-1085.0350000000001</v>
      </c>
    </row>
    <row r="1323" spans="1:9" hidden="1" x14ac:dyDescent="0.25">
      <c r="A1323" s="1" t="s">
        <v>16</v>
      </c>
      <c r="B1323" s="1" t="s">
        <v>51</v>
      </c>
      <c r="C1323" s="1" t="s">
        <v>10</v>
      </c>
      <c r="D1323" s="1">
        <v>0</v>
      </c>
      <c r="E1323" s="1">
        <v>-135.63</v>
      </c>
      <c r="F1323" s="1">
        <v>0</v>
      </c>
      <c r="G1323" s="1">
        <v>1830.9960000000001</v>
      </c>
      <c r="H1323" s="1">
        <v>0</v>
      </c>
      <c r="I1323" s="1">
        <v>-1627.5519999999999</v>
      </c>
    </row>
    <row r="1324" spans="1:9" hidden="1" x14ac:dyDescent="0.25">
      <c r="A1324" s="1" t="s">
        <v>16</v>
      </c>
      <c r="B1324" s="1" t="s">
        <v>52</v>
      </c>
      <c r="C1324" s="1" t="s">
        <v>25</v>
      </c>
      <c r="D1324" s="1">
        <v>0</v>
      </c>
      <c r="E1324" s="1">
        <v>135.63</v>
      </c>
      <c r="F1324" s="1">
        <v>0</v>
      </c>
      <c r="G1324" s="1">
        <v>-2237.884</v>
      </c>
      <c r="H1324" s="1">
        <v>0</v>
      </c>
      <c r="I1324" s="1">
        <v>1085.0350000000001</v>
      </c>
    </row>
    <row r="1325" spans="1:9" hidden="1" x14ac:dyDescent="0.25">
      <c r="A1325" s="1" t="s">
        <v>16</v>
      </c>
      <c r="B1325" s="1" t="s">
        <v>52</v>
      </c>
      <c r="C1325" s="1" t="s">
        <v>10</v>
      </c>
      <c r="D1325" s="1">
        <v>0</v>
      </c>
      <c r="E1325" s="1">
        <v>135.63</v>
      </c>
      <c r="F1325" s="1">
        <v>0</v>
      </c>
      <c r="G1325" s="1">
        <v>-2237.884</v>
      </c>
      <c r="H1325" s="1">
        <v>0</v>
      </c>
      <c r="I1325" s="1">
        <v>1627.5519999999999</v>
      </c>
    </row>
    <row r="1326" spans="1:9" hidden="1" x14ac:dyDescent="0.25">
      <c r="A1326" s="1" t="s">
        <v>16</v>
      </c>
      <c r="B1326" s="1" t="s">
        <v>53</v>
      </c>
      <c r="C1326" s="1" t="s">
        <v>25</v>
      </c>
      <c r="D1326" s="1">
        <v>0</v>
      </c>
      <c r="E1326" s="1">
        <v>135.63</v>
      </c>
      <c r="F1326" s="1">
        <v>0</v>
      </c>
      <c r="G1326" s="1">
        <v>-1830.9960000000001</v>
      </c>
      <c r="H1326" s="1">
        <v>0</v>
      </c>
      <c r="I1326" s="1">
        <v>1085.0350000000001</v>
      </c>
    </row>
    <row r="1327" spans="1:9" hidden="1" x14ac:dyDescent="0.25">
      <c r="A1327" s="1" t="s">
        <v>16</v>
      </c>
      <c r="B1327" s="1" t="s">
        <v>53</v>
      </c>
      <c r="C1327" s="1" t="s">
        <v>10</v>
      </c>
      <c r="D1327" s="1">
        <v>0</v>
      </c>
      <c r="E1327" s="1">
        <v>135.63</v>
      </c>
      <c r="F1327" s="1">
        <v>0</v>
      </c>
      <c r="G1327" s="1">
        <v>-1830.9960000000001</v>
      </c>
      <c r="H1327" s="1">
        <v>0</v>
      </c>
      <c r="I1327" s="1">
        <v>1627.5519999999999</v>
      </c>
    </row>
    <row r="1328" spans="1:9" hidden="1" x14ac:dyDescent="0.25">
      <c r="A1328" s="1" t="s">
        <v>16</v>
      </c>
      <c r="B1328" s="1" t="s">
        <v>54</v>
      </c>
      <c r="C1328" s="1" t="s">
        <v>25</v>
      </c>
      <c r="D1328" s="1">
        <v>0</v>
      </c>
      <c r="E1328" s="1">
        <v>0</v>
      </c>
      <c r="F1328" s="1">
        <v>-163.94</v>
      </c>
      <c r="G1328" s="1">
        <v>-3246.0680000000002</v>
      </c>
      <c r="H1328" s="1">
        <v>1311.5429999999999</v>
      </c>
      <c r="I1328" s="1">
        <v>0</v>
      </c>
    </row>
    <row r="1329" spans="1:9" hidden="1" x14ac:dyDescent="0.25">
      <c r="A1329" s="1" t="s">
        <v>16</v>
      </c>
      <c r="B1329" s="1" t="s">
        <v>54</v>
      </c>
      <c r="C1329" s="1" t="s">
        <v>10</v>
      </c>
      <c r="D1329" s="1">
        <v>0</v>
      </c>
      <c r="E1329" s="1">
        <v>0</v>
      </c>
      <c r="F1329" s="1">
        <v>-163.94</v>
      </c>
      <c r="G1329" s="1">
        <v>-3246.0680000000002</v>
      </c>
      <c r="H1329" s="1">
        <v>1967.3140000000001</v>
      </c>
      <c r="I1329" s="1">
        <v>0</v>
      </c>
    </row>
    <row r="1330" spans="1:9" hidden="1" x14ac:dyDescent="0.25">
      <c r="A1330" s="1" t="s">
        <v>16</v>
      </c>
      <c r="B1330" s="1" t="s">
        <v>55</v>
      </c>
      <c r="C1330" s="1" t="s">
        <v>25</v>
      </c>
      <c r="D1330" s="1">
        <v>0</v>
      </c>
      <c r="E1330" s="1">
        <v>0</v>
      </c>
      <c r="F1330" s="1">
        <v>-163.94</v>
      </c>
      <c r="G1330" s="1">
        <v>-2655.8739999999998</v>
      </c>
      <c r="H1330" s="1">
        <v>1311.5429999999999</v>
      </c>
      <c r="I1330" s="1">
        <v>0</v>
      </c>
    </row>
    <row r="1331" spans="1:9" hidden="1" x14ac:dyDescent="0.25">
      <c r="A1331" s="1" t="s">
        <v>16</v>
      </c>
      <c r="B1331" s="1" t="s">
        <v>55</v>
      </c>
      <c r="C1331" s="1" t="s">
        <v>10</v>
      </c>
      <c r="D1331" s="1">
        <v>0</v>
      </c>
      <c r="E1331" s="1">
        <v>0</v>
      </c>
      <c r="F1331" s="1">
        <v>-163.94</v>
      </c>
      <c r="G1331" s="1">
        <v>-2655.8739999999998</v>
      </c>
      <c r="H1331" s="1">
        <v>1967.3140000000001</v>
      </c>
      <c r="I1331" s="1">
        <v>0</v>
      </c>
    </row>
    <row r="1332" spans="1:9" hidden="1" x14ac:dyDescent="0.25">
      <c r="A1332" s="1" t="s">
        <v>16</v>
      </c>
      <c r="B1332" s="1" t="s">
        <v>56</v>
      </c>
      <c r="C1332" s="1" t="s">
        <v>25</v>
      </c>
      <c r="D1332" s="1">
        <v>0</v>
      </c>
      <c r="E1332" s="1">
        <v>0</v>
      </c>
      <c r="F1332" s="1">
        <v>163.94</v>
      </c>
      <c r="G1332" s="1">
        <v>3246.0680000000002</v>
      </c>
      <c r="H1332" s="1">
        <v>-1311.5429999999999</v>
      </c>
      <c r="I1332" s="1">
        <v>0</v>
      </c>
    </row>
    <row r="1333" spans="1:9" hidden="1" x14ac:dyDescent="0.25">
      <c r="A1333" s="1" t="s">
        <v>16</v>
      </c>
      <c r="B1333" s="1" t="s">
        <v>56</v>
      </c>
      <c r="C1333" s="1" t="s">
        <v>10</v>
      </c>
      <c r="D1333" s="1">
        <v>0</v>
      </c>
      <c r="E1333" s="1">
        <v>0</v>
      </c>
      <c r="F1333" s="1">
        <v>163.94</v>
      </c>
      <c r="G1333" s="1">
        <v>3246.0680000000002</v>
      </c>
      <c r="H1333" s="1">
        <v>-1967.3140000000001</v>
      </c>
      <c r="I1333" s="1">
        <v>0</v>
      </c>
    </row>
    <row r="1334" spans="1:9" hidden="1" x14ac:dyDescent="0.25">
      <c r="A1334" s="1" t="s">
        <v>16</v>
      </c>
      <c r="B1334" s="1" t="s">
        <v>57</v>
      </c>
      <c r="C1334" s="1" t="s">
        <v>25</v>
      </c>
      <c r="D1334" s="1">
        <v>0</v>
      </c>
      <c r="E1334" s="1">
        <v>0</v>
      </c>
      <c r="F1334" s="1">
        <v>163.94</v>
      </c>
      <c r="G1334" s="1">
        <v>2655.8739999999998</v>
      </c>
      <c r="H1334" s="1">
        <v>-1311.5429999999999</v>
      </c>
      <c r="I1334" s="1">
        <v>0</v>
      </c>
    </row>
    <row r="1335" spans="1:9" hidden="1" x14ac:dyDescent="0.25">
      <c r="A1335" s="1" t="s">
        <v>16</v>
      </c>
      <c r="B1335" s="1" t="s">
        <v>57</v>
      </c>
      <c r="C1335" s="1" t="s">
        <v>10</v>
      </c>
      <c r="D1335" s="1">
        <v>0</v>
      </c>
      <c r="E1335" s="1">
        <v>0</v>
      </c>
      <c r="F1335" s="1">
        <v>163.94</v>
      </c>
      <c r="G1335" s="1">
        <v>2655.8739999999998</v>
      </c>
      <c r="H1335" s="1">
        <v>-1967.3140000000001</v>
      </c>
      <c r="I1335" s="1">
        <v>0</v>
      </c>
    </row>
    <row r="1336" spans="1:9" hidden="1" x14ac:dyDescent="0.25">
      <c r="A1336" s="1" t="s">
        <v>16</v>
      </c>
      <c r="B1336" s="1" t="s">
        <v>58</v>
      </c>
      <c r="C1336" s="1" t="s">
        <v>25</v>
      </c>
      <c r="D1336" s="1">
        <v>0</v>
      </c>
      <c r="E1336" s="1">
        <v>-135.63</v>
      </c>
      <c r="F1336" s="1">
        <v>0</v>
      </c>
      <c r="G1336" s="1">
        <v>2237.884</v>
      </c>
      <c r="H1336" s="1">
        <v>0</v>
      </c>
      <c r="I1336" s="1">
        <v>-1085.0350000000001</v>
      </c>
    </row>
    <row r="1337" spans="1:9" hidden="1" x14ac:dyDescent="0.25">
      <c r="A1337" s="1" t="s">
        <v>16</v>
      </c>
      <c r="B1337" s="1" t="s">
        <v>58</v>
      </c>
      <c r="C1337" s="1" t="s">
        <v>10</v>
      </c>
      <c r="D1337" s="1">
        <v>0</v>
      </c>
      <c r="E1337" s="1">
        <v>-135.63</v>
      </c>
      <c r="F1337" s="1">
        <v>0</v>
      </c>
      <c r="G1337" s="1">
        <v>2237.884</v>
      </c>
      <c r="H1337" s="1">
        <v>0</v>
      </c>
      <c r="I1337" s="1">
        <v>-1627.5519999999999</v>
      </c>
    </row>
    <row r="1338" spans="1:9" hidden="1" x14ac:dyDescent="0.25">
      <c r="A1338" s="1" t="s">
        <v>16</v>
      </c>
      <c r="B1338" s="1" t="s">
        <v>59</v>
      </c>
      <c r="C1338" s="1" t="s">
        <v>25</v>
      </c>
      <c r="D1338" s="1">
        <v>0</v>
      </c>
      <c r="E1338" s="1">
        <v>-135.63</v>
      </c>
      <c r="F1338" s="1">
        <v>0</v>
      </c>
      <c r="G1338" s="1">
        <v>1830.9960000000001</v>
      </c>
      <c r="H1338" s="1">
        <v>0</v>
      </c>
      <c r="I1338" s="1">
        <v>-1085.0350000000001</v>
      </c>
    </row>
    <row r="1339" spans="1:9" hidden="1" x14ac:dyDescent="0.25">
      <c r="A1339" s="1" t="s">
        <v>16</v>
      </c>
      <c r="B1339" s="1" t="s">
        <v>59</v>
      </c>
      <c r="C1339" s="1" t="s">
        <v>10</v>
      </c>
      <c r="D1339" s="1">
        <v>0</v>
      </c>
      <c r="E1339" s="1">
        <v>-135.63</v>
      </c>
      <c r="F1339" s="1">
        <v>0</v>
      </c>
      <c r="G1339" s="1">
        <v>1830.9960000000001</v>
      </c>
      <c r="H1339" s="1">
        <v>0</v>
      </c>
      <c r="I1339" s="1">
        <v>-1627.5519999999999</v>
      </c>
    </row>
    <row r="1340" spans="1:9" hidden="1" x14ac:dyDescent="0.25">
      <c r="A1340" s="1" t="s">
        <v>16</v>
      </c>
      <c r="B1340" s="1" t="s">
        <v>60</v>
      </c>
      <c r="C1340" s="1" t="s">
        <v>25</v>
      </c>
      <c r="D1340" s="1">
        <v>0</v>
      </c>
      <c r="E1340" s="1">
        <v>135.63</v>
      </c>
      <c r="F1340" s="1">
        <v>0</v>
      </c>
      <c r="G1340" s="1">
        <v>-2237.884</v>
      </c>
      <c r="H1340" s="1">
        <v>0</v>
      </c>
      <c r="I1340" s="1">
        <v>1085.0350000000001</v>
      </c>
    </row>
    <row r="1341" spans="1:9" hidden="1" x14ac:dyDescent="0.25">
      <c r="A1341" s="1" t="s">
        <v>16</v>
      </c>
      <c r="B1341" s="1" t="s">
        <v>60</v>
      </c>
      <c r="C1341" s="1" t="s">
        <v>10</v>
      </c>
      <c r="D1341" s="1">
        <v>0</v>
      </c>
      <c r="E1341" s="1">
        <v>135.63</v>
      </c>
      <c r="F1341" s="1">
        <v>0</v>
      </c>
      <c r="G1341" s="1">
        <v>-2237.884</v>
      </c>
      <c r="H1341" s="1">
        <v>0</v>
      </c>
      <c r="I1341" s="1">
        <v>1627.5519999999999</v>
      </c>
    </row>
    <row r="1342" spans="1:9" hidden="1" x14ac:dyDescent="0.25">
      <c r="A1342" s="1" t="s">
        <v>16</v>
      </c>
      <c r="B1342" s="1" t="s">
        <v>61</v>
      </c>
      <c r="C1342" s="1" t="s">
        <v>25</v>
      </c>
      <c r="D1342" s="1">
        <v>0</v>
      </c>
      <c r="E1342" s="1">
        <v>135.63</v>
      </c>
      <c r="F1342" s="1">
        <v>0</v>
      </c>
      <c r="G1342" s="1">
        <v>-1830.9960000000001</v>
      </c>
      <c r="H1342" s="1">
        <v>0</v>
      </c>
      <c r="I1342" s="1">
        <v>1085.0350000000001</v>
      </c>
    </row>
    <row r="1343" spans="1:9" hidden="1" x14ac:dyDescent="0.25">
      <c r="A1343" s="1" t="s">
        <v>16</v>
      </c>
      <c r="B1343" s="1" t="s">
        <v>61</v>
      </c>
      <c r="C1343" s="1" t="s">
        <v>10</v>
      </c>
      <c r="D1343" s="1">
        <v>0</v>
      </c>
      <c r="E1343" s="1">
        <v>135.63</v>
      </c>
      <c r="F1343" s="1">
        <v>0</v>
      </c>
      <c r="G1343" s="1">
        <v>-1830.9960000000001</v>
      </c>
      <c r="H1343" s="1">
        <v>0</v>
      </c>
      <c r="I1343" s="1">
        <v>1627.5519999999999</v>
      </c>
    </row>
    <row r="1344" spans="1:9" hidden="1" x14ac:dyDescent="0.25">
      <c r="A1344" s="1" t="s">
        <v>16</v>
      </c>
      <c r="B1344" s="1" t="s">
        <v>62</v>
      </c>
      <c r="C1344" s="1" t="s">
        <v>25</v>
      </c>
      <c r="D1344" s="1">
        <v>0</v>
      </c>
      <c r="E1344" s="1">
        <v>0</v>
      </c>
      <c r="F1344" s="1">
        <v>-163.94</v>
      </c>
      <c r="G1344" s="1">
        <v>-3246.0680000000002</v>
      </c>
      <c r="H1344" s="1">
        <v>1311.5429999999999</v>
      </c>
      <c r="I1344" s="1">
        <v>0</v>
      </c>
    </row>
    <row r="1345" spans="1:9" hidden="1" x14ac:dyDescent="0.25">
      <c r="A1345" s="1" t="s">
        <v>16</v>
      </c>
      <c r="B1345" s="1" t="s">
        <v>62</v>
      </c>
      <c r="C1345" s="1" t="s">
        <v>10</v>
      </c>
      <c r="D1345" s="1">
        <v>0</v>
      </c>
      <c r="E1345" s="1">
        <v>0</v>
      </c>
      <c r="F1345" s="1">
        <v>-163.94</v>
      </c>
      <c r="G1345" s="1">
        <v>-3246.0680000000002</v>
      </c>
      <c r="H1345" s="1">
        <v>1967.3140000000001</v>
      </c>
      <c r="I1345" s="1">
        <v>0</v>
      </c>
    </row>
    <row r="1346" spans="1:9" hidden="1" x14ac:dyDescent="0.25">
      <c r="A1346" s="1" t="s">
        <v>16</v>
      </c>
      <c r="B1346" s="1" t="s">
        <v>63</v>
      </c>
      <c r="C1346" s="1" t="s">
        <v>25</v>
      </c>
      <c r="D1346" s="1">
        <v>0</v>
      </c>
      <c r="E1346" s="1">
        <v>0</v>
      </c>
      <c r="F1346" s="1">
        <v>-163.94</v>
      </c>
      <c r="G1346" s="1">
        <v>-2655.8739999999998</v>
      </c>
      <c r="H1346" s="1">
        <v>1311.5429999999999</v>
      </c>
      <c r="I1346" s="1">
        <v>0</v>
      </c>
    </row>
    <row r="1347" spans="1:9" hidden="1" x14ac:dyDescent="0.25">
      <c r="A1347" s="1" t="s">
        <v>16</v>
      </c>
      <c r="B1347" s="1" t="s">
        <v>63</v>
      </c>
      <c r="C1347" s="1" t="s">
        <v>10</v>
      </c>
      <c r="D1347" s="1">
        <v>0</v>
      </c>
      <c r="E1347" s="1">
        <v>0</v>
      </c>
      <c r="F1347" s="1">
        <v>-163.94</v>
      </c>
      <c r="G1347" s="1">
        <v>-2655.8739999999998</v>
      </c>
      <c r="H1347" s="1">
        <v>1967.3140000000001</v>
      </c>
      <c r="I1347" s="1">
        <v>0</v>
      </c>
    </row>
    <row r="1348" spans="1:9" hidden="1" x14ac:dyDescent="0.25">
      <c r="A1348" s="1" t="s">
        <v>16</v>
      </c>
      <c r="B1348" s="1" t="s">
        <v>64</v>
      </c>
      <c r="C1348" s="1" t="s">
        <v>25</v>
      </c>
      <c r="D1348" s="1">
        <v>0</v>
      </c>
      <c r="E1348" s="1">
        <v>0</v>
      </c>
      <c r="F1348" s="1">
        <v>163.94</v>
      </c>
      <c r="G1348" s="1">
        <v>3246.0680000000002</v>
      </c>
      <c r="H1348" s="1">
        <v>-1311.5429999999999</v>
      </c>
      <c r="I1348" s="1">
        <v>0</v>
      </c>
    </row>
    <row r="1349" spans="1:9" hidden="1" x14ac:dyDescent="0.25">
      <c r="A1349" s="1" t="s">
        <v>16</v>
      </c>
      <c r="B1349" s="1" t="s">
        <v>64</v>
      </c>
      <c r="C1349" s="1" t="s">
        <v>10</v>
      </c>
      <c r="D1349" s="1">
        <v>0</v>
      </c>
      <c r="E1349" s="1">
        <v>0</v>
      </c>
      <c r="F1349" s="1">
        <v>163.94</v>
      </c>
      <c r="G1349" s="1">
        <v>3246.0680000000002</v>
      </c>
      <c r="H1349" s="1">
        <v>-1967.3140000000001</v>
      </c>
      <c r="I1349" s="1">
        <v>0</v>
      </c>
    </row>
    <row r="1350" spans="1:9" hidden="1" x14ac:dyDescent="0.25">
      <c r="A1350" s="1" t="s">
        <v>16</v>
      </c>
      <c r="B1350" s="1" t="s">
        <v>65</v>
      </c>
      <c r="C1350" s="1" t="s">
        <v>25</v>
      </c>
      <c r="D1350" s="1">
        <v>0</v>
      </c>
      <c r="E1350" s="1">
        <v>0</v>
      </c>
      <c r="F1350" s="1">
        <v>163.94</v>
      </c>
      <c r="G1350" s="1">
        <v>2655.8739999999998</v>
      </c>
      <c r="H1350" s="1">
        <v>-1311.5429999999999</v>
      </c>
      <c r="I1350" s="1">
        <v>0</v>
      </c>
    </row>
    <row r="1351" spans="1:9" hidden="1" x14ac:dyDescent="0.25">
      <c r="A1351" s="1" t="s">
        <v>16</v>
      </c>
      <c r="B1351" s="1" t="s">
        <v>65</v>
      </c>
      <c r="C1351" s="1" t="s">
        <v>10</v>
      </c>
      <c r="D1351" s="1">
        <v>0</v>
      </c>
      <c r="E1351" s="1">
        <v>0</v>
      </c>
      <c r="F1351" s="1">
        <v>163.94</v>
      </c>
      <c r="G1351" s="1">
        <v>2655.8739999999998</v>
      </c>
      <c r="H1351" s="1">
        <v>-1967.3140000000001</v>
      </c>
      <c r="I1351" s="1">
        <v>0</v>
      </c>
    </row>
    <row r="1352" spans="1:9" hidden="1" x14ac:dyDescent="0.25">
      <c r="A1352" s="1" t="s">
        <v>16</v>
      </c>
      <c r="B1352" s="1" t="s">
        <v>66</v>
      </c>
      <c r="C1352" s="1" t="s">
        <v>25</v>
      </c>
      <c r="D1352" s="1">
        <v>0</v>
      </c>
      <c r="E1352" s="1">
        <v>-452.1</v>
      </c>
      <c r="F1352" s="1">
        <v>0</v>
      </c>
      <c r="G1352" s="1">
        <v>7459.6149999999998</v>
      </c>
      <c r="H1352" s="1">
        <v>0</v>
      </c>
      <c r="I1352" s="1">
        <v>-3616.7829999999999</v>
      </c>
    </row>
    <row r="1353" spans="1:9" hidden="1" x14ac:dyDescent="0.25">
      <c r="A1353" s="1" t="s">
        <v>16</v>
      </c>
      <c r="B1353" s="1" t="s">
        <v>66</v>
      </c>
      <c r="C1353" s="1" t="s">
        <v>10</v>
      </c>
      <c r="D1353" s="1">
        <v>0</v>
      </c>
      <c r="E1353" s="1">
        <v>-452.1</v>
      </c>
      <c r="F1353" s="1">
        <v>0</v>
      </c>
      <c r="G1353" s="1">
        <v>7459.6149999999998</v>
      </c>
      <c r="H1353" s="1">
        <v>0</v>
      </c>
      <c r="I1353" s="1">
        <v>-5425.174</v>
      </c>
    </row>
    <row r="1354" spans="1:9" hidden="1" x14ac:dyDescent="0.25">
      <c r="A1354" s="1" t="s">
        <v>16</v>
      </c>
      <c r="B1354" s="1" t="s">
        <v>67</v>
      </c>
      <c r="C1354" s="1" t="s">
        <v>25</v>
      </c>
      <c r="D1354" s="1">
        <v>0</v>
      </c>
      <c r="E1354" s="1">
        <v>-452.1</v>
      </c>
      <c r="F1354" s="1">
        <v>0</v>
      </c>
      <c r="G1354" s="1">
        <v>6103.3209999999999</v>
      </c>
      <c r="H1354" s="1">
        <v>0</v>
      </c>
      <c r="I1354" s="1">
        <v>-3616.7829999999999</v>
      </c>
    </row>
    <row r="1355" spans="1:9" hidden="1" x14ac:dyDescent="0.25">
      <c r="A1355" s="1" t="s">
        <v>16</v>
      </c>
      <c r="B1355" s="1" t="s">
        <v>67</v>
      </c>
      <c r="C1355" s="1" t="s">
        <v>10</v>
      </c>
      <c r="D1355" s="1">
        <v>0</v>
      </c>
      <c r="E1355" s="1">
        <v>-452.1</v>
      </c>
      <c r="F1355" s="1">
        <v>0</v>
      </c>
      <c r="G1355" s="1">
        <v>6103.3209999999999</v>
      </c>
      <c r="H1355" s="1">
        <v>0</v>
      </c>
      <c r="I1355" s="1">
        <v>-5425.174</v>
      </c>
    </row>
    <row r="1356" spans="1:9" hidden="1" x14ac:dyDescent="0.25">
      <c r="A1356" s="1" t="s">
        <v>16</v>
      </c>
      <c r="B1356" s="1" t="s">
        <v>68</v>
      </c>
      <c r="C1356" s="1" t="s">
        <v>25</v>
      </c>
      <c r="D1356" s="1">
        <v>0</v>
      </c>
      <c r="E1356" s="1">
        <v>452.1</v>
      </c>
      <c r="F1356" s="1">
        <v>0</v>
      </c>
      <c r="G1356" s="1">
        <v>-7459.6149999999998</v>
      </c>
      <c r="H1356" s="1">
        <v>0</v>
      </c>
      <c r="I1356" s="1">
        <v>3616.7829999999999</v>
      </c>
    </row>
    <row r="1357" spans="1:9" hidden="1" x14ac:dyDescent="0.25">
      <c r="A1357" s="1" t="s">
        <v>16</v>
      </c>
      <c r="B1357" s="1" t="s">
        <v>68</v>
      </c>
      <c r="C1357" s="1" t="s">
        <v>10</v>
      </c>
      <c r="D1357" s="1">
        <v>0</v>
      </c>
      <c r="E1357" s="1">
        <v>452.1</v>
      </c>
      <c r="F1357" s="1">
        <v>0</v>
      </c>
      <c r="G1357" s="1">
        <v>-7459.6149999999998</v>
      </c>
      <c r="H1357" s="1">
        <v>0</v>
      </c>
      <c r="I1357" s="1">
        <v>5425.174</v>
      </c>
    </row>
    <row r="1358" spans="1:9" hidden="1" x14ac:dyDescent="0.25">
      <c r="A1358" s="1" t="s">
        <v>16</v>
      </c>
      <c r="B1358" s="1" t="s">
        <v>69</v>
      </c>
      <c r="C1358" s="1" t="s">
        <v>25</v>
      </c>
      <c r="D1358" s="1">
        <v>0</v>
      </c>
      <c r="E1358" s="1">
        <v>452.1</v>
      </c>
      <c r="F1358" s="1">
        <v>0</v>
      </c>
      <c r="G1358" s="1">
        <v>-6103.3209999999999</v>
      </c>
      <c r="H1358" s="1">
        <v>0</v>
      </c>
      <c r="I1358" s="1">
        <v>3616.7829999999999</v>
      </c>
    </row>
    <row r="1359" spans="1:9" hidden="1" x14ac:dyDescent="0.25">
      <c r="A1359" s="1" t="s">
        <v>16</v>
      </c>
      <c r="B1359" s="1" t="s">
        <v>69</v>
      </c>
      <c r="C1359" s="1" t="s">
        <v>10</v>
      </c>
      <c r="D1359" s="1">
        <v>0</v>
      </c>
      <c r="E1359" s="1">
        <v>452.1</v>
      </c>
      <c r="F1359" s="1">
        <v>0</v>
      </c>
      <c r="G1359" s="1">
        <v>-6103.3209999999999</v>
      </c>
      <c r="H1359" s="1">
        <v>0</v>
      </c>
      <c r="I1359" s="1">
        <v>5425.174</v>
      </c>
    </row>
    <row r="1360" spans="1:9" hidden="1" x14ac:dyDescent="0.25">
      <c r="A1360" s="1" t="s">
        <v>16</v>
      </c>
      <c r="B1360" s="1" t="s">
        <v>70</v>
      </c>
      <c r="C1360" s="1" t="s">
        <v>25</v>
      </c>
      <c r="D1360" s="1">
        <v>0</v>
      </c>
      <c r="E1360" s="1">
        <v>0</v>
      </c>
      <c r="F1360" s="1">
        <v>-546.48</v>
      </c>
      <c r="G1360" s="1">
        <v>-10820.227999999999</v>
      </c>
      <c r="H1360" s="1">
        <v>4371.8090000000002</v>
      </c>
      <c r="I1360" s="1">
        <v>0</v>
      </c>
    </row>
    <row r="1361" spans="1:9" hidden="1" x14ac:dyDescent="0.25">
      <c r="A1361" s="1" t="s">
        <v>16</v>
      </c>
      <c r="B1361" s="1" t="s">
        <v>70</v>
      </c>
      <c r="C1361" s="1" t="s">
        <v>10</v>
      </c>
      <c r="D1361" s="1">
        <v>0</v>
      </c>
      <c r="E1361" s="1">
        <v>0</v>
      </c>
      <c r="F1361" s="1">
        <v>-546.48</v>
      </c>
      <c r="G1361" s="1">
        <v>-10820.227999999999</v>
      </c>
      <c r="H1361" s="1">
        <v>6557.7139999999999</v>
      </c>
      <c r="I1361" s="1">
        <v>0</v>
      </c>
    </row>
    <row r="1362" spans="1:9" hidden="1" x14ac:dyDescent="0.25">
      <c r="A1362" s="1" t="s">
        <v>16</v>
      </c>
      <c r="B1362" s="1" t="s">
        <v>71</v>
      </c>
      <c r="C1362" s="1" t="s">
        <v>25</v>
      </c>
      <c r="D1362" s="1">
        <v>0</v>
      </c>
      <c r="E1362" s="1">
        <v>0</v>
      </c>
      <c r="F1362" s="1">
        <v>-546.48</v>
      </c>
      <c r="G1362" s="1">
        <v>-8852.9140000000007</v>
      </c>
      <c r="H1362" s="1">
        <v>4371.8090000000002</v>
      </c>
      <c r="I1362" s="1">
        <v>0</v>
      </c>
    </row>
    <row r="1363" spans="1:9" hidden="1" x14ac:dyDescent="0.25">
      <c r="A1363" s="1" t="s">
        <v>16</v>
      </c>
      <c r="B1363" s="1" t="s">
        <v>71</v>
      </c>
      <c r="C1363" s="1" t="s">
        <v>10</v>
      </c>
      <c r="D1363" s="1">
        <v>0</v>
      </c>
      <c r="E1363" s="1">
        <v>0</v>
      </c>
      <c r="F1363" s="1">
        <v>-546.48</v>
      </c>
      <c r="G1363" s="1">
        <v>-8852.9140000000007</v>
      </c>
      <c r="H1363" s="1">
        <v>6557.7139999999999</v>
      </c>
      <c r="I1363" s="1">
        <v>0</v>
      </c>
    </row>
    <row r="1364" spans="1:9" hidden="1" x14ac:dyDescent="0.25">
      <c r="A1364" s="1" t="s">
        <v>16</v>
      </c>
      <c r="B1364" s="1" t="s">
        <v>72</v>
      </c>
      <c r="C1364" s="1" t="s">
        <v>25</v>
      </c>
      <c r="D1364" s="1">
        <v>0</v>
      </c>
      <c r="E1364" s="1">
        <v>0</v>
      </c>
      <c r="F1364" s="1">
        <v>546.48</v>
      </c>
      <c r="G1364" s="1">
        <v>10820.227999999999</v>
      </c>
      <c r="H1364" s="1">
        <v>-4371.8090000000002</v>
      </c>
      <c r="I1364" s="1">
        <v>0</v>
      </c>
    </row>
    <row r="1365" spans="1:9" hidden="1" x14ac:dyDescent="0.25">
      <c r="A1365" s="1" t="s">
        <v>16</v>
      </c>
      <c r="B1365" s="1" t="s">
        <v>72</v>
      </c>
      <c r="C1365" s="1" t="s">
        <v>10</v>
      </c>
      <c r="D1365" s="1">
        <v>0</v>
      </c>
      <c r="E1365" s="1">
        <v>0</v>
      </c>
      <c r="F1365" s="1">
        <v>546.48</v>
      </c>
      <c r="G1365" s="1">
        <v>10820.227999999999</v>
      </c>
      <c r="H1365" s="1">
        <v>-6557.7139999999999</v>
      </c>
      <c r="I1365" s="1">
        <v>0</v>
      </c>
    </row>
    <row r="1366" spans="1:9" hidden="1" x14ac:dyDescent="0.25">
      <c r="A1366" s="1" t="s">
        <v>16</v>
      </c>
      <c r="B1366" s="1" t="s">
        <v>73</v>
      </c>
      <c r="C1366" s="1" t="s">
        <v>25</v>
      </c>
      <c r="D1366" s="1">
        <v>0</v>
      </c>
      <c r="E1366" s="1">
        <v>0</v>
      </c>
      <c r="F1366" s="1">
        <v>546.48</v>
      </c>
      <c r="G1366" s="1">
        <v>8852.9140000000007</v>
      </c>
      <c r="H1366" s="1">
        <v>-4371.8090000000002</v>
      </c>
      <c r="I1366" s="1">
        <v>0</v>
      </c>
    </row>
    <row r="1367" spans="1:9" hidden="1" x14ac:dyDescent="0.25">
      <c r="A1367" s="1" t="s">
        <v>16</v>
      </c>
      <c r="B1367" s="1" t="s">
        <v>73</v>
      </c>
      <c r="C1367" s="1" t="s">
        <v>10</v>
      </c>
      <c r="D1367" s="1">
        <v>0</v>
      </c>
      <c r="E1367" s="1">
        <v>0</v>
      </c>
      <c r="F1367" s="1">
        <v>546.48</v>
      </c>
      <c r="G1367" s="1">
        <v>8852.9140000000007</v>
      </c>
      <c r="H1367" s="1">
        <v>-6557.7139999999999</v>
      </c>
      <c r="I1367" s="1">
        <v>0</v>
      </c>
    </row>
    <row r="1368" spans="1:9" hidden="1" x14ac:dyDescent="0.25">
      <c r="A1368" s="1" t="s">
        <v>16</v>
      </c>
      <c r="B1368" s="1" t="s">
        <v>74</v>
      </c>
      <c r="C1368" s="1" t="s">
        <v>25</v>
      </c>
      <c r="D1368" s="1">
        <v>0</v>
      </c>
      <c r="E1368" s="1">
        <v>-452.1</v>
      </c>
      <c r="F1368" s="1">
        <v>0</v>
      </c>
      <c r="G1368" s="1">
        <v>7459.6149999999998</v>
      </c>
      <c r="H1368" s="1">
        <v>0</v>
      </c>
      <c r="I1368" s="1">
        <v>-3616.7829999999999</v>
      </c>
    </row>
    <row r="1369" spans="1:9" hidden="1" x14ac:dyDescent="0.25">
      <c r="A1369" s="1" t="s">
        <v>16</v>
      </c>
      <c r="B1369" s="1" t="s">
        <v>74</v>
      </c>
      <c r="C1369" s="1" t="s">
        <v>10</v>
      </c>
      <c r="D1369" s="1">
        <v>0</v>
      </c>
      <c r="E1369" s="1">
        <v>-452.1</v>
      </c>
      <c r="F1369" s="1">
        <v>0</v>
      </c>
      <c r="G1369" s="1">
        <v>7459.6149999999998</v>
      </c>
      <c r="H1369" s="1">
        <v>0</v>
      </c>
      <c r="I1369" s="1">
        <v>-5425.174</v>
      </c>
    </row>
    <row r="1370" spans="1:9" hidden="1" x14ac:dyDescent="0.25">
      <c r="A1370" s="1" t="s">
        <v>16</v>
      </c>
      <c r="B1370" s="1" t="s">
        <v>75</v>
      </c>
      <c r="C1370" s="1" t="s">
        <v>25</v>
      </c>
      <c r="D1370" s="1">
        <v>0</v>
      </c>
      <c r="E1370" s="1">
        <v>-452.1</v>
      </c>
      <c r="F1370" s="1">
        <v>0</v>
      </c>
      <c r="G1370" s="1">
        <v>6103.3209999999999</v>
      </c>
      <c r="H1370" s="1">
        <v>0</v>
      </c>
      <c r="I1370" s="1">
        <v>-3616.7829999999999</v>
      </c>
    </row>
    <row r="1371" spans="1:9" hidden="1" x14ac:dyDescent="0.25">
      <c r="A1371" s="1" t="s">
        <v>16</v>
      </c>
      <c r="B1371" s="1" t="s">
        <v>75</v>
      </c>
      <c r="C1371" s="1" t="s">
        <v>10</v>
      </c>
      <c r="D1371" s="1">
        <v>0</v>
      </c>
      <c r="E1371" s="1">
        <v>-452.1</v>
      </c>
      <c r="F1371" s="1">
        <v>0</v>
      </c>
      <c r="G1371" s="1">
        <v>6103.3209999999999</v>
      </c>
      <c r="H1371" s="1">
        <v>0</v>
      </c>
      <c r="I1371" s="1">
        <v>-5425.174</v>
      </c>
    </row>
    <row r="1372" spans="1:9" hidden="1" x14ac:dyDescent="0.25">
      <c r="A1372" s="1" t="s">
        <v>16</v>
      </c>
      <c r="B1372" s="1" t="s">
        <v>76</v>
      </c>
      <c r="C1372" s="1" t="s">
        <v>25</v>
      </c>
      <c r="D1372" s="1">
        <v>0</v>
      </c>
      <c r="E1372" s="1">
        <v>452.1</v>
      </c>
      <c r="F1372" s="1">
        <v>0</v>
      </c>
      <c r="G1372" s="1">
        <v>-7459.6149999999998</v>
      </c>
      <c r="H1372" s="1">
        <v>0</v>
      </c>
      <c r="I1372" s="1">
        <v>3616.7829999999999</v>
      </c>
    </row>
    <row r="1373" spans="1:9" hidden="1" x14ac:dyDescent="0.25">
      <c r="A1373" s="1" t="s">
        <v>16</v>
      </c>
      <c r="B1373" s="1" t="s">
        <v>76</v>
      </c>
      <c r="C1373" s="1" t="s">
        <v>10</v>
      </c>
      <c r="D1373" s="1">
        <v>0</v>
      </c>
      <c r="E1373" s="1">
        <v>452.1</v>
      </c>
      <c r="F1373" s="1">
        <v>0</v>
      </c>
      <c r="G1373" s="1">
        <v>-7459.6149999999998</v>
      </c>
      <c r="H1373" s="1">
        <v>0</v>
      </c>
      <c r="I1373" s="1">
        <v>5425.174</v>
      </c>
    </row>
    <row r="1374" spans="1:9" hidden="1" x14ac:dyDescent="0.25">
      <c r="A1374" s="1" t="s">
        <v>16</v>
      </c>
      <c r="B1374" s="1" t="s">
        <v>77</v>
      </c>
      <c r="C1374" s="1" t="s">
        <v>25</v>
      </c>
      <c r="D1374" s="1">
        <v>0</v>
      </c>
      <c r="E1374" s="1">
        <v>452.1</v>
      </c>
      <c r="F1374" s="1">
        <v>0</v>
      </c>
      <c r="G1374" s="1">
        <v>-6103.3209999999999</v>
      </c>
      <c r="H1374" s="1">
        <v>0</v>
      </c>
      <c r="I1374" s="1">
        <v>3616.7829999999999</v>
      </c>
    </row>
    <row r="1375" spans="1:9" hidden="1" x14ac:dyDescent="0.25">
      <c r="A1375" s="1" t="s">
        <v>16</v>
      </c>
      <c r="B1375" s="1" t="s">
        <v>77</v>
      </c>
      <c r="C1375" s="1" t="s">
        <v>10</v>
      </c>
      <c r="D1375" s="1">
        <v>0</v>
      </c>
      <c r="E1375" s="1">
        <v>452.1</v>
      </c>
      <c r="F1375" s="1">
        <v>0</v>
      </c>
      <c r="G1375" s="1">
        <v>-6103.3209999999999</v>
      </c>
      <c r="H1375" s="1">
        <v>0</v>
      </c>
      <c r="I1375" s="1">
        <v>5425.174</v>
      </c>
    </row>
    <row r="1376" spans="1:9" hidden="1" x14ac:dyDescent="0.25">
      <c r="A1376" s="1" t="s">
        <v>16</v>
      </c>
      <c r="B1376" s="1" t="s">
        <v>78</v>
      </c>
      <c r="C1376" s="1" t="s">
        <v>25</v>
      </c>
      <c r="D1376" s="1">
        <v>0</v>
      </c>
      <c r="E1376" s="1">
        <v>0</v>
      </c>
      <c r="F1376" s="1">
        <v>-546.48</v>
      </c>
      <c r="G1376" s="1">
        <v>-10820.227999999999</v>
      </c>
      <c r="H1376" s="1">
        <v>4371.8090000000002</v>
      </c>
      <c r="I1376" s="1">
        <v>0</v>
      </c>
    </row>
    <row r="1377" spans="1:9" hidden="1" x14ac:dyDescent="0.25">
      <c r="A1377" s="1" t="s">
        <v>16</v>
      </c>
      <c r="B1377" s="1" t="s">
        <v>78</v>
      </c>
      <c r="C1377" s="1" t="s">
        <v>10</v>
      </c>
      <c r="D1377" s="1">
        <v>0</v>
      </c>
      <c r="E1377" s="1">
        <v>0</v>
      </c>
      <c r="F1377" s="1">
        <v>-546.48</v>
      </c>
      <c r="G1377" s="1">
        <v>-10820.227999999999</v>
      </c>
      <c r="H1377" s="1">
        <v>6557.7139999999999</v>
      </c>
      <c r="I1377" s="1">
        <v>0</v>
      </c>
    </row>
    <row r="1378" spans="1:9" hidden="1" x14ac:dyDescent="0.25">
      <c r="A1378" s="1" t="s">
        <v>16</v>
      </c>
      <c r="B1378" s="1" t="s">
        <v>79</v>
      </c>
      <c r="C1378" s="1" t="s">
        <v>25</v>
      </c>
      <c r="D1378" s="1">
        <v>0</v>
      </c>
      <c r="E1378" s="1">
        <v>0</v>
      </c>
      <c r="F1378" s="1">
        <v>-546.48</v>
      </c>
      <c r="G1378" s="1">
        <v>-8852.9140000000007</v>
      </c>
      <c r="H1378" s="1">
        <v>4371.8090000000002</v>
      </c>
      <c r="I1378" s="1">
        <v>0</v>
      </c>
    </row>
    <row r="1379" spans="1:9" hidden="1" x14ac:dyDescent="0.25">
      <c r="A1379" s="1" t="s">
        <v>16</v>
      </c>
      <c r="B1379" s="1" t="s">
        <v>79</v>
      </c>
      <c r="C1379" s="1" t="s">
        <v>10</v>
      </c>
      <c r="D1379" s="1">
        <v>0</v>
      </c>
      <c r="E1379" s="1">
        <v>0</v>
      </c>
      <c r="F1379" s="1">
        <v>-546.48</v>
      </c>
      <c r="G1379" s="1">
        <v>-8852.9140000000007</v>
      </c>
      <c r="H1379" s="1">
        <v>6557.7139999999999</v>
      </c>
      <c r="I1379" s="1">
        <v>0</v>
      </c>
    </row>
    <row r="1380" spans="1:9" hidden="1" x14ac:dyDescent="0.25">
      <c r="A1380" s="1" t="s">
        <v>16</v>
      </c>
      <c r="B1380" s="1" t="s">
        <v>80</v>
      </c>
      <c r="C1380" s="1" t="s">
        <v>25</v>
      </c>
      <c r="D1380" s="1">
        <v>0</v>
      </c>
      <c r="E1380" s="1">
        <v>0</v>
      </c>
      <c r="F1380" s="1">
        <v>546.48</v>
      </c>
      <c r="G1380" s="1">
        <v>10820.227999999999</v>
      </c>
      <c r="H1380" s="1">
        <v>-4371.8090000000002</v>
      </c>
      <c r="I1380" s="1">
        <v>0</v>
      </c>
    </row>
    <row r="1381" spans="1:9" hidden="1" x14ac:dyDescent="0.25">
      <c r="A1381" s="1" t="s">
        <v>16</v>
      </c>
      <c r="B1381" s="1" t="s">
        <v>80</v>
      </c>
      <c r="C1381" s="1" t="s">
        <v>10</v>
      </c>
      <c r="D1381" s="1">
        <v>0</v>
      </c>
      <c r="E1381" s="1">
        <v>0</v>
      </c>
      <c r="F1381" s="1">
        <v>546.48</v>
      </c>
      <c r="G1381" s="1">
        <v>10820.227999999999</v>
      </c>
      <c r="H1381" s="1">
        <v>-6557.7139999999999</v>
      </c>
      <c r="I1381" s="1">
        <v>0</v>
      </c>
    </row>
    <row r="1382" spans="1:9" hidden="1" x14ac:dyDescent="0.25">
      <c r="A1382" s="1" t="s">
        <v>16</v>
      </c>
      <c r="B1382" s="1" t="s">
        <v>81</v>
      </c>
      <c r="C1382" s="1" t="s">
        <v>25</v>
      </c>
      <c r="D1382" s="1">
        <v>0</v>
      </c>
      <c r="E1382" s="1">
        <v>0</v>
      </c>
      <c r="F1382" s="1">
        <v>546.48</v>
      </c>
      <c r="G1382" s="1">
        <v>8852.9140000000007</v>
      </c>
      <c r="H1382" s="1">
        <v>-4371.8090000000002</v>
      </c>
      <c r="I1382" s="1">
        <v>0</v>
      </c>
    </row>
    <row r="1383" spans="1:9" hidden="1" x14ac:dyDescent="0.25">
      <c r="A1383" s="1" t="s">
        <v>16</v>
      </c>
      <c r="B1383" s="1" t="s">
        <v>81</v>
      </c>
      <c r="C1383" s="1" t="s">
        <v>10</v>
      </c>
      <c r="D1383" s="1">
        <v>0</v>
      </c>
      <c r="E1383" s="1">
        <v>0</v>
      </c>
      <c r="F1383" s="1">
        <v>546.48</v>
      </c>
      <c r="G1383" s="1">
        <v>8852.9140000000007</v>
      </c>
      <c r="H1383" s="1">
        <v>-6557.7139999999999</v>
      </c>
      <c r="I1383" s="1">
        <v>0</v>
      </c>
    </row>
    <row r="1384" spans="1:9" hidden="1" x14ac:dyDescent="0.25">
      <c r="A1384" s="1" t="s">
        <v>16</v>
      </c>
      <c r="B1384" s="1" t="s">
        <v>82</v>
      </c>
      <c r="C1384" s="1" t="s">
        <v>25</v>
      </c>
      <c r="D1384" s="1">
        <v>0</v>
      </c>
      <c r="E1384" s="1">
        <v>-135.63</v>
      </c>
      <c r="F1384" s="1">
        <v>0</v>
      </c>
      <c r="G1384" s="1">
        <v>2237.884</v>
      </c>
      <c r="H1384" s="1">
        <v>0</v>
      </c>
      <c r="I1384" s="1">
        <v>-1085.0350000000001</v>
      </c>
    </row>
    <row r="1385" spans="1:9" hidden="1" x14ac:dyDescent="0.25">
      <c r="A1385" s="1" t="s">
        <v>16</v>
      </c>
      <c r="B1385" s="1" t="s">
        <v>82</v>
      </c>
      <c r="C1385" s="1" t="s">
        <v>10</v>
      </c>
      <c r="D1385" s="1">
        <v>0</v>
      </c>
      <c r="E1385" s="1">
        <v>-135.63</v>
      </c>
      <c r="F1385" s="1">
        <v>0</v>
      </c>
      <c r="G1385" s="1">
        <v>2237.884</v>
      </c>
      <c r="H1385" s="1">
        <v>0</v>
      </c>
      <c r="I1385" s="1">
        <v>-1627.5519999999999</v>
      </c>
    </row>
    <row r="1386" spans="1:9" hidden="1" x14ac:dyDescent="0.25">
      <c r="A1386" s="1" t="s">
        <v>16</v>
      </c>
      <c r="B1386" s="1" t="s">
        <v>83</v>
      </c>
      <c r="C1386" s="1" t="s">
        <v>25</v>
      </c>
      <c r="D1386" s="1">
        <v>0</v>
      </c>
      <c r="E1386" s="1">
        <v>-135.63</v>
      </c>
      <c r="F1386" s="1">
        <v>0</v>
      </c>
      <c r="G1386" s="1">
        <v>1830.9960000000001</v>
      </c>
      <c r="H1386" s="1">
        <v>0</v>
      </c>
      <c r="I1386" s="1">
        <v>-1085.0350000000001</v>
      </c>
    </row>
    <row r="1387" spans="1:9" hidden="1" x14ac:dyDescent="0.25">
      <c r="A1387" s="1" t="s">
        <v>16</v>
      </c>
      <c r="B1387" s="1" t="s">
        <v>83</v>
      </c>
      <c r="C1387" s="1" t="s">
        <v>10</v>
      </c>
      <c r="D1387" s="1">
        <v>0</v>
      </c>
      <c r="E1387" s="1">
        <v>-135.63</v>
      </c>
      <c r="F1387" s="1">
        <v>0</v>
      </c>
      <c r="G1387" s="1">
        <v>1830.9960000000001</v>
      </c>
      <c r="H1387" s="1">
        <v>0</v>
      </c>
      <c r="I1387" s="1">
        <v>-1627.5519999999999</v>
      </c>
    </row>
    <row r="1388" spans="1:9" hidden="1" x14ac:dyDescent="0.25">
      <c r="A1388" s="1" t="s">
        <v>16</v>
      </c>
      <c r="B1388" s="1" t="s">
        <v>84</v>
      </c>
      <c r="C1388" s="1" t="s">
        <v>25</v>
      </c>
      <c r="D1388" s="1">
        <v>0</v>
      </c>
      <c r="E1388" s="1">
        <v>135.63</v>
      </c>
      <c r="F1388" s="1">
        <v>0</v>
      </c>
      <c r="G1388" s="1">
        <v>-2237.884</v>
      </c>
      <c r="H1388" s="1">
        <v>0</v>
      </c>
      <c r="I1388" s="1">
        <v>1085.0350000000001</v>
      </c>
    </row>
    <row r="1389" spans="1:9" hidden="1" x14ac:dyDescent="0.25">
      <c r="A1389" s="1" t="s">
        <v>16</v>
      </c>
      <c r="B1389" s="1" t="s">
        <v>84</v>
      </c>
      <c r="C1389" s="1" t="s">
        <v>10</v>
      </c>
      <c r="D1389" s="1">
        <v>0</v>
      </c>
      <c r="E1389" s="1">
        <v>135.63</v>
      </c>
      <c r="F1389" s="1">
        <v>0</v>
      </c>
      <c r="G1389" s="1">
        <v>-2237.884</v>
      </c>
      <c r="H1389" s="1">
        <v>0</v>
      </c>
      <c r="I1389" s="1">
        <v>1627.5519999999999</v>
      </c>
    </row>
    <row r="1390" spans="1:9" hidden="1" x14ac:dyDescent="0.25">
      <c r="A1390" s="1" t="s">
        <v>16</v>
      </c>
      <c r="B1390" s="1" t="s">
        <v>85</v>
      </c>
      <c r="C1390" s="1" t="s">
        <v>25</v>
      </c>
      <c r="D1390" s="1">
        <v>0</v>
      </c>
      <c r="E1390" s="1">
        <v>135.63</v>
      </c>
      <c r="F1390" s="1">
        <v>0</v>
      </c>
      <c r="G1390" s="1">
        <v>-1830.9960000000001</v>
      </c>
      <c r="H1390" s="1">
        <v>0</v>
      </c>
      <c r="I1390" s="1">
        <v>1085.0350000000001</v>
      </c>
    </row>
    <row r="1391" spans="1:9" hidden="1" x14ac:dyDescent="0.25">
      <c r="A1391" s="1" t="s">
        <v>16</v>
      </c>
      <c r="B1391" s="1" t="s">
        <v>85</v>
      </c>
      <c r="C1391" s="1" t="s">
        <v>10</v>
      </c>
      <c r="D1391" s="1">
        <v>0</v>
      </c>
      <c r="E1391" s="1">
        <v>135.63</v>
      </c>
      <c r="F1391" s="1">
        <v>0</v>
      </c>
      <c r="G1391" s="1">
        <v>-1830.9960000000001</v>
      </c>
      <c r="H1391" s="1">
        <v>0</v>
      </c>
      <c r="I1391" s="1">
        <v>1627.5519999999999</v>
      </c>
    </row>
    <row r="1392" spans="1:9" hidden="1" x14ac:dyDescent="0.25">
      <c r="A1392" s="1" t="s">
        <v>16</v>
      </c>
      <c r="B1392" s="1" t="s">
        <v>86</v>
      </c>
      <c r="C1392" s="1" t="s">
        <v>25</v>
      </c>
      <c r="D1392" s="1">
        <v>0</v>
      </c>
      <c r="E1392" s="1">
        <v>0</v>
      </c>
      <c r="F1392" s="1">
        <v>-163.94</v>
      </c>
      <c r="G1392" s="1">
        <v>-3246.0680000000002</v>
      </c>
      <c r="H1392" s="1">
        <v>1311.5429999999999</v>
      </c>
      <c r="I1392" s="1">
        <v>0</v>
      </c>
    </row>
    <row r="1393" spans="1:9" hidden="1" x14ac:dyDescent="0.25">
      <c r="A1393" s="1" t="s">
        <v>16</v>
      </c>
      <c r="B1393" s="1" t="s">
        <v>86</v>
      </c>
      <c r="C1393" s="1" t="s">
        <v>10</v>
      </c>
      <c r="D1393" s="1">
        <v>0</v>
      </c>
      <c r="E1393" s="1">
        <v>0</v>
      </c>
      <c r="F1393" s="1">
        <v>-163.94</v>
      </c>
      <c r="G1393" s="1">
        <v>-3246.0680000000002</v>
      </c>
      <c r="H1393" s="1">
        <v>1967.3140000000001</v>
      </c>
      <c r="I1393" s="1">
        <v>0</v>
      </c>
    </row>
    <row r="1394" spans="1:9" hidden="1" x14ac:dyDescent="0.25">
      <c r="A1394" s="1" t="s">
        <v>16</v>
      </c>
      <c r="B1394" s="1" t="s">
        <v>87</v>
      </c>
      <c r="C1394" s="1" t="s">
        <v>25</v>
      </c>
      <c r="D1394" s="1">
        <v>0</v>
      </c>
      <c r="E1394" s="1">
        <v>0</v>
      </c>
      <c r="F1394" s="1">
        <v>-163.94</v>
      </c>
      <c r="G1394" s="1">
        <v>-2655.8739999999998</v>
      </c>
      <c r="H1394" s="1">
        <v>1311.5429999999999</v>
      </c>
      <c r="I1394" s="1">
        <v>0</v>
      </c>
    </row>
    <row r="1395" spans="1:9" hidden="1" x14ac:dyDescent="0.25">
      <c r="A1395" s="1" t="s">
        <v>16</v>
      </c>
      <c r="B1395" s="1" t="s">
        <v>87</v>
      </c>
      <c r="C1395" s="1" t="s">
        <v>10</v>
      </c>
      <c r="D1395" s="1">
        <v>0</v>
      </c>
      <c r="E1395" s="1">
        <v>0</v>
      </c>
      <c r="F1395" s="1">
        <v>-163.94</v>
      </c>
      <c r="G1395" s="1">
        <v>-2655.8739999999998</v>
      </c>
      <c r="H1395" s="1">
        <v>1967.3140000000001</v>
      </c>
      <c r="I1395" s="1">
        <v>0</v>
      </c>
    </row>
    <row r="1396" spans="1:9" hidden="1" x14ac:dyDescent="0.25">
      <c r="A1396" s="1" t="s">
        <v>16</v>
      </c>
      <c r="B1396" s="1" t="s">
        <v>88</v>
      </c>
      <c r="C1396" s="1" t="s">
        <v>25</v>
      </c>
      <c r="D1396" s="1">
        <v>0</v>
      </c>
      <c r="E1396" s="1">
        <v>0</v>
      </c>
      <c r="F1396" s="1">
        <v>163.94</v>
      </c>
      <c r="G1396" s="1">
        <v>3246.0680000000002</v>
      </c>
      <c r="H1396" s="1">
        <v>-1311.5429999999999</v>
      </c>
      <c r="I1396" s="1">
        <v>0</v>
      </c>
    </row>
    <row r="1397" spans="1:9" hidden="1" x14ac:dyDescent="0.25">
      <c r="A1397" s="1" t="s">
        <v>16</v>
      </c>
      <c r="B1397" s="1" t="s">
        <v>88</v>
      </c>
      <c r="C1397" s="1" t="s">
        <v>10</v>
      </c>
      <c r="D1397" s="1">
        <v>0</v>
      </c>
      <c r="E1397" s="1">
        <v>0</v>
      </c>
      <c r="F1397" s="1">
        <v>163.94</v>
      </c>
      <c r="G1397" s="1">
        <v>3246.0680000000002</v>
      </c>
      <c r="H1397" s="1">
        <v>-1967.3140000000001</v>
      </c>
      <c r="I1397" s="1">
        <v>0</v>
      </c>
    </row>
    <row r="1398" spans="1:9" hidden="1" x14ac:dyDescent="0.25">
      <c r="A1398" s="1" t="s">
        <v>16</v>
      </c>
      <c r="B1398" s="1" t="s">
        <v>89</v>
      </c>
      <c r="C1398" s="1" t="s">
        <v>25</v>
      </c>
      <c r="D1398" s="1">
        <v>0</v>
      </c>
      <c r="E1398" s="1">
        <v>0</v>
      </c>
      <c r="F1398" s="1">
        <v>163.94</v>
      </c>
      <c r="G1398" s="1">
        <v>2655.8739999999998</v>
      </c>
      <c r="H1398" s="1">
        <v>-1311.5429999999999</v>
      </c>
      <c r="I1398" s="1">
        <v>0</v>
      </c>
    </row>
    <row r="1399" spans="1:9" hidden="1" x14ac:dyDescent="0.25">
      <c r="A1399" s="1" t="s">
        <v>16</v>
      </c>
      <c r="B1399" s="1" t="s">
        <v>89</v>
      </c>
      <c r="C1399" s="1" t="s">
        <v>10</v>
      </c>
      <c r="D1399" s="1">
        <v>0</v>
      </c>
      <c r="E1399" s="1">
        <v>0</v>
      </c>
      <c r="F1399" s="1">
        <v>163.94</v>
      </c>
      <c r="G1399" s="1">
        <v>2655.8739999999998</v>
      </c>
      <c r="H1399" s="1">
        <v>-1967.3140000000001</v>
      </c>
      <c r="I1399" s="1">
        <v>0</v>
      </c>
    </row>
    <row r="1400" spans="1:9" hidden="1" x14ac:dyDescent="0.25">
      <c r="A1400" s="1" t="s">
        <v>16</v>
      </c>
      <c r="B1400" s="1" t="s">
        <v>90</v>
      </c>
      <c r="C1400" s="1" t="s">
        <v>25</v>
      </c>
      <c r="D1400" s="1">
        <v>0</v>
      </c>
      <c r="E1400" s="1">
        <v>-135.63</v>
      </c>
      <c r="F1400" s="1">
        <v>0</v>
      </c>
      <c r="G1400" s="1">
        <v>2237.884</v>
      </c>
      <c r="H1400" s="1">
        <v>0</v>
      </c>
      <c r="I1400" s="1">
        <v>-1085.0350000000001</v>
      </c>
    </row>
    <row r="1401" spans="1:9" hidden="1" x14ac:dyDescent="0.25">
      <c r="A1401" s="1" t="s">
        <v>16</v>
      </c>
      <c r="B1401" s="1" t="s">
        <v>90</v>
      </c>
      <c r="C1401" s="1" t="s">
        <v>10</v>
      </c>
      <c r="D1401" s="1">
        <v>0</v>
      </c>
      <c r="E1401" s="1">
        <v>-135.63</v>
      </c>
      <c r="F1401" s="1">
        <v>0</v>
      </c>
      <c r="G1401" s="1">
        <v>2237.884</v>
      </c>
      <c r="H1401" s="1">
        <v>0</v>
      </c>
      <c r="I1401" s="1">
        <v>-1627.5519999999999</v>
      </c>
    </row>
    <row r="1402" spans="1:9" hidden="1" x14ac:dyDescent="0.25">
      <c r="A1402" s="1" t="s">
        <v>16</v>
      </c>
      <c r="B1402" s="1" t="s">
        <v>91</v>
      </c>
      <c r="C1402" s="1" t="s">
        <v>25</v>
      </c>
      <c r="D1402" s="1">
        <v>0</v>
      </c>
      <c r="E1402" s="1">
        <v>-135.63</v>
      </c>
      <c r="F1402" s="1">
        <v>0</v>
      </c>
      <c r="G1402" s="1">
        <v>1830.9960000000001</v>
      </c>
      <c r="H1402" s="1">
        <v>0</v>
      </c>
      <c r="I1402" s="1">
        <v>-1085.0350000000001</v>
      </c>
    </row>
    <row r="1403" spans="1:9" hidden="1" x14ac:dyDescent="0.25">
      <c r="A1403" s="1" t="s">
        <v>16</v>
      </c>
      <c r="B1403" s="1" t="s">
        <v>91</v>
      </c>
      <c r="C1403" s="1" t="s">
        <v>10</v>
      </c>
      <c r="D1403" s="1">
        <v>0</v>
      </c>
      <c r="E1403" s="1">
        <v>-135.63</v>
      </c>
      <c r="F1403" s="1">
        <v>0</v>
      </c>
      <c r="G1403" s="1">
        <v>1830.9960000000001</v>
      </c>
      <c r="H1403" s="1">
        <v>0</v>
      </c>
      <c r="I1403" s="1">
        <v>-1627.5519999999999</v>
      </c>
    </row>
    <row r="1404" spans="1:9" hidden="1" x14ac:dyDescent="0.25">
      <c r="A1404" s="1" t="s">
        <v>16</v>
      </c>
      <c r="B1404" s="1" t="s">
        <v>92</v>
      </c>
      <c r="C1404" s="1" t="s">
        <v>25</v>
      </c>
      <c r="D1404" s="1">
        <v>0</v>
      </c>
      <c r="E1404" s="1">
        <v>135.63</v>
      </c>
      <c r="F1404" s="1">
        <v>0</v>
      </c>
      <c r="G1404" s="1">
        <v>-2237.884</v>
      </c>
      <c r="H1404" s="1">
        <v>0</v>
      </c>
      <c r="I1404" s="1">
        <v>1085.0350000000001</v>
      </c>
    </row>
    <row r="1405" spans="1:9" hidden="1" x14ac:dyDescent="0.25">
      <c r="A1405" s="1" t="s">
        <v>16</v>
      </c>
      <c r="B1405" s="1" t="s">
        <v>92</v>
      </c>
      <c r="C1405" s="1" t="s">
        <v>10</v>
      </c>
      <c r="D1405" s="1">
        <v>0</v>
      </c>
      <c r="E1405" s="1">
        <v>135.63</v>
      </c>
      <c r="F1405" s="1">
        <v>0</v>
      </c>
      <c r="G1405" s="1">
        <v>-2237.884</v>
      </c>
      <c r="H1405" s="1">
        <v>0</v>
      </c>
      <c r="I1405" s="1">
        <v>1627.5519999999999</v>
      </c>
    </row>
    <row r="1406" spans="1:9" hidden="1" x14ac:dyDescent="0.25">
      <c r="A1406" s="1" t="s">
        <v>16</v>
      </c>
      <c r="B1406" s="1" t="s">
        <v>93</v>
      </c>
      <c r="C1406" s="1" t="s">
        <v>25</v>
      </c>
      <c r="D1406" s="1">
        <v>0</v>
      </c>
      <c r="E1406" s="1">
        <v>135.63</v>
      </c>
      <c r="F1406" s="1">
        <v>0</v>
      </c>
      <c r="G1406" s="1">
        <v>-1830.9960000000001</v>
      </c>
      <c r="H1406" s="1">
        <v>0</v>
      </c>
      <c r="I1406" s="1">
        <v>1085.0350000000001</v>
      </c>
    </row>
    <row r="1407" spans="1:9" hidden="1" x14ac:dyDescent="0.25">
      <c r="A1407" s="1" t="s">
        <v>16</v>
      </c>
      <c r="B1407" s="1" t="s">
        <v>93</v>
      </c>
      <c r="C1407" s="1" t="s">
        <v>10</v>
      </c>
      <c r="D1407" s="1">
        <v>0</v>
      </c>
      <c r="E1407" s="1">
        <v>135.63</v>
      </c>
      <c r="F1407" s="1">
        <v>0</v>
      </c>
      <c r="G1407" s="1">
        <v>-1830.9960000000001</v>
      </c>
      <c r="H1407" s="1">
        <v>0</v>
      </c>
      <c r="I1407" s="1">
        <v>1627.5519999999999</v>
      </c>
    </row>
    <row r="1408" spans="1:9" hidden="1" x14ac:dyDescent="0.25">
      <c r="A1408" s="1" t="s">
        <v>16</v>
      </c>
      <c r="B1408" s="1" t="s">
        <v>94</v>
      </c>
      <c r="C1408" s="1" t="s">
        <v>25</v>
      </c>
      <c r="D1408" s="1">
        <v>0</v>
      </c>
      <c r="E1408" s="1">
        <v>0</v>
      </c>
      <c r="F1408" s="1">
        <v>-163.94</v>
      </c>
      <c r="G1408" s="1">
        <v>-3246.0680000000002</v>
      </c>
      <c r="H1408" s="1">
        <v>1311.5429999999999</v>
      </c>
      <c r="I1408" s="1">
        <v>0</v>
      </c>
    </row>
    <row r="1409" spans="1:9" hidden="1" x14ac:dyDescent="0.25">
      <c r="A1409" s="1" t="s">
        <v>16</v>
      </c>
      <c r="B1409" s="1" t="s">
        <v>94</v>
      </c>
      <c r="C1409" s="1" t="s">
        <v>10</v>
      </c>
      <c r="D1409" s="1">
        <v>0</v>
      </c>
      <c r="E1409" s="1">
        <v>0</v>
      </c>
      <c r="F1409" s="1">
        <v>-163.94</v>
      </c>
      <c r="G1409" s="1">
        <v>-3246.0680000000002</v>
      </c>
      <c r="H1409" s="1">
        <v>1967.3140000000001</v>
      </c>
      <c r="I1409" s="1">
        <v>0</v>
      </c>
    </row>
    <row r="1410" spans="1:9" hidden="1" x14ac:dyDescent="0.25">
      <c r="A1410" s="1" t="s">
        <v>16</v>
      </c>
      <c r="B1410" s="1" t="s">
        <v>95</v>
      </c>
      <c r="C1410" s="1" t="s">
        <v>25</v>
      </c>
      <c r="D1410" s="1">
        <v>0</v>
      </c>
      <c r="E1410" s="1">
        <v>0</v>
      </c>
      <c r="F1410" s="1">
        <v>-163.94</v>
      </c>
      <c r="G1410" s="1">
        <v>-2655.8739999999998</v>
      </c>
      <c r="H1410" s="1">
        <v>1311.5429999999999</v>
      </c>
      <c r="I1410" s="1">
        <v>0</v>
      </c>
    </row>
    <row r="1411" spans="1:9" hidden="1" x14ac:dyDescent="0.25">
      <c r="A1411" s="1" t="s">
        <v>16</v>
      </c>
      <c r="B1411" s="1" t="s">
        <v>95</v>
      </c>
      <c r="C1411" s="1" t="s">
        <v>10</v>
      </c>
      <c r="D1411" s="1">
        <v>0</v>
      </c>
      <c r="E1411" s="1">
        <v>0</v>
      </c>
      <c r="F1411" s="1">
        <v>-163.94</v>
      </c>
      <c r="G1411" s="1">
        <v>-2655.8739999999998</v>
      </c>
      <c r="H1411" s="1">
        <v>1967.3140000000001</v>
      </c>
      <c r="I1411" s="1">
        <v>0</v>
      </c>
    </row>
    <row r="1412" spans="1:9" hidden="1" x14ac:dyDescent="0.25">
      <c r="A1412" s="1" t="s">
        <v>16</v>
      </c>
      <c r="B1412" s="1" t="s">
        <v>96</v>
      </c>
      <c r="C1412" s="1" t="s">
        <v>25</v>
      </c>
      <c r="D1412" s="1">
        <v>0</v>
      </c>
      <c r="E1412" s="1">
        <v>0</v>
      </c>
      <c r="F1412" s="1">
        <v>163.94</v>
      </c>
      <c r="G1412" s="1">
        <v>3246.0680000000002</v>
      </c>
      <c r="H1412" s="1">
        <v>-1311.5429999999999</v>
      </c>
      <c r="I1412" s="1">
        <v>0</v>
      </c>
    </row>
    <row r="1413" spans="1:9" hidden="1" x14ac:dyDescent="0.25">
      <c r="A1413" s="1" t="s">
        <v>16</v>
      </c>
      <c r="B1413" s="1" t="s">
        <v>96</v>
      </c>
      <c r="C1413" s="1" t="s">
        <v>10</v>
      </c>
      <c r="D1413" s="1">
        <v>0</v>
      </c>
      <c r="E1413" s="1">
        <v>0</v>
      </c>
      <c r="F1413" s="1">
        <v>163.94</v>
      </c>
      <c r="G1413" s="1">
        <v>3246.0680000000002</v>
      </c>
      <c r="H1413" s="1">
        <v>-1967.3140000000001</v>
      </c>
      <c r="I1413" s="1">
        <v>0</v>
      </c>
    </row>
    <row r="1414" spans="1:9" hidden="1" x14ac:dyDescent="0.25">
      <c r="A1414" s="1" t="s">
        <v>16</v>
      </c>
      <c r="B1414" s="1" t="s">
        <v>97</v>
      </c>
      <c r="C1414" s="1" t="s">
        <v>25</v>
      </c>
      <c r="D1414" s="1">
        <v>0</v>
      </c>
      <c r="E1414" s="1">
        <v>0</v>
      </c>
      <c r="F1414" s="1">
        <v>163.94</v>
      </c>
      <c r="G1414" s="1">
        <v>2655.8739999999998</v>
      </c>
      <c r="H1414" s="1">
        <v>-1311.5429999999999</v>
      </c>
      <c r="I1414" s="1">
        <v>0</v>
      </c>
    </row>
    <row r="1415" spans="1:9" hidden="1" x14ac:dyDescent="0.25">
      <c r="A1415" s="1" t="s">
        <v>16</v>
      </c>
      <c r="B1415" s="1" t="s">
        <v>97</v>
      </c>
      <c r="C1415" s="1" t="s">
        <v>10</v>
      </c>
      <c r="D1415" s="1">
        <v>0</v>
      </c>
      <c r="E1415" s="1">
        <v>0</v>
      </c>
      <c r="F1415" s="1">
        <v>163.94</v>
      </c>
      <c r="G1415" s="1">
        <v>2655.8739999999998</v>
      </c>
      <c r="H1415" s="1">
        <v>-1967.3140000000001</v>
      </c>
      <c r="I1415" s="1">
        <v>0</v>
      </c>
    </row>
    <row r="1416" spans="1:9" hidden="1" x14ac:dyDescent="0.25">
      <c r="A1416" s="1" t="s">
        <v>16</v>
      </c>
      <c r="B1416" s="1" t="s">
        <v>14</v>
      </c>
      <c r="C1416" s="1" t="s">
        <v>25</v>
      </c>
      <c r="D1416" s="1">
        <v>0</v>
      </c>
      <c r="E1416" s="1">
        <v>280.18</v>
      </c>
      <c r="F1416" s="1">
        <v>0</v>
      </c>
      <c r="G1416" s="1">
        <v>4905.9930000000004</v>
      </c>
      <c r="H1416" s="1">
        <v>0</v>
      </c>
      <c r="I1416" s="1">
        <v>2110.34</v>
      </c>
    </row>
    <row r="1417" spans="1:9" hidden="1" x14ac:dyDescent="0.25">
      <c r="A1417" s="1" t="s">
        <v>16</v>
      </c>
      <c r="B1417" s="1" t="s">
        <v>14</v>
      </c>
      <c r="C1417" s="1" t="s">
        <v>10</v>
      </c>
      <c r="D1417" s="1">
        <v>0</v>
      </c>
      <c r="E1417" s="1">
        <v>280.18</v>
      </c>
      <c r="F1417" s="1">
        <v>0</v>
      </c>
      <c r="G1417" s="1">
        <v>4905.9930000000004</v>
      </c>
      <c r="H1417" s="1">
        <v>0</v>
      </c>
      <c r="I1417" s="1">
        <v>3085.0610000000001</v>
      </c>
    </row>
    <row r="1418" spans="1:9" hidden="1" x14ac:dyDescent="0.25">
      <c r="A1418" s="1" t="s">
        <v>16</v>
      </c>
      <c r="B1418" s="1" t="s">
        <v>98</v>
      </c>
      <c r="C1418" s="1" t="s">
        <v>25</v>
      </c>
      <c r="D1418" s="1">
        <v>0</v>
      </c>
      <c r="E1418" s="1">
        <v>-280.18</v>
      </c>
      <c r="F1418" s="1">
        <v>0</v>
      </c>
      <c r="G1418" s="1">
        <v>-4905.9930000000004</v>
      </c>
      <c r="H1418" s="1">
        <v>0</v>
      </c>
      <c r="I1418" s="1">
        <v>-2110.34</v>
      </c>
    </row>
    <row r="1419" spans="1:9" hidden="1" x14ac:dyDescent="0.25">
      <c r="A1419" s="1" t="s">
        <v>16</v>
      </c>
      <c r="B1419" s="1" t="s">
        <v>98</v>
      </c>
      <c r="C1419" s="1" t="s">
        <v>10</v>
      </c>
      <c r="D1419" s="1">
        <v>0</v>
      </c>
      <c r="E1419" s="1">
        <v>-280.18</v>
      </c>
      <c r="F1419" s="1">
        <v>0</v>
      </c>
      <c r="G1419" s="1">
        <v>-4905.9930000000004</v>
      </c>
      <c r="H1419" s="1">
        <v>0</v>
      </c>
      <c r="I1419" s="1">
        <v>-3085.0610000000001</v>
      </c>
    </row>
    <row r="1420" spans="1:9" hidden="1" x14ac:dyDescent="0.25">
      <c r="A1420" s="1" t="s">
        <v>16</v>
      </c>
      <c r="B1420" s="1" t="s">
        <v>15</v>
      </c>
      <c r="C1420" s="1" t="s">
        <v>25</v>
      </c>
      <c r="D1420" s="1">
        <v>0</v>
      </c>
      <c r="E1420" s="1">
        <v>0</v>
      </c>
      <c r="F1420" s="1">
        <v>671.3</v>
      </c>
      <c r="G1420" s="1">
        <v>13533.749</v>
      </c>
      <c r="H1420" s="1">
        <v>5424.0720000000001</v>
      </c>
      <c r="I1420" s="1">
        <v>0</v>
      </c>
    </row>
    <row r="1421" spans="1:9" hidden="1" x14ac:dyDescent="0.25">
      <c r="A1421" s="1" t="s">
        <v>16</v>
      </c>
      <c r="B1421" s="1" t="s">
        <v>15</v>
      </c>
      <c r="C1421" s="1" t="s">
        <v>10</v>
      </c>
      <c r="D1421" s="1">
        <v>0</v>
      </c>
      <c r="E1421" s="1">
        <v>0</v>
      </c>
      <c r="F1421" s="1">
        <v>671.3</v>
      </c>
      <c r="G1421" s="1">
        <v>13533.749</v>
      </c>
      <c r="H1421" s="1">
        <v>8023.2150000000001</v>
      </c>
      <c r="I1421" s="1">
        <v>0</v>
      </c>
    </row>
    <row r="1422" spans="1:9" hidden="1" x14ac:dyDescent="0.25">
      <c r="A1422" s="1" t="s">
        <v>16</v>
      </c>
      <c r="B1422" s="1" t="s">
        <v>99</v>
      </c>
      <c r="C1422" s="1" t="s">
        <v>25</v>
      </c>
      <c r="D1422" s="1">
        <v>0</v>
      </c>
      <c r="E1422" s="1">
        <v>0</v>
      </c>
      <c r="F1422" s="1">
        <v>-671.3</v>
      </c>
      <c r="G1422" s="1">
        <v>-13533.749</v>
      </c>
      <c r="H1422" s="1">
        <v>-5424.0720000000001</v>
      </c>
      <c r="I1422" s="1">
        <v>0</v>
      </c>
    </row>
    <row r="1423" spans="1:9" hidden="1" x14ac:dyDescent="0.25">
      <c r="A1423" s="1" t="s">
        <v>16</v>
      </c>
      <c r="B1423" s="1" t="s">
        <v>99</v>
      </c>
      <c r="C1423" s="1" t="s">
        <v>10</v>
      </c>
      <c r="D1423" s="1">
        <v>0</v>
      </c>
      <c r="E1423" s="1">
        <v>0</v>
      </c>
      <c r="F1423" s="1">
        <v>-671.3</v>
      </c>
      <c r="G1423" s="1">
        <v>-13533.749</v>
      </c>
      <c r="H1423" s="1">
        <v>-8023.2150000000001</v>
      </c>
      <c r="I1423" s="1">
        <v>0</v>
      </c>
    </row>
    <row r="1424" spans="1:9" hidden="1" x14ac:dyDescent="0.25">
      <c r="A1424" s="1" t="s">
        <v>16</v>
      </c>
      <c r="B1424" s="1" t="s">
        <v>100</v>
      </c>
      <c r="C1424" s="1" t="s">
        <v>25</v>
      </c>
      <c r="D1424" s="1">
        <v>0</v>
      </c>
      <c r="E1424" s="1">
        <v>280.18</v>
      </c>
      <c r="F1424" s="1">
        <v>0</v>
      </c>
      <c r="G1424" s="1">
        <v>4905.9930000000004</v>
      </c>
      <c r="H1424" s="1">
        <v>0</v>
      </c>
      <c r="I1424" s="1">
        <v>2110.34</v>
      </c>
    </row>
    <row r="1425" spans="1:9" hidden="1" x14ac:dyDescent="0.25">
      <c r="A1425" s="1" t="s">
        <v>16</v>
      </c>
      <c r="B1425" s="1" t="s">
        <v>100</v>
      </c>
      <c r="C1425" s="1" t="s">
        <v>10</v>
      </c>
      <c r="D1425" s="1">
        <v>0</v>
      </c>
      <c r="E1425" s="1">
        <v>280.18</v>
      </c>
      <c r="F1425" s="1">
        <v>0</v>
      </c>
      <c r="G1425" s="1">
        <v>4905.9930000000004</v>
      </c>
      <c r="H1425" s="1">
        <v>0</v>
      </c>
      <c r="I1425" s="1">
        <v>3085.0610000000001</v>
      </c>
    </row>
    <row r="1426" spans="1:9" hidden="1" x14ac:dyDescent="0.25">
      <c r="A1426" s="1" t="s">
        <v>16</v>
      </c>
      <c r="B1426" s="1" t="s">
        <v>101</v>
      </c>
      <c r="C1426" s="1" t="s">
        <v>25</v>
      </c>
      <c r="D1426" s="1">
        <v>0</v>
      </c>
      <c r="E1426" s="1">
        <v>-280.18</v>
      </c>
      <c r="F1426" s="1">
        <v>0</v>
      </c>
      <c r="G1426" s="1">
        <v>-4905.9930000000004</v>
      </c>
      <c r="H1426" s="1">
        <v>0</v>
      </c>
      <c r="I1426" s="1">
        <v>-2110.34</v>
      </c>
    </row>
    <row r="1427" spans="1:9" hidden="1" x14ac:dyDescent="0.25">
      <c r="A1427" s="1" t="s">
        <v>16</v>
      </c>
      <c r="B1427" s="1" t="s">
        <v>101</v>
      </c>
      <c r="C1427" s="1" t="s">
        <v>10</v>
      </c>
      <c r="D1427" s="1">
        <v>0</v>
      </c>
      <c r="E1427" s="1">
        <v>-280.18</v>
      </c>
      <c r="F1427" s="1">
        <v>0</v>
      </c>
      <c r="G1427" s="1">
        <v>-4905.9930000000004</v>
      </c>
      <c r="H1427" s="1">
        <v>0</v>
      </c>
      <c r="I1427" s="1">
        <v>-3085.0610000000001</v>
      </c>
    </row>
    <row r="1428" spans="1:9" hidden="1" x14ac:dyDescent="0.25">
      <c r="A1428" s="1" t="s">
        <v>16</v>
      </c>
      <c r="B1428" s="1" t="s">
        <v>102</v>
      </c>
      <c r="C1428" s="1" t="s">
        <v>25</v>
      </c>
      <c r="D1428" s="1">
        <v>0</v>
      </c>
      <c r="E1428" s="1">
        <v>280.18</v>
      </c>
      <c r="F1428" s="1">
        <v>0</v>
      </c>
      <c r="G1428" s="1">
        <v>4905.9930000000004</v>
      </c>
      <c r="H1428" s="1">
        <v>0</v>
      </c>
      <c r="I1428" s="1">
        <v>2110.34</v>
      </c>
    </row>
    <row r="1429" spans="1:9" hidden="1" x14ac:dyDescent="0.25">
      <c r="A1429" s="1" t="s">
        <v>16</v>
      </c>
      <c r="B1429" s="1" t="s">
        <v>102</v>
      </c>
      <c r="C1429" s="1" t="s">
        <v>10</v>
      </c>
      <c r="D1429" s="1">
        <v>0</v>
      </c>
      <c r="E1429" s="1">
        <v>280.18</v>
      </c>
      <c r="F1429" s="1">
        <v>0</v>
      </c>
      <c r="G1429" s="1">
        <v>4905.9930000000004</v>
      </c>
      <c r="H1429" s="1">
        <v>0</v>
      </c>
      <c r="I1429" s="1">
        <v>3085.0610000000001</v>
      </c>
    </row>
    <row r="1430" spans="1:9" hidden="1" x14ac:dyDescent="0.25">
      <c r="A1430" s="1" t="s">
        <v>16</v>
      </c>
      <c r="B1430" s="1" t="s">
        <v>103</v>
      </c>
      <c r="C1430" s="1" t="s">
        <v>25</v>
      </c>
      <c r="D1430" s="1">
        <v>0</v>
      </c>
      <c r="E1430" s="1">
        <v>-280.18</v>
      </c>
      <c r="F1430" s="1">
        <v>0</v>
      </c>
      <c r="G1430" s="1">
        <v>-4905.9930000000004</v>
      </c>
      <c r="H1430" s="1">
        <v>0</v>
      </c>
      <c r="I1430" s="1">
        <v>-2110.34</v>
      </c>
    </row>
    <row r="1431" spans="1:9" hidden="1" x14ac:dyDescent="0.25">
      <c r="A1431" s="1" t="s">
        <v>16</v>
      </c>
      <c r="B1431" s="1" t="s">
        <v>103</v>
      </c>
      <c r="C1431" s="1" t="s">
        <v>10</v>
      </c>
      <c r="D1431" s="1">
        <v>0</v>
      </c>
      <c r="E1431" s="1">
        <v>-280.18</v>
      </c>
      <c r="F1431" s="1">
        <v>0</v>
      </c>
      <c r="G1431" s="1">
        <v>-4905.9930000000004</v>
      </c>
      <c r="H1431" s="1">
        <v>0</v>
      </c>
      <c r="I1431" s="1">
        <v>-3085.0610000000001</v>
      </c>
    </row>
    <row r="1432" spans="1:9" hidden="1" x14ac:dyDescent="0.25">
      <c r="A1432" s="1" t="s">
        <v>16</v>
      </c>
      <c r="B1432" s="1" t="s">
        <v>104</v>
      </c>
      <c r="C1432" s="1" t="s">
        <v>25</v>
      </c>
      <c r="D1432" s="1">
        <v>0</v>
      </c>
      <c r="E1432" s="1">
        <v>0</v>
      </c>
      <c r="F1432" s="1">
        <v>671.3</v>
      </c>
      <c r="G1432" s="1">
        <v>13533.749</v>
      </c>
      <c r="H1432" s="1">
        <v>5424.0720000000001</v>
      </c>
      <c r="I1432" s="1">
        <v>0</v>
      </c>
    </row>
    <row r="1433" spans="1:9" hidden="1" x14ac:dyDescent="0.25">
      <c r="A1433" s="1" t="s">
        <v>16</v>
      </c>
      <c r="B1433" s="1" t="s">
        <v>104</v>
      </c>
      <c r="C1433" s="1" t="s">
        <v>10</v>
      </c>
      <c r="D1433" s="1">
        <v>0</v>
      </c>
      <c r="E1433" s="1">
        <v>0</v>
      </c>
      <c r="F1433" s="1">
        <v>671.3</v>
      </c>
      <c r="G1433" s="1">
        <v>13533.749</v>
      </c>
      <c r="H1433" s="1">
        <v>8023.2150000000001</v>
      </c>
      <c r="I1433" s="1">
        <v>0</v>
      </c>
    </row>
    <row r="1434" spans="1:9" hidden="1" x14ac:dyDescent="0.25">
      <c r="A1434" s="1" t="s">
        <v>16</v>
      </c>
      <c r="B1434" s="1" t="s">
        <v>105</v>
      </c>
      <c r="C1434" s="1" t="s">
        <v>25</v>
      </c>
      <c r="D1434" s="1">
        <v>0</v>
      </c>
      <c r="E1434" s="1">
        <v>0</v>
      </c>
      <c r="F1434" s="1">
        <v>-671.3</v>
      </c>
      <c r="G1434" s="1">
        <v>-13533.749</v>
      </c>
      <c r="H1434" s="1">
        <v>-5424.0720000000001</v>
      </c>
      <c r="I1434" s="1">
        <v>0</v>
      </c>
    </row>
    <row r="1435" spans="1:9" hidden="1" x14ac:dyDescent="0.25">
      <c r="A1435" s="1" t="s">
        <v>16</v>
      </c>
      <c r="B1435" s="1" t="s">
        <v>105</v>
      </c>
      <c r="C1435" s="1" t="s">
        <v>10</v>
      </c>
      <c r="D1435" s="1">
        <v>0</v>
      </c>
      <c r="E1435" s="1">
        <v>0</v>
      </c>
      <c r="F1435" s="1">
        <v>-671.3</v>
      </c>
      <c r="G1435" s="1">
        <v>-13533.749</v>
      </c>
      <c r="H1435" s="1">
        <v>-8023.2150000000001</v>
      </c>
      <c r="I1435" s="1">
        <v>0</v>
      </c>
    </row>
    <row r="1436" spans="1:9" hidden="1" x14ac:dyDescent="0.25">
      <c r="A1436" s="1" t="s">
        <v>16</v>
      </c>
      <c r="B1436" s="1" t="s">
        <v>106</v>
      </c>
      <c r="C1436" s="1" t="s">
        <v>25</v>
      </c>
      <c r="D1436" s="1">
        <v>0</v>
      </c>
      <c r="E1436" s="1">
        <v>0</v>
      </c>
      <c r="F1436" s="1">
        <v>671.3</v>
      </c>
      <c r="G1436" s="1">
        <v>13533.749</v>
      </c>
      <c r="H1436" s="1">
        <v>5424.0720000000001</v>
      </c>
      <c r="I1436" s="1">
        <v>0</v>
      </c>
    </row>
    <row r="1437" spans="1:9" hidden="1" x14ac:dyDescent="0.25">
      <c r="A1437" s="1" t="s">
        <v>16</v>
      </c>
      <c r="B1437" s="1" t="s">
        <v>106</v>
      </c>
      <c r="C1437" s="1" t="s">
        <v>10</v>
      </c>
      <c r="D1437" s="1">
        <v>0</v>
      </c>
      <c r="E1437" s="1">
        <v>0</v>
      </c>
      <c r="F1437" s="1">
        <v>671.3</v>
      </c>
      <c r="G1437" s="1">
        <v>13533.749</v>
      </c>
      <c r="H1437" s="1">
        <v>8023.2150000000001</v>
      </c>
      <c r="I1437" s="1">
        <v>0</v>
      </c>
    </row>
    <row r="1438" spans="1:9" hidden="1" x14ac:dyDescent="0.25">
      <c r="A1438" s="1" t="s">
        <v>16</v>
      </c>
      <c r="B1438" s="1" t="s">
        <v>107</v>
      </c>
      <c r="C1438" s="1" t="s">
        <v>25</v>
      </c>
      <c r="D1438" s="1">
        <v>0</v>
      </c>
      <c r="E1438" s="1">
        <v>0</v>
      </c>
      <c r="F1438" s="1">
        <v>-671.3</v>
      </c>
      <c r="G1438" s="1">
        <v>-13533.749</v>
      </c>
      <c r="H1438" s="1">
        <v>-5424.0720000000001</v>
      </c>
      <c r="I1438" s="1">
        <v>0</v>
      </c>
    </row>
    <row r="1439" spans="1:9" hidden="1" x14ac:dyDescent="0.25">
      <c r="A1439" s="1" t="s">
        <v>16</v>
      </c>
      <c r="B1439" s="1" t="s">
        <v>107</v>
      </c>
      <c r="C1439" s="1" t="s">
        <v>10</v>
      </c>
      <c r="D1439" s="1">
        <v>0</v>
      </c>
      <c r="E1439" s="1">
        <v>0</v>
      </c>
      <c r="F1439" s="1">
        <v>-671.3</v>
      </c>
      <c r="G1439" s="1">
        <v>-13533.749</v>
      </c>
      <c r="H1439" s="1">
        <v>-8023.2150000000001</v>
      </c>
      <c r="I1439" s="1">
        <v>0</v>
      </c>
    </row>
    <row r="1440" spans="1:9" hidden="1" x14ac:dyDescent="0.25">
      <c r="A1440" s="1" t="s">
        <v>16</v>
      </c>
      <c r="B1440" s="1" t="s">
        <v>108</v>
      </c>
      <c r="C1440" s="1" t="s">
        <v>25</v>
      </c>
      <c r="D1440" s="1">
        <v>0</v>
      </c>
      <c r="E1440" s="1">
        <v>84.06</v>
      </c>
      <c r="F1440" s="1">
        <v>0</v>
      </c>
      <c r="G1440" s="1">
        <v>1471.798</v>
      </c>
      <c r="H1440" s="1">
        <v>0</v>
      </c>
      <c r="I1440" s="1">
        <v>633.10199999999998</v>
      </c>
    </row>
    <row r="1441" spans="1:9" hidden="1" x14ac:dyDescent="0.25">
      <c r="A1441" s="1" t="s">
        <v>16</v>
      </c>
      <c r="B1441" s="1" t="s">
        <v>108</v>
      </c>
      <c r="C1441" s="1" t="s">
        <v>10</v>
      </c>
      <c r="D1441" s="1">
        <v>0</v>
      </c>
      <c r="E1441" s="1">
        <v>84.06</v>
      </c>
      <c r="F1441" s="1">
        <v>0</v>
      </c>
      <c r="G1441" s="1">
        <v>1471.798</v>
      </c>
      <c r="H1441" s="1">
        <v>0</v>
      </c>
      <c r="I1441" s="1">
        <v>925.51800000000003</v>
      </c>
    </row>
    <row r="1442" spans="1:9" hidden="1" x14ac:dyDescent="0.25">
      <c r="A1442" s="1" t="s">
        <v>16</v>
      </c>
      <c r="B1442" s="1" t="s">
        <v>109</v>
      </c>
      <c r="C1442" s="1" t="s">
        <v>25</v>
      </c>
      <c r="D1442" s="1">
        <v>0</v>
      </c>
      <c r="E1442" s="1">
        <v>-84.06</v>
      </c>
      <c r="F1442" s="1">
        <v>0</v>
      </c>
      <c r="G1442" s="1">
        <v>-1471.798</v>
      </c>
      <c r="H1442" s="1">
        <v>0</v>
      </c>
      <c r="I1442" s="1">
        <v>-633.10199999999998</v>
      </c>
    </row>
    <row r="1443" spans="1:9" hidden="1" x14ac:dyDescent="0.25">
      <c r="A1443" s="1" t="s">
        <v>16</v>
      </c>
      <c r="B1443" s="1" t="s">
        <v>109</v>
      </c>
      <c r="C1443" s="1" t="s">
        <v>10</v>
      </c>
      <c r="D1443" s="1">
        <v>0</v>
      </c>
      <c r="E1443" s="1">
        <v>-84.06</v>
      </c>
      <c r="F1443" s="1">
        <v>0</v>
      </c>
      <c r="G1443" s="1">
        <v>-1471.798</v>
      </c>
      <c r="H1443" s="1">
        <v>0</v>
      </c>
      <c r="I1443" s="1">
        <v>-925.51800000000003</v>
      </c>
    </row>
    <row r="1444" spans="1:9" hidden="1" x14ac:dyDescent="0.25">
      <c r="A1444" s="1" t="s">
        <v>16</v>
      </c>
      <c r="B1444" s="1" t="s">
        <v>110</v>
      </c>
      <c r="C1444" s="1" t="s">
        <v>25</v>
      </c>
      <c r="D1444" s="1">
        <v>0</v>
      </c>
      <c r="E1444" s="1">
        <v>84.06</v>
      </c>
      <c r="F1444" s="1">
        <v>0</v>
      </c>
      <c r="G1444" s="1">
        <v>1471.798</v>
      </c>
      <c r="H1444" s="1">
        <v>0</v>
      </c>
      <c r="I1444" s="1">
        <v>633.10199999999998</v>
      </c>
    </row>
    <row r="1445" spans="1:9" hidden="1" x14ac:dyDescent="0.25">
      <c r="A1445" s="1" t="s">
        <v>16</v>
      </c>
      <c r="B1445" s="1" t="s">
        <v>110</v>
      </c>
      <c r="C1445" s="1" t="s">
        <v>10</v>
      </c>
      <c r="D1445" s="1">
        <v>0</v>
      </c>
      <c r="E1445" s="1">
        <v>84.06</v>
      </c>
      <c r="F1445" s="1">
        <v>0</v>
      </c>
      <c r="G1445" s="1">
        <v>1471.798</v>
      </c>
      <c r="H1445" s="1">
        <v>0</v>
      </c>
      <c r="I1445" s="1">
        <v>925.51800000000003</v>
      </c>
    </row>
    <row r="1446" spans="1:9" hidden="1" x14ac:dyDescent="0.25">
      <c r="A1446" s="1" t="s">
        <v>16</v>
      </c>
      <c r="B1446" s="1" t="s">
        <v>111</v>
      </c>
      <c r="C1446" s="1" t="s">
        <v>25</v>
      </c>
      <c r="D1446" s="1">
        <v>0</v>
      </c>
      <c r="E1446" s="1">
        <v>-84.06</v>
      </c>
      <c r="F1446" s="1">
        <v>0</v>
      </c>
      <c r="G1446" s="1">
        <v>-1471.798</v>
      </c>
      <c r="H1446" s="1">
        <v>0</v>
      </c>
      <c r="I1446" s="1">
        <v>-633.10199999999998</v>
      </c>
    </row>
    <row r="1447" spans="1:9" hidden="1" x14ac:dyDescent="0.25">
      <c r="A1447" s="1" t="s">
        <v>16</v>
      </c>
      <c r="B1447" s="1" t="s">
        <v>111</v>
      </c>
      <c r="C1447" s="1" t="s">
        <v>10</v>
      </c>
      <c r="D1447" s="1">
        <v>0</v>
      </c>
      <c r="E1447" s="1">
        <v>-84.06</v>
      </c>
      <c r="F1447" s="1">
        <v>0</v>
      </c>
      <c r="G1447" s="1">
        <v>-1471.798</v>
      </c>
      <c r="H1447" s="1">
        <v>0</v>
      </c>
      <c r="I1447" s="1">
        <v>-925.51800000000003</v>
      </c>
    </row>
    <row r="1448" spans="1:9" hidden="1" x14ac:dyDescent="0.25">
      <c r="A1448" s="1" t="s">
        <v>16</v>
      </c>
      <c r="B1448" s="1" t="s">
        <v>112</v>
      </c>
      <c r="C1448" s="1" t="s">
        <v>25</v>
      </c>
      <c r="D1448" s="1">
        <v>0</v>
      </c>
      <c r="E1448" s="1">
        <v>0</v>
      </c>
      <c r="F1448" s="1">
        <v>201.39</v>
      </c>
      <c r="G1448" s="1">
        <v>4060.125</v>
      </c>
      <c r="H1448" s="1">
        <v>1627.222</v>
      </c>
      <c r="I1448" s="1">
        <v>0</v>
      </c>
    </row>
    <row r="1449" spans="1:9" hidden="1" x14ac:dyDescent="0.25">
      <c r="A1449" s="1" t="s">
        <v>16</v>
      </c>
      <c r="B1449" s="1" t="s">
        <v>112</v>
      </c>
      <c r="C1449" s="1" t="s">
        <v>10</v>
      </c>
      <c r="D1449" s="1">
        <v>0</v>
      </c>
      <c r="E1449" s="1">
        <v>0</v>
      </c>
      <c r="F1449" s="1">
        <v>201.39</v>
      </c>
      <c r="G1449" s="1">
        <v>4060.125</v>
      </c>
      <c r="H1449" s="1">
        <v>2406.9650000000001</v>
      </c>
      <c r="I1449" s="1">
        <v>0</v>
      </c>
    </row>
    <row r="1450" spans="1:9" hidden="1" x14ac:dyDescent="0.25">
      <c r="A1450" s="1" t="s">
        <v>16</v>
      </c>
      <c r="B1450" s="1" t="s">
        <v>113</v>
      </c>
      <c r="C1450" s="1" t="s">
        <v>25</v>
      </c>
      <c r="D1450" s="1">
        <v>0</v>
      </c>
      <c r="E1450" s="1">
        <v>0</v>
      </c>
      <c r="F1450" s="1">
        <v>-201.39</v>
      </c>
      <c r="G1450" s="1">
        <v>-4060.125</v>
      </c>
      <c r="H1450" s="1">
        <v>-1627.222</v>
      </c>
      <c r="I1450" s="1">
        <v>0</v>
      </c>
    </row>
    <row r="1451" spans="1:9" hidden="1" x14ac:dyDescent="0.25">
      <c r="A1451" s="1" t="s">
        <v>16</v>
      </c>
      <c r="B1451" s="1" t="s">
        <v>113</v>
      </c>
      <c r="C1451" s="1" t="s">
        <v>10</v>
      </c>
      <c r="D1451" s="1">
        <v>0</v>
      </c>
      <c r="E1451" s="1">
        <v>0</v>
      </c>
      <c r="F1451" s="1">
        <v>-201.39</v>
      </c>
      <c r="G1451" s="1">
        <v>-4060.125</v>
      </c>
      <c r="H1451" s="1">
        <v>-2406.9650000000001</v>
      </c>
      <c r="I1451" s="1">
        <v>0</v>
      </c>
    </row>
    <row r="1452" spans="1:9" hidden="1" x14ac:dyDescent="0.25">
      <c r="A1452" s="1" t="s">
        <v>16</v>
      </c>
      <c r="B1452" s="1" t="s">
        <v>114</v>
      </c>
      <c r="C1452" s="1" t="s">
        <v>25</v>
      </c>
      <c r="D1452" s="1">
        <v>0</v>
      </c>
      <c r="E1452" s="1">
        <v>0</v>
      </c>
      <c r="F1452" s="1">
        <v>201.39</v>
      </c>
      <c r="G1452" s="1">
        <v>4060.125</v>
      </c>
      <c r="H1452" s="1">
        <v>1627.222</v>
      </c>
      <c r="I1452" s="1">
        <v>0</v>
      </c>
    </row>
    <row r="1453" spans="1:9" hidden="1" x14ac:dyDescent="0.25">
      <c r="A1453" s="1" t="s">
        <v>16</v>
      </c>
      <c r="B1453" s="1" t="s">
        <v>114</v>
      </c>
      <c r="C1453" s="1" t="s">
        <v>10</v>
      </c>
      <c r="D1453" s="1">
        <v>0</v>
      </c>
      <c r="E1453" s="1">
        <v>0</v>
      </c>
      <c r="F1453" s="1">
        <v>201.39</v>
      </c>
      <c r="G1453" s="1">
        <v>4060.125</v>
      </c>
      <c r="H1453" s="1">
        <v>2406.9650000000001</v>
      </c>
      <c r="I1453" s="1">
        <v>0</v>
      </c>
    </row>
    <row r="1454" spans="1:9" hidden="1" x14ac:dyDescent="0.25">
      <c r="A1454" s="1" t="s">
        <v>16</v>
      </c>
      <c r="B1454" s="1" t="s">
        <v>115</v>
      </c>
      <c r="C1454" s="1" t="s">
        <v>25</v>
      </c>
      <c r="D1454" s="1">
        <v>0</v>
      </c>
      <c r="E1454" s="1">
        <v>0</v>
      </c>
      <c r="F1454" s="1">
        <v>-201.39</v>
      </c>
      <c r="G1454" s="1">
        <v>-4060.125</v>
      </c>
      <c r="H1454" s="1">
        <v>-1627.222</v>
      </c>
      <c r="I1454" s="1">
        <v>0</v>
      </c>
    </row>
    <row r="1455" spans="1:9" hidden="1" x14ac:dyDescent="0.25">
      <c r="A1455" s="1" t="s">
        <v>16</v>
      </c>
      <c r="B1455" s="1" t="s">
        <v>115</v>
      </c>
      <c r="C1455" s="1" t="s">
        <v>10</v>
      </c>
      <c r="D1455" s="1">
        <v>0</v>
      </c>
      <c r="E1455" s="1">
        <v>0</v>
      </c>
      <c r="F1455" s="1">
        <v>-201.39</v>
      </c>
      <c r="G1455" s="1">
        <v>-4060.125</v>
      </c>
      <c r="H1455" s="1">
        <v>-2406.9650000000001</v>
      </c>
      <c r="I1455" s="1">
        <v>0</v>
      </c>
    </row>
    <row r="1456" spans="1:9" hidden="1" x14ac:dyDescent="0.25">
      <c r="A1456" s="1" t="s">
        <v>16</v>
      </c>
      <c r="B1456" s="1" t="s">
        <v>116</v>
      </c>
      <c r="C1456" s="1" t="s">
        <v>25</v>
      </c>
      <c r="D1456" s="1">
        <v>0</v>
      </c>
      <c r="E1456" s="1">
        <v>280.18</v>
      </c>
      <c r="F1456" s="1">
        <v>0</v>
      </c>
      <c r="G1456" s="1">
        <v>4905.9930000000004</v>
      </c>
      <c r="H1456" s="1">
        <v>0</v>
      </c>
      <c r="I1456" s="1">
        <v>2110.34</v>
      </c>
    </row>
    <row r="1457" spans="1:9" hidden="1" x14ac:dyDescent="0.25">
      <c r="A1457" s="1" t="s">
        <v>16</v>
      </c>
      <c r="B1457" s="1" t="s">
        <v>116</v>
      </c>
      <c r="C1457" s="1" t="s">
        <v>10</v>
      </c>
      <c r="D1457" s="1">
        <v>0</v>
      </c>
      <c r="E1457" s="1">
        <v>280.18</v>
      </c>
      <c r="F1457" s="1">
        <v>0</v>
      </c>
      <c r="G1457" s="1">
        <v>4905.9930000000004</v>
      </c>
      <c r="H1457" s="1">
        <v>0</v>
      </c>
      <c r="I1457" s="1">
        <v>3085.0610000000001</v>
      </c>
    </row>
    <row r="1458" spans="1:9" hidden="1" x14ac:dyDescent="0.25">
      <c r="A1458" s="1" t="s">
        <v>16</v>
      </c>
      <c r="B1458" s="1" t="s">
        <v>117</v>
      </c>
      <c r="C1458" s="1" t="s">
        <v>25</v>
      </c>
      <c r="D1458" s="1">
        <v>0</v>
      </c>
      <c r="E1458" s="1">
        <v>-280.18</v>
      </c>
      <c r="F1458" s="1">
        <v>0</v>
      </c>
      <c r="G1458" s="1">
        <v>-4905.9930000000004</v>
      </c>
      <c r="H1458" s="1">
        <v>0</v>
      </c>
      <c r="I1458" s="1">
        <v>-2110.34</v>
      </c>
    </row>
    <row r="1459" spans="1:9" hidden="1" x14ac:dyDescent="0.25">
      <c r="A1459" s="1" t="s">
        <v>16</v>
      </c>
      <c r="B1459" s="1" t="s">
        <v>117</v>
      </c>
      <c r="C1459" s="1" t="s">
        <v>10</v>
      </c>
      <c r="D1459" s="1">
        <v>0</v>
      </c>
      <c r="E1459" s="1">
        <v>-280.18</v>
      </c>
      <c r="F1459" s="1">
        <v>0</v>
      </c>
      <c r="G1459" s="1">
        <v>-4905.9930000000004</v>
      </c>
      <c r="H1459" s="1">
        <v>0</v>
      </c>
      <c r="I1459" s="1">
        <v>-3085.0610000000001</v>
      </c>
    </row>
    <row r="1460" spans="1:9" hidden="1" x14ac:dyDescent="0.25">
      <c r="A1460" s="1" t="s">
        <v>16</v>
      </c>
      <c r="B1460" s="1" t="s">
        <v>118</v>
      </c>
      <c r="C1460" s="1" t="s">
        <v>25</v>
      </c>
      <c r="D1460" s="1">
        <v>0</v>
      </c>
      <c r="E1460" s="1">
        <v>280.18</v>
      </c>
      <c r="F1460" s="1">
        <v>0</v>
      </c>
      <c r="G1460" s="1">
        <v>4905.9930000000004</v>
      </c>
      <c r="H1460" s="1">
        <v>0</v>
      </c>
      <c r="I1460" s="1">
        <v>2110.34</v>
      </c>
    </row>
    <row r="1461" spans="1:9" hidden="1" x14ac:dyDescent="0.25">
      <c r="A1461" s="1" t="s">
        <v>16</v>
      </c>
      <c r="B1461" s="1" t="s">
        <v>118</v>
      </c>
      <c r="C1461" s="1" t="s">
        <v>10</v>
      </c>
      <c r="D1461" s="1">
        <v>0</v>
      </c>
      <c r="E1461" s="1">
        <v>280.18</v>
      </c>
      <c r="F1461" s="1">
        <v>0</v>
      </c>
      <c r="G1461" s="1">
        <v>4905.9930000000004</v>
      </c>
      <c r="H1461" s="1">
        <v>0</v>
      </c>
      <c r="I1461" s="1">
        <v>3085.0610000000001</v>
      </c>
    </row>
    <row r="1462" spans="1:9" hidden="1" x14ac:dyDescent="0.25">
      <c r="A1462" s="1" t="s">
        <v>16</v>
      </c>
      <c r="B1462" s="1" t="s">
        <v>119</v>
      </c>
      <c r="C1462" s="1" t="s">
        <v>25</v>
      </c>
      <c r="D1462" s="1">
        <v>0</v>
      </c>
      <c r="E1462" s="1">
        <v>-280.18</v>
      </c>
      <c r="F1462" s="1">
        <v>0</v>
      </c>
      <c r="G1462" s="1">
        <v>-4905.9930000000004</v>
      </c>
      <c r="H1462" s="1">
        <v>0</v>
      </c>
      <c r="I1462" s="1">
        <v>-2110.34</v>
      </c>
    </row>
    <row r="1463" spans="1:9" hidden="1" x14ac:dyDescent="0.25">
      <c r="A1463" s="1" t="s">
        <v>16</v>
      </c>
      <c r="B1463" s="1" t="s">
        <v>119</v>
      </c>
      <c r="C1463" s="1" t="s">
        <v>10</v>
      </c>
      <c r="D1463" s="1">
        <v>0</v>
      </c>
      <c r="E1463" s="1">
        <v>-280.18</v>
      </c>
      <c r="F1463" s="1">
        <v>0</v>
      </c>
      <c r="G1463" s="1">
        <v>-4905.9930000000004</v>
      </c>
      <c r="H1463" s="1">
        <v>0</v>
      </c>
      <c r="I1463" s="1">
        <v>-3085.0610000000001</v>
      </c>
    </row>
    <row r="1464" spans="1:9" hidden="1" x14ac:dyDescent="0.25">
      <c r="A1464" s="1" t="s">
        <v>16</v>
      </c>
      <c r="B1464" s="1" t="s">
        <v>120</v>
      </c>
      <c r="C1464" s="1" t="s">
        <v>25</v>
      </c>
      <c r="D1464" s="1">
        <v>0</v>
      </c>
      <c r="E1464" s="1">
        <v>0</v>
      </c>
      <c r="F1464" s="1">
        <v>671.3</v>
      </c>
      <c r="G1464" s="1">
        <v>13533.749</v>
      </c>
      <c r="H1464" s="1">
        <v>5424.0720000000001</v>
      </c>
      <c r="I1464" s="1">
        <v>0</v>
      </c>
    </row>
    <row r="1465" spans="1:9" hidden="1" x14ac:dyDescent="0.25">
      <c r="A1465" s="1" t="s">
        <v>16</v>
      </c>
      <c r="B1465" s="1" t="s">
        <v>120</v>
      </c>
      <c r="C1465" s="1" t="s">
        <v>10</v>
      </c>
      <c r="D1465" s="1">
        <v>0</v>
      </c>
      <c r="E1465" s="1">
        <v>0</v>
      </c>
      <c r="F1465" s="1">
        <v>671.3</v>
      </c>
      <c r="G1465" s="1">
        <v>13533.749</v>
      </c>
      <c r="H1465" s="1">
        <v>8023.2150000000001</v>
      </c>
      <c r="I1465" s="1">
        <v>0</v>
      </c>
    </row>
    <row r="1466" spans="1:9" hidden="1" x14ac:dyDescent="0.25">
      <c r="A1466" s="1" t="s">
        <v>16</v>
      </c>
      <c r="B1466" s="1" t="s">
        <v>121</v>
      </c>
      <c r="C1466" s="1" t="s">
        <v>25</v>
      </c>
      <c r="D1466" s="1">
        <v>0</v>
      </c>
      <c r="E1466" s="1">
        <v>0</v>
      </c>
      <c r="F1466" s="1">
        <v>-671.3</v>
      </c>
      <c r="G1466" s="1">
        <v>-13533.749</v>
      </c>
      <c r="H1466" s="1">
        <v>-5424.0720000000001</v>
      </c>
      <c r="I1466" s="1">
        <v>0</v>
      </c>
    </row>
    <row r="1467" spans="1:9" hidden="1" x14ac:dyDescent="0.25">
      <c r="A1467" s="1" t="s">
        <v>16</v>
      </c>
      <c r="B1467" s="1" t="s">
        <v>121</v>
      </c>
      <c r="C1467" s="1" t="s">
        <v>10</v>
      </c>
      <c r="D1467" s="1">
        <v>0</v>
      </c>
      <c r="E1467" s="1">
        <v>0</v>
      </c>
      <c r="F1467" s="1">
        <v>-671.3</v>
      </c>
      <c r="G1467" s="1">
        <v>-13533.749</v>
      </c>
      <c r="H1467" s="1">
        <v>-8023.2150000000001</v>
      </c>
      <c r="I1467" s="1">
        <v>0</v>
      </c>
    </row>
    <row r="1468" spans="1:9" hidden="1" x14ac:dyDescent="0.25">
      <c r="A1468" s="1" t="s">
        <v>16</v>
      </c>
      <c r="B1468" s="1" t="s">
        <v>122</v>
      </c>
      <c r="C1468" s="1" t="s">
        <v>25</v>
      </c>
      <c r="D1468" s="1">
        <v>0</v>
      </c>
      <c r="E1468" s="1">
        <v>0</v>
      </c>
      <c r="F1468" s="1">
        <v>671.3</v>
      </c>
      <c r="G1468" s="1">
        <v>13533.749</v>
      </c>
      <c r="H1468" s="1">
        <v>5424.0720000000001</v>
      </c>
      <c r="I1468" s="1">
        <v>0</v>
      </c>
    </row>
    <row r="1469" spans="1:9" hidden="1" x14ac:dyDescent="0.25">
      <c r="A1469" s="1" t="s">
        <v>16</v>
      </c>
      <c r="B1469" s="1" t="s">
        <v>122</v>
      </c>
      <c r="C1469" s="1" t="s">
        <v>10</v>
      </c>
      <c r="D1469" s="1">
        <v>0</v>
      </c>
      <c r="E1469" s="1">
        <v>0</v>
      </c>
      <c r="F1469" s="1">
        <v>671.3</v>
      </c>
      <c r="G1469" s="1">
        <v>13533.749</v>
      </c>
      <c r="H1469" s="1">
        <v>8023.2150000000001</v>
      </c>
      <c r="I1469" s="1">
        <v>0</v>
      </c>
    </row>
    <row r="1470" spans="1:9" hidden="1" x14ac:dyDescent="0.25">
      <c r="A1470" s="1" t="s">
        <v>16</v>
      </c>
      <c r="B1470" s="1" t="s">
        <v>123</v>
      </c>
      <c r="C1470" s="1" t="s">
        <v>25</v>
      </c>
      <c r="D1470" s="1">
        <v>0</v>
      </c>
      <c r="E1470" s="1">
        <v>0</v>
      </c>
      <c r="F1470" s="1">
        <v>-671.3</v>
      </c>
      <c r="G1470" s="1">
        <v>-13533.749</v>
      </c>
      <c r="H1470" s="1">
        <v>-5424.0720000000001</v>
      </c>
      <c r="I1470" s="1">
        <v>0</v>
      </c>
    </row>
    <row r="1471" spans="1:9" hidden="1" x14ac:dyDescent="0.25">
      <c r="A1471" s="1" t="s">
        <v>16</v>
      </c>
      <c r="B1471" s="1" t="s">
        <v>123</v>
      </c>
      <c r="C1471" s="1" t="s">
        <v>10</v>
      </c>
      <c r="D1471" s="1">
        <v>0</v>
      </c>
      <c r="E1471" s="1">
        <v>0</v>
      </c>
      <c r="F1471" s="1">
        <v>-671.3</v>
      </c>
      <c r="G1471" s="1">
        <v>-13533.749</v>
      </c>
      <c r="H1471" s="1">
        <v>-8023.2150000000001</v>
      </c>
      <c r="I1471" s="1">
        <v>0</v>
      </c>
    </row>
    <row r="1472" spans="1:9" hidden="1" x14ac:dyDescent="0.25">
      <c r="A1472" s="1" t="s">
        <v>16</v>
      </c>
      <c r="B1472" s="1" t="s">
        <v>124</v>
      </c>
      <c r="C1472" s="1" t="s">
        <v>25</v>
      </c>
      <c r="D1472" s="1">
        <v>0</v>
      </c>
      <c r="E1472" s="1">
        <v>84.06</v>
      </c>
      <c r="F1472" s="1">
        <v>0</v>
      </c>
      <c r="G1472" s="1">
        <v>1471.798</v>
      </c>
      <c r="H1472" s="1">
        <v>0</v>
      </c>
      <c r="I1472" s="1">
        <v>633.10199999999998</v>
      </c>
    </row>
    <row r="1473" spans="1:9" hidden="1" x14ac:dyDescent="0.25">
      <c r="A1473" s="1" t="s">
        <v>16</v>
      </c>
      <c r="B1473" s="1" t="s">
        <v>124</v>
      </c>
      <c r="C1473" s="1" t="s">
        <v>10</v>
      </c>
      <c r="D1473" s="1">
        <v>0</v>
      </c>
      <c r="E1473" s="1">
        <v>84.06</v>
      </c>
      <c r="F1473" s="1">
        <v>0</v>
      </c>
      <c r="G1473" s="1">
        <v>1471.798</v>
      </c>
      <c r="H1473" s="1">
        <v>0</v>
      </c>
      <c r="I1473" s="1">
        <v>925.51800000000003</v>
      </c>
    </row>
    <row r="1474" spans="1:9" hidden="1" x14ac:dyDescent="0.25">
      <c r="A1474" s="1" t="s">
        <v>16</v>
      </c>
      <c r="B1474" s="1" t="s">
        <v>125</v>
      </c>
      <c r="C1474" s="1" t="s">
        <v>25</v>
      </c>
      <c r="D1474" s="1">
        <v>0</v>
      </c>
      <c r="E1474" s="1">
        <v>-84.06</v>
      </c>
      <c r="F1474" s="1">
        <v>0</v>
      </c>
      <c r="G1474" s="1">
        <v>-1471.798</v>
      </c>
      <c r="H1474" s="1">
        <v>0</v>
      </c>
      <c r="I1474" s="1">
        <v>-633.10199999999998</v>
      </c>
    </row>
    <row r="1475" spans="1:9" hidden="1" x14ac:dyDescent="0.25">
      <c r="A1475" s="1" t="s">
        <v>16</v>
      </c>
      <c r="B1475" s="1" t="s">
        <v>125</v>
      </c>
      <c r="C1475" s="1" t="s">
        <v>10</v>
      </c>
      <c r="D1475" s="1">
        <v>0</v>
      </c>
      <c r="E1475" s="1">
        <v>-84.06</v>
      </c>
      <c r="F1475" s="1">
        <v>0</v>
      </c>
      <c r="G1475" s="1">
        <v>-1471.798</v>
      </c>
      <c r="H1475" s="1">
        <v>0</v>
      </c>
      <c r="I1475" s="1">
        <v>-925.51800000000003</v>
      </c>
    </row>
    <row r="1476" spans="1:9" hidden="1" x14ac:dyDescent="0.25">
      <c r="A1476" s="1" t="s">
        <v>16</v>
      </c>
      <c r="B1476" s="1" t="s">
        <v>126</v>
      </c>
      <c r="C1476" s="1" t="s">
        <v>25</v>
      </c>
      <c r="D1476" s="1">
        <v>0</v>
      </c>
      <c r="E1476" s="1">
        <v>84.06</v>
      </c>
      <c r="F1476" s="1">
        <v>0</v>
      </c>
      <c r="G1476" s="1">
        <v>1471.798</v>
      </c>
      <c r="H1476" s="1">
        <v>0</v>
      </c>
      <c r="I1476" s="1">
        <v>633.10199999999998</v>
      </c>
    </row>
    <row r="1477" spans="1:9" hidden="1" x14ac:dyDescent="0.25">
      <c r="A1477" s="1" t="s">
        <v>16</v>
      </c>
      <c r="B1477" s="1" t="s">
        <v>126</v>
      </c>
      <c r="C1477" s="1" t="s">
        <v>10</v>
      </c>
      <c r="D1477" s="1">
        <v>0</v>
      </c>
      <c r="E1477" s="1">
        <v>84.06</v>
      </c>
      <c r="F1477" s="1">
        <v>0</v>
      </c>
      <c r="G1477" s="1">
        <v>1471.798</v>
      </c>
      <c r="H1477" s="1">
        <v>0</v>
      </c>
      <c r="I1477" s="1">
        <v>925.51800000000003</v>
      </c>
    </row>
    <row r="1478" spans="1:9" hidden="1" x14ac:dyDescent="0.25">
      <c r="A1478" s="1" t="s">
        <v>16</v>
      </c>
      <c r="B1478" s="1" t="s">
        <v>127</v>
      </c>
      <c r="C1478" s="1" t="s">
        <v>25</v>
      </c>
      <c r="D1478" s="1">
        <v>0</v>
      </c>
      <c r="E1478" s="1">
        <v>-84.06</v>
      </c>
      <c r="F1478" s="1">
        <v>0</v>
      </c>
      <c r="G1478" s="1">
        <v>-1471.798</v>
      </c>
      <c r="H1478" s="1">
        <v>0</v>
      </c>
      <c r="I1478" s="1">
        <v>-633.10199999999998</v>
      </c>
    </row>
    <row r="1479" spans="1:9" hidden="1" x14ac:dyDescent="0.25">
      <c r="A1479" s="1" t="s">
        <v>16</v>
      </c>
      <c r="B1479" s="1" t="s">
        <v>127</v>
      </c>
      <c r="C1479" s="1" t="s">
        <v>10</v>
      </c>
      <c r="D1479" s="1">
        <v>0</v>
      </c>
      <c r="E1479" s="1">
        <v>-84.06</v>
      </c>
      <c r="F1479" s="1">
        <v>0</v>
      </c>
      <c r="G1479" s="1">
        <v>-1471.798</v>
      </c>
      <c r="H1479" s="1">
        <v>0</v>
      </c>
      <c r="I1479" s="1">
        <v>-925.51800000000003</v>
      </c>
    </row>
    <row r="1480" spans="1:9" hidden="1" x14ac:dyDescent="0.25">
      <c r="A1480" s="1" t="s">
        <v>16</v>
      </c>
      <c r="B1480" s="1" t="s">
        <v>128</v>
      </c>
      <c r="C1480" s="1" t="s">
        <v>25</v>
      </c>
      <c r="D1480" s="1">
        <v>0</v>
      </c>
      <c r="E1480" s="1">
        <v>0</v>
      </c>
      <c r="F1480" s="1">
        <v>201.39</v>
      </c>
      <c r="G1480" s="1">
        <v>4060.125</v>
      </c>
      <c r="H1480" s="1">
        <v>1627.222</v>
      </c>
      <c r="I1480" s="1">
        <v>0</v>
      </c>
    </row>
    <row r="1481" spans="1:9" hidden="1" x14ac:dyDescent="0.25">
      <c r="A1481" s="1" t="s">
        <v>16</v>
      </c>
      <c r="B1481" s="1" t="s">
        <v>128</v>
      </c>
      <c r="C1481" s="1" t="s">
        <v>10</v>
      </c>
      <c r="D1481" s="1">
        <v>0</v>
      </c>
      <c r="E1481" s="1">
        <v>0</v>
      </c>
      <c r="F1481" s="1">
        <v>201.39</v>
      </c>
      <c r="G1481" s="1">
        <v>4060.125</v>
      </c>
      <c r="H1481" s="1">
        <v>2406.9650000000001</v>
      </c>
      <c r="I1481" s="1">
        <v>0</v>
      </c>
    </row>
    <row r="1482" spans="1:9" hidden="1" x14ac:dyDescent="0.25">
      <c r="A1482" s="1" t="s">
        <v>16</v>
      </c>
      <c r="B1482" s="1" t="s">
        <v>129</v>
      </c>
      <c r="C1482" s="1" t="s">
        <v>25</v>
      </c>
      <c r="D1482" s="1">
        <v>0</v>
      </c>
      <c r="E1482" s="1">
        <v>0</v>
      </c>
      <c r="F1482" s="1">
        <v>-201.39</v>
      </c>
      <c r="G1482" s="1">
        <v>-4060.125</v>
      </c>
      <c r="H1482" s="1">
        <v>-1627.222</v>
      </c>
      <c r="I1482" s="1">
        <v>0</v>
      </c>
    </row>
    <row r="1483" spans="1:9" hidden="1" x14ac:dyDescent="0.25">
      <c r="A1483" s="1" t="s">
        <v>16</v>
      </c>
      <c r="B1483" s="1" t="s">
        <v>129</v>
      </c>
      <c r="C1483" s="1" t="s">
        <v>10</v>
      </c>
      <c r="D1483" s="1">
        <v>0</v>
      </c>
      <c r="E1483" s="1">
        <v>0</v>
      </c>
      <c r="F1483" s="1">
        <v>-201.39</v>
      </c>
      <c r="G1483" s="1">
        <v>-4060.125</v>
      </c>
      <c r="H1483" s="1">
        <v>-2406.9650000000001</v>
      </c>
      <c r="I1483" s="1">
        <v>0</v>
      </c>
    </row>
    <row r="1484" spans="1:9" hidden="1" x14ac:dyDescent="0.25">
      <c r="A1484" s="1" t="s">
        <v>16</v>
      </c>
      <c r="B1484" s="1" t="s">
        <v>130</v>
      </c>
      <c r="C1484" s="1" t="s">
        <v>25</v>
      </c>
      <c r="D1484" s="1">
        <v>0</v>
      </c>
      <c r="E1484" s="1">
        <v>0</v>
      </c>
      <c r="F1484" s="1">
        <v>201.39</v>
      </c>
      <c r="G1484" s="1">
        <v>4060.125</v>
      </c>
      <c r="H1484" s="1">
        <v>1627.222</v>
      </c>
      <c r="I1484" s="1">
        <v>0</v>
      </c>
    </row>
    <row r="1485" spans="1:9" hidden="1" x14ac:dyDescent="0.25">
      <c r="A1485" s="1" t="s">
        <v>16</v>
      </c>
      <c r="B1485" s="1" t="s">
        <v>130</v>
      </c>
      <c r="C1485" s="1" t="s">
        <v>10</v>
      </c>
      <c r="D1485" s="1">
        <v>0</v>
      </c>
      <c r="E1485" s="1">
        <v>0</v>
      </c>
      <c r="F1485" s="1">
        <v>201.39</v>
      </c>
      <c r="G1485" s="1">
        <v>4060.125</v>
      </c>
      <c r="H1485" s="1">
        <v>2406.9650000000001</v>
      </c>
      <c r="I1485" s="1">
        <v>0</v>
      </c>
    </row>
    <row r="1486" spans="1:9" hidden="1" x14ac:dyDescent="0.25">
      <c r="A1486" s="1" t="s">
        <v>16</v>
      </c>
      <c r="B1486" s="1" t="s">
        <v>131</v>
      </c>
      <c r="C1486" s="1" t="s">
        <v>25</v>
      </c>
      <c r="D1486" s="1">
        <v>0</v>
      </c>
      <c r="E1486" s="1">
        <v>0</v>
      </c>
      <c r="F1486" s="1">
        <v>-201.39</v>
      </c>
      <c r="G1486" s="1">
        <v>-4060.125</v>
      </c>
      <c r="H1486" s="1">
        <v>-1627.222</v>
      </c>
      <c r="I1486" s="1">
        <v>0</v>
      </c>
    </row>
    <row r="1487" spans="1:9" hidden="1" x14ac:dyDescent="0.25">
      <c r="A1487" s="1" t="s">
        <v>16</v>
      </c>
      <c r="B1487" s="1" t="s">
        <v>131</v>
      </c>
      <c r="C1487" s="1" t="s">
        <v>10</v>
      </c>
      <c r="D1487" s="1">
        <v>0</v>
      </c>
      <c r="E1487" s="1">
        <v>0</v>
      </c>
      <c r="F1487" s="1">
        <v>-201.39</v>
      </c>
      <c r="G1487" s="1">
        <v>-4060.125</v>
      </c>
      <c r="H1487" s="1">
        <v>-2406.9650000000001</v>
      </c>
      <c r="I1487" s="1">
        <v>0</v>
      </c>
    </row>
    <row r="1488" spans="1:9" hidden="1" x14ac:dyDescent="0.25">
      <c r="A1488" s="1" t="s">
        <v>16</v>
      </c>
      <c r="B1488" s="1" t="s">
        <v>132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16</v>
      </c>
      <c r="B1489" s="1" t="s">
        <v>132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16</v>
      </c>
      <c r="B1490" s="1" t="s">
        <v>133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16</v>
      </c>
      <c r="B1491" s="1" t="s">
        <v>133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16</v>
      </c>
      <c r="B1492" s="1" t="s">
        <v>134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16</v>
      </c>
      <c r="B1493" s="1" t="s">
        <v>134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16</v>
      </c>
      <c r="B1494" s="1" t="s">
        <v>135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16</v>
      </c>
      <c r="B1495" s="1" t="s">
        <v>135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16</v>
      </c>
      <c r="B1496" s="1" t="s">
        <v>136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</v>
      </c>
      <c r="B1497" s="1" t="s">
        <v>136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</v>
      </c>
      <c r="B1498" s="1" t="s">
        <v>137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</v>
      </c>
      <c r="B1499" s="1" t="s">
        <v>137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</v>
      </c>
      <c r="B1500" s="1" t="s">
        <v>138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16</v>
      </c>
      <c r="B1501" s="1" t="s">
        <v>138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16</v>
      </c>
      <c r="B1502" s="1" t="s">
        <v>139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16</v>
      </c>
      <c r="B1503" s="1" t="s">
        <v>139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16</v>
      </c>
      <c r="B1504" s="1" t="s">
        <v>140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16</v>
      </c>
      <c r="B1505" s="1" t="s">
        <v>140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16</v>
      </c>
      <c r="B1506" s="1" t="s">
        <v>141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16</v>
      </c>
      <c r="B1507" s="1" t="s">
        <v>141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16</v>
      </c>
      <c r="B1508" s="1" t="s">
        <v>142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16</v>
      </c>
      <c r="B1509" s="1" t="s">
        <v>142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16</v>
      </c>
      <c r="B1510" s="1" t="s">
        <v>143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16</v>
      </c>
      <c r="B1511" s="1" t="s">
        <v>143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16</v>
      </c>
      <c r="B1512" s="1" t="s">
        <v>144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16</v>
      </c>
      <c r="B1513" s="1" t="s">
        <v>144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16</v>
      </c>
      <c r="B1514" s="1" t="s">
        <v>145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16</v>
      </c>
      <c r="B1515" s="1" t="s">
        <v>145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16</v>
      </c>
      <c r="B1516" s="1" t="s">
        <v>146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16</v>
      </c>
      <c r="B1517" s="1" t="s">
        <v>146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16</v>
      </c>
      <c r="B1518" s="1" t="s">
        <v>147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16</v>
      </c>
      <c r="B1519" s="1" t="s">
        <v>147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16</v>
      </c>
      <c r="B1520" s="1" t="s">
        <v>159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16</v>
      </c>
      <c r="B1521" s="1" t="s">
        <v>159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16</v>
      </c>
      <c r="B1522" s="1" t="s">
        <v>160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16</v>
      </c>
      <c r="B1523" s="1" t="s">
        <v>160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16</v>
      </c>
      <c r="B1524" s="1" t="s">
        <v>161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16</v>
      </c>
      <c r="B1525" s="1" t="s">
        <v>161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16</v>
      </c>
      <c r="B1526" s="1" t="s">
        <v>162</v>
      </c>
      <c r="C1526" s="1" t="s">
        <v>25</v>
      </c>
      <c r="D1526" s="1">
        <v>0</v>
      </c>
      <c r="E1526" s="1">
        <v>-632.94000000000005</v>
      </c>
      <c r="F1526" s="1">
        <v>0</v>
      </c>
      <c r="G1526" s="1">
        <v>10443.460999999999</v>
      </c>
      <c r="H1526" s="1">
        <v>0</v>
      </c>
      <c r="I1526" s="1">
        <v>-5063.4960000000001</v>
      </c>
    </row>
    <row r="1527" spans="1:9" hidden="1" x14ac:dyDescent="0.25">
      <c r="A1527" s="1" t="s">
        <v>16</v>
      </c>
      <c r="B1527" s="1" t="s">
        <v>162</v>
      </c>
      <c r="C1527" s="1" t="s">
        <v>10</v>
      </c>
      <c r="D1527" s="1">
        <v>0</v>
      </c>
      <c r="E1527" s="1">
        <v>-632.94000000000005</v>
      </c>
      <c r="F1527" s="1">
        <v>0</v>
      </c>
      <c r="G1527" s="1">
        <v>10443.460999999999</v>
      </c>
      <c r="H1527" s="1">
        <v>0</v>
      </c>
      <c r="I1527" s="1">
        <v>-7595.2439999999997</v>
      </c>
    </row>
    <row r="1528" spans="1:9" hidden="1" x14ac:dyDescent="0.25">
      <c r="A1528" s="1" t="s">
        <v>16</v>
      </c>
      <c r="B1528" s="1" t="s">
        <v>163</v>
      </c>
      <c r="C1528" s="1" t="s">
        <v>25</v>
      </c>
      <c r="D1528" s="1">
        <v>0</v>
      </c>
      <c r="E1528" s="1">
        <v>-632.94000000000005</v>
      </c>
      <c r="F1528" s="1">
        <v>0</v>
      </c>
      <c r="G1528" s="1">
        <v>8544.65</v>
      </c>
      <c r="H1528" s="1">
        <v>0</v>
      </c>
      <c r="I1528" s="1">
        <v>-5063.4960000000001</v>
      </c>
    </row>
    <row r="1529" spans="1:9" hidden="1" x14ac:dyDescent="0.25">
      <c r="A1529" s="1" t="s">
        <v>16</v>
      </c>
      <c r="B1529" s="1" t="s">
        <v>163</v>
      </c>
      <c r="C1529" s="1" t="s">
        <v>10</v>
      </c>
      <c r="D1529" s="1">
        <v>0</v>
      </c>
      <c r="E1529" s="1">
        <v>-632.94000000000005</v>
      </c>
      <c r="F1529" s="1">
        <v>0</v>
      </c>
      <c r="G1529" s="1">
        <v>8544.65</v>
      </c>
      <c r="H1529" s="1">
        <v>0</v>
      </c>
      <c r="I1529" s="1">
        <v>-7595.2439999999997</v>
      </c>
    </row>
    <row r="1530" spans="1:9" hidden="1" x14ac:dyDescent="0.25">
      <c r="A1530" s="1" t="s">
        <v>16</v>
      </c>
      <c r="B1530" s="1" t="s">
        <v>164</v>
      </c>
      <c r="C1530" s="1" t="s">
        <v>25</v>
      </c>
      <c r="D1530" s="1">
        <v>0</v>
      </c>
      <c r="E1530" s="1">
        <v>632.94000000000005</v>
      </c>
      <c r="F1530" s="1">
        <v>0</v>
      </c>
      <c r="G1530" s="1">
        <v>-10443.460999999999</v>
      </c>
      <c r="H1530" s="1">
        <v>0</v>
      </c>
      <c r="I1530" s="1">
        <v>5063.4960000000001</v>
      </c>
    </row>
    <row r="1531" spans="1:9" hidden="1" x14ac:dyDescent="0.25">
      <c r="A1531" s="1" t="s">
        <v>16</v>
      </c>
      <c r="B1531" s="1" t="s">
        <v>164</v>
      </c>
      <c r="C1531" s="1" t="s">
        <v>10</v>
      </c>
      <c r="D1531" s="1">
        <v>0</v>
      </c>
      <c r="E1531" s="1">
        <v>632.94000000000005</v>
      </c>
      <c r="F1531" s="1">
        <v>0</v>
      </c>
      <c r="G1531" s="1">
        <v>-10443.460999999999</v>
      </c>
      <c r="H1531" s="1">
        <v>0</v>
      </c>
      <c r="I1531" s="1">
        <v>7595.2439999999997</v>
      </c>
    </row>
    <row r="1532" spans="1:9" hidden="1" x14ac:dyDescent="0.25">
      <c r="A1532" s="1" t="s">
        <v>16</v>
      </c>
      <c r="B1532" s="1" t="s">
        <v>165</v>
      </c>
      <c r="C1532" s="1" t="s">
        <v>25</v>
      </c>
      <c r="D1532" s="1">
        <v>0</v>
      </c>
      <c r="E1532" s="1">
        <v>632.94000000000005</v>
      </c>
      <c r="F1532" s="1">
        <v>0</v>
      </c>
      <c r="G1532" s="1">
        <v>-8544.65</v>
      </c>
      <c r="H1532" s="1">
        <v>0</v>
      </c>
      <c r="I1532" s="1">
        <v>5063.4960000000001</v>
      </c>
    </row>
    <row r="1533" spans="1:9" hidden="1" x14ac:dyDescent="0.25">
      <c r="A1533" s="1" t="s">
        <v>16</v>
      </c>
      <c r="B1533" s="1" t="s">
        <v>165</v>
      </c>
      <c r="C1533" s="1" t="s">
        <v>10</v>
      </c>
      <c r="D1533" s="1">
        <v>0</v>
      </c>
      <c r="E1533" s="1">
        <v>632.94000000000005</v>
      </c>
      <c r="F1533" s="1">
        <v>0</v>
      </c>
      <c r="G1533" s="1">
        <v>-8544.65</v>
      </c>
      <c r="H1533" s="1">
        <v>0</v>
      </c>
      <c r="I1533" s="1">
        <v>7595.2439999999997</v>
      </c>
    </row>
    <row r="1534" spans="1:9" hidden="1" x14ac:dyDescent="0.25">
      <c r="A1534" s="1" t="s">
        <v>16</v>
      </c>
      <c r="B1534" s="1" t="s">
        <v>166</v>
      </c>
      <c r="C1534" s="1" t="s">
        <v>25</v>
      </c>
      <c r="D1534" s="1">
        <v>0</v>
      </c>
      <c r="E1534" s="1">
        <v>0</v>
      </c>
      <c r="F1534" s="1">
        <v>-765.07</v>
      </c>
      <c r="G1534" s="1">
        <v>-15148.319</v>
      </c>
      <c r="H1534" s="1">
        <v>6120.5330000000004</v>
      </c>
      <c r="I1534" s="1">
        <v>0</v>
      </c>
    </row>
    <row r="1535" spans="1:9" hidden="1" x14ac:dyDescent="0.25">
      <c r="A1535" s="1" t="s">
        <v>16</v>
      </c>
      <c r="B1535" s="1" t="s">
        <v>166</v>
      </c>
      <c r="C1535" s="1" t="s">
        <v>10</v>
      </c>
      <c r="D1535" s="1">
        <v>0</v>
      </c>
      <c r="E1535" s="1">
        <v>0</v>
      </c>
      <c r="F1535" s="1">
        <v>-765.07</v>
      </c>
      <c r="G1535" s="1">
        <v>-15148.319</v>
      </c>
      <c r="H1535" s="1">
        <v>9180.7999999999993</v>
      </c>
      <c r="I1535" s="1">
        <v>0</v>
      </c>
    </row>
    <row r="1536" spans="1:9" hidden="1" x14ac:dyDescent="0.25">
      <c r="A1536" s="1" t="s">
        <v>16</v>
      </c>
      <c r="B1536" s="1" t="s">
        <v>167</v>
      </c>
      <c r="C1536" s="1" t="s">
        <v>25</v>
      </c>
      <c r="D1536" s="1">
        <v>0</v>
      </c>
      <c r="E1536" s="1">
        <v>0</v>
      </c>
      <c r="F1536" s="1">
        <v>-765.07</v>
      </c>
      <c r="G1536" s="1">
        <v>-12394.08</v>
      </c>
      <c r="H1536" s="1">
        <v>6120.5330000000004</v>
      </c>
      <c r="I1536" s="1">
        <v>0</v>
      </c>
    </row>
    <row r="1537" spans="1:9" hidden="1" x14ac:dyDescent="0.25">
      <c r="A1537" s="1" t="s">
        <v>16</v>
      </c>
      <c r="B1537" s="1" t="s">
        <v>167</v>
      </c>
      <c r="C1537" s="1" t="s">
        <v>10</v>
      </c>
      <c r="D1537" s="1">
        <v>0</v>
      </c>
      <c r="E1537" s="1">
        <v>0</v>
      </c>
      <c r="F1537" s="1">
        <v>-765.07</v>
      </c>
      <c r="G1537" s="1">
        <v>-12394.08</v>
      </c>
      <c r="H1537" s="1">
        <v>9180.7999999999993</v>
      </c>
      <c r="I1537" s="1">
        <v>0</v>
      </c>
    </row>
    <row r="1538" spans="1:9" hidden="1" x14ac:dyDescent="0.25">
      <c r="A1538" s="1" t="s">
        <v>16</v>
      </c>
      <c r="B1538" s="1" t="s">
        <v>168</v>
      </c>
      <c r="C1538" s="1" t="s">
        <v>25</v>
      </c>
      <c r="D1538" s="1">
        <v>0</v>
      </c>
      <c r="E1538" s="1">
        <v>0</v>
      </c>
      <c r="F1538" s="1">
        <v>765.07</v>
      </c>
      <c r="G1538" s="1">
        <v>15148.319</v>
      </c>
      <c r="H1538" s="1">
        <v>-6120.5330000000004</v>
      </c>
      <c r="I1538" s="1">
        <v>0</v>
      </c>
    </row>
    <row r="1539" spans="1:9" hidden="1" x14ac:dyDescent="0.25">
      <c r="A1539" s="1" t="s">
        <v>16</v>
      </c>
      <c r="B1539" s="1" t="s">
        <v>168</v>
      </c>
      <c r="C1539" s="1" t="s">
        <v>10</v>
      </c>
      <c r="D1539" s="1">
        <v>0</v>
      </c>
      <c r="E1539" s="1">
        <v>0</v>
      </c>
      <c r="F1539" s="1">
        <v>765.07</v>
      </c>
      <c r="G1539" s="1">
        <v>15148.319</v>
      </c>
      <c r="H1539" s="1">
        <v>-9180.7999999999993</v>
      </c>
      <c r="I1539" s="1">
        <v>0</v>
      </c>
    </row>
    <row r="1540" spans="1:9" hidden="1" x14ac:dyDescent="0.25">
      <c r="A1540" s="1" t="s">
        <v>16</v>
      </c>
      <c r="B1540" s="1" t="s">
        <v>169</v>
      </c>
      <c r="C1540" s="1" t="s">
        <v>25</v>
      </c>
      <c r="D1540" s="1">
        <v>0</v>
      </c>
      <c r="E1540" s="1">
        <v>0</v>
      </c>
      <c r="F1540" s="1">
        <v>765.07</v>
      </c>
      <c r="G1540" s="1">
        <v>12394.08</v>
      </c>
      <c r="H1540" s="1">
        <v>-6120.5330000000004</v>
      </c>
      <c r="I1540" s="1">
        <v>0</v>
      </c>
    </row>
    <row r="1541" spans="1:9" hidden="1" x14ac:dyDescent="0.25">
      <c r="A1541" s="1" t="s">
        <v>16</v>
      </c>
      <c r="B1541" s="1" t="s">
        <v>169</v>
      </c>
      <c r="C1541" s="1" t="s">
        <v>10</v>
      </c>
      <c r="D1541" s="1">
        <v>0</v>
      </c>
      <c r="E1541" s="1">
        <v>0</v>
      </c>
      <c r="F1541" s="1">
        <v>765.07</v>
      </c>
      <c r="G1541" s="1">
        <v>12394.08</v>
      </c>
      <c r="H1541" s="1">
        <v>-9180.7999999999993</v>
      </c>
      <c r="I1541" s="1">
        <v>0</v>
      </c>
    </row>
    <row r="1542" spans="1:9" hidden="1" x14ac:dyDescent="0.25">
      <c r="A1542" s="1" t="s">
        <v>16</v>
      </c>
      <c r="B1542" s="1" t="s">
        <v>170</v>
      </c>
      <c r="C1542" s="1" t="s">
        <v>25</v>
      </c>
      <c r="D1542" s="1">
        <v>0</v>
      </c>
      <c r="E1542" s="1">
        <v>-632.94000000000005</v>
      </c>
      <c r="F1542" s="1">
        <v>0</v>
      </c>
      <c r="G1542" s="1">
        <v>10443.460999999999</v>
      </c>
      <c r="H1542" s="1">
        <v>0</v>
      </c>
      <c r="I1542" s="1">
        <v>-5063.4960000000001</v>
      </c>
    </row>
    <row r="1543" spans="1:9" hidden="1" x14ac:dyDescent="0.25">
      <c r="A1543" s="1" t="s">
        <v>16</v>
      </c>
      <c r="B1543" s="1" t="s">
        <v>170</v>
      </c>
      <c r="C1543" s="1" t="s">
        <v>10</v>
      </c>
      <c r="D1543" s="1">
        <v>0</v>
      </c>
      <c r="E1543" s="1">
        <v>-632.94000000000005</v>
      </c>
      <c r="F1543" s="1">
        <v>0</v>
      </c>
      <c r="G1543" s="1">
        <v>10443.460999999999</v>
      </c>
      <c r="H1543" s="1">
        <v>0</v>
      </c>
      <c r="I1543" s="1">
        <v>-7595.2439999999997</v>
      </c>
    </row>
    <row r="1544" spans="1:9" hidden="1" x14ac:dyDescent="0.25">
      <c r="A1544" s="1" t="s">
        <v>16</v>
      </c>
      <c r="B1544" s="1" t="s">
        <v>171</v>
      </c>
      <c r="C1544" s="1" t="s">
        <v>25</v>
      </c>
      <c r="D1544" s="1">
        <v>0</v>
      </c>
      <c r="E1544" s="1">
        <v>-632.94000000000005</v>
      </c>
      <c r="F1544" s="1">
        <v>0</v>
      </c>
      <c r="G1544" s="1">
        <v>8544.65</v>
      </c>
      <c r="H1544" s="1">
        <v>0</v>
      </c>
      <c r="I1544" s="1">
        <v>-5063.4960000000001</v>
      </c>
    </row>
    <row r="1545" spans="1:9" hidden="1" x14ac:dyDescent="0.25">
      <c r="A1545" s="1" t="s">
        <v>16</v>
      </c>
      <c r="B1545" s="1" t="s">
        <v>171</v>
      </c>
      <c r="C1545" s="1" t="s">
        <v>10</v>
      </c>
      <c r="D1545" s="1">
        <v>0</v>
      </c>
      <c r="E1545" s="1">
        <v>-632.94000000000005</v>
      </c>
      <c r="F1545" s="1">
        <v>0</v>
      </c>
      <c r="G1545" s="1">
        <v>8544.65</v>
      </c>
      <c r="H1545" s="1">
        <v>0</v>
      </c>
      <c r="I1545" s="1">
        <v>-7595.2439999999997</v>
      </c>
    </row>
    <row r="1546" spans="1:9" hidden="1" x14ac:dyDescent="0.25">
      <c r="A1546" s="1" t="s">
        <v>16</v>
      </c>
      <c r="B1546" s="1" t="s">
        <v>172</v>
      </c>
      <c r="C1546" s="1" t="s">
        <v>25</v>
      </c>
      <c r="D1546" s="1">
        <v>0</v>
      </c>
      <c r="E1546" s="1">
        <v>632.94000000000005</v>
      </c>
      <c r="F1546" s="1">
        <v>0</v>
      </c>
      <c r="G1546" s="1">
        <v>-10443.460999999999</v>
      </c>
      <c r="H1546" s="1">
        <v>0</v>
      </c>
      <c r="I1546" s="1">
        <v>5063.4960000000001</v>
      </c>
    </row>
    <row r="1547" spans="1:9" hidden="1" x14ac:dyDescent="0.25">
      <c r="A1547" s="1" t="s">
        <v>16</v>
      </c>
      <c r="B1547" s="1" t="s">
        <v>172</v>
      </c>
      <c r="C1547" s="1" t="s">
        <v>10</v>
      </c>
      <c r="D1547" s="1">
        <v>0</v>
      </c>
      <c r="E1547" s="1">
        <v>632.94000000000005</v>
      </c>
      <c r="F1547" s="1">
        <v>0</v>
      </c>
      <c r="G1547" s="1">
        <v>-10443.460999999999</v>
      </c>
      <c r="H1547" s="1">
        <v>0</v>
      </c>
      <c r="I1547" s="1">
        <v>7595.2439999999997</v>
      </c>
    </row>
    <row r="1548" spans="1:9" hidden="1" x14ac:dyDescent="0.25">
      <c r="A1548" s="1" t="s">
        <v>16</v>
      </c>
      <c r="B1548" s="1" t="s">
        <v>173</v>
      </c>
      <c r="C1548" s="1" t="s">
        <v>25</v>
      </c>
      <c r="D1548" s="1">
        <v>0</v>
      </c>
      <c r="E1548" s="1">
        <v>632.94000000000005</v>
      </c>
      <c r="F1548" s="1">
        <v>0</v>
      </c>
      <c r="G1548" s="1">
        <v>-8544.65</v>
      </c>
      <c r="H1548" s="1">
        <v>0</v>
      </c>
      <c r="I1548" s="1">
        <v>5063.4960000000001</v>
      </c>
    </row>
    <row r="1549" spans="1:9" hidden="1" x14ac:dyDescent="0.25">
      <c r="A1549" s="1" t="s">
        <v>16</v>
      </c>
      <c r="B1549" s="1" t="s">
        <v>173</v>
      </c>
      <c r="C1549" s="1" t="s">
        <v>10</v>
      </c>
      <c r="D1549" s="1">
        <v>0</v>
      </c>
      <c r="E1549" s="1">
        <v>632.94000000000005</v>
      </c>
      <c r="F1549" s="1">
        <v>0</v>
      </c>
      <c r="G1549" s="1">
        <v>-8544.65</v>
      </c>
      <c r="H1549" s="1">
        <v>0</v>
      </c>
      <c r="I1549" s="1">
        <v>7595.2439999999997</v>
      </c>
    </row>
    <row r="1550" spans="1:9" hidden="1" x14ac:dyDescent="0.25">
      <c r="A1550" s="1" t="s">
        <v>16</v>
      </c>
      <c r="B1550" s="1" t="s">
        <v>174</v>
      </c>
      <c r="C1550" s="1" t="s">
        <v>25</v>
      </c>
      <c r="D1550" s="1">
        <v>0</v>
      </c>
      <c r="E1550" s="1">
        <v>0</v>
      </c>
      <c r="F1550" s="1">
        <v>-765.07</v>
      </c>
      <c r="G1550" s="1">
        <v>-15148.319</v>
      </c>
      <c r="H1550" s="1">
        <v>6120.5330000000004</v>
      </c>
      <c r="I1550" s="1">
        <v>0</v>
      </c>
    </row>
    <row r="1551" spans="1:9" hidden="1" x14ac:dyDescent="0.25">
      <c r="A1551" s="1" t="s">
        <v>16</v>
      </c>
      <c r="B1551" s="1" t="s">
        <v>174</v>
      </c>
      <c r="C1551" s="1" t="s">
        <v>10</v>
      </c>
      <c r="D1551" s="1">
        <v>0</v>
      </c>
      <c r="E1551" s="1">
        <v>0</v>
      </c>
      <c r="F1551" s="1">
        <v>-765.07</v>
      </c>
      <c r="G1551" s="1">
        <v>-15148.319</v>
      </c>
      <c r="H1551" s="1">
        <v>9180.7999999999993</v>
      </c>
      <c r="I1551" s="1">
        <v>0</v>
      </c>
    </row>
    <row r="1552" spans="1:9" hidden="1" x14ac:dyDescent="0.25">
      <c r="A1552" s="1" t="s">
        <v>16</v>
      </c>
      <c r="B1552" s="1" t="s">
        <v>175</v>
      </c>
      <c r="C1552" s="1" t="s">
        <v>25</v>
      </c>
      <c r="D1552" s="1">
        <v>0</v>
      </c>
      <c r="E1552" s="1">
        <v>0</v>
      </c>
      <c r="F1552" s="1">
        <v>-765.07</v>
      </c>
      <c r="G1552" s="1">
        <v>-12394.08</v>
      </c>
      <c r="H1552" s="1">
        <v>6120.5330000000004</v>
      </c>
      <c r="I1552" s="1">
        <v>0</v>
      </c>
    </row>
    <row r="1553" spans="1:9" hidden="1" x14ac:dyDescent="0.25">
      <c r="A1553" s="1" t="s">
        <v>16</v>
      </c>
      <c r="B1553" s="1" t="s">
        <v>175</v>
      </c>
      <c r="C1553" s="1" t="s">
        <v>10</v>
      </c>
      <c r="D1553" s="1">
        <v>0</v>
      </c>
      <c r="E1553" s="1">
        <v>0</v>
      </c>
      <c r="F1553" s="1">
        <v>-765.07</v>
      </c>
      <c r="G1553" s="1">
        <v>-12394.08</v>
      </c>
      <c r="H1553" s="1">
        <v>9180.7999999999993</v>
      </c>
      <c r="I1553" s="1">
        <v>0</v>
      </c>
    </row>
    <row r="1554" spans="1:9" hidden="1" x14ac:dyDescent="0.25">
      <c r="A1554" s="1" t="s">
        <v>16</v>
      </c>
      <c r="B1554" s="1" t="s">
        <v>176</v>
      </c>
      <c r="C1554" s="1" t="s">
        <v>25</v>
      </c>
      <c r="D1554" s="1">
        <v>0</v>
      </c>
      <c r="E1554" s="1">
        <v>0</v>
      </c>
      <c r="F1554" s="1">
        <v>765.07</v>
      </c>
      <c r="G1554" s="1">
        <v>15148.319</v>
      </c>
      <c r="H1554" s="1">
        <v>-6120.5330000000004</v>
      </c>
      <c r="I1554" s="1">
        <v>0</v>
      </c>
    </row>
    <row r="1555" spans="1:9" hidden="1" x14ac:dyDescent="0.25">
      <c r="A1555" s="1" t="s">
        <v>16</v>
      </c>
      <c r="B1555" s="1" t="s">
        <v>176</v>
      </c>
      <c r="C1555" s="1" t="s">
        <v>10</v>
      </c>
      <c r="D1555" s="1">
        <v>0</v>
      </c>
      <c r="E1555" s="1">
        <v>0</v>
      </c>
      <c r="F1555" s="1">
        <v>765.07</v>
      </c>
      <c r="G1555" s="1">
        <v>15148.319</v>
      </c>
      <c r="H1555" s="1">
        <v>-9180.7999999999993</v>
      </c>
      <c r="I1555" s="1">
        <v>0</v>
      </c>
    </row>
    <row r="1556" spans="1:9" hidden="1" x14ac:dyDescent="0.25">
      <c r="A1556" s="1" t="s">
        <v>16</v>
      </c>
      <c r="B1556" s="1" t="s">
        <v>177</v>
      </c>
      <c r="C1556" s="1" t="s">
        <v>25</v>
      </c>
      <c r="D1556" s="1">
        <v>0</v>
      </c>
      <c r="E1556" s="1">
        <v>0</v>
      </c>
      <c r="F1556" s="1">
        <v>765.07</v>
      </c>
      <c r="G1556" s="1">
        <v>12394.08</v>
      </c>
      <c r="H1556" s="1">
        <v>-6120.5330000000004</v>
      </c>
      <c r="I1556" s="1">
        <v>0</v>
      </c>
    </row>
    <row r="1557" spans="1:9" hidden="1" x14ac:dyDescent="0.25">
      <c r="A1557" s="1" t="s">
        <v>16</v>
      </c>
      <c r="B1557" s="1" t="s">
        <v>177</v>
      </c>
      <c r="C1557" s="1" t="s">
        <v>10</v>
      </c>
      <c r="D1557" s="1">
        <v>0</v>
      </c>
      <c r="E1557" s="1">
        <v>0</v>
      </c>
      <c r="F1557" s="1">
        <v>765.07</v>
      </c>
      <c r="G1557" s="1">
        <v>12394.08</v>
      </c>
      <c r="H1557" s="1">
        <v>-9180.7999999999993</v>
      </c>
      <c r="I1557" s="1">
        <v>0</v>
      </c>
    </row>
    <row r="1558" spans="1:9" hidden="1" x14ac:dyDescent="0.25">
      <c r="A1558" s="1" t="s">
        <v>16</v>
      </c>
      <c r="B1558" s="1" t="s">
        <v>178</v>
      </c>
      <c r="C1558" s="1" t="s">
        <v>25</v>
      </c>
      <c r="D1558" s="1">
        <v>0</v>
      </c>
      <c r="E1558" s="1">
        <v>-189.88</v>
      </c>
      <c r="F1558" s="1">
        <v>0</v>
      </c>
      <c r="G1558" s="1">
        <v>3133.038</v>
      </c>
      <c r="H1558" s="1">
        <v>0</v>
      </c>
      <c r="I1558" s="1">
        <v>-1519.049</v>
      </c>
    </row>
    <row r="1559" spans="1:9" hidden="1" x14ac:dyDescent="0.25">
      <c r="A1559" s="1" t="s">
        <v>16</v>
      </c>
      <c r="B1559" s="1" t="s">
        <v>178</v>
      </c>
      <c r="C1559" s="1" t="s">
        <v>10</v>
      </c>
      <c r="D1559" s="1">
        <v>0</v>
      </c>
      <c r="E1559" s="1">
        <v>-189.88</v>
      </c>
      <c r="F1559" s="1">
        <v>0</v>
      </c>
      <c r="G1559" s="1">
        <v>3133.038</v>
      </c>
      <c r="H1559" s="1">
        <v>0</v>
      </c>
      <c r="I1559" s="1">
        <v>-2278.5729999999999</v>
      </c>
    </row>
    <row r="1560" spans="1:9" hidden="1" x14ac:dyDescent="0.25">
      <c r="A1560" s="1" t="s">
        <v>16</v>
      </c>
      <c r="B1560" s="1" t="s">
        <v>179</v>
      </c>
      <c r="C1560" s="1" t="s">
        <v>25</v>
      </c>
      <c r="D1560" s="1">
        <v>0</v>
      </c>
      <c r="E1560" s="1">
        <v>-189.88</v>
      </c>
      <c r="F1560" s="1">
        <v>0</v>
      </c>
      <c r="G1560" s="1">
        <v>2563.395</v>
      </c>
      <c r="H1560" s="1">
        <v>0</v>
      </c>
      <c r="I1560" s="1">
        <v>-1519.049</v>
      </c>
    </row>
    <row r="1561" spans="1:9" hidden="1" x14ac:dyDescent="0.25">
      <c r="A1561" s="1" t="s">
        <v>16</v>
      </c>
      <c r="B1561" s="1" t="s">
        <v>179</v>
      </c>
      <c r="C1561" s="1" t="s">
        <v>10</v>
      </c>
      <c r="D1561" s="1">
        <v>0</v>
      </c>
      <c r="E1561" s="1">
        <v>-189.88</v>
      </c>
      <c r="F1561" s="1">
        <v>0</v>
      </c>
      <c r="G1561" s="1">
        <v>2563.395</v>
      </c>
      <c r="H1561" s="1">
        <v>0</v>
      </c>
      <c r="I1561" s="1">
        <v>-2278.5729999999999</v>
      </c>
    </row>
    <row r="1562" spans="1:9" hidden="1" x14ac:dyDescent="0.25">
      <c r="A1562" s="1" t="s">
        <v>16</v>
      </c>
      <c r="B1562" s="1" t="s">
        <v>180</v>
      </c>
      <c r="C1562" s="1" t="s">
        <v>25</v>
      </c>
      <c r="D1562" s="1">
        <v>0</v>
      </c>
      <c r="E1562" s="1">
        <v>189.88</v>
      </c>
      <c r="F1562" s="1">
        <v>0</v>
      </c>
      <c r="G1562" s="1">
        <v>-3133.038</v>
      </c>
      <c r="H1562" s="1">
        <v>0</v>
      </c>
      <c r="I1562" s="1">
        <v>1519.049</v>
      </c>
    </row>
    <row r="1563" spans="1:9" hidden="1" x14ac:dyDescent="0.25">
      <c r="A1563" s="1" t="s">
        <v>16</v>
      </c>
      <c r="B1563" s="1" t="s">
        <v>180</v>
      </c>
      <c r="C1563" s="1" t="s">
        <v>10</v>
      </c>
      <c r="D1563" s="1">
        <v>0</v>
      </c>
      <c r="E1563" s="1">
        <v>189.88</v>
      </c>
      <c r="F1563" s="1">
        <v>0</v>
      </c>
      <c r="G1563" s="1">
        <v>-3133.038</v>
      </c>
      <c r="H1563" s="1">
        <v>0</v>
      </c>
      <c r="I1563" s="1">
        <v>2278.5729999999999</v>
      </c>
    </row>
    <row r="1564" spans="1:9" hidden="1" x14ac:dyDescent="0.25">
      <c r="A1564" s="1" t="s">
        <v>16</v>
      </c>
      <c r="B1564" s="1" t="s">
        <v>181</v>
      </c>
      <c r="C1564" s="1" t="s">
        <v>25</v>
      </c>
      <c r="D1564" s="1">
        <v>0</v>
      </c>
      <c r="E1564" s="1">
        <v>189.88</v>
      </c>
      <c r="F1564" s="1">
        <v>0</v>
      </c>
      <c r="G1564" s="1">
        <v>-2563.395</v>
      </c>
      <c r="H1564" s="1">
        <v>0</v>
      </c>
      <c r="I1564" s="1">
        <v>1519.049</v>
      </c>
    </row>
    <row r="1565" spans="1:9" hidden="1" x14ac:dyDescent="0.25">
      <c r="A1565" s="1" t="s">
        <v>16</v>
      </c>
      <c r="B1565" s="1" t="s">
        <v>181</v>
      </c>
      <c r="C1565" s="1" t="s">
        <v>10</v>
      </c>
      <c r="D1565" s="1">
        <v>0</v>
      </c>
      <c r="E1565" s="1">
        <v>189.88</v>
      </c>
      <c r="F1565" s="1">
        <v>0</v>
      </c>
      <c r="G1565" s="1">
        <v>-2563.395</v>
      </c>
      <c r="H1565" s="1">
        <v>0</v>
      </c>
      <c r="I1565" s="1">
        <v>2278.5729999999999</v>
      </c>
    </row>
    <row r="1566" spans="1:9" hidden="1" x14ac:dyDescent="0.25">
      <c r="A1566" s="1" t="s">
        <v>16</v>
      </c>
      <c r="B1566" s="1" t="s">
        <v>182</v>
      </c>
      <c r="C1566" s="1" t="s">
        <v>25</v>
      </c>
      <c r="D1566" s="1">
        <v>0</v>
      </c>
      <c r="E1566" s="1">
        <v>0</v>
      </c>
      <c r="F1566" s="1">
        <v>-229.52</v>
      </c>
      <c r="G1566" s="1">
        <v>-4544.4960000000001</v>
      </c>
      <c r="H1566" s="1">
        <v>1836.16</v>
      </c>
      <c r="I1566" s="1">
        <v>0</v>
      </c>
    </row>
    <row r="1567" spans="1:9" hidden="1" x14ac:dyDescent="0.25">
      <c r="A1567" s="1" t="s">
        <v>16</v>
      </c>
      <c r="B1567" s="1" t="s">
        <v>182</v>
      </c>
      <c r="C1567" s="1" t="s">
        <v>10</v>
      </c>
      <c r="D1567" s="1">
        <v>0</v>
      </c>
      <c r="E1567" s="1">
        <v>0</v>
      </c>
      <c r="F1567" s="1">
        <v>-229.52</v>
      </c>
      <c r="G1567" s="1">
        <v>-4544.4960000000001</v>
      </c>
      <c r="H1567" s="1">
        <v>2754.24</v>
      </c>
      <c r="I1567" s="1">
        <v>0</v>
      </c>
    </row>
    <row r="1568" spans="1:9" hidden="1" x14ac:dyDescent="0.25">
      <c r="A1568" s="1" t="s">
        <v>16</v>
      </c>
      <c r="B1568" s="1" t="s">
        <v>183</v>
      </c>
      <c r="C1568" s="1" t="s">
        <v>25</v>
      </c>
      <c r="D1568" s="1">
        <v>0</v>
      </c>
      <c r="E1568" s="1">
        <v>0</v>
      </c>
      <c r="F1568" s="1">
        <v>-229.52</v>
      </c>
      <c r="G1568" s="1">
        <v>-3718.2240000000002</v>
      </c>
      <c r="H1568" s="1">
        <v>1836.16</v>
      </c>
      <c r="I1568" s="1">
        <v>0</v>
      </c>
    </row>
    <row r="1569" spans="1:9" hidden="1" x14ac:dyDescent="0.25">
      <c r="A1569" s="1" t="s">
        <v>16</v>
      </c>
      <c r="B1569" s="1" t="s">
        <v>183</v>
      </c>
      <c r="C1569" s="1" t="s">
        <v>10</v>
      </c>
      <c r="D1569" s="1">
        <v>0</v>
      </c>
      <c r="E1569" s="1">
        <v>0</v>
      </c>
      <c r="F1569" s="1">
        <v>-229.52</v>
      </c>
      <c r="G1569" s="1">
        <v>-3718.2240000000002</v>
      </c>
      <c r="H1569" s="1">
        <v>2754.24</v>
      </c>
      <c r="I1569" s="1">
        <v>0</v>
      </c>
    </row>
    <row r="1570" spans="1:9" hidden="1" x14ac:dyDescent="0.25">
      <c r="A1570" s="1" t="s">
        <v>16</v>
      </c>
      <c r="B1570" s="1" t="s">
        <v>184</v>
      </c>
      <c r="C1570" s="1" t="s">
        <v>25</v>
      </c>
      <c r="D1570" s="1">
        <v>0</v>
      </c>
      <c r="E1570" s="1">
        <v>0</v>
      </c>
      <c r="F1570" s="1">
        <v>229.52</v>
      </c>
      <c r="G1570" s="1">
        <v>4544.4960000000001</v>
      </c>
      <c r="H1570" s="1">
        <v>-1836.16</v>
      </c>
      <c r="I1570" s="1">
        <v>0</v>
      </c>
    </row>
    <row r="1571" spans="1:9" hidden="1" x14ac:dyDescent="0.25">
      <c r="A1571" s="1" t="s">
        <v>16</v>
      </c>
      <c r="B1571" s="1" t="s">
        <v>184</v>
      </c>
      <c r="C1571" s="1" t="s">
        <v>10</v>
      </c>
      <c r="D1571" s="1">
        <v>0</v>
      </c>
      <c r="E1571" s="1">
        <v>0</v>
      </c>
      <c r="F1571" s="1">
        <v>229.52</v>
      </c>
      <c r="G1571" s="1">
        <v>4544.4960000000001</v>
      </c>
      <c r="H1571" s="1">
        <v>-2754.24</v>
      </c>
      <c r="I1571" s="1">
        <v>0</v>
      </c>
    </row>
    <row r="1572" spans="1:9" hidden="1" x14ac:dyDescent="0.25">
      <c r="A1572" s="1" t="s">
        <v>16</v>
      </c>
      <c r="B1572" s="1" t="s">
        <v>185</v>
      </c>
      <c r="C1572" s="1" t="s">
        <v>25</v>
      </c>
      <c r="D1572" s="1">
        <v>0</v>
      </c>
      <c r="E1572" s="1">
        <v>0</v>
      </c>
      <c r="F1572" s="1">
        <v>229.52</v>
      </c>
      <c r="G1572" s="1">
        <v>3718.2240000000002</v>
      </c>
      <c r="H1572" s="1">
        <v>-1836.16</v>
      </c>
      <c r="I1572" s="1">
        <v>0</v>
      </c>
    </row>
    <row r="1573" spans="1:9" hidden="1" x14ac:dyDescent="0.25">
      <c r="A1573" s="1" t="s">
        <v>16</v>
      </c>
      <c r="B1573" s="1" t="s">
        <v>185</v>
      </c>
      <c r="C1573" s="1" t="s">
        <v>10</v>
      </c>
      <c r="D1573" s="1">
        <v>0</v>
      </c>
      <c r="E1573" s="1">
        <v>0</v>
      </c>
      <c r="F1573" s="1">
        <v>229.52</v>
      </c>
      <c r="G1573" s="1">
        <v>3718.2240000000002</v>
      </c>
      <c r="H1573" s="1">
        <v>-2754.24</v>
      </c>
      <c r="I1573" s="1">
        <v>0</v>
      </c>
    </row>
    <row r="1574" spans="1:9" hidden="1" x14ac:dyDescent="0.25">
      <c r="A1574" s="1" t="s">
        <v>16</v>
      </c>
      <c r="B1574" s="1" t="s">
        <v>186</v>
      </c>
      <c r="C1574" s="1" t="s">
        <v>25</v>
      </c>
      <c r="D1574" s="1">
        <v>0</v>
      </c>
      <c r="E1574" s="1">
        <v>-189.88</v>
      </c>
      <c r="F1574" s="1">
        <v>0</v>
      </c>
      <c r="G1574" s="1">
        <v>3133.038</v>
      </c>
      <c r="H1574" s="1">
        <v>0</v>
      </c>
      <c r="I1574" s="1">
        <v>-1519.049</v>
      </c>
    </row>
    <row r="1575" spans="1:9" hidden="1" x14ac:dyDescent="0.25">
      <c r="A1575" s="1" t="s">
        <v>16</v>
      </c>
      <c r="B1575" s="1" t="s">
        <v>186</v>
      </c>
      <c r="C1575" s="1" t="s">
        <v>10</v>
      </c>
      <c r="D1575" s="1">
        <v>0</v>
      </c>
      <c r="E1575" s="1">
        <v>-189.88</v>
      </c>
      <c r="F1575" s="1">
        <v>0</v>
      </c>
      <c r="G1575" s="1">
        <v>3133.038</v>
      </c>
      <c r="H1575" s="1">
        <v>0</v>
      </c>
      <c r="I1575" s="1">
        <v>-2278.5729999999999</v>
      </c>
    </row>
    <row r="1576" spans="1:9" hidden="1" x14ac:dyDescent="0.25">
      <c r="A1576" s="1" t="s">
        <v>16</v>
      </c>
      <c r="B1576" s="1" t="s">
        <v>187</v>
      </c>
      <c r="C1576" s="1" t="s">
        <v>25</v>
      </c>
      <c r="D1576" s="1">
        <v>0</v>
      </c>
      <c r="E1576" s="1">
        <v>-189.88</v>
      </c>
      <c r="F1576" s="1">
        <v>0</v>
      </c>
      <c r="G1576" s="1">
        <v>2563.395</v>
      </c>
      <c r="H1576" s="1">
        <v>0</v>
      </c>
      <c r="I1576" s="1">
        <v>-1519.049</v>
      </c>
    </row>
    <row r="1577" spans="1:9" hidden="1" x14ac:dyDescent="0.25">
      <c r="A1577" s="1" t="s">
        <v>16</v>
      </c>
      <c r="B1577" s="1" t="s">
        <v>187</v>
      </c>
      <c r="C1577" s="1" t="s">
        <v>10</v>
      </c>
      <c r="D1577" s="1">
        <v>0</v>
      </c>
      <c r="E1577" s="1">
        <v>-189.88</v>
      </c>
      <c r="F1577" s="1">
        <v>0</v>
      </c>
      <c r="G1577" s="1">
        <v>2563.395</v>
      </c>
      <c r="H1577" s="1">
        <v>0</v>
      </c>
      <c r="I1577" s="1">
        <v>-2278.5729999999999</v>
      </c>
    </row>
    <row r="1578" spans="1:9" hidden="1" x14ac:dyDescent="0.25">
      <c r="A1578" s="1" t="s">
        <v>16</v>
      </c>
      <c r="B1578" s="1" t="s">
        <v>188</v>
      </c>
      <c r="C1578" s="1" t="s">
        <v>25</v>
      </c>
      <c r="D1578" s="1">
        <v>0</v>
      </c>
      <c r="E1578" s="1">
        <v>189.88</v>
      </c>
      <c r="F1578" s="1">
        <v>0</v>
      </c>
      <c r="G1578" s="1">
        <v>-3133.038</v>
      </c>
      <c r="H1578" s="1">
        <v>0</v>
      </c>
      <c r="I1578" s="1">
        <v>1519.049</v>
      </c>
    </row>
    <row r="1579" spans="1:9" hidden="1" x14ac:dyDescent="0.25">
      <c r="A1579" s="1" t="s">
        <v>16</v>
      </c>
      <c r="B1579" s="1" t="s">
        <v>188</v>
      </c>
      <c r="C1579" s="1" t="s">
        <v>10</v>
      </c>
      <c r="D1579" s="1">
        <v>0</v>
      </c>
      <c r="E1579" s="1">
        <v>189.88</v>
      </c>
      <c r="F1579" s="1">
        <v>0</v>
      </c>
      <c r="G1579" s="1">
        <v>-3133.038</v>
      </c>
      <c r="H1579" s="1">
        <v>0</v>
      </c>
      <c r="I1579" s="1">
        <v>2278.5729999999999</v>
      </c>
    </row>
    <row r="1580" spans="1:9" hidden="1" x14ac:dyDescent="0.25">
      <c r="A1580" s="1" t="s">
        <v>16</v>
      </c>
      <c r="B1580" s="1" t="s">
        <v>189</v>
      </c>
      <c r="C1580" s="1" t="s">
        <v>25</v>
      </c>
      <c r="D1580" s="1">
        <v>0</v>
      </c>
      <c r="E1580" s="1">
        <v>189.88</v>
      </c>
      <c r="F1580" s="1">
        <v>0</v>
      </c>
      <c r="G1580" s="1">
        <v>-2563.395</v>
      </c>
      <c r="H1580" s="1">
        <v>0</v>
      </c>
      <c r="I1580" s="1">
        <v>1519.049</v>
      </c>
    </row>
    <row r="1581" spans="1:9" hidden="1" x14ac:dyDescent="0.25">
      <c r="A1581" s="1" t="s">
        <v>16</v>
      </c>
      <c r="B1581" s="1" t="s">
        <v>189</v>
      </c>
      <c r="C1581" s="1" t="s">
        <v>10</v>
      </c>
      <c r="D1581" s="1">
        <v>0</v>
      </c>
      <c r="E1581" s="1">
        <v>189.88</v>
      </c>
      <c r="F1581" s="1">
        <v>0</v>
      </c>
      <c r="G1581" s="1">
        <v>-2563.395</v>
      </c>
      <c r="H1581" s="1">
        <v>0</v>
      </c>
      <c r="I1581" s="1">
        <v>2278.5729999999999</v>
      </c>
    </row>
    <row r="1582" spans="1:9" hidden="1" x14ac:dyDescent="0.25">
      <c r="A1582" s="1" t="s">
        <v>16</v>
      </c>
      <c r="B1582" s="1" t="s">
        <v>190</v>
      </c>
      <c r="C1582" s="1" t="s">
        <v>25</v>
      </c>
      <c r="D1582" s="1">
        <v>0</v>
      </c>
      <c r="E1582" s="1">
        <v>0</v>
      </c>
      <c r="F1582" s="1">
        <v>-229.52</v>
      </c>
      <c r="G1582" s="1">
        <v>-4544.4960000000001</v>
      </c>
      <c r="H1582" s="1">
        <v>1836.16</v>
      </c>
      <c r="I1582" s="1">
        <v>0</v>
      </c>
    </row>
    <row r="1583" spans="1:9" hidden="1" x14ac:dyDescent="0.25">
      <c r="A1583" s="1" t="s">
        <v>16</v>
      </c>
      <c r="B1583" s="1" t="s">
        <v>190</v>
      </c>
      <c r="C1583" s="1" t="s">
        <v>10</v>
      </c>
      <c r="D1583" s="1">
        <v>0</v>
      </c>
      <c r="E1583" s="1">
        <v>0</v>
      </c>
      <c r="F1583" s="1">
        <v>-229.52</v>
      </c>
      <c r="G1583" s="1">
        <v>-4544.4960000000001</v>
      </c>
      <c r="H1583" s="1">
        <v>2754.24</v>
      </c>
      <c r="I1583" s="1">
        <v>0</v>
      </c>
    </row>
    <row r="1584" spans="1:9" hidden="1" x14ac:dyDescent="0.25">
      <c r="A1584" s="1" t="s">
        <v>16</v>
      </c>
      <c r="B1584" s="1" t="s">
        <v>191</v>
      </c>
      <c r="C1584" s="1" t="s">
        <v>25</v>
      </c>
      <c r="D1584" s="1">
        <v>0</v>
      </c>
      <c r="E1584" s="1">
        <v>0</v>
      </c>
      <c r="F1584" s="1">
        <v>-229.52</v>
      </c>
      <c r="G1584" s="1">
        <v>-3718.2240000000002</v>
      </c>
      <c r="H1584" s="1">
        <v>1836.16</v>
      </c>
      <c r="I1584" s="1">
        <v>0</v>
      </c>
    </row>
    <row r="1585" spans="1:9" hidden="1" x14ac:dyDescent="0.25">
      <c r="A1585" s="1" t="s">
        <v>16</v>
      </c>
      <c r="B1585" s="1" t="s">
        <v>191</v>
      </c>
      <c r="C1585" s="1" t="s">
        <v>10</v>
      </c>
      <c r="D1585" s="1">
        <v>0</v>
      </c>
      <c r="E1585" s="1">
        <v>0</v>
      </c>
      <c r="F1585" s="1">
        <v>-229.52</v>
      </c>
      <c r="G1585" s="1">
        <v>-3718.2240000000002</v>
      </c>
      <c r="H1585" s="1">
        <v>2754.24</v>
      </c>
      <c r="I1585" s="1">
        <v>0</v>
      </c>
    </row>
    <row r="1586" spans="1:9" hidden="1" x14ac:dyDescent="0.25">
      <c r="A1586" s="1" t="s">
        <v>16</v>
      </c>
      <c r="B1586" s="1" t="s">
        <v>192</v>
      </c>
      <c r="C1586" s="1" t="s">
        <v>25</v>
      </c>
      <c r="D1586" s="1">
        <v>0</v>
      </c>
      <c r="E1586" s="1">
        <v>0</v>
      </c>
      <c r="F1586" s="1">
        <v>229.52</v>
      </c>
      <c r="G1586" s="1">
        <v>4544.4960000000001</v>
      </c>
      <c r="H1586" s="1">
        <v>-1836.16</v>
      </c>
      <c r="I1586" s="1">
        <v>0</v>
      </c>
    </row>
    <row r="1587" spans="1:9" hidden="1" x14ac:dyDescent="0.25">
      <c r="A1587" s="1" t="s">
        <v>16</v>
      </c>
      <c r="B1587" s="1" t="s">
        <v>192</v>
      </c>
      <c r="C1587" s="1" t="s">
        <v>10</v>
      </c>
      <c r="D1587" s="1">
        <v>0</v>
      </c>
      <c r="E1587" s="1">
        <v>0</v>
      </c>
      <c r="F1587" s="1">
        <v>229.52</v>
      </c>
      <c r="G1587" s="1">
        <v>4544.4960000000001</v>
      </c>
      <c r="H1587" s="1">
        <v>-2754.24</v>
      </c>
      <c r="I1587" s="1">
        <v>0</v>
      </c>
    </row>
    <row r="1588" spans="1:9" hidden="1" x14ac:dyDescent="0.25">
      <c r="A1588" s="1" t="s">
        <v>16</v>
      </c>
      <c r="B1588" s="1" t="s">
        <v>193</v>
      </c>
      <c r="C1588" s="1" t="s">
        <v>25</v>
      </c>
      <c r="D1588" s="1">
        <v>0</v>
      </c>
      <c r="E1588" s="1">
        <v>0</v>
      </c>
      <c r="F1588" s="1">
        <v>229.52</v>
      </c>
      <c r="G1588" s="1">
        <v>3718.2240000000002</v>
      </c>
      <c r="H1588" s="1">
        <v>-1836.16</v>
      </c>
      <c r="I1588" s="1">
        <v>0</v>
      </c>
    </row>
    <row r="1589" spans="1:9" hidden="1" x14ac:dyDescent="0.25">
      <c r="A1589" s="1" t="s">
        <v>16</v>
      </c>
      <c r="B1589" s="1" t="s">
        <v>193</v>
      </c>
      <c r="C1589" s="1" t="s">
        <v>10</v>
      </c>
      <c r="D1589" s="1">
        <v>0</v>
      </c>
      <c r="E1589" s="1">
        <v>0</v>
      </c>
      <c r="F1589" s="1">
        <v>229.52</v>
      </c>
      <c r="G1589" s="1">
        <v>3718.2240000000002</v>
      </c>
      <c r="H1589" s="1">
        <v>-2754.24</v>
      </c>
      <c r="I1589" s="1">
        <v>0</v>
      </c>
    </row>
    <row r="1590" spans="1:9" hidden="1" x14ac:dyDescent="0.25">
      <c r="A1590" s="1" t="s">
        <v>16</v>
      </c>
      <c r="B1590" s="1" t="s">
        <v>194</v>
      </c>
      <c r="C1590" s="1" t="s">
        <v>25</v>
      </c>
      <c r="D1590" s="1">
        <v>0</v>
      </c>
      <c r="E1590" s="1">
        <v>-632.94000000000005</v>
      </c>
      <c r="F1590" s="1">
        <v>0</v>
      </c>
      <c r="G1590" s="1">
        <v>10443.460999999999</v>
      </c>
      <c r="H1590" s="1">
        <v>0</v>
      </c>
      <c r="I1590" s="1">
        <v>-5063.4960000000001</v>
      </c>
    </row>
    <row r="1591" spans="1:9" hidden="1" x14ac:dyDescent="0.25">
      <c r="A1591" s="1" t="s">
        <v>16</v>
      </c>
      <c r="B1591" s="1" t="s">
        <v>194</v>
      </c>
      <c r="C1591" s="1" t="s">
        <v>10</v>
      </c>
      <c r="D1591" s="1">
        <v>0</v>
      </c>
      <c r="E1591" s="1">
        <v>-632.94000000000005</v>
      </c>
      <c r="F1591" s="1">
        <v>0</v>
      </c>
      <c r="G1591" s="1">
        <v>10443.460999999999</v>
      </c>
      <c r="H1591" s="1">
        <v>0</v>
      </c>
      <c r="I1591" s="1">
        <v>-7595.2439999999997</v>
      </c>
    </row>
    <row r="1592" spans="1:9" hidden="1" x14ac:dyDescent="0.25">
      <c r="A1592" s="1" t="s">
        <v>16</v>
      </c>
      <c r="B1592" s="1" t="s">
        <v>195</v>
      </c>
      <c r="C1592" s="1" t="s">
        <v>25</v>
      </c>
      <c r="D1592" s="1">
        <v>0</v>
      </c>
      <c r="E1592" s="1">
        <v>-632.94000000000005</v>
      </c>
      <c r="F1592" s="1">
        <v>0</v>
      </c>
      <c r="G1592" s="1">
        <v>8544.65</v>
      </c>
      <c r="H1592" s="1">
        <v>0</v>
      </c>
      <c r="I1592" s="1">
        <v>-5063.4960000000001</v>
      </c>
    </row>
    <row r="1593" spans="1:9" hidden="1" x14ac:dyDescent="0.25">
      <c r="A1593" s="1" t="s">
        <v>16</v>
      </c>
      <c r="B1593" s="1" t="s">
        <v>195</v>
      </c>
      <c r="C1593" s="1" t="s">
        <v>10</v>
      </c>
      <c r="D1593" s="1">
        <v>0</v>
      </c>
      <c r="E1593" s="1">
        <v>-632.94000000000005</v>
      </c>
      <c r="F1593" s="1">
        <v>0</v>
      </c>
      <c r="G1593" s="1">
        <v>8544.65</v>
      </c>
      <c r="H1593" s="1">
        <v>0</v>
      </c>
      <c r="I1593" s="1">
        <v>-7595.2439999999997</v>
      </c>
    </row>
    <row r="1594" spans="1:9" hidden="1" x14ac:dyDescent="0.25">
      <c r="A1594" s="1" t="s">
        <v>16</v>
      </c>
      <c r="B1594" s="1" t="s">
        <v>196</v>
      </c>
      <c r="C1594" s="1" t="s">
        <v>25</v>
      </c>
      <c r="D1594" s="1">
        <v>0</v>
      </c>
      <c r="E1594" s="1">
        <v>632.94000000000005</v>
      </c>
      <c r="F1594" s="1">
        <v>0</v>
      </c>
      <c r="G1594" s="1">
        <v>-10443.460999999999</v>
      </c>
      <c r="H1594" s="1">
        <v>0</v>
      </c>
      <c r="I1594" s="1">
        <v>5063.4960000000001</v>
      </c>
    </row>
    <row r="1595" spans="1:9" hidden="1" x14ac:dyDescent="0.25">
      <c r="A1595" s="1" t="s">
        <v>16</v>
      </c>
      <c r="B1595" s="1" t="s">
        <v>196</v>
      </c>
      <c r="C1595" s="1" t="s">
        <v>10</v>
      </c>
      <c r="D1595" s="1">
        <v>0</v>
      </c>
      <c r="E1595" s="1">
        <v>632.94000000000005</v>
      </c>
      <c r="F1595" s="1">
        <v>0</v>
      </c>
      <c r="G1595" s="1">
        <v>-10443.460999999999</v>
      </c>
      <c r="H1595" s="1">
        <v>0</v>
      </c>
      <c r="I1595" s="1">
        <v>7595.2439999999997</v>
      </c>
    </row>
    <row r="1596" spans="1:9" hidden="1" x14ac:dyDescent="0.25">
      <c r="A1596" s="1" t="s">
        <v>16</v>
      </c>
      <c r="B1596" s="1" t="s">
        <v>197</v>
      </c>
      <c r="C1596" s="1" t="s">
        <v>25</v>
      </c>
      <c r="D1596" s="1">
        <v>0</v>
      </c>
      <c r="E1596" s="1">
        <v>632.94000000000005</v>
      </c>
      <c r="F1596" s="1">
        <v>0</v>
      </c>
      <c r="G1596" s="1">
        <v>-8544.65</v>
      </c>
      <c r="H1596" s="1">
        <v>0</v>
      </c>
      <c r="I1596" s="1">
        <v>5063.4960000000001</v>
      </c>
    </row>
    <row r="1597" spans="1:9" hidden="1" x14ac:dyDescent="0.25">
      <c r="A1597" s="1" t="s">
        <v>16</v>
      </c>
      <c r="B1597" s="1" t="s">
        <v>197</v>
      </c>
      <c r="C1597" s="1" t="s">
        <v>10</v>
      </c>
      <c r="D1597" s="1">
        <v>0</v>
      </c>
      <c r="E1597" s="1">
        <v>632.94000000000005</v>
      </c>
      <c r="F1597" s="1">
        <v>0</v>
      </c>
      <c r="G1597" s="1">
        <v>-8544.65</v>
      </c>
      <c r="H1597" s="1">
        <v>0</v>
      </c>
      <c r="I1597" s="1">
        <v>7595.2439999999997</v>
      </c>
    </row>
    <row r="1598" spans="1:9" hidden="1" x14ac:dyDescent="0.25">
      <c r="A1598" s="1" t="s">
        <v>16</v>
      </c>
      <c r="B1598" s="1" t="s">
        <v>198</v>
      </c>
      <c r="C1598" s="1" t="s">
        <v>25</v>
      </c>
      <c r="D1598" s="1">
        <v>0</v>
      </c>
      <c r="E1598" s="1">
        <v>0</v>
      </c>
      <c r="F1598" s="1">
        <v>-765.07</v>
      </c>
      <c r="G1598" s="1">
        <v>-15148.319</v>
      </c>
      <c r="H1598" s="1">
        <v>6120.5330000000004</v>
      </c>
      <c r="I1598" s="1">
        <v>0</v>
      </c>
    </row>
    <row r="1599" spans="1:9" hidden="1" x14ac:dyDescent="0.25">
      <c r="A1599" s="1" t="s">
        <v>16</v>
      </c>
      <c r="B1599" s="1" t="s">
        <v>198</v>
      </c>
      <c r="C1599" s="1" t="s">
        <v>10</v>
      </c>
      <c r="D1599" s="1">
        <v>0</v>
      </c>
      <c r="E1599" s="1">
        <v>0</v>
      </c>
      <c r="F1599" s="1">
        <v>-765.07</v>
      </c>
      <c r="G1599" s="1">
        <v>-15148.319</v>
      </c>
      <c r="H1599" s="1">
        <v>9180.7999999999993</v>
      </c>
      <c r="I1599" s="1">
        <v>0</v>
      </c>
    </row>
    <row r="1600" spans="1:9" hidden="1" x14ac:dyDescent="0.25">
      <c r="A1600" s="1" t="s">
        <v>16</v>
      </c>
      <c r="B1600" s="1" t="s">
        <v>199</v>
      </c>
      <c r="C1600" s="1" t="s">
        <v>25</v>
      </c>
      <c r="D1600" s="1">
        <v>0</v>
      </c>
      <c r="E1600" s="1">
        <v>0</v>
      </c>
      <c r="F1600" s="1">
        <v>-765.07</v>
      </c>
      <c r="G1600" s="1">
        <v>-12394.08</v>
      </c>
      <c r="H1600" s="1">
        <v>6120.5330000000004</v>
      </c>
      <c r="I1600" s="1">
        <v>0</v>
      </c>
    </row>
    <row r="1601" spans="1:9" hidden="1" x14ac:dyDescent="0.25">
      <c r="A1601" s="1" t="s">
        <v>16</v>
      </c>
      <c r="B1601" s="1" t="s">
        <v>199</v>
      </c>
      <c r="C1601" s="1" t="s">
        <v>10</v>
      </c>
      <c r="D1601" s="1">
        <v>0</v>
      </c>
      <c r="E1601" s="1">
        <v>0</v>
      </c>
      <c r="F1601" s="1">
        <v>-765.07</v>
      </c>
      <c r="G1601" s="1">
        <v>-12394.08</v>
      </c>
      <c r="H1601" s="1">
        <v>9180.7999999999993</v>
      </c>
      <c r="I1601" s="1">
        <v>0</v>
      </c>
    </row>
    <row r="1602" spans="1:9" hidden="1" x14ac:dyDescent="0.25">
      <c r="A1602" s="1" t="s">
        <v>16</v>
      </c>
      <c r="B1602" s="1" t="s">
        <v>200</v>
      </c>
      <c r="C1602" s="1" t="s">
        <v>25</v>
      </c>
      <c r="D1602" s="1">
        <v>0</v>
      </c>
      <c r="E1602" s="1">
        <v>0</v>
      </c>
      <c r="F1602" s="1">
        <v>765.07</v>
      </c>
      <c r="G1602" s="1">
        <v>15148.319</v>
      </c>
      <c r="H1602" s="1">
        <v>-6120.5330000000004</v>
      </c>
      <c r="I1602" s="1">
        <v>0</v>
      </c>
    </row>
    <row r="1603" spans="1:9" hidden="1" x14ac:dyDescent="0.25">
      <c r="A1603" s="1" t="s">
        <v>16</v>
      </c>
      <c r="B1603" s="1" t="s">
        <v>200</v>
      </c>
      <c r="C1603" s="1" t="s">
        <v>10</v>
      </c>
      <c r="D1603" s="1">
        <v>0</v>
      </c>
      <c r="E1603" s="1">
        <v>0</v>
      </c>
      <c r="F1603" s="1">
        <v>765.07</v>
      </c>
      <c r="G1603" s="1">
        <v>15148.319</v>
      </c>
      <c r="H1603" s="1">
        <v>-9180.7999999999993</v>
      </c>
      <c r="I1603" s="1">
        <v>0</v>
      </c>
    </row>
    <row r="1604" spans="1:9" hidden="1" x14ac:dyDescent="0.25">
      <c r="A1604" s="1" t="s">
        <v>16</v>
      </c>
      <c r="B1604" s="1" t="s">
        <v>201</v>
      </c>
      <c r="C1604" s="1" t="s">
        <v>25</v>
      </c>
      <c r="D1604" s="1">
        <v>0</v>
      </c>
      <c r="E1604" s="1">
        <v>0</v>
      </c>
      <c r="F1604" s="1">
        <v>765.07</v>
      </c>
      <c r="G1604" s="1">
        <v>12394.08</v>
      </c>
      <c r="H1604" s="1">
        <v>-6120.5330000000004</v>
      </c>
      <c r="I1604" s="1">
        <v>0</v>
      </c>
    </row>
    <row r="1605" spans="1:9" hidden="1" x14ac:dyDescent="0.25">
      <c r="A1605" s="1" t="s">
        <v>16</v>
      </c>
      <c r="B1605" s="1" t="s">
        <v>201</v>
      </c>
      <c r="C1605" s="1" t="s">
        <v>10</v>
      </c>
      <c r="D1605" s="1">
        <v>0</v>
      </c>
      <c r="E1605" s="1">
        <v>0</v>
      </c>
      <c r="F1605" s="1">
        <v>765.07</v>
      </c>
      <c r="G1605" s="1">
        <v>12394.08</v>
      </c>
      <c r="H1605" s="1">
        <v>-9180.7999999999993</v>
      </c>
      <c r="I1605" s="1">
        <v>0</v>
      </c>
    </row>
    <row r="1606" spans="1:9" hidden="1" x14ac:dyDescent="0.25">
      <c r="A1606" s="1" t="s">
        <v>16</v>
      </c>
      <c r="B1606" s="1" t="s">
        <v>202</v>
      </c>
      <c r="C1606" s="1" t="s">
        <v>25</v>
      </c>
      <c r="D1606" s="1">
        <v>0</v>
      </c>
      <c r="E1606" s="1">
        <v>-632.94000000000005</v>
      </c>
      <c r="F1606" s="1">
        <v>0</v>
      </c>
      <c r="G1606" s="1">
        <v>10443.460999999999</v>
      </c>
      <c r="H1606" s="1">
        <v>0</v>
      </c>
      <c r="I1606" s="1">
        <v>-5063.4960000000001</v>
      </c>
    </row>
    <row r="1607" spans="1:9" hidden="1" x14ac:dyDescent="0.25">
      <c r="A1607" s="1" t="s">
        <v>16</v>
      </c>
      <c r="B1607" s="1" t="s">
        <v>202</v>
      </c>
      <c r="C1607" s="1" t="s">
        <v>10</v>
      </c>
      <c r="D1607" s="1">
        <v>0</v>
      </c>
      <c r="E1607" s="1">
        <v>-632.94000000000005</v>
      </c>
      <c r="F1607" s="1">
        <v>0</v>
      </c>
      <c r="G1607" s="1">
        <v>10443.460999999999</v>
      </c>
      <c r="H1607" s="1">
        <v>0</v>
      </c>
      <c r="I1607" s="1">
        <v>-7595.2439999999997</v>
      </c>
    </row>
    <row r="1608" spans="1:9" hidden="1" x14ac:dyDescent="0.25">
      <c r="A1608" s="1" t="s">
        <v>16</v>
      </c>
      <c r="B1608" s="1" t="s">
        <v>203</v>
      </c>
      <c r="C1608" s="1" t="s">
        <v>25</v>
      </c>
      <c r="D1608" s="1">
        <v>0</v>
      </c>
      <c r="E1608" s="1">
        <v>-632.94000000000005</v>
      </c>
      <c r="F1608" s="1">
        <v>0</v>
      </c>
      <c r="G1608" s="1">
        <v>8544.65</v>
      </c>
      <c r="H1608" s="1">
        <v>0</v>
      </c>
      <c r="I1608" s="1">
        <v>-5063.4960000000001</v>
      </c>
    </row>
    <row r="1609" spans="1:9" hidden="1" x14ac:dyDescent="0.25">
      <c r="A1609" s="1" t="s">
        <v>16</v>
      </c>
      <c r="B1609" s="1" t="s">
        <v>203</v>
      </c>
      <c r="C1609" s="1" t="s">
        <v>10</v>
      </c>
      <c r="D1609" s="1">
        <v>0</v>
      </c>
      <c r="E1609" s="1">
        <v>-632.94000000000005</v>
      </c>
      <c r="F1609" s="1">
        <v>0</v>
      </c>
      <c r="G1609" s="1">
        <v>8544.65</v>
      </c>
      <c r="H1609" s="1">
        <v>0</v>
      </c>
      <c r="I1609" s="1">
        <v>-7595.2439999999997</v>
      </c>
    </row>
    <row r="1610" spans="1:9" hidden="1" x14ac:dyDescent="0.25">
      <c r="A1610" s="1" t="s">
        <v>16</v>
      </c>
      <c r="B1610" s="1" t="s">
        <v>204</v>
      </c>
      <c r="C1610" s="1" t="s">
        <v>25</v>
      </c>
      <c r="D1610" s="1">
        <v>0</v>
      </c>
      <c r="E1610" s="1">
        <v>632.94000000000005</v>
      </c>
      <c r="F1610" s="1">
        <v>0</v>
      </c>
      <c r="G1610" s="1">
        <v>-10443.460999999999</v>
      </c>
      <c r="H1610" s="1">
        <v>0</v>
      </c>
      <c r="I1610" s="1">
        <v>5063.4960000000001</v>
      </c>
    </row>
    <row r="1611" spans="1:9" hidden="1" x14ac:dyDescent="0.25">
      <c r="A1611" s="1" t="s">
        <v>16</v>
      </c>
      <c r="B1611" s="1" t="s">
        <v>204</v>
      </c>
      <c r="C1611" s="1" t="s">
        <v>10</v>
      </c>
      <c r="D1611" s="1">
        <v>0</v>
      </c>
      <c r="E1611" s="1">
        <v>632.94000000000005</v>
      </c>
      <c r="F1611" s="1">
        <v>0</v>
      </c>
      <c r="G1611" s="1">
        <v>-10443.460999999999</v>
      </c>
      <c r="H1611" s="1">
        <v>0</v>
      </c>
      <c r="I1611" s="1">
        <v>7595.2439999999997</v>
      </c>
    </row>
    <row r="1612" spans="1:9" hidden="1" x14ac:dyDescent="0.25">
      <c r="A1612" s="1" t="s">
        <v>16</v>
      </c>
      <c r="B1612" s="1" t="s">
        <v>205</v>
      </c>
      <c r="C1612" s="1" t="s">
        <v>25</v>
      </c>
      <c r="D1612" s="1">
        <v>0</v>
      </c>
      <c r="E1612" s="1">
        <v>632.94000000000005</v>
      </c>
      <c r="F1612" s="1">
        <v>0</v>
      </c>
      <c r="G1612" s="1">
        <v>-8544.65</v>
      </c>
      <c r="H1612" s="1">
        <v>0</v>
      </c>
      <c r="I1612" s="1">
        <v>5063.4960000000001</v>
      </c>
    </row>
    <row r="1613" spans="1:9" hidden="1" x14ac:dyDescent="0.25">
      <c r="A1613" s="1" t="s">
        <v>16</v>
      </c>
      <c r="B1613" s="1" t="s">
        <v>205</v>
      </c>
      <c r="C1613" s="1" t="s">
        <v>10</v>
      </c>
      <c r="D1613" s="1">
        <v>0</v>
      </c>
      <c r="E1613" s="1">
        <v>632.94000000000005</v>
      </c>
      <c r="F1613" s="1">
        <v>0</v>
      </c>
      <c r="G1613" s="1">
        <v>-8544.65</v>
      </c>
      <c r="H1613" s="1">
        <v>0</v>
      </c>
      <c r="I1613" s="1">
        <v>7595.2439999999997</v>
      </c>
    </row>
    <row r="1614" spans="1:9" hidden="1" x14ac:dyDescent="0.25">
      <c r="A1614" s="1" t="s">
        <v>16</v>
      </c>
      <c r="B1614" s="1" t="s">
        <v>206</v>
      </c>
      <c r="C1614" s="1" t="s">
        <v>25</v>
      </c>
      <c r="D1614" s="1">
        <v>0</v>
      </c>
      <c r="E1614" s="1">
        <v>0</v>
      </c>
      <c r="F1614" s="1">
        <v>-765.07</v>
      </c>
      <c r="G1614" s="1">
        <v>-15148.319</v>
      </c>
      <c r="H1614" s="1">
        <v>6120.5330000000004</v>
      </c>
      <c r="I1614" s="1">
        <v>0</v>
      </c>
    </row>
    <row r="1615" spans="1:9" hidden="1" x14ac:dyDescent="0.25">
      <c r="A1615" s="1" t="s">
        <v>16</v>
      </c>
      <c r="B1615" s="1" t="s">
        <v>206</v>
      </c>
      <c r="C1615" s="1" t="s">
        <v>10</v>
      </c>
      <c r="D1615" s="1">
        <v>0</v>
      </c>
      <c r="E1615" s="1">
        <v>0</v>
      </c>
      <c r="F1615" s="1">
        <v>-765.07</v>
      </c>
      <c r="G1615" s="1">
        <v>-15148.319</v>
      </c>
      <c r="H1615" s="1">
        <v>9180.7999999999993</v>
      </c>
      <c r="I1615" s="1">
        <v>0</v>
      </c>
    </row>
    <row r="1616" spans="1:9" hidden="1" x14ac:dyDescent="0.25">
      <c r="A1616" s="1" t="s">
        <v>16</v>
      </c>
      <c r="B1616" s="1" t="s">
        <v>207</v>
      </c>
      <c r="C1616" s="1" t="s">
        <v>25</v>
      </c>
      <c r="D1616" s="1">
        <v>0</v>
      </c>
      <c r="E1616" s="1">
        <v>0</v>
      </c>
      <c r="F1616" s="1">
        <v>-765.07</v>
      </c>
      <c r="G1616" s="1">
        <v>-12394.08</v>
      </c>
      <c r="H1616" s="1">
        <v>6120.5330000000004</v>
      </c>
      <c r="I1616" s="1">
        <v>0</v>
      </c>
    </row>
    <row r="1617" spans="1:9" hidden="1" x14ac:dyDescent="0.25">
      <c r="A1617" s="1" t="s">
        <v>16</v>
      </c>
      <c r="B1617" s="1" t="s">
        <v>207</v>
      </c>
      <c r="C1617" s="1" t="s">
        <v>10</v>
      </c>
      <c r="D1617" s="1">
        <v>0</v>
      </c>
      <c r="E1617" s="1">
        <v>0</v>
      </c>
      <c r="F1617" s="1">
        <v>-765.07</v>
      </c>
      <c r="G1617" s="1">
        <v>-12394.08</v>
      </c>
      <c r="H1617" s="1">
        <v>9180.7999999999993</v>
      </c>
      <c r="I1617" s="1">
        <v>0</v>
      </c>
    </row>
    <row r="1618" spans="1:9" hidden="1" x14ac:dyDescent="0.25">
      <c r="A1618" s="1" t="s">
        <v>16</v>
      </c>
      <c r="B1618" s="1" t="s">
        <v>208</v>
      </c>
      <c r="C1618" s="1" t="s">
        <v>25</v>
      </c>
      <c r="D1618" s="1">
        <v>0</v>
      </c>
      <c r="E1618" s="1">
        <v>0</v>
      </c>
      <c r="F1618" s="1">
        <v>765.07</v>
      </c>
      <c r="G1618" s="1">
        <v>15148.319</v>
      </c>
      <c r="H1618" s="1">
        <v>-6120.5330000000004</v>
      </c>
      <c r="I1618" s="1">
        <v>0</v>
      </c>
    </row>
    <row r="1619" spans="1:9" hidden="1" x14ac:dyDescent="0.25">
      <c r="A1619" s="1" t="s">
        <v>16</v>
      </c>
      <c r="B1619" s="1" t="s">
        <v>208</v>
      </c>
      <c r="C1619" s="1" t="s">
        <v>10</v>
      </c>
      <c r="D1619" s="1">
        <v>0</v>
      </c>
      <c r="E1619" s="1">
        <v>0</v>
      </c>
      <c r="F1619" s="1">
        <v>765.07</v>
      </c>
      <c r="G1619" s="1">
        <v>15148.319</v>
      </c>
      <c r="H1619" s="1">
        <v>-9180.7999999999993</v>
      </c>
      <c r="I1619" s="1">
        <v>0</v>
      </c>
    </row>
    <row r="1620" spans="1:9" hidden="1" x14ac:dyDescent="0.25">
      <c r="A1620" s="1" t="s">
        <v>16</v>
      </c>
      <c r="B1620" s="1" t="s">
        <v>209</v>
      </c>
      <c r="C1620" s="1" t="s">
        <v>25</v>
      </c>
      <c r="D1620" s="1">
        <v>0</v>
      </c>
      <c r="E1620" s="1">
        <v>0</v>
      </c>
      <c r="F1620" s="1">
        <v>765.07</v>
      </c>
      <c r="G1620" s="1">
        <v>12394.08</v>
      </c>
      <c r="H1620" s="1">
        <v>-6120.5330000000004</v>
      </c>
      <c r="I1620" s="1">
        <v>0</v>
      </c>
    </row>
    <row r="1621" spans="1:9" hidden="1" x14ac:dyDescent="0.25">
      <c r="A1621" s="1" t="s">
        <v>16</v>
      </c>
      <c r="B1621" s="1" t="s">
        <v>209</v>
      </c>
      <c r="C1621" s="1" t="s">
        <v>10</v>
      </c>
      <c r="D1621" s="1">
        <v>0</v>
      </c>
      <c r="E1621" s="1">
        <v>0</v>
      </c>
      <c r="F1621" s="1">
        <v>765.07</v>
      </c>
      <c r="G1621" s="1">
        <v>12394.08</v>
      </c>
      <c r="H1621" s="1">
        <v>-9180.7999999999993</v>
      </c>
      <c r="I1621" s="1">
        <v>0</v>
      </c>
    </row>
    <row r="1622" spans="1:9" hidden="1" x14ac:dyDescent="0.25">
      <c r="A1622" s="1" t="s">
        <v>16</v>
      </c>
      <c r="B1622" s="1" t="s">
        <v>210</v>
      </c>
      <c r="C1622" s="1" t="s">
        <v>25</v>
      </c>
      <c r="D1622" s="1">
        <v>0</v>
      </c>
      <c r="E1622" s="1">
        <v>-189.88</v>
      </c>
      <c r="F1622" s="1">
        <v>0</v>
      </c>
      <c r="G1622" s="1">
        <v>3133.038</v>
      </c>
      <c r="H1622" s="1">
        <v>0</v>
      </c>
      <c r="I1622" s="1">
        <v>-1519.049</v>
      </c>
    </row>
    <row r="1623" spans="1:9" hidden="1" x14ac:dyDescent="0.25">
      <c r="A1623" s="1" t="s">
        <v>16</v>
      </c>
      <c r="B1623" s="1" t="s">
        <v>210</v>
      </c>
      <c r="C1623" s="1" t="s">
        <v>10</v>
      </c>
      <c r="D1623" s="1">
        <v>0</v>
      </c>
      <c r="E1623" s="1">
        <v>-189.88</v>
      </c>
      <c r="F1623" s="1">
        <v>0</v>
      </c>
      <c r="G1623" s="1">
        <v>3133.038</v>
      </c>
      <c r="H1623" s="1">
        <v>0</v>
      </c>
      <c r="I1623" s="1">
        <v>-2278.5729999999999</v>
      </c>
    </row>
    <row r="1624" spans="1:9" hidden="1" x14ac:dyDescent="0.25">
      <c r="A1624" s="1" t="s">
        <v>16</v>
      </c>
      <c r="B1624" s="1" t="s">
        <v>211</v>
      </c>
      <c r="C1624" s="1" t="s">
        <v>25</v>
      </c>
      <c r="D1624" s="1">
        <v>0</v>
      </c>
      <c r="E1624" s="1">
        <v>-189.88</v>
      </c>
      <c r="F1624" s="1">
        <v>0</v>
      </c>
      <c r="G1624" s="1">
        <v>2563.395</v>
      </c>
      <c r="H1624" s="1">
        <v>0</v>
      </c>
      <c r="I1624" s="1">
        <v>-1519.049</v>
      </c>
    </row>
    <row r="1625" spans="1:9" hidden="1" x14ac:dyDescent="0.25">
      <c r="A1625" s="1" t="s">
        <v>16</v>
      </c>
      <c r="B1625" s="1" t="s">
        <v>211</v>
      </c>
      <c r="C1625" s="1" t="s">
        <v>10</v>
      </c>
      <c r="D1625" s="1">
        <v>0</v>
      </c>
      <c r="E1625" s="1">
        <v>-189.88</v>
      </c>
      <c r="F1625" s="1">
        <v>0</v>
      </c>
      <c r="G1625" s="1">
        <v>2563.395</v>
      </c>
      <c r="H1625" s="1">
        <v>0</v>
      </c>
      <c r="I1625" s="1">
        <v>-2278.5729999999999</v>
      </c>
    </row>
    <row r="1626" spans="1:9" hidden="1" x14ac:dyDescent="0.25">
      <c r="A1626" s="1" t="s">
        <v>16</v>
      </c>
      <c r="B1626" s="1" t="s">
        <v>212</v>
      </c>
      <c r="C1626" s="1" t="s">
        <v>25</v>
      </c>
      <c r="D1626" s="1">
        <v>0</v>
      </c>
      <c r="E1626" s="1">
        <v>189.88</v>
      </c>
      <c r="F1626" s="1">
        <v>0</v>
      </c>
      <c r="G1626" s="1">
        <v>-3133.038</v>
      </c>
      <c r="H1626" s="1">
        <v>0</v>
      </c>
      <c r="I1626" s="1">
        <v>1519.049</v>
      </c>
    </row>
    <row r="1627" spans="1:9" hidden="1" x14ac:dyDescent="0.25">
      <c r="A1627" s="1" t="s">
        <v>16</v>
      </c>
      <c r="B1627" s="1" t="s">
        <v>212</v>
      </c>
      <c r="C1627" s="1" t="s">
        <v>10</v>
      </c>
      <c r="D1627" s="1">
        <v>0</v>
      </c>
      <c r="E1627" s="1">
        <v>189.88</v>
      </c>
      <c r="F1627" s="1">
        <v>0</v>
      </c>
      <c r="G1627" s="1">
        <v>-3133.038</v>
      </c>
      <c r="H1627" s="1">
        <v>0</v>
      </c>
      <c r="I1627" s="1">
        <v>2278.5729999999999</v>
      </c>
    </row>
    <row r="1628" spans="1:9" hidden="1" x14ac:dyDescent="0.25">
      <c r="A1628" s="1" t="s">
        <v>16</v>
      </c>
      <c r="B1628" s="1" t="s">
        <v>213</v>
      </c>
      <c r="C1628" s="1" t="s">
        <v>25</v>
      </c>
      <c r="D1628" s="1">
        <v>0</v>
      </c>
      <c r="E1628" s="1">
        <v>189.88</v>
      </c>
      <c r="F1628" s="1">
        <v>0</v>
      </c>
      <c r="G1628" s="1">
        <v>-2563.395</v>
      </c>
      <c r="H1628" s="1">
        <v>0</v>
      </c>
      <c r="I1628" s="1">
        <v>1519.049</v>
      </c>
    </row>
    <row r="1629" spans="1:9" hidden="1" x14ac:dyDescent="0.25">
      <c r="A1629" s="1" t="s">
        <v>16</v>
      </c>
      <c r="B1629" s="1" t="s">
        <v>213</v>
      </c>
      <c r="C1629" s="1" t="s">
        <v>10</v>
      </c>
      <c r="D1629" s="1">
        <v>0</v>
      </c>
      <c r="E1629" s="1">
        <v>189.88</v>
      </c>
      <c r="F1629" s="1">
        <v>0</v>
      </c>
      <c r="G1629" s="1">
        <v>-2563.395</v>
      </c>
      <c r="H1629" s="1">
        <v>0</v>
      </c>
      <c r="I1629" s="1">
        <v>2278.5729999999999</v>
      </c>
    </row>
    <row r="1630" spans="1:9" hidden="1" x14ac:dyDescent="0.25">
      <c r="A1630" s="1" t="s">
        <v>16</v>
      </c>
      <c r="B1630" s="1" t="s">
        <v>214</v>
      </c>
      <c r="C1630" s="1" t="s">
        <v>25</v>
      </c>
      <c r="D1630" s="1">
        <v>0</v>
      </c>
      <c r="E1630" s="1">
        <v>0</v>
      </c>
      <c r="F1630" s="1">
        <v>-229.52</v>
      </c>
      <c r="G1630" s="1">
        <v>-4544.4960000000001</v>
      </c>
      <c r="H1630" s="1">
        <v>1836.16</v>
      </c>
      <c r="I1630" s="1">
        <v>0</v>
      </c>
    </row>
    <row r="1631" spans="1:9" hidden="1" x14ac:dyDescent="0.25">
      <c r="A1631" s="1" t="s">
        <v>16</v>
      </c>
      <c r="B1631" s="1" t="s">
        <v>214</v>
      </c>
      <c r="C1631" s="1" t="s">
        <v>10</v>
      </c>
      <c r="D1631" s="1">
        <v>0</v>
      </c>
      <c r="E1631" s="1">
        <v>0</v>
      </c>
      <c r="F1631" s="1">
        <v>-229.52</v>
      </c>
      <c r="G1631" s="1">
        <v>-4544.4960000000001</v>
      </c>
      <c r="H1631" s="1">
        <v>2754.24</v>
      </c>
      <c r="I1631" s="1">
        <v>0</v>
      </c>
    </row>
    <row r="1632" spans="1:9" hidden="1" x14ac:dyDescent="0.25">
      <c r="A1632" s="1" t="s">
        <v>16</v>
      </c>
      <c r="B1632" s="1" t="s">
        <v>215</v>
      </c>
      <c r="C1632" s="1" t="s">
        <v>25</v>
      </c>
      <c r="D1632" s="1">
        <v>0</v>
      </c>
      <c r="E1632" s="1">
        <v>0</v>
      </c>
      <c r="F1632" s="1">
        <v>-229.52</v>
      </c>
      <c r="G1632" s="1">
        <v>-3718.2240000000002</v>
      </c>
      <c r="H1632" s="1">
        <v>1836.16</v>
      </c>
      <c r="I1632" s="1">
        <v>0</v>
      </c>
    </row>
    <row r="1633" spans="1:9" hidden="1" x14ac:dyDescent="0.25">
      <c r="A1633" s="1" t="s">
        <v>16</v>
      </c>
      <c r="B1633" s="1" t="s">
        <v>215</v>
      </c>
      <c r="C1633" s="1" t="s">
        <v>10</v>
      </c>
      <c r="D1633" s="1">
        <v>0</v>
      </c>
      <c r="E1633" s="1">
        <v>0</v>
      </c>
      <c r="F1633" s="1">
        <v>-229.52</v>
      </c>
      <c r="G1633" s="1">
        <v>-3718.2240000000002</v>
      </c>
      <c r="H1633" s="1">
        <v>2754.24</v>
      </c>
      <c r="I1633" s="1">
        <v>0</v>
      </c>
    </row>
    <row r="1634" spans="1:9" hidden="1" x14ac:dyDescent="0.25">
      <c r="A1634" s="1" t="s">
        <v>16</v>
      </c>
      <c r="B1634" s="1" t="s">
        <v>216</v>
      </c>
      <c r="C1634" s="1" t="s">
        <v>25</v>
      </c>
      <c r="D1634" s="1">
        <v>0</v>
      </c>
      <c r="E1634" s="1">
        <v>0</v>
      </c>
      <c r="F1634" s="1">
        <v>229.52</v>
      </c>
      <c r="G1634" s="1">
        <v>4544.4960000000001</v>
      </c>
      <c r="H1634" s="1">
        <v>-1836.16</v>
      </c>
      <c r="I1634" s="1">
        <v>0</v>
      </c>
    </row>
    <row r="1635" spans="1:9" hidden="1" x14ac:dyDescent="0.25">
      <c r="A1635" s="1" t="s">
        <v>16</v>
      </c>
      <c r="B1635" s="1" t="s">
        <v>216</v>
      </c>
      <c r="C1635" s="1" t="s">
        <v>10</v>
      </c>
      <c r="D1635" s="1">
        <v>0</v>
      </c>
      <c r="E1635" s="1">
        <v>0</v>
      </c>
      <c r="F1635" s="1">
        <v>229.52</v>
      </c>
      <c r="G1635" s="1">
        <v>4544.4960000000001</v>
      </c>
      <c r="H1635" s="1">
        <v>-2754.24</v>
      </c>
      <c r="I1635" s="1">
        <v>0</v>
      </c>
    </row>
    <row r="1636" spans="1:9" hidden="1" x14ac:dyDescent="0.25">
      <c r="A1636" s="1" t="s">
        <v>16</v>
      </c>
      <c r="B1636" s="1" t="s">
        <v>217</v>
      </c>
      <c r="C1636" s="1" t="s">
        <v>25</v>
      </c>
      <c r="D1636" s="1">
        <v>0</v>
      </c>
      <c r="E1636" s="1">
        <v>0</v>
      </c>
      <c r="F1636" s="1">
        <v>229.52</v>
      </c>
      <c r="G1636" s="1">
        <v>3718.2240000000002</v>
      </c>
      <c r="H1636" s="1">
        <v>-1836.16</v>
      </c>
      <c r="I1636" s="1">
        <v>0</v>
      </c>
    </row>
    <row r="1637" spans="1:9" hidden="1" x14ac:dyDescent="0.25">
      <c r="A1637" s="1" t="s">
        <v>16</v>
      </c>
      <c r="B1637" s="1" t="s">
        <v>217</v>
      </c>
      <c r="C1637" s="1" t="s">
        <v>10</v>
      </c>
      <c r="D1637" s="1">
        <v>0</v>
      </c>
      <c r="E1637" s="1">
        <v>0</v>
      </c>
      <c r="F1637" s="1">
        <v>229.52</v>
      </c>
      <c r="G1637" s="1">
        <v>3718.2240000000002</v>
      </c>
      <c r="H1637" s="1">
        <v>-2754.24</v>
      </c>
      <c r="I1637" s="1">
        <v>0</v>
      </c>
    </row>
    <row r="1638" spans="1:9" hidden="1" x14ac:dyDescent="0.25">
      <c r="A1638" s="1" t="s">
        <v>16</v>
      </c>
      <c r="B1638" s="1" t="s">
        <v>218</v>
      </c>
      <c r="C1638" s="1" t="s">
        <v>25</v>
      </c>
      <c r="D1638" s="1">
        <v>0</v>
      </c>
      <c r="E1638" s="1">
        <v>-189.88</v>
      </c>
      <c r="F1638" s="1">
        <v>0</v>
      </c>
      <c r="G1638" s="1">
        <v>3133.038</v>
      </c>
      <c r="H1638" s="1">
        <v>0</v>
      </c>
      <c r="I1638" s="1">
        <v>-1519.049</v>
      </c>
    </row>
    <row r="1639" spans="1:9" hidden="1" x14ac:dyDescent="0.25">
      <c r="A1639" s="1" t="s">
        <v>16</v>
      </c>
      <c r="B1639" s="1" t="s">
        <v>218</v>
      </c>
      <c r="C1639" s="1" t="s">
        <v>10</v>
      </c>
      <c r="D1639" s="1">
        <v>0</v>
      </c>
      <c r="E1639" s="1">
        <v>-189.88</v>
      </c>
      <c r="F1639" s="1">
        <v>0</v>
      </c>
      <c r="G1639" s="1">
        <v>3133.038</v>
      </c>
      <c r="H1639" s="1">
        <v>0</v>
      </c>
      <c r="I1639" s="1">
        <v>-2278.5729999999999</v>
      </c>
    </row>
    <row r="1640" spans="1:9" hidden="1" x14ac:dyDescent="0.25">
      <c r="A1640" s="1" t="s">
        <v>16</v>
      </c>
      <c r="B1640" s="1" t="s">
        <v>219</v>
      </c>
      <c r="C1640" s="1" t="s">
        <v>25</v>
      </c>
      <c r="D1640" s="1">
        <v>0</v>
      </c>
      <c r="E1640" s="1">
        <v>-189.88</v>
      </c>
      <c r="F1640" s="1">
        <v>0</v>
      </c>
      <c r="G1640" s="1">
        <v>2563.395</v>
      </c>
      <c r="H1640" s="1">
        <v>0</v>
      </c>
      <c r="I1640" s="1">
        <v>-1519.049</v>
      </c>
    </row>
    <row r="1641" spans="1:9" hidden="1" x14ac:dyDescent="0.25">
      <c r="A1641" s="1" t="s">
        <v>16</v>
      </c>
      <c r="B1641" s="1" t="s">
        <v>219</v>
      </c>
      <c r="C1641" s="1" t="s">
        <v>10</v>
      </c>
      <c r="D1641" s="1">
        <v>0</v>
      </c>
      <c r="E1641" s="1">
        <v>-189.88</v>
      </c>
      <c r="F1641" s="1">
        <v>0</v>
      </c>
      <c r="G1641" s="1">
        <v>2563.395</v>
      </c>
      <c r="H1641" s="1">
        <v>0</v>
      </c>
      <c r="I1641" s="1">
        <v>-2278.5729999999999</v>
      </c>
    </row>
    <row r="1642" spans="1:9" hidden="1" x14ac:dyDescent="0.25">
      <c r="A1642" s="1" t="s">
        <v>16</v>
      </c>
      <c r="B1642" s="1" t="s">
        <v>220</v>
      </c>
      <c r="C1642" s="1" t="s">
        <v>25</v>
      </c>
      <c r="D1642" s="1">
        <v>0</v>
      </c>
      <c r="E1642" s="1">
        <v>189.88</v>
      </c>
      <c r="F1642" s="1">
        <v>0</v>
      </c>
      <c r="G1642" s="1">
        <v>-3133.038</v>
      </c>
      <c r="H1642" s="1">
        <v>0</v>
      </c>
      <c r="I1642" s="1">
        <v>1519.049</v>
      </c>
    </row>
    <row r="1643" spans="1:9" hidden="1" x14ac:dyDescent="0.25">
      <c r="A1643" s="1" t="s">
        <v>16</v>
      </c>
      <c r="B1643" s="1" t="s">
        <v>220</v>
      </c>
      <c r="C1643" s="1" t="s">
        <v>10</v>
      </c>
      <c r="D1643" s="1">
        <v>0</v>
      </c>
      <c r="E1643" s="1">
        <v>189.88</v>
      </c>
      <c r="F1643" s="1">
        <v>0</v>
      </c>
      <c r="G1643" s="1">
        <v>-3133.038</v>
      </c>
      <c r="H1643" s="1">
        <v>0</v>
      </c>
      <c r="I1643" s="1">
        <v>2278.5729999999999</v>
      </c>
    </row>
    <row r="1644" spans="1:9" hidden="1" x14ac:dyDescent="0.25">
      <c r="A1644" s="1" t="s">
        <v>16</v>
      </c>
      <c r="B1644" s="1" t="s">
        <v>221</v>
      </c>
      <c r="C1644" s="1" t="s">
        <v>25</v>
      </c>
      <c r="D1644" s="1">
        <v>0</v>
      </c>
      <c r="E1644" s="1">
        <v>189.88</v>
      </c>
      <c r="F1644" s="1">
        <v>0</v>
      </c>
      <c r="G1644" s="1">
        <v>-2563.395</v>
      </c>
      <c r="H1644" s="1">
        <v>0</v>
      </c>
      <c r="I1644" s="1">
        <v>1519.049</v>
      </c>
    </row>
    <row r="1645" spans="1:9" hidden="1" x14ac:dyDescent="0.25">
      <c r="A1645" s="1" t="s">
        <v>16</v>
      </c>
      <c r="B1645" s="1" t="s">
        <v>221</v>
      </c>
      <c r="C1645" s="1" t="s">
        <v>10</v>
      </c>
      <c r="D1645" s="1">
        <v>0</v>
      </c>
      <c r="E1645" s="1">
        <v>189.88</v>
      </c>
      <c r="F1645" s="1">
        <v>0</v>
      </c>
      <c r="G1645" s="1">
        <v>-2563.395</v>
      </c>
      <c r="H1645" s="1">
        <v>0</v>
      </c>
      <c r="I1645" s="1">
        <v>2278.5729999999999</v>
      </c>
    </row>
    <row r="1646" spans="1:9" hidden="1" x14ac:dyDescent="0.25">
      <c r="A1646" s="1" t="s">
        <v>16</v>
      </c>
      <c r="B1646" s="1" t="s">
        <v>222</v>
      </c>
      <c r="C1646" s="1" t="s">
        <v>25</v>
      </c>
      <c r="D1646" s="1">
        <v>0</v>
      </c>
      <c r="E1646" s="1">
        <v>0</v>
      </c>
      <c r="F1646" s="1">
        <v>-229.52</v>
      </c>
      <c r="G1646" s="1">
        <v>-4544.4960000000001</v>
      </c>
      <c r="H1646" s="1">
        <v>1836.16</v>
      </c>
      <c r="I1646" s="1">
        <v>0</v>
      </c>
    </row>
    <row r="1647" spans="1:9" hidden="1" x14ac:dyDescent="0.25">
      <c r="A1647" s="1" t="s">
        <v>16</v>
      </c>
      <c r="B1647" s="1" t="s">
        <v>222</v>
      </c>
      <c r="C1647" s="1" t="s">
        <v>10</v>
      </c>
      <c r="D1647" s="1">
        <v>0</v>
      </c>
      <c r="E1647" s="1">
        <v>0</v>
      </c>
      <c r="F1647" s="1">
        <v>-229.52</v>
      </c>
      <c r="G1647" s="1">
        <v>-4544.4960000000001</v>
      </c>
      <c r="H1647" s="1">
        <v>2754.24</v>
      </c>
      <c r="I1647" s="1">
        <v>0</v>
      </c>
    </row>
    <row r="1648" spans="1:9" hidden="1" x14ac:dyDescent="0.25">
      <c r="A1648" s="1" t="s">
        <v>16</v>
      </c>
      <c r="B1648" s="1" t="s">
        <v>223</v>
      </c>
      <c r="C1648" s="1" t="s">
        <v>25</v>
      </c>
      <c r="D1648" s="1">
        <v>0</v>
      </c>
      <c r="E1648" s="1">
        <v>0</v>
      </c>
      <c r="F1648" s="1">
        <v>-229.52</v>
      </c>
      <c r="G1648" s="1">
        <v>-3718.2240000000002</v>
      </c>
      <c r="H1648" s="1">
        <v>1836.16</v>
      </c>
      <c r="I1648" s="1">
        <v>0</v>
      </c>
    </row>
    <row r="1649" spans="1:9" hidden="1" x14ac:dyDescent="0.25">
      <c r="A1649" s="1" t="s">
        <v>16</v>
      </c>
      <c r="B1649" s="1" t="s">
        <v>223</v>
      </c>
      <c r="C1649" s="1" t="s">
        <v>10</v>
      </c>
      <c r="D1649" s="1">
        <v>0</v>
      </c>
      <c r="E1649" s="1">
        <v>0</v>
      </c>
      <c r="F1649" s="1">
        <v>-229.52</v>
      </c>
      <c r="G1649" s="1">
        <v>-3718.2240000000002</v>
      </c>
      <c r="H1649" s="1">
        <v>2754.24</v>
      </c>
      <c r="I1649" s="1">
        <v>0</v>
      </c>
    </row>
    <row r="1650" spans="1:9" hidden="1" x14ac:dyDescent="0.25">
      <c r="A1650" s="1" t="s">
        <v>16</v>
      </c>
      <c r="B1650" s="1" t="s">
        <v>224</v>
      </c>
      <c r="C1650" s="1" t="s">
        <v>25</v>
      </c>
      <c r="D1650" s="1">
        <v>0</v>
      </c>
      <c r="E1650" s="1">
        <v>0</v>
      </c>
      <c r="F1650" s="1">
        <v>229.52</v>
      </c>
      <c r="G1650" s="1">
        <v>4544.4960000000001</v>
      </c>
      <c r="H1650" s="1">
        <v>-1836.16</v>
      </c>
      <c r="I1650" s="1">
        <v>0</v>
      </c>
    </row>
    <row r="1651" spans="1:9" hidden="1" x14ac:dyDescent="0.25">
      <c r="A1651" s="1" t="s">
        <v>16</v>
      </c>
      <c r="B1651" s="1" t="s">
        <v>224</v>
      </c>
      <c r="C1651" s="1" t="s">
        <v>10</v>
      </c>
      <c r="D1651" s="1">
        <v>0</v>
      </c>
      <c r="E1651" s="1">
        <v>0</v>
      </c>
      <c r="F1651" s="1">
        <v>229.52</v>
      </c>
      <c r="G1651" s="1">
        <v>4544.4960000000001</v>
      </c>
      <c r="H1651" s="1">
        <v>-2754.24</v>
      </c>
      <c r="I1651" s="1">
        <v>0</v>
      </c>
    </row>
    <row r="1652" spans="1:9" hidden="1" x14ac:dyDescent="0.25">
      <c r="A1652" s="1" t="s">
        <v>16</v>
      </c>
      <c r="B1652" s="1" t="s">
        <v>225</v>
      </c>
      <c r="C1652" s="1" t="s">
        <v>25</v>
      </c>
      <c r="D1652" s="1">
        <v>0</v>
      </c>
      <c r="E1652" s="1">
        <v>0</v>
      </c>
      <c r="F1652" s="1">
        <v>229.52</v>
      </c>
      <c r="G1652" s="1">
        <v>3718.2240000000002</v>
      </c>
      <c r="H1652" s="1">
        <v>-1836.16</v>
      </c>
      <c r="I1652" s="1">
        <v>0</v>
      </c>
    </row>
    <row r="1653" spans="1:9" hidden="1" x14ac:dyDescent="0.25">
      <c r="A1653" s="1" t="s">
        <v>16</v>
      </c>
      <c r="B1653" s="1" t="s">
        <v>225</v>
      </c>
      <c r="C1653" s="1" t="s">
        <v>10</v>
      </c>
      <c r="D1653" s="1">
        <v>0</v>
      </c>
      <c r="E1653" s="1">
        <v>0</v>
      </c>
      <c r="F1653" s="1">
        <v>229.52</v>
      </c>
      <c r="G1653" s="1">
        <v>3718.2240000000002</v>
      </c>
      <c r="H1653" s="1">
        <v>-2754.24</v>
      </c>
      <c r="I1653" s="1">
        <v>0</v>
      </c>
    </row>
    <row r="1654" spans="1:9" hidden="1" x14ac:dyDescent="0.25">
      <c r="A1654" s="1" t="s">
        <v>16</v>
      </c>
      <c r="B1654" s="1" t="s">
        <v>327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16</v>
      </c>
      <c r="B1655" s="1" t="s">
        <v>327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16</v>
      </c>
      <c r="B1656" s="1" t="s">
        <v>328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16</v>
      </c>
      <c r="B1657" s="1" t="s">
        <v>328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9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x14ac:dyDescent="0.25">
      <c r="A1659" s="1" t="s">
        <v>17</v>
      </c>
      <c r="B1659" s="1" t="s">
        <v>9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26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26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20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20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21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21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22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22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23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23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321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321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322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322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323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323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324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324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325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325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326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326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27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27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30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30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11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11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12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12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13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13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31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31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33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33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34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34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35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35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36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36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37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37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38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38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39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39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40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40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41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41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42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42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43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43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44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44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45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45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46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46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47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47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48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48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49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49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50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50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51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51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52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52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53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53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54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54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55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55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56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56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57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57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58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58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59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59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60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60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61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61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62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62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63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63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64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64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65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65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66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66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67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67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68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68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69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69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70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70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71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71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72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72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73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73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74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74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75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75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76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76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77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77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78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78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79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79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80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80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81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81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82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82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83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83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84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84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85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85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86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86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87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87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88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88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89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89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90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90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91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91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92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92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93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93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94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94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95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95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96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96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97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97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14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14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98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98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15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15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99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99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100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100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101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101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102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102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103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103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104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104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105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105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106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106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107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107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108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108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109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109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110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110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111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111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112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112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113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113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114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114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115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115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116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116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117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117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118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118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119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119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120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120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121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121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122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122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123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123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124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124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125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125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126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126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127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127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128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128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129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129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130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130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131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131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132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132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133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133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134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134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135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135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136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136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137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137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138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138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139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139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140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140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141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141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142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142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143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143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144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144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145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145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146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146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147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147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159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159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160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160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161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161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162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162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163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163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164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164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165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165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166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166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167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167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168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168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169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169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170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170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171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171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172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172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173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173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174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174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175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175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176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176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177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177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178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178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179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179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180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180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181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181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182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182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183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183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184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184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185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185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186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186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187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187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188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188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189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189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190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190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191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191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192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192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193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193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194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194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195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195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196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196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197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197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198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198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199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199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200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200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201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201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202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202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203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203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204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204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205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205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206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206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207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207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208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208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209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209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210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210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211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211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212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212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213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213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214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214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215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215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216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216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217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217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218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218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219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219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220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220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221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221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222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222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223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223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224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224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225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225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327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327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328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328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</sheetData>
  <autoFilter ref="A1:I2071" xr:uid="{C5D299A9-FDF1-4747-82D4-2F8F388A3A54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 filterMode="1"/>
  <dimension ref="A1:I2071"/>
  <sheetViews>
    <sheetView workbookViewId="0">
      <selection activeCell="D3" sqref="D3:D207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-180.84</v>
      </c>
      <c r="F6" s="1">
        <v>0</v>
      </c>
      <c r="G6" s="1">
        <v>2983.846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-180.84</v>
      </c>
      <c r="F7" s="1">
        <v>0</v>
      </c>
      <c r="G7" s="1">
        <v>2983.846</v>
      </c>
      <c r="H7" s="1">
        <v>0</v>
      </c>
      <c r="I7" s="1">
        <v>-723.35699999999997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-180.84</v>
      </c>
      <c r="F8" s="1">
        <v>0</v>
      </c>
      <c r="G8" s="1">
        <v>2441.3290000000002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-180.84</v>
      </c>
      <c r="F9" s="1">
        <v>0</v>
      </c>
      <c r="G9" s="1">
        <v>2441.3290000000002</v>
      </c>
      <c r="H9" s="1">
        <v>0</v>
      </c>
      <c r="I9" s="1">
        <v>-723.35699999999997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-218.59</v>
      </c>
      <c r="G10" s="1">
        <v>-4328.0910000000003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-218.59</v>
      </c>
      <c r="G11" s="1">
        <v>-4328.0910000000003</v>
      </c>
      <c r="H11" s="1">
        <v>874.36199999999997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-218.59</v>
      </c>
      <c r="G12" s="1">
        <v>-3541.1660000000002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-218.59</v>
      </c>
      <c r="G13" s="1">
        <v>-3541.1660000000002</v>
      </c>
      <c r="H13" s="1">
        <v>874.36199999999997</v>
      </c>
      <c r="I13" s="1">
        <v>0</v>
      </c>
    </row>
    <row r="14" spans="1:9" hidden="1" x14ac:dyDescent="0.25">
      <c r="A14" s="1" t="s">
        <v>157</v>
      </c>
      <c r="B14" s="1" t="s">
        <v>321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321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322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322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323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324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325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326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326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109.33</v>
      </c>
      <c r="F34" s="1">
        <v>0</v>
      </c>
      <c r="G34" s="1">
        <v>1804.0119999999999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109.33</v>
      </c>
      <c r="F35" s="1">
        <v>0</v>
      </c>
      <c r="G35" s="1">
        <v>1804.0119999999999</v>
      </c>
      <c r="H35" s="1">
        <v>0</v>
      </c>
      <c r="I35" s="1">
        <v>437.33600000000001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242.18</v>
      </c>
      <c r="G36" s="1">
        <v>4795.2110000000002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242.18</v>
      </c>
      <c r="G37" s="1">
        <v>4795.2110000000002</v>
      </c>
      <c r="H37" s="1">
        <v>968.72900000000004</v>
      </c>
      <c r="I37" s="1">
        <v>0</v>
      </c>
    </row>
    <row r="38" spans="1:9" hidden="1" x14ac:dyDescent="0.25">
      <c r="A38" s="1" t="s">
        <v>157</v>
      </c>
      <c r="B38" s="1" t="s">
        <v>13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13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31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31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32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34</v>
      </c>
      <c r="C46" s="1" t="s">
        <v>25</v>
      </c>
      <c r="D46" s="1">
        <v>0</v>
      </c>
      <c r="E46" s="1">
        <v>-180.84</v>
      </c>
      <c r="F46" s="1">
        <v>0</v>
      </c>
      <c r="G46" s="1">
        <v>2983.846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34</v>
      </c>
      <c r="C47" s="1" t="s">
        <v>10</v>
      </c>
      <c r="D47" s="1">
        <v>0</v>
      </c>
      <c r="E47" s="1">
        <v>-180.84</v>
      </c>
      <c r="F47" s="1">
        <v>0</v>
      </c>
      <c r="G47" s="1">
        <v>2983.846</v>
      </c>
      <c r="H47" s="1">
        <v>0</v>
      </c>
      <c r="I47" s="1">
        <v>-723.35699999999997</v>
      </c>
    </row>
    <row r="48" spans="1:9" hidden="1" x14ac:dyDescent="0.25">
      <c r="A48" s="1" t="s">
        <v>157</v>
      </c>
      <c r="B48" s="1" t="s">
        <v>35</v>
      </c>
      <c r="C48" s="1" t="s">
        <v>25</v>
      </c>
      <c r="D48" s="1">
        <v>0</v>
      </c>
      <c r="E48" s="1">
        <v>-180.84</v>
      </c>
      <c r="F48" s="1">
        <v>0</v>
      </c>
      <c r="G48" s="1">
        <v>2441.3290000000002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35</v>
      </c>
      <c r="C49" s="1" t="s">
        <v>10</v>
      </c>
      <c r="D49" s="1">
        <v>0</v>
      </c>
      <c r="E49" s="1">
        <v>-180.84</v>
      </c>
      <c r="F49" s="1">
        <v>0</v>
      </c>
      <c r="G49" s="1">
        <v>2441.3290000000002</v>
      </c>
      <c r="H49" s="1">
        <v>0</v>
      </c>
      <c r="I49" s="1">
        <v>-723.35699999999997</v>
      </c>
    </row>
    <row r="50" spans="1:9" hidden="1" x14ac:dyDescent="0.25">
      <c r="A50" s="1" t="s">
        <v>157</v>
      </c>
      <c r="B50" s="1" t="s">
        <v>36</v>
      </c>
      <c r="C50" s="1" t="s">
        <v>25</v>
      </c>
      <c r="D50" s="1">
        <v>0</v>
      </c>
      <c r="E50" s="1">
        <v>180.84</v>
      </c>
      <c r="F50" s="1">
        <v>0</v>
      </c>
      <c r="G50" s="1">
        <v>-2983.846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36</v>
      </c>
      <c r="C51" s="1" t="s">
        <v>10</v>
      </c>
      <c r="D51" s="1">
        <v>0</v>
      </c>
      <c r="E51" s="1">
        <v>180.84</v>
      </c>
      <c r="F51" s="1">
        <v>0</v>
      </c>
      <c r="G51" s="1">
        <v>-2983.846</v>
      </c>
      <c r="H51" s="1">
        <v>0</v>
      </c>
      <c r="I51" s="1">
        <v>723.35699999999997</v>
      </c>
    </row>
    <row r="52" spans="1:9" hidden="1" x14ac:dyDescent="0.25">
      <c r="A52" s="1" t="s">
        <v>157</v>
      </c>
      <c r="B52" s="1" t="s">
        <v>37</v>
      </c>
      <c r="C52" s="1" t="s">
        <v>25</v>
      </c>
      <c r="D52" s="1">
        <v>0</v>
      </c>
      <c r="E52" s="1">
        <v>180.84</v>
      </c>
      <c r="F52" s="1">
        <v>0</v>
      </c>
      <c r="G52" s="1">
        <v>-2441.3290000000002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37</v>
      </c>
      <c r="C53" s="1" t="s">
        <v>10</v>
      </c>
      <c r="D53" s="1">
        <v>0</v>
      </c>
      <c r="E53" s="1">
        <v>180.84</v>
      </c>
      <c r="F53" s="1">
        <v>0</v>
      </c>
      <c r="G53" s="1">
        <v>-2441.3290000000002</v>
      </c>
      <c r="H53" s="1">
        <v>0</v>
      </c>
      <c r="I53" s="1">
        <v>723.35699999999997</v>
      </c>
    </row>
    <row r="54" spans="1:9" hidden="1" x14ac:dyDescent="0.25">
      <c r="A54" s="1" t="s">
        <v>157</v>
      </c>
      <c r="B54" s="1" t="s">
        <v>38</v>
      </c>
      <c r="C54" s="1" t="s">
        <v>25</v>
      </c>
      <c r="D54" s="1">
        <v>0</v>
      </c>
      <c r="E54" s="1">
        <v>0</v>
      </c>
      <c r="F54" s="1">
        <v>-218.59</v>
      </c>
      <c r="G54" s="1">
        <v>-4328.0910000000003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38</v>
      </c>
      <c r="C55" s="1" t="s">
        <v>10</v>
      </c>
      <c r="D55" s="1">
        <v>0</v>
      </c>
      <c r="E55" s="1">
        <v>0</v>
      </c>
      <c r="F55" s="1">
        <v>-218.59</v>
      </c>
      <c r="G55" s="1">
        <v>-4328.0910000000003</v>
      </c>
      <c r="H55" s="1">
        <v>874.36199999999997</v>
      </c>
      <c r="I55" s="1">
        <v>0</v>
      </c>
    </row>
    <row r="56" spans="1:9" hidden="1" x14ac:dyDescent="0.25">
      <c r="A56" s="1" t="s">
        <v>157</v>
      </c>
      <c r="B56" s="1" t="s">
        <v>39</v>
      </c>
      <c r="C56" s="1" t="s">
        <v>25</v>
      </c>
      <c r="D56" s="1">
        <v>0</v>
      </c>
      <c r="E56" s="1">
        <v>0</v>
      </c>
      <c r="F56" s="1">
        <v>-218.59</v>
      </c>
      <c r="G56" s="1">
        <v>-3541.1660000000002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39</v>
      </c>
      <c r="C57" s="1" t="s">
        <v>10</v>
      </c>
      <c r="D57" s="1">
        <v>0</v>
      </c>
      <c r="E57" s="1">
        <v>0</v>
      </c>
      <c r="F57" s="1">
        <v>-218.59</v>
      </c>
      <c r="G57" s="1">
        <v>-3541.1660000000002</v>
      </c>
      <c r="H57" s="1">
        <v>874.36199999999997</v>
      </c>
      <c r="I57" s="1">
        <v>0</v>
      </c>
    </row>
    <row r="58" spans="1:9" hidden="1" x14ac:dyDescent="0.25">
      <c r="A58" s="1" t="s">
        <v>157</v>
      </c>
      <c r="B58" s="1" t="s">
        <v>40</v>
      </c>
      <c r="C58" s="1" t="s">
        <v>25</v>
      </c>
      <c r="D58" s="1">
        <v>0</v>
      </c>
      <c r="E58" s="1">
        <v>0</v>
      </c>
      <c r="F58" s="1">
        <v>218.59</v>
      </c>
      <c r="G58" s="1">
        <v>4328.0910000000003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40</v>
      </c>
      <c r="C59" s="1" t="s">
        <v>10</v>
      </c>
      <c r="D59" s="1">
        <v>0</v>
      </c>
      <c r="E59" s="1">
        <v>0</v>
      </c>
      <c r="F59" s="1">
        <v>218.59</v>
      </c>
      <c r="G59" s="1">
        <v>4328.0910000000003</v>
      </c>
      <c r="H59" s="1">
        <v>-874.36199999999997</v>
      </c>
      <c r="I59" s="1">
        <v>0</v>
      </c>
    </row>
    <row r="60" spans="1:9" hidden="1" x14ac:dyDescent="0.25">
      <c r="A60" s="1" t="s">
        <v>157</v>
      </c>
      <c r="B60" s="1" t="s">
        <v>41</v>
      </c>
      <c r="C60" s="1" t="s">
        <v>25</v>
      </c>
      <c r="D60" s="1">
        <v>0</v>
      </c>
      <c r="E60" s="1">
        <v>0</v>
      </c>
      <c r="F60" s="1">
        <v>218.59</v>
      </c>
      <c r="G60" s="1">
        <v>3541.1660000000002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41</v>
      </c>
      <c r="C61" s="1" t="s">
        <v>10</v>
      </c>
      <c r="D61" s="1">
        <v>0</v>
      </c>
      <c r="E61" s="1">
        <v>0</v>
      </c>
      <c r="F61" s="1">
        <v>218.59</v>
      </c>
      <c r="G61" s="1">
        <v>3541.1660000000002</v>
      </c>
      <c r="H61" s="1">
        <v>-874.36199999999997</v>
      </c>
      <c r="I61" s="1">
        <v>0</v>
      </c>
    </row>
    <row r="62" spans="1:9" hidden="1" x14ac:dyDescent="0.25">
      <c r="A62" s="1" t="s">
        <v>157</v>
      </c>
      <c r="B62" s="1" t="s">
        <v>42</v>
      </c>
      <c r="C62" s="1" t="s">
        <v>25</v>
      </c>
      <c r="D62" s="1">
        <v>0</v>
      </c>
      <c r="E62" s="1">
        <v>-180.84</v>
      </c>
      <c r="F62" s="1">
        <v>0</v>
      </c>
      <c r="G62" s="1">
        <v>2983.846</v>
      </c>
      <c r="H62" s="1">
        <v>0</v>
      </c>
      <c r="I62" s="1">
        <v>0</v>
      </c>
    </row>
    <row r="63" spans="1:9" hidden="1" x14ac:dyDescent="0.25">
      <c r="A63" s="1" t="s">
        <v>157</v>
      </c>
      <c r="B63" s="1" t="s">
        <v>42</v>
      </c>
      <c r="C63" s="1" t="s">
        <v>10</v>
      </c>
      <c r="D63" s="1">
        <v>0</v>
      </c>
      <c r="E63" s="1">
        <v>-180.84</v>
      </c>
      <c r="F63" s="1">
        <v>0</v>
      </c>
      <c r="G63" s="1">
        <v>2983.846</v>
      </c>
      <c r="H63" s="1">
        <v>0</v>
      </c>
      <c r="I63" s="1">
        <v>-723.35699999999997</v>
      </c>
    </row>
    <row r="64" spans="1:9" hidden="1" x14ac:dyDescent="0.25">
      <c r="A64" s="1" t="s">
        <v>157</v>
      </c>
      <c r="B64" s="1" t="s">
        <v>43</v>
      </c>
      <c r="C64" s="1" t="s">
        <v>25</v>
      </c>
      <c r="D64" s="1">
        <v>0</v>
      </c>
      <c r="E64" s="1">
        <v>-180.84</v>
      </c>
      <c r="F64" s="1">
        <v>0</v>
      </c>
      <c r="G64" s="1">
        <v>2441.3290000000002</v>
      </c>
      <c r="H64" s="1">
        <v>0</v>
      </c>
      <c r="I64" s="1">
        <v>0</v>
      </c>
    </row>
    <row r="65" spans="1:9" hidden="1" x14ac:dyDescent="0.25">
      <c r="A65" s="1" t="s">
        <v>157</v>
      </c>
      <c r="B65" s="1" t="s">
        <v>43</v>
      </c>
      <c r="C65" s="1" t="s">
        <v>10</v>
      </c>
      <c r="D65" s="1">
        <v>0</v>
      </c>
      <c r="E65" s="1">
        <v>-180.84</v>
      </c>
      <c r="F65" s="1">
        <v>0</v>
      </c>
      <c r="G65" s="1">
        <v>2441.3290000000002</v>
      </c>
      <c r="H65" s="1">
        <v>0</v>
      </c>
      <c r="I65" s="1">
        <v>-723.35699999999997</v>
      </c>
    </row>
    <row r="66" spans="1:9" hidden="1" x14ac:dyDescent="0.25">
      <c r="A66" s="1" t="s">
        <v>157</v>
      </c>
      <c r="B66" s="1" t="s">
        <v>44</v>
      </c>
      <c r="C66" s="1" t="s">
        <v>25</v>
      </c>
      <c r="D66" s="1">
        <v>0</v>
      </c>
      <c r="E66" s="1">
        <v>180.84</v>
      </c>
      <c r="F66" s="1">
        <v>0</v>
      </c>
      <c r="G66" s="1">
        <v>-2983.846</v>
      </c>
      <c r="H66" s="1">
        <v>0</v>
      </c>
      <c r="I66" s="1">
        <v>0</v>
      </c>
    </row>
    <row r="67" spans="1:9" hidden="1" x14ac:dyDescent="0.25">
      <c r="A67" s="1" t="s">
        <v>157</v>
      </c>
      <c r="B67" s="1" t="s">
        <v>44</v>
      </c>
      <c r="C67" s="1" t="s">
        <v>10</v>
      </c>
      <c r="D67" s="1">
        <v>0</v>
      </c>
      <c r="E67" s="1">
        <v>180.84</v>
      </c>
      <c r="F67" s="1">
        <v>0</v>
      </c>
      <c r="G67" s="1">
        <v>-2983.846</v>
      </c>
      <c r="H67" s="1">
        <v>0</v>
      </c>
      <c r="I67" s="1">
        <v>723.35699999999997</v>
      </c>
    </row>
    <row r="68" spans="1:9" hidden="1" x14ac:dyDescent="0.25">
      <c r="A68" s="1" t="s">
        <v>157</v>
      </c>
      <c r="B68" s="1" t="s">
        <v>45</v>
      </c>
      <c r="C68" s="1" t="s">
        <v>25</v>
      </c>
      <c r="D68" s="1">
        <v>0</v>
      </c>
      <c r="E68" s="1">
        <v>180.84</v>
      </c>
      <c r="F68" s="1">
        <v>0</v>
      </c>
      <c r="G68" s="1">
        <v>-2441.3290000000002</v>
      </c>
      <c r="H68" s="1">
        <v>0</v>
      </c>
      <c r="I68" s="1">
        <v>0</v>
      </c>
    </row>
    <row r="69" spans="1:9" hidden="1" x14ac:dyDescent="0.25">
      <c r="A69" s="1" t="s">
        <v>157</v>
      </c>
      <c r="B69" s="1" t="s">
        <v>45</v>
      </c>
      <c r="C69" s="1" t="s">
        <v>10</v>
      </c>
      <c r="D69" s="1">
        <v>0</v>
      </c>
      <c r="E69" s="1">
        <v>180.84</v>
      </c>
      <c r="F69" s="1">
        <v>0</v>
      </c>
      <c r="G69" s="1">
        <v>-2441.3290000000002</v>
      </c>
      <c r="H69" s="1">
        <v>0</v>
      </c>
      <c r="I69" s="1">
        <v>723.35699999999997</v>
      </c>
    </row>
    <row r="70" spans="1:9" hidden="1" x14ac:dyDescent="0.25">
      <c r="A70" s="1" t="s">
        <v>157</v>
      </c>
      <c r="B70" s="1" t="s">
        <v>46</v>
      </c>
      <c r="C70" s="1" t="s">
        <v>25</v>
      </c>
      <c r="D70" s="1">
        <v>0</v>
      </c>
      <c r="E70" s="1">
        <v>0</v>
      </c>
      <c r="F70" s="1">
        <v>-218.59</v>
      </c>
      <c r="G70" s="1">
        <v>-4328.0910000000003</v>
      </c>
      <c r="H70" s="1">
        <v>0</v>
      </c>
      <c r="I70" s="1">
        <v>0</v>
      </c>
    </row>
    <row r="71" spans="1:9" hidden="1" x14ac:dyDescent="0.25">
      <c r="A71" s="1" t="s">
        <v>157</v>
      </c>
      <c r="B71" s="1" t="s">
        <v>46</v>
      </c>
      <c r="C71" s="1" t="s">
        <v>10</v>
      </c>
      <c r="D71" s="1">
        <v>0</v>
      </c>
      <c r="E71" s="1">
        <v>0</v>
      </c>
      <c r="F71" s="1">
        <v>-218.59</v>
      </c>
      <c r="G71" s="1">
        <v>-4328.0910000000003</v>
      </c>
      <c r="H71" s="1">
        <v>874.36199999999997</v>
      </c>
      <c r="I71" s="1">
        <v>0</v>
      </c>
    </row>
    <row r="72" spans="1:9" hidden="1" x14ac:dyDescent="0.25">
      <c r="A72" s="1" t="s">
        <v>157</v>
      </c>
      <c r="B72" s="1" t="s">
        <v>47</v>
      </c>
      <c r="C72" s="1" t="s">
        <v>25</v>
      </c>
      <c r="D72" s="1">
        <v>0</v>
      </c>
      <c r="E72" s="1">
        <v>0</v>
      </c>
      <c r="F72" s="1">
        <v>-218.59</v>
      </c>
      <c r="G72" s="1">
        <v>-3541.1660000000002</v>
      </c>
      <c r="H72" s="1">
        <v>0</v>
      </c>
      <c r="I72" s="1">
        <v>0</v>
      </c>
    </row>
    <row r="73" spans="1:9" hidden="1" x14ac:dyDescent="0.25">
      <c r="A73" s="1" t="s">
        <v>157</v>
      </c>
      <c r="B73" s="1" t="s">
        <v>47</v>
      </c>
      <c r="C73" s="1" t="s">
        <v>10</v>
      </c>
      <c r="D73" s="1">
        <v>0</v>
      </c>
      <c r="E73" s="1">
        <v>0</v>
      </c>
      <c r="F73" s="1">
        <v>-218.59</v>
      </c>
      <c r="G73" s="1">
        <v>-3541.1660000000002</v>
      </c>
      <c r="H73" s="1">
        <v>874.36199999999997</v>
      </c>
      <c r="I73" s="1">
        <v>0</v>
      </c>
    </row>
    <row r="74" spans="1:9" hidden="1" x14ac:dyDescent="0.25">
      <c r="A74" s="1" t="s">
        <v>157</v>
      </c>
      <c r="B74" s="1" t="s">
        <v>48</v>
      </c>
      <c r="C74" s="1" t="s">
        <v>25</v>
      </c>
      <c r="D74" s="1">
        <v>0</v>
      </c>
      <c r="E74" s="1">
        <v>0</v>
      </c>
      <c r="F74" s="1">
        <v>218.59</v>
      </c>
      <c r="G74" s="1">
        <v>4328.0910000000003</v>
      </c>
      <c r="H74" s="1">
        <v>0</v>
      </c>
      <c r="I74" s="1">
        <v>0</v>
      </c>
    </row>
    <row r="75" spans="1:9" hidden="1" x14ac:dyDescent="0.25">
      <c r="A75" s="1" t="s">
        <v>157</v>
      </c>
      <c r="B75" s="1" t="s">
        <v>48</v>
      </c>
      <c r="C75" s="1" t="s">
        <v>10</v>
      </c>
      <c r="D75" s="1">
        <v>0</v>
      </c>
      <c r="E75" s="1">
        <v>0</v>
      </c>
      <c r="F75" s="1">
        <v>218.59</v>
      </c>
      <c r="G75" s="1">
        <v>4328.0910000000003</v>
      </c>
      <c r="H75" s="1">
        <v>-874.36199999999997</v>
      </c>
      <c r="I75" s="1">
        <v>0</v>
      </c>
    </row>
    <row r="76" spans="1:9" hidden="1" x14ac:dyDescent="0.25">
      <c r="A76" s="1" t="s">
        <v>157</v>
      </c>
      <c r="B76" s="1" t="s">
        <v>49</v>
      </c>
      <c r="C76" s="1" t="s">
        <v>25</v>
      </c>
      <c r="D76" s="1">
        <v>0</v>
      </c>
      <c r="E76" s="1">
        <v>0</v>
      </c>
      <c r="F76" s="1">
        <v>218.59</v>
      </c>
      <c r="G76" s="1">
        <v>3541.1660000000002</v>
      </c>
      <c r="H76" s="1">
        <v>0</v>
      </c>
      <c r="I76" s="1">
        <v>0</v>
      </c>
    </row>
    <row r="77" spans="1:9" hidden="1" x14ac:dyDescent="0.25">
      <c r="A77" s="1" t="s">
        <v>157</v>
      </c>
      <c r="B77" s="1" t="s">
        <v>49</v>
      </c>
      <c r="C77" s="1" t="s">
        <v>10</v>
      </c>
      <c r="D77" s="1">
        <v>0</v>
      </c>
      <c r="E77" s="1">
        <v>0</v>
      </c>
      <c r="F77" s="1">
        <v>218.59</v>
      </c>
      <c r="G77" s="1">
        <v>3541.1660000000002</v>
      </c>
      <c r="H77" s="1">
        <v>-874.36199999999997</v>
      </c>
      <c r="I77" s="1">
        <v>0</v>
      </c>
    </row>
    <row r="78" spans="1:9" hidden="1" x14ac:dyDescent="0.25">
      <c r="A78" s="1" t="s">
        <v>157</v>
      </c>
      <c r="B78" s="1" t="s">
        <v>50</v>
      </c>
      <c r="C78" s="1" t="s">
        <v>25</v>
      </c>
      <c r="D78" s="1">
        <v>0</v>
      </c>
      <c r="E78" s="1">
        <v>-54.25</v>
      </c>
      <c r="F78" s="1">
        <v>0</v>
      </c>
      <c r="G78" s="1">
        <v>895.154</v>
      </c>
      <c r="H78" s="1">
        <v>0</v>
      </c>
      <c r="I78" s="1">
        <v>0</v>
      </c>
    </row>
    <row r="79" spans="1:9" hidden="1" x14ac:dyDescent="0.25">
      <c r="A79" s="1" t="s">
        <v>157</v>
      </c>
      <c r="B79" s="1" t="s">
        <v>50</v>
      </c>
      <c r="C79" s="1" t="s">
        <v>10</v>
      </c>
      <c r="D79" s="1">
        <v>0</v>
      </c>
      <c r="E79" s="1">
        <v>-54.25</v>
      </c>
      <c r="F79" s="1">
        <v>0</v>
      </c>
      <c r="G79" s="1">
        <v>895.154</v>
      </c>
      <c r="H79" s="1">
        <v>0</v>
      </c>
      <c r="I79" s="1">
        <v>-217.00700000000001</v>
      </c>
    </row>
    <row r="80" spans="1:9" hidden="1" x14ac:dyDescent="0.25">
      <c r="A80" s="1" t="s">
        <v>157</v>
      </c>
      <c r="B80" s="1" t="s">
        <v>51</v>
      </c>
      <c r="C80" s="1" t="s">
        <v>25</v>
      </c>
      <c r="D80" s="1">
        <v>0</v>
      </c>
      <c r="E80" s="1">
        <v>-54.25</v>
      </c>
      <c r="F80" s="1">
        <v>0</v>
      </c>
      <c r="G80" s="1">
        <v>732.399</v>
      </c>
      <c r="H80" s="1">
        <v>0</v>
      </c>
      <c r="I80" s="1">
        <v>0</v>
      </c>
    </row>
    <row r="81" spans="1:9" hidden="1" x14ac:dyDescent="0.25">
      <c r="A81" s="1" t="s">
        <v>157</v>
      </c>
      <c r="B81" s="1" t="s">
        <v>51</v>
      </c>
      <c r="C81" s="1" t="s">
        <v>10</v>
      </c>
      <c r="D81" s="1">
        <v>0</v>
      </c>
      <c r="E81" s="1">
        <v>-54.25</v>
      </c>
      <c r="F81" s="1">
        <v>0</v>
      </c>
      <c r="G81" s="1">
        <v>732.399</v>
      </c>
      <c r="H81" s="1">
        <v>0</v>
      </c>
      <c r="I81" s="1">
        <v>-217.00700000000001</v>
      </c>
    </row>
    <row r="82" spans="1:9" hidden="1" x14ac:dyDescent="0.25">
      <c r="A82" s="1" t="s">
        <v>157</v>
      </c>
      <c r="B82" s="1" t="s">
        <v>52</v>
      </c>
      <c r="C82" s="1" t="s">
        <v>25</v>
      </c>
      <c r="D82" s="1">
        <v>0</v>
      </c>
      <c r="E82" s="1">
        <v>54.25</v>
      </c>
      <c r="F82" s="1">
        <v>0</v>
      </c>
      <c r="G82" s="1">
        <v>-895.154</v>
      </c>
      <c r="H82" s="1">
        <v>0</v>
      </c>
      <c r="I82" s="1">
        <v>0</v>
      </c>
    </row>
    <row r="83" spans="1:9" hidden="1" x14ac:dyDescent="0.25">
      <c r="A83" s="1" t="s">
        <v>157</v>
      </c>
      <c r="B83" s="1" t="s">
        <v>52</v>
      </c>
      <c r="C83" s="1" t="s">
        <v>10</v>
      </c>
      <c r="D83" s="1">
        <v>0</v>
      </c>
      <c r="E83" s="1">
        <v>54.25</v>
      </c>
      <c r="F83" s="1">
        <v>0</v>
      </c>
      <c r="G83" s="1">
        <v>-895.154</v>
      </c>
      <c r="H83" s="1">
        <v>0</v>
      </c>
      <c r="I83" s="1">
        <v>217.00700000000001</v>
      </c>
    </row>
    <row r="84" spans="1:9" hidden="1" x14ac:dyDescent="0.25">
      <c r="A84" s="1" t="s">
        <v>157</v>
      </c>
      <c r="B84" s="1" t="s">
        <v>53</v>
      </c>
      <c r="C84" s="1" t="s">
        <v>25</v>
      </c>
      <c r="D84" s="1">
        <v>0</v>
      </c>
      <c r="E84" s="1">
        <v>54.25</v>
      </c>
      <c r="F84" s="1">
        <v>0</v>
      </c>
      <c r="G84" s="1">
        <v>-732.399</v>
      </c>
      <c r="H84" s="1">
        <v>0</v>
      </c>
      <c r="I84" s="1">
        <v>0</v>
      </c>
    </row>
    <row r="85" spans="1:9" hidden="1" x14ac:dyDescent="0.25">
      <c r="A85" s="1" t="s">
        <v>157</v>
      </c>
      <c r="B85" s="1" t="s">
        <v>53</v>
      </c>
      <c r="C85" s="1" t="s">
        <v>10</v>
      </c>
      <c r="D85" s="1">
        <v>0</v>
      </c>
      <c r="E85" s="1">
        <v>54.25</v>
      </c>
      <c r="F85" s="1">
        <v>0</v>
      </c>
      <c r="G85" s="1">
        <v>-732.399</v>
      </c>
      <c r="H85" s="1">
        <v>0</v>
      </c>
      <c r="I85" s="1">
        <v>217.00700000000001</v>
      </c>
    </row>
    <row r="86" spans="1:9" hidden="1" x14ac:dyDescent="0.25">
      <c r="A86" s="1" t="s">
        <v>157</v>
      </c>
      <c r="B86" s="1" t="s">
        <v>54</v>
      </c>
      <c r="C86" s="1" t="s">
        <v>25</v>
      </c>
      <c r="D86" s="1">
        <v>0</v>
      </c>
      <c r="E86" s="1">
        <v>0</v>
      </c>
      <c r="F86" s="1">
        <v>-65.58</v>
      </c>
      <c r="G86" s="1">
        <v>-1298.4269999999999</v>
      </c>
      <c r="H86" s="1">
        <v>0</v>
      </c>
      <c r="I86" s="1">
        <v>0</v>
      </c>
    </row>
    <row r="87" spans="1:9" hidden="1" x14ac:dyDescent="0.25">
      <c r="A87" s="1" t="s">
        <v>157</v>
      </c>
      <c r="B87" s="1" t="s">
        <v>54</v>
      </c>
      <c r="C87" s="1" t="s">
        <v>10</v>
      </c>
      <c r="D87" s="1">
        <v>0</v>
      </c>
      <c r="E87" s="1">
        <v>0</v>
      </c>
      <c r="F87" s="1">
        <v>-65.58</v>
      </c>
      <c r="G87" s="1">
        <v>-1298.4269999999999</v>
      </c>
      <c r="H87" s="1">
        <v>262.30900000000003</v>
      </c>
      <c r="I87" s="1">
        <v>0</v>
      </c>
    </row>
    <row r="88" spans="1:9" hidden="1" x14ac:dyDescent="0.25">
      <c r="A88" s="1" t="s">
        <v>157</v>
      </c>
      <c r="B88" s="1" t="s">
        <v>55</v>
      </c>
      <c r="C88" s="1" t="s">
        <v>25</v>
      </c>
      <c r="D88" s="1">
        <v>0</v>
      </c>
      <c r="E88" s="1">
        <v>0</v>
      </c>
      <c r="F88" s="1">
        <v>-65.58</v>
      </c>
      <c r="G88" s="1">
        <v>-1062.3499999999999</v>
      </c>
      <c r="H88" s="1">
        <v>0</v>
      </c>
      <c r="I88" s="1">
        <v>0</v>
      </c>
    </row>
    <row r="89" spans="1:9" hidden="1" x14ac:dyDescent="0.25">
      <c r="A89" s="1" t="s">
        <v>157</v>
      </c>
      <c r="B89" s="1" t="s">
        <v>55</v>
      </c>
      <c r="C89" s="1" t="s">
        <v>10</v>
      </c>
      <c r="D89" s="1">
        <v>0</v>
      </c>
      <c r="E89" s="1">
        <v>0</v>
      </c>
      <c r="F89" s="1">
        <v>-65.58</v>
      </c>
      <c r="G89" s="1">
        <v>-1062.3499999999999</v>
      </c>
      <c r="H89" s="1">
        <v>262.30900000000003</v>
      </c>
      <c r="I89" s="1">
        <v>0</v>
      </c>
    </row>
    <row r="90" spans="1:9" hidden="1" x14ac:dyDescent="0.25">
      <c r="A90" s="1" t="s">
        <v>157</v>
      </c>
      <c r="B90" s="1" t="s">
        <v>56</v>
      </c>
      <c r="C90" s="1" t="s">
        <v>25</v>
      </c>
      <c r="D90" s="1">
        <v>0</v>
      </c>
      <c r="E90" s="1">
        <v>0</v>
      </c>
      <c r="F90" s="1">
        <v>65.58</v>
      </c>
      <c r="G90" s="1">
        <v>1298.4269999999999</v>
      </c>
      <c r="H90" s="1">
        <v>0</v>
      </c>
      <c r="I90" s="1">
        <v>0</v>
      </c>
    </row>
    <row r="91" spans="1:9" hidden="1" x14ac:dyDescent="0.25">
      <c r="A91" s="1" t="s">
        <v>157</v>
      </c>
      <c r="B91" s="1" t="s">
        <v>56</v>
      </c>
      <c r="C91" s="1" t="s">
        <v>10</v>
      </c>
      <c r="D91" s="1">
        <v>0</v>
      </c>
      <c r="E91" s="1">
        <v>0</v>
      </c>
      <c r="F91" s="1">
        <v>65.58</v>
      </c>
      <c r="G91" s="1">
        <v>1298.4269999999999</v>
      </c>
      <c r="H91" s="1">
        <v>-262.30900000000003</v>
      </c>
      <c r="I91" s="1">
        <v>0</v>
      </c>
    </row>
    <row r="92" spans="1:9" hidden="1" x14ac:dyDescent="0.25">
      <c r="A92" s="1" t="s">
        <v>157</v>
      </c>
      <c r="B92" s="1" t="s">
        <v>57</v>
      </c>
      <c r="C92" s="1" t="s">
        <v>25</v>
      </c>
      <c r="D92" s="1">
        <v>0</v>
      </c>
      <c r="E92" s="1">
        <v>0</v>
      </c>
      <c r="F92" s="1">
        <v>65.58</v>
      </c>
      <c r="G92" s="1">
        <v>1062.3499999999999</v>
      </c>
      <c r="H92" s="1">
        <v>0</v>
      </c>
      <c r="I92" s="1">
        <v>0</v>
      </c>
    </row>
    <row r="93" spans="1:9" hidden="1" x14ac:dyDescent="0.25">
      <c r="A93" s="1" t="s">
        <v>157</v>
      </c>
      <c r="B93" s="1" t="s">
        <v>57</v>
      </c>
      <c r="C93" s="1" t="s">
        <v>10</v>
      </c>
      <c r="D93" s="1">
        <v>0</v>
      </c>
      <c r="E93" s="1">
        <v>0</v>
      </c>
      <c r="F93" s="1">
        <v>65.58</v>
      </c>
      <c r="G93" s="1">
        <v>1062.3499999999999</v>
      </c>
      <c r="H93" s="1">
        <v>-262.30900000000003</v>
      </c>
      <c r="I93" s="1">
        <v>0</v>
      </c>
    </row>
    <row r="94" spans="1:9" hidden="1" x14ac:dyDescent="0.25">
      <c r="A94" s="1" t="s">
        <v>157</v>
      </c>
      <c r="B94" s="1" t="s">
        <v>58</v>
      </c>
      <c r="C94" s="1" t="s">
        <v>25</v>
      </c>
      <c r="D94" s="1">
        <v>0</v>
      </c>
      <c r="E94" s="1">
        <v>-54.25</v>
      </c>
      <c r="F94" s="1">
        <v>0</v>
      </c>
      <c r="G94" s="1">
        <v>895.154</v>
      </c>
      <c r="H94" s="1">
        <v>0</v>
      </c>
      <c r="I94" s="1">
        <v>0</v>
      </c>
    </row>
    <row r="95" spans="1:9" hidden="1" x14ac:dyDescent="0.25">
      <c r="A95" s="1" t="s">
        <v>157</v>
      </c>
      <c r="B95" s="1" t="s">
        <v>58</v>
      </c>
      <c r="C95" s="1" t="s">
        <v>10</v>
      </c>
      <c r="D95" s="1">
        <v>0</v>
      </c>
      <c r="E95" s="1">
        <v>-54.25</v>
      </c>
      <c r="F95" s="1">
        <v>0</v>
      </c>
      <c r="G95" s="1">
        <v>895.154</v>
      </c>
      <c r="H95" s="1">
        <v>0</v>
      </c>
      <c r="I95" s="1">
        <v>-217.00700000000001</v>
      </c>
    </row>
    <row r="96" spans="1:9" hidden="1" x14ac:dyDescent="0.25">
      <c r="A96" s="1" t="s">
        <v>157</v>
      </c>
      <c r="B96" s="1" t="s">
        <v>59</v>
      </c>
      <c r="C96" s="1" t="s">
        <v>25</v>
      </c>
      <c r="D96" s="1">
        <v>0</v>
      </c>
      <c r="E96" s="1">
        <v>-54.25</v>
      </c>
      <c r="F96" s="1">
        <v>0</v>
      </c>
      <c r="G96" s="1">
        <v>732.399</v>
      </c>
      <c r="H96" s="1">
        <v>0</v>
      </c>
      <c r="I96" s="1">
        <v>0</v>
      </c>
    </row>
    <row r="97" spans="1:9" hidden="1" x14ac:dyDescent="0.25">
      <c r="A97" s="1" t="s">
        <v>157</v>
      </c>
      <c r="B97" s="1" t="s">
        <v>59</v>
      </c>
      <c r="C97" s="1" t="s">
        <v>10</v>
      </c>
      <c r="D97" s="1">
        <v>0</v>
      </c>
      <c r="E97" s="1">
        <v>-54.25</v>
      </c>
      <c r="F97" s="1">
        <v>0</v>
      </c>
      <c r="G97" s="1">
        <v>732.399</v>
      </c>
      <c r="H97" s="1">
        <v>0</v>
      </c>
      <c r="I97" s="1">
        <v>-217.00700000000001</v>
      </c>
    </row>
    <row r="98" spans="1:9" hidden="1" x14ac:dyDescent="0.25">
      <c r="A98" s="1" t="s">
        <v>157</v>
      </c>
      <c r="B98" s="1" t="s">
        <v>60</v>
      </c>
      <c r="C98" s="1" t="s">
        <v>25</v>
      </c>
      <c r="D98" s="1">
        <v>0</v>
      </c>
      <c r="E98" s="1">
        <v>54.25</v>
      </c>
      <c r="F98" s="1">
        <v>0</v>
      </c>
      <c r="G98" s="1">
        <v>-895.154</v>
      </c>
      <c r="H98" s="1">
        <v>0</v>
      </c>
      <c r="I98" s="1">
        <v>0</v>
      </c>
    </row>
    <row r="99" spans="1:9" hidden="1" x14ac:dyDescent="0.25">
      <c r="A99" s="1" t="s">
        <v>157</v>
      </c>
      <c r="B99" s="1" t="s">
        <v>60</v>
      </c>
      <c r="C99" s="1" t="s">
        <v>10</v>
      </c>
      <c r="D99" s="1">
        <v>0</v>
      </c>
      <c r="E99" s="1">
        <v>54.25</v>
      </c>
      <c r="F99" s="1">
        <v>0</v>
      </c>
      <c r="G99" s="1">
        <v>-895.154</v>
      </c>
      <c r="H99" s="1">
        <v>0</v>
      </c>
      <c r="I99" s="1">
        <v>217.00700000000001</v>
      </c>
    </row>
    <row r="100" spans="1:9" hidden="1" x14ac:dyDescent="0.25">
      <c r="A100" s="1" t="s">
        <v>157</v>
      </c>
      <c r="B100" s="1" t="s">
        <v>61</v>
      </c>
      <c r="C100" s="1" t="s">
        <v>25</v>
      </c>
      <c r="D100" s="1">
        <v>0</v>
      </c>
      <c r="E100" s="1">
        <v>54.25</v>
      </c>
      <c r="F100" s="1">
        <v>0</v>
      </c>
      <c r="G100" s="1">
        <v>-732.399</v>
      </c>
      <c r="H100" s="1">
        <v>0</v>
      </c>
      <c r="I100" s="1">
        <v>0</v>
      </c>
    </row>
    <row r="101" spans="1:9" hidden="1" x14ac:dyDescent="0.25">
      <c r="A101" s="1" t="s">
        <v>157</v>
      </c>
      <c r="B101" s="1" t="s">
        <v>61</v>
      </c>
      <c r="C101" s="1" t="s">
        <v>10</v>
      </c>
      <c r="D101" s="1">
        <v>0</v>
      </c>
      <c r="E101" s="1">
        <v>54.25</v>
      </c>
      <c r="F101" s="1">
        <v>0</v>
      </c>
      <c r="G101" s="1">
        <v>-732.399</v>
      </c>
      <c r="H101" s="1">
        <v>0</v>
      </c>
      <c r="I101" s="1">
        <v>217.00700000000001</v>
      </c>
    </row>
    <row r="102" spans="1:9" hidden="1" x14ac:dyDescent="0.25">
      <c r="A102" s="1" t="s">
        <v>157</v>
      </c>
      <c r="B102" s="1" t="s">
        <v>62</v>
      </c>
      <c r="C102" s="1" t="s">
        <v>25</v>
      </c>
      <c r="D102" s="1">
        <v>0</v>
      </c>
      <c r="E102" s="1">
        <v>0</v>
      </c>
      <c r="F102" s="1">
        <v>-65.58</v>
      </c>
      <c r="G102" s="1">
        <v>-1298.4269999999999</v>
      </c>
      <c r="H102" s="1">
        <v>0</v>
      </c>
      <c r="I102" s="1">
        <v>0</v>
      </c>
    </row>
    <row r="103" spans="1:9" hidden="1" x14ac:dyDescent="0.25">
      <c r="A103" s="1" t="s">
        <v>157</v>
      </c>
      <c r="B103" s="1" t="s">
        <v>62</v>
      </c>
      <c r="C103" s="1" t="s">
        <v>10</v>
      </c>
      <c r="D103" s="1">
        <v>0</v>
      </c>
      <c r="E103" s="1">
        <v>0</v>
      </c>
      <c r="F103" s="1">
        <v>-65.58</v>
      </c>
      <c r="G103" s="1">
        <v>-1298.4269999999999</v>
      </c>
      <c r="H103" s="1">
        <v>262.30900000000003</v>
      </c>
      <c r="I103" s="1">
        <v>0</v>
      </c>
    </row>
    <row r="104" spans="1:9" hidden="1" x14ac:dyDescent="0.25">
      <c r="A104" s="1" t="s">
        <v>157</v>
      </c>
      <c r="B104" s="1" t="s">
        <v>63</v>
      </c>
      <c r="C104" s="1" t="s">
        <v>25</v>
      </c>
      <c r="D104" s="1">
        <v>0</v>
      </c>
      <c r="E104" s="1">
        <v>0</v>
      </c>
      <c r="F104" s="1">
        <v>-65.58</v>
      </c>
      <c r="G104" s="1">
        <v>-1062.3499999999999</v>
      </c>
      <c r="H104" s="1">
        <v>0</v>
      </c>
      <c r="I104" s="1">
        <v>0</v>
      </c>
    </row>
    <row r="105" spans="1:9" hidden="1" x14ac:dyDescent="0.25">
      <c r="A105" s="1" t="s">
        <v>157</v>
      </c>
      <c r="B105" s="1" t="s">
        <v>63</v>
      </c>
      <c r="C105" s="1" t="s">
        <v>10</v>
      </c>
      <c r="D105" s="1">
        <v>0</v>
      </c>
      <c r="E105" s="1">
        <v>0</v>
      </c>
      <c r="F105" s="1">
        <v>-65.58</v>
      </c>
      <c r="G105" s="1">
        <v>-1062.3499999999999</v>
      </c>
      <c r="H105" s="1">
        <v>262.30900000000003</v>
      </c>
      <c r="I105" s="1">
        <v>0</v>
      </c>
    </row>
    <row r="106" spans="1:9" hidden="1" x14ac:dyDescent="0.25">
      <c r="A106" s="1" t="s">
        <v>157</v>
      </c>
      <c r="B106" s="1" t="s">
        <v>64</v>
      </c>
      <c r="C106" s="1" t="s">
        <v>25</v>
      </c>
      <c r="D106" s="1">
        <v>0</v>
      </c>
      <c r="E106" s="1">
        <v>0</v>
      </c>
      <c r="F106" s="1">
        <v>65.58</v>
      </c>
      <c r="G106" s="1">
        <v>1298.4269999999999</v>
      </c>
      <c r="H106" s="1">
        <v>0</v>
      </c>
      <c r="I106" s="1">
        <v>0</v>
      </c>
    </row>
    <row r="107" spans="1:9" hidden="1" x14ac:dyDescent="0.25">
      <c r="A107" s="1" t="s">
        <v>157</v>
      </c>
      <c r="B107" s="1" t="s">
        <v>64</v>
      </c>
      <c r="C107" s="1" t="s">
        <v>10</v>
      </c>
      <c r="D107" s="1">
        <v>0</v>
      </c>
      <c r="E107" s="1">
        <v>0</v>
      </c>
      <c r="F107" s="1">
        <v>65.58</v>
      </c>
      <c r="G107" s="1">
        <v>1298.4269999999999</v>
      </c>
      <c r="H107" s="1">
        <v>-262.30900000000003</v>
      </c>
      <c r="I107" s="1">
        <v>0</v>
      </c>
    </row>
    <row r="108" spans="1:9" hidden="1" x14ac:dyDescent="0.25">
      <c r="A108" s="1" t="s">
        <v>157</v>
      </c>
      <c r="B108" s="1" t="s">
        <v>65</v>
      </c>
      <c r="C108" s="1" t="s">
        <v>25</v>
      </c>
      <c r="D108" s="1">
        <v>0</v>
      </c>
      <c r="E108" s="1">
        <v>0</v>
      </c>
      <c r="F108" s="1">
        <v>65.58</v>
      </c>
      <c r="G108" s="1">
        <v>1062.3499999999999</v>
      </c>
      <c r="H108" s="1">
        <v>0</v>
      </c>
      <c r="I108" s="1">
        <v>0</v>
      </c>
    </row>
    <row r="109" spans="1:9" hidden="1" x14ac:dyDescent="0.25">
      <c r="A109" s="1" t="s">
        <v>157</v>
      </c>
      <c r="B109" s="1" t="s">
        <v>65</v>
      </c>
      <c r="C109" s="1" t="s">
        <v>10</v>
      </c>
      <c r="D109" s="1">
        <v>0</v>
      </c>
      <c r="E109" s="1">
        <v>0</v>
      </c>
      <c r="F109" s="1">
        <v>65.58</v>
      </c>
      <c r="G109" s="1">
        <v>1062.3499999999999</v>
      </c>
      <c r="H109" s="1">
        <v>-262.30900000000003</v>
      </c>
      <c r="I109" s="1">
        <v>0</v>
      </c>
    </row>
    <row r="110" spans="1:9" hidden="1" x14ac:dyDescent="0.25">
      <c r="A110" s="1" t="s">
        <v>157</v>
      </c>
      <c r="B110" s="1" t="s">
        <v>66</v>
      </c>
      <c r="C110" s="1" t="s">
        <v>25</v>
      </c>
      <c r="D110" s="1">
        <v>0</v>
      </c>
      <c r="E110" s="1">
        <v>-180.84</v>
      </c>
      <c r="F110" s="1">
        <v>0</v>
      </c>
      <c r="G110" s="1">
        <v>2983.846</v>
      </c>
      <c r="H110" s="1">
        <v>0</v>
      </c>
      <c r="I110" s="1">
        <v>0</v>
      </c>
    </row>
    <row r="111" spans="1:9" hidden="1" x14ac:dyDescent="0.25">
      <c r="A111" s="1" t="s">
        <v>157</v>
      </c>
      <c r="B111" s="1" t="s">
        <v>66</v>
      </c>
      <c r="C111" s="1" t="s">
        <v>10</v>
      </c>
      <c r="D111" s="1">
        <v>0</v>
      </c>
      <c r="E111" s="1">
        <v>-180.84</v>
      </c>
      <c r="F111" s="1">
        <v>0</v>
      </c>
      <c r="G111" s="1">
        <v>2983.846</v>
      </c>
      <c r="H111" s="1">
        <v>0</v>
      </c>
      <c r="I111" s="1">
        <v>-723.35699999999997</v>
      </c>
    </row>
    <row r="112" spans="1:9" hidden="1" x14ac:dyDescent="0.25">
      <c r="A112" s="1" t="s">
        <v>157</v>
      </c>
      <c r="B112" s="1" t="s">
        <v>67</v>
      </c>
      <c r="C112" s="1" t="s">
        <v>25</v>
      </c>
      <c r="D112" s="1">
        <v>0</v>
      </c>
      <c r="E112" s="1">
        <v>-180.84</v>
      </c>
      <c r="F112" s="1">
        <v>0</v>
      </c>
      <c r="G112" s="1">
        <v>2441.3290000000002</v>
      </c>
      <c r="H112" s="1">
        <v>0</v>
      </c>
      <c r="I112" s="1">
        <v>0</v>
      </c>
    </row>
    <row r="113" spans="1:9" hidden="1" x14ac:dyDescent="0.25">
      <c r="A113" s="1" t="s">
        <v>157</v>
      </c>
      <c r="B113" s="1" t="s">
        <v>67</v>
      </c>
      <c r="C113" s="1" t="s">
        <v>10</v>
      </c>
      <c r="D113" s="1">
        <v>0</v>
      </c>
      <c r="E113" s="1">
        <v>-180.84</v>
      </c>
      <c r="F113" s="1">
        <v>0</v>
      </c>
      <c r="G113" s="1">
        <v>2441.3290000000002</v>
      </c>
      <c r="H113" s="1">
        <v>0</v>
      </c>
      <c r="I113" s="1">
        <v>-723.35699999999997</v>
      </c>
    </row>
    <row r="114" spans="1:9" hidden="1" x14ac:dyDescent="0.25">
      <c r="A114" s="1" t="s">
        <v>157</v>
      </c>
      <c r="B114" s="1" t="s">
        <v>68</v>
      </c>
      <c r="C114" s="1" t="s">
        <v>25</v>
      </c>
      <c r="D114" s="1">
        <v>0</v>
      </c>
      <c r="E114" s="1">
        <v>180.84</v>
      </c>
      <c r="F114" s="1">
        <v>0</v>
      </c>
      <c r="G114" s="1">
        <v>-2983.846</v>
      </c>
      <c r="H114" s="1">
        <v>0</v>
      </c>
      <c r="I114" s="1">
        <v>0</v>
      </c>
    </row>
    <row r="115" spans="1:9" hidden="1" x14ac:dyDescent="0.25">
      <c r="A115" s="1" t="s">
        <v>157</v>
      </c>
      <c r="B115" s="1" t="s">
        <v>68</v>
      </c>
      <c r="C115" s="1" t="s">
        <v>10</v>
      </c>
      <c r="D115" s="1">
        <v>0</v>
      </c>
      <c r="E115" s="1">
        <v>180.84</v>
      </c>
      <c r="F115" s="1">
        <v>0</v>
      </c>
      <c r="G115" s="1">
        <v>-2983.846</v>
      </c>
      <c r="H115" s="1">
        <v>0</v>
      </c>
      <c r="I115" s="1">
        <v>723.35699999999997</v>
      </c>
    </row>
    <row r="116" spans="1:9" hidden="1" x14ac:dyDescent="0.25">
      <c r="A116" s="1" t="s">
        <v>157</v>
      </c>
      <c r="B116" s="1" t="s">
        <v>69</v>
      </c>
      <c r="C116" s="1" t="s">
        <v>25</v>
      </c>
      <c r="D116" s="1">
        <v>0</v>
      </c>
      <c r="E116" s="1">
        <v>180.84</v>
      </c>
      <c r="F116" s="1">
        <v>0</v>
      </c>
      <c r="G116" s="1">
        <v>-2441.3290000000002</v>
      </c>
      <c r="H116" s="1">
        <v>0</v>
      </c>
      <c r="I116" s="1">
        <v>0</v>
      </c>
    </row>
    <row r="117" spans="1:9" hidden="1" x14ac:dyDescent="0.25">
      <c r="A117" s="1" t="s">
        <v>157</v>
      </c>
      <c r="B117" s="1" t="s">
        <v>69</v>
      </c>
      <c r="C117" s="1" t="s">
        <v>10</v>
      </c>
      <c r="D117" s="1">
        <v>0</v>
      </c>
      <c r="E117" s="1">
        <v>180.84</v>
      </c>
      <c r="F117" s="1">
        <v>0</v>
      </c>
      <c r="G117" s="1">
        <v>-2441.3290000000002</v>
      </c>
      <c r="H117" s="1">
        <v>0</v>
      </c>
      <c r="I117" s="1">
        <v>723.35699999999997</v>
      </c>
    </row>
    <row r="118" spans="1:9" hidden="1" x14ac:dyDescent="0.25">
      <c r="A118" s="1" t="s">
        <v>157</v>
      </c>
      <c r="B118" s="1" t="s">
        <v>70</v>
      </c>
      <c r="C118" s="1" t="s">
        <v>25</v>
      </c>
      <c r="D118" s="1">
        <v>0</v>
      </c>
      <c r="E118" s="1">
        <v>0</v>
      </c>
      <c r="F118" s="1">
        <v>-218.59</v>
      </c>
      <c r="G118" s="1">
        <v>-4328.0910000000003</v>
      </c>
      <c r="H118" s="1">
        <v>0</v>
      </c>
      <c r="I118" s="1">
        <v>0</v>
      </c>
    </row>
    <row r="119" spans="1:9" hidden="1" x14ac:dyDescent="0.25">
      <c r="A119" s="1" t="s">
        <v>157</v>
      </c>
      <c r="B119" s="1" t="s">
        <v>70</v>
      </c>
      <c r="C119" s="1" t="s">
        <v>10</v>
      </c>
      <c r="D119" s="1">
        <v>0</v>
      </c>
      <c r="E119" s="1">
        <v>0</v>
      </c>
      <c r="F119" s="1">
        <v>-218.59</v>
      </c>
      <c r="G119" s="1">
        <v>-4328.0910000000003</v>
      </c>
      <c r="H119" s="1">
        <v>874.36199999999997</v>
      </c>
      <c r="I119" s="1">
        <v>0</v>
      </c>
    </row>
    <row r="120" spans="1:9" hidden="1" x14ac:dyDescent="0.25">
      <c r="A120" s="1" t="s">
        <v>157</v>
      </c>
      <c r="B120" s="1" t="s">
        <v>71</v>
      </c>
      <c r="C120" s="1" t="s">
        <v>25</v>
      </c>
      <c r="D120" s="1">
        <v>0</v>
      </c>
      <c r="E120" s="1">
        <v>0</v>
      </c>
      <c r="F120" s="1">
        <v>-218.59</v>
      </c>
      <c r="G120" s="1">
        <v>-3541.1660000000002</v>
      </c>
      <c r="H120" s="1">
        <v>0</v>
      </c>
      <c r="I120" s="1">
        <v>0</v>
      </c>
    </row>
    <row r="121" spans="1:9" hidden="1" x14ac:dyDescent="0.25">
      <c r="A121" s="1" t="s">
        <v>157</v>
      </c>
      <c r="B121" s="1" t="s">
        <v>71</v>
      </c>
      <c r="C121" s="1" t="s">
        <v>10</v>
      </c>
      <c r="D121" s="1">
        <v>0</v>
      </c>
      <c r="E121" s="1">
        <v>0</v>
      </c>
      <c r="F121" s="1">
        <v>-218.59</v>
      </c>
      <c r="G121" s="1">
        <v>-3541.1660000000002</v>
      </c>
      <c r="H121" s="1">
        <v>874.36199999999997</v>
      </c>
      <c r="I121" s="1">
        <v>0</v>
      </c>
    </row>
    <row r="122" spans="1:9" hidden="1" x14ac:dyDescent="0.25">
      <c r="A122" s="1" t="s">
        <v>157</v>
      </c>
      <c r="B122" s="1" t="s">
        <v>72</v>
      </c>
      <c r="C122" s="1" t="s">
        <v>25</v>
      </c>
      <c r="D122" s="1">
        <v>0</v>
      </c>
      <c r="E122" s="1">
        <v>0</v>
      </c>
      <c r="F122" s="1">
        <v>218.59</v>
      </c>
      <c r="G122" s="1">
        <v>4328.0910000000003</v>
      </c>
      <c r="H122" s="1">
        <v>0</v>
      </c>
      <c r="I122" s="1">
        <v>0</v>
      </c>
    </row>
    <row r="123" spans="1:9" hidden="1" x14ac:dyDescent="0.25">
      <c r="A123" s="1" t="s">
        <v>157</v>
      </c>
      <c r="B123" s="1" t="s">
        <v>72</v>
      </c>
      <c r="C123" s="1" t="s">
        <v>10</v>
      </c>
      <c r="D123" s="1">
        <v>0</v>
      </c>
      <c r="E123" s="1">
        <v>0</v>
      </c>
      <c r="F123" s="1">
        <v>218.59</v>
      </c>
      <c r="G123" s="1">
        <v>4328.0910000000003</v>
      </c>
      <c r="H123" s="1">
        <v>-874.36199999999997</v>
      </c>
      <c r="I123" s="1">
        <v>0</v>
      </c>
    </row>
    <row r="124" spans="1:9" hidden="1" x14ac:dyDescent="0.25">
      <c r="A124" s="1" t="s">
        <v>157</v>
      </c>
      <c r="B124" s="1" t="s">
        <v>73</v>
      </c>
      <c r="C124" s="1" t="s">
        <v>25</v>
      </c>
      <c r="D124" s="1">
        <v>0</v>
      </c>
      <c r="E124" s="1">
        <v>0</v>
      </c>
      <c r="F124" s="1">
        <v>218.59</v>
      </c>
      <c r="G124" s="1">
        <v>3541.1660000000002</v>
      </c>
      <c r="H124" s="1">
        <v>0</v>
      </c>
      <c r="I124" s="1">
        <v>0</v>
      </c>
    </row>
    <row r="125" spans="1:9" hidden="1" x14ac:dyDescent="0.25">
      <c r="A125" s="1" t="s">
        <v>157</v>
      </c>
      <c r="B125" s="1" t="s">
        <v>73</v>
      </c>
      <c r="C125" s="1" t="s">
        <v>10</v>
      </c>
      <c r="D125" s="1">
        <v>0</v>
      </c>
      <c r="E125" s="1">
        <v>0</v>
      </c>
      <c r="F125" s="1">
        <v>218.59</v>
      </c>
      <c r="G125" s="1">
        <v>3541.1660000000002</v>
      </c>
      <c r="H125" s="1">
        <v>-874.36199999999997</v>
      </c>
      <c r="I125" s="1">
        <v>0</v>
      </c>
    </row>
    <row r="126" spans="1:9" hidden="1" x14ac:dyDescent="0.25">
      <c r="A126" s="1" t="s">
        <v>157</v>
      </c>
      <c r="B126" s="1" t="s">
        <v>74</v>
      </c>
      <c r="C126" s="1" t="s">
        <v>25</v>
      </c>
      <c r="D126" s="1">
        <v>0</v>
      </c>
      <c r="E126" s="1">
        <v>-180.84</v>
      </c>
      <c r="F126" s="1">
        <v>0</v>
      </c>
      <c r="G126" s="1">
        <v>2983.846</v>
      </c>
      <c r="H126" s="1">
        <v>0</v>
      </c>
      <c r="I126" s="1">
        <v>0</v>
      </c>
    </row>
    <row r="127" spans="1:9" hidden="1" x14ac:dyDescent="0.25">
      <c r="A127" s="1" t="s">
        <v>157</v>
      </c>
      <c r="B127" s="1" t="s">
        <v>74</v>
      </c>
      <c r="C127" s="1" t="s">
        <v>10</v>
      </c>
      <c r="D127" s="1">
        <v>0</v>
      </c>
      <c r="E127" s="1">
        <v>-180.84</v>
      </c>
      <c r="F127" s="1">
        <v>0</v>
      </c>
      <c r="G127" s="1">
        <v>2983.846</v>
      </c>
      <c r="H127" s="1">
        <v>0</v>
      </c>
      <c r="I127" s="1">
        <v>-723.35699999999997</v>
      </c>
    </row>
    <row r="128" spans="1:9" hidden="1" x14ac:dyDescent="0.25">
      <c r="A128" s="1" t="s">
        <v>157</v>
      </c>
      <c r="B128" s="1" t="s">
        <v>75</v>
      </c>
      <c r="C128" s="1" t="s">
        <v>25</v>
      </c>
      <c r="D128" s="1">
        <v>0</v>
      </c>
      <c r="E128" s="1">
        <v>-180.84</v>
      </c>
      <c r="F128" s="1">
        <v>0</v>
      </c>
      <c r="G128" s="1">
        <v>2441.3290000000002</v>
      </c>
      <c r="H128" s="1">
        <v>0</v>
      </c>
      <c r="I128" s="1">
        <v>0</v>
      </c>
    </row>
    <row r="129" spans="1:9" hidden="1" x14ac:dyDescent="0.25">
      <c r="A129" s="1" t="s">
        <v>157</v>
      </c>
      <c r="B129" s="1" t="s">
        <v>75</v>
      </c>
      <c r="C129" s="1" t="s">
        <v>10</v>
      </c>
      <c r="D129" s="1">
        <v>0</v>
      </c>
      <c r="E129" s="1">
        <v>-180.84</v>
      </c>
      <c r="F129" s="1">
        <v>0</v>
      </c>
      <c r="G129" s="1">
        <v>2441.3290000000002</v>
      </c>
      <c r="H129" s="1">
        <v>0</v>
      </c>
      <c r="I129" s="1">
        <v>-723.35699999999997</v>
      </c>
    </row>
    <row r="130" spans="1:9" hidden="1" x14ac:dyDescent="0.25">
      <c r="A130" s="1" t="s">
        <v>157</v>
      </c>
      <c r="B130" s="1" t="s">
        <v>76</v>
      </c>
      <c r="C130" s="1" t="s">
        <v>25</v>
      </c>
      <c r="D130" s="1">
        <v>0</v>
      </c>
      <c r="E130" s="1">
        <v>180.84</v>
      </c>
      <c r="F130" s="1">
        <v>0</v>
      </c>
      <c r="G130" s="1">
        <v>-2983.846</v>
      </c>
      <c r="H130" s="1">
        <v>0</v>
      </c>
      <c r="I130" s="1">
        <v>0</v>
      </c>
    </row>
    <row r="131" spans="1:9" hidden="1" x14ac:dyDescent="0.25">
      <c r="A131" s="1" t="s">
        <v>157</v>
      </c>
      <c r="B131" s="1" t="s">
        <v>76</v>
      </c>
      <c r="C131" s="1" t="s">
        <v>10</v>
      </c>
      <c r="D131" s="1">
        <v>0</v>
      </c>
      <c r="E131" s="1">
        <v>180.84</v>
      </c>
      <c r="F131" s="1">
        <v>0</v>
      </c>
      <c r="G131" s="1">
        <v>-2983.846</v>
      </c>
      <c r="H131" s="1">
        <v>0</v>
      </c>
      <c r="I131" s="1">
        <v>723.35699999999997</v>
      </c>
    </row>
    <row r="132" spans="1:9" hidden="1" x14ac:dyDescent="0.25">
      <c r="A132" s="1" t="s">
        <v>157</v>
      </c>
      <c r="B132" s="1" t="s">
        <v>77</v>
      </c>
      <c r="C132" s="1" t="s">
        <v>25</v>
      </c>
      <c r="D132" s="1">
        <v>0</v>
      </c>
      <c r="E132" s="1">
        <v>180.84</v>
      </c>
      <c r="F132" s="1">
        <v>0</v>
      </c>
      <c r="G132" s="1">
        <v>-2441.3290000000002</v>
      </c>
      <c r="H132" s="1">
        <v>0</v>
      </c>
      <c r="I132" s="1">
        <v>0</v>
      </c>
    </row>
    <row r="133" spans="1:9" hidden="1" x14ac:dyDescent="0.25">
      <c r="A133" s="1" t="s">
        <v>157</v>
      </c>
      <c r="B133" s="1" t="s">
        <v>77</v>
      </c>
      <c r="C133" s="1" t="s">
        <v>10</v>
      </c>
      <c r="D133" s="1">
        <v>0</v>
      </c>
      <c r="E133" s="1">
        <v>180.84</v>
      </c>
      <c r="F133" s="1">
        <v>0</v>
      </c>
      <c r="G133" s="1">
        <v>-2441.3290000000002</v>
      </c>
      <c r="H133" s="1">
        <v>0</v>
      </c>
      <c r="I133" s="1">
        <v>723.35699999999997</v>
      </c>
    </row>
    <row r="134" spans="1:9" hidden="1" x14ac:dyDescent="0.25">
      <c r="A134" s="1" t="s">
        <v>157</v>
      </c>
      <c r="B134" s="1" t="s">
        <v>78</v>
      </c>
      <c r="C134" s="1" t="s">
        <v>25</v>
      </c>
      <c r="D134" s="1">
        <v>0</v>
      </c>
      <c r="E134" s="1">
        <v>0</v>
      </c>
      <c r="F134" s="1">
        <v>-218.59</v>
      </c>
      <c r="G134" s="1">
        <v>-4328.0910000000003</v>
      </c>
      <c r="H134" s="1">
        <v>0</v>
      </c>
      <c r="I134" s="1">
        <v>0</v>
      </c>
    </row>
    <row r="135" spans="1:9" hidden="1" x14ac:dyDescent="0.25">
      <c r="A135" s="1" t="s">
        <v>157</v>
      </c>
      <c r="B135" s="1" t="s">
        <v>78</v>
      </c>
      <c r="C135" s="1" t="s">
        <v>10</v>
      </c>
      <c r="D135" s="1">
        <v>0</v>
      </c>
      <c r="E135" s="1">
        <v>0</v>
      </c>
      <c r="F135" s="1">
        <v>-218.59</v>
      </c>
      <c r="G135" s="1">
        <v>-4328.0910000000003</v>
      </c>
      <c r="H135" s="1">
        <v>874.36199999999997</v>
      </c>
      <c r="I135" s="1">
        <v>0</v>
      </c>
    </row>
    <row r="136" spans="1:9" hidden="1" x14ac:dyDescent="0.25">
      <c r="A136" s="1" t="s">
        <v>157</v>
      </c>
      <c r="B136" s="1" t="s">
        <v>79</v>
      </c>
      <c r="C136" s="1" t="s">
        <v>25</v>
      </c>
      <c r="D136" s="1">
        <v>0</v>
      </c>
      <c r="E136" s="1">
        <v>0</v>
      </c>
      <c r="F136" s="1">
        <v>-218.59</v>
      </c>
      <c r="G136" s="1">
        <v>-3541.1660000000002</v>
      </c>
      <c r="H136" s="1">
        <v>0</v>
      </c>
      <c r="I136" s="1">
        <v>0</v>
      </c>
    </row>
    <row r="137" spans="1:9" hidden="1" x14ac:dyDescent="0.25">
      <c r="A137" s="1" t="s">
        <v>157</v>
      </c>
      <c r="B137" s="1" t="s">
        <v>79</v>
      </c>
      <c r="C137" s="1" t="s">
        <v>10</v>
      </c>
      <c r="D137" s="1">
        <v>0</v>
      </c>
      <c r="E137" s="1">
        <v>0</v>
      </c>
      <c r="F137" s="1">
        <v>-218.59</v>
      </c>
      <c r="G137" s="1">
        <v>-3541.1660000000002</v>
      </c>
      <c r="H137" s="1">
        <v>874.36199999999997</v>
      </c>
      <c r="I137" s="1">
        <v>0</v>
      </c>
    </row>
    <row r="138" spans="1:9" hidden="1" x14ac:dyDescent="0.25">
      <c r="A138" s="1" t="s">
        <v>157</v>
      </c>
      <c r="B138" s="1" t="s">
        <v>80</v>
      </c>
      <c r="C138" s="1" t="s">
        <v>25</v>
      </c>
      <c r="D138" s="1">
        <v>0</v>
      </c>
      <c r="E138" s="1">
        <v>0</v>
      </c>
      <c r="F138" s="1">
        <v>218.59</v>
      </c>
      <c r="G138" s="1">
        <v>4328.0910000000003</v>
      </c>
      <c r="H138" s="1">
        <v>0</v>
      </c>
      <c r="I138" s="1">
        <v>0</v>
      </c>
    </row>
    <row r="139" spans="1:9" hidden="1" x14ac:dyDescent="0.25">
      <c r="A139" s="1" t="s">
        <v>157</v>
      </c>
      <c r="B139" s="1" t="s">
        <v>80</v>
      </c>
      <c r="C139" s="1" t="s">
        <v>10</v>
      </c>
      <c r="D139" s="1">
        <v>0</v>
      </c>
      <c r="E139" s="1">
        <v>0</v>
      </c>
      <c r="F139" s="1">
        <v>218.59</v>
      </c>
      <c r="G139" s="1">
        <v>4328.0910000000003</v>
      </c>
      <c r="H139" s="1">
        <v>-874.36199999999997</v>
      </c>
      <c r="I139" s="1">
        <v>0</v>
      </c>
    </row>
    <row r="140" spans="1:9" hidden="1" x14ac:dyDescent="0.25">
      <c r="A140" s="1" t="s">
        <v>157</v>
      </c>
      <c r="B140" s="1" t="s">
        <v>81</v>
      </c>
      <c r="C140" s="1" t="s">
        <v>25</v>
      </c>
      <c r="D140" s="1">
        <v>0</v>
      </c>
      <c r="E140" s="1">
        <v>0</v>
      </c>
      <c r="F140" s="1">
        <v>218.59</v>
      </c>
      <c r="G140" s="1">
        <v>3541.1660000000002</v>
      </c>
      <c r="H140" s="1">
        <v>0</v>
      </c>
      <c r="I140" s="1">
        <v>0</v>
      </c>
    </row>
    <row r="141" spans="1:9" hidden="1" x14ac:dyDescent="0.25">
      <c r="A141" s="1" t="s">
        <v>157</v>
      </c>
      <c r="B141" s="1" t="s">
        <v>81</v>
      </c>
      <c r="C141" s="1" t="s">
        <v>10</v>
      </c>
      <c r="D141" s="1">
        <v>0</v>
      </c>
      <c r="E141" s="1">
        <v>0</v>
      </c>
      <c r="F141" s="1">
        <v>218.59</v>
      </c>
      <c r="G141" s="1">
        <v>3541.1660000000002</v>
      </c>
      <c r="H141" s="1">
        <v>-874.36199999999997</v>
      </c>
      <c r="I141" s="1">
        <v>0</v>
      </c>
    </row>
    <row r="142" spans="1:9" hidden="1" x14ac:dyDescent="0.25">
      <c r="A142" s="1" t="s">
        <v>157</v>
      </c>
      <c r="B142" s="1" t="s">
        <v>82</v>
      </c>
      <c r="C142" s="1" t="s">
        <v>25</v>
      </c>
      <c r="D142" s="1">
        <v>0</v>
      </c>
      <c r="E142" s="1">
        <v>-54.25</v>
      </c>
      <c r="F142" s="1">
        <v>0</v>
      </c>
      <c r="G142" s="1">
        <v>895.154</v>
      </c>
      <c r="H142" s="1">
        <v>0</v>
      </c>
      <c r="I142" s="1">
        <v>0</v>
      </c>
    </row>
    <row r="143" spans="1:9" hidden="1" x14ac:dyDescent="0.25">
      <c r="A143" s="1" t="s">
        <v>157</v>
      </c>
      <c r="B143" s="1" t="s">
        <v>82</v>
      </c>
      <c r="C143" s="1" t="s">
        <v>10</v>
      </c>
      <c r="D143" s="1">
        <v>0</v>
      </c>
      <c r="E143" s="1">
        <v>-54.25</v>
      </c>
      <c r="F143" s="1">
        <v>0</v>
      </c>
      <c r="G143" s="1">
        <v>895.154</v>
      </c>
      <c r="H143" s="1">
        <v>0</v>
      </c>
      <c r="I143" s="1">
        <v>-217.00700000000001</v>
      </c>
    </row>
    <row r="144" spans="1:9" hidden="1" x14ac:dyDescent="0.25">
      <c r="A144" s="1" t="s">
        <v>157</v>
      </c>
      <c r="B144" s="1" t="s">
        <v>83</v>
      </c>
      <c r="C144" s="1" t="s">
        <v>25</v>
      </c>
      <c r="D144" s="1">
        <v>0</v>
      </c>
      <c r="E144" s="1">
        <v>-54.25</v>
      </c>
      <c r="F144" s="1">
        <v>0</v>
      </c>
      <c r="G144" s="1">
        <v>732.399</v>
      </c>
      <c r="H144" s="1">
        <v>0</v>
      </c>
      <c r="I144" s="1">
        <v>0</v>
      </c>
    </row>
    <row r="145" spans="1:9" hidden="1" x14ac:dyDescent="0.25">
      <c r="A145" s="1" t="s">
        <v>157</v>
      </c>
      <c r="B145" s="1" t="s">
        <v>83</v>
      </c>
      <c r="C145" s="1" t="s">
        <v>10</v>
      </c>
      <c r="D145" s="1">
        <v>0</v>
      </c>
      <c r="E145" s="1">
        <v>-54.25</v>
      </c>
      <c r="F145" s="1">
        <v>0</v>
      </c>
      <c r="G145" s="1">
        <v>732.399</v>
      </c>
      <c r="H145" s="1">
        <v>0</v>
      </c>
      <c r="I145" s="1">
        <v>-217.00700000000001</v>
      </c>
    </row>
    <row r="146" spans="1:9" hidden="1" x14ac:dyDescent="0.25">
      <c r="A146" s="1" t="s">
        <v>157</v>
      </c>
      <c r="B146" s="1" t="s">
        <v>84</v>
      </c>
      <c r="C146" s="1" t="s">
        <v>25</v>
      </c>
      <c r="D146" s="1">
        <v>0</v>
      </c>
      <c r="E146" s="1">
        <v>54.25</v>
      </c>
      <c r="F146" s="1">
        <v>0</v>
      </c>
      <c r="G146" s="1">
        <v>-895.154</v>
      </c>
      <c r="H146" s="1">
        <v>0</v>
      </c>
      <c r="I146" s="1">
        <v>0</v>
      </c>
    </row>
    <row r="147" spans="1:9" hidden="1" x14ac:dyDescent="0.25">
      <c r="A147" s="1" t="s">
        <v>157</v>
      </c>
      <c r="B147" s="1" t="s">
        <v>84</v>
      </c>
      <c r="C147" s="1" t="s">
        <v>10</v>
      </c>
      <c r="D147" s="1">
        <v>0</v>
      </c>
      <c r="E147" s="1">
        <v>54.25</v>
      </c>
      <c r="F147" s="1">
        <v>0</v>
      </c>
      <c r="G147" s="1">
        <v>-895.154</v>
      </c>
      <c r="H147" s="1">
        <v>0</v>
      </c>
      <c r="I147" s="1">
        <v>217.00700000000001</v>
      </c>
    </row>
    <row r="148" spans="1:9" hidden="1" x14ac:dyDescent="0.25">
      <c r="A148" s="1" t="s">
        <v>157</v>
      </c>
      <c r="B148" s="1" t="s">
        <v>85</v>
      </c>
      <c r="C148" s="1" t="s">
        <v>25</v>
      </c>
      <c r="D148" s="1">
        <v>0</v>
      </c>
      <c r="E148" s="1">
        <v>54.25</v>
      </c>
      <c r="F148" s="1">
        <v>0</v>
      </c>
      <c r="G148" s="1">
        <v>-732.399</v>
      </c>
      <c r="H148" s="1">
        <v>0</v>
      </c>
      <c r="I148" s="1">
        <v>0</v>
      </c>
    </row>
    <row r="149" spans="1:9" hidden="1" x14ac:dyDescent="0.25">
      <c r="A149" s="1" t="s">
        <v>157</v>
      </c>
      <c r="B149" s="1" t="s">
        <v>85</v>
      </c>
      <c r="C149" s="1" t="s">
        <v>10</v>
      </c>
      <c r="D149" s="1">
        <v>0</v>
      </c>
      <c r="E149" s="1">
        <v>54.25</v>
      </c>
      <c r="F149" s="1">
        <v>0</v>
      </c>
      <c r="G149" s="1">
        <v>-732.399</v>
      </c>
      <c r="H149" s="1">
        <v>0</v>
      </c>
      <c r="I149" s="1">
        <v>217.00700000000001</v>
      </c>
    </row>
    <row r="150" spans="1:9" hidden="1" x14ac:dyDescent="0.25">
      <c r="A150" s="1" t="s">
        <v>157</v>
      </c>
      <c r="B150" s="1" t="s">
        <v>86</v>
      </c>
      <c r="C150" s="1" t="s">
        <v>25</v>
      </c>
      <c r="D150" s="1">
        <v>0</v>
      </c>
      <c r="E150" s="1">
        <v>0</v>
      </c>
      <c r="F150" s="1">
        <v>-65.58</v>
      </c>
      <c r="G150" s="1">
        <v>-1298.4269999999999</v>
      </c>
      <c r="H150" s="1">
        <v>0</v>
      </c>
      <c r="I150" s="1">
        <v>0</v>
      </c>
    </row>
    <row r="151" spans="1:9" hidden="1" x14ac:dyDescent="0.25">
      <c r="A151" s="1" t="s">
        <v>157</v>
      </c>
      <c r="B151" s="1" t="s">
        <v>86</v>
      </c>
      <c r="C151" s="1" t="s">
        <v>10</v>
      </c>
      <c r="D151" s="1">
        <v>0</v>
      </c>
      <c r="E151" s="1">
        <v>0</v>
      </c>
      <c r="F151" s="1">
        <v>-65.58</v>
      </c>
      <c r="G151" s="1">
        <v>-1298.4269999999999</v>
      </c>
      <c r="H151" s="1">
        <v>262.30900000000003</v>
      </c>
      <c r="I151" s="1">
        <v>0</v>
      </c>
    </row>
    <row r="152" spans="1:9" hidden="1" x14ac:dyDescent="0.25">
      <c r="A152" s="1" t="s">
        <v>157</v>
      </c>
      <c r="B152" s="1" t="s">
        <v>87</v>
      </c>
      <c r="C152" s="1" t="s">
        <v>25</v>
      </c>
      <c r="D152" s="1">
        <v>0</v>
      </c>
      <c r="E152" s="1">
        <v>0</v>
      </c>
      <c r="F152" s="1">
        <v>-65.58</v>
      </c>
      <c r="G152" s="1">
        <v>-1062.3499999999999</v>
      </c>
      <c r="H152" s="1">
        <v>0</v>
      </c>
      <c r="I152" s="1">
        <v>0</v>
      </c>
    </row>
    <row r="153" spans="1:9" hidden="1" x14ac:dyDescent="0.25">
      <c r="A153" s="1" t="s">
        <v>157</v>
      </c>
      <c r="B153" s="1" t="s">
        <v>87</v>
      </c>
      <c r="C153" s="1" t="s">
        <v>10</v>
      </c>
      <c r="D153" s="1">
        <v>0</v>
      </c>
      <c r="E153" s="1">
        <v>0</v>
      </c>
      <c r="F153" s="1">
        <v>-65.58</v>
      </c>
      <c r="G153" s="1">
        <v>-1062.3499999999999</v>
      </c>
      <c r="H153" s="1">
        <v>262.30900000000003</v>
      </c>
      <c r="I153" s="1">
        <v>0</v>
      </c>
    </row>
    <row r="154" spans="1:9" hidden="1" x14ac:dyDescent="0.25">
      <c r="A154" s="1" t="s">
        <v>157</v>
      </c>
      <c r="B154" s="1" t="s">
        <v>88</v>
      </c>
      <c r="C154" s="1" t="s">
        <v>25</v>
      </c>
      <c r="D154" s="1">
        <v>0</v>
      </c>
      <c r="E154" s="1">
        <v>0</v>
      </c>
      <c r="F154" s="1">
        <v>65.58</v>
      </c>
      <c r="G154" s="1">
        <v>1298.4269999999999</v>
      </c>
      <c r="H154" s="1">
        <v>0</v>
      </c>
      <c r="I154" s="1">
        <v>0</v>
      </c>
    </row>
    <row r="155" spans="1:9" hidden="1" x14ac:dyDescent="0.25">
      <c r="A155" s="1" t="s">
        <v>157</v>
      </c>
      <c r="B155" s="1" t="s">
        <v>88</v>
      </c>
      <c r="C155" s="1" t="s">
        <v>10</v>
      </c>
      <c r="D155" s="1">
        <v>0</v>
      </c>
      <c r="E155" s="1">
        <v>0</v>
      </c>
      <c r="F155" s="1">
        <v>65.58</v>
      </c>
      <c r="G155" s="1">
        <v>1298.4269999999999</v>
      </c>
      <c r="H155" s="1">
        <v>-262.30900000000003</v>
      </c>
      <c r="I155" s="1">
        <v>0</v>
      </c>
    </row>
    <row r="156" spans="1:9" hidden="1" x14ac:dyDescent="0.25">
      <c r="A156" s="1" t="s">
        <v>157</v>
      </c>
      <c r="B156" s="1" t="s">
        <v>89</v>
      </c>
      <c r="C156" s="1" t="s">
        <v>25</v>
      </c>
      <c r="D156" s="1">
        <v>0</v>
      </c>
      <c r="E156" s="1">
        <v>0</v>
      </c>
      <c r="F156" s="1">
        <v>65.58</v>
      </c>
      <c r="G156" s="1">
        <v>1062.3499999999999</v>
      </c>
      <c r="H156" s="1">
        <v>0</v>
      </c>
      <c r="I156" s="1">
        <v>0</v>
      </c>
    </row>
    <row r="157" spans="1:9" hidden="1" x14ac:dyDescent="0.25">
      <c r="A157" s="1" t="s">
        <v>157</v>
      </c>
      <c r="B157" s="1" t="s">
        <v>89</v>
      </c>
      <c r="C157" s="1" t="s">
        <v>10</v>
      </c>
      <c r="D157" s="1">
        <v>0</v>
      </c>
      <c r="E157" s="1">
        <v>0</v>
      </c>
      <c r="F157" s="1">
        <v>65.58</v>
      </c>
      <c r="G157" s="1">
        <v>1062.3499999999999</v>
      </c>
      <c r="H157" s="1">
        <v>-262.30900000000003</v>
      </c>
      <c r="I157" s="1">
        <v>0</v>
      </c>
    </row>
    <row r="158" spans="1:9" hidden="1" x14ac:dyDescent="0.25">
      <c r="A158" s="1" t="s">
        <v>157</v>
      </c>
      <c r="B158" s="1" t="s">
        <v>90</v>
      </c>
      <c r="C158" s="1" t="s">
        <v>25</v>
      </c>
      <c r="D158" s="1">
        <v>0</v>
      </c>
      <c r="E158" s="1">
        <v>-54.25</v>
      </c>
      <c r="F158" s="1">
        <v>0</v>
      </c>
      <c r="G158" s="1">
        <v>895.154</v>
      </c>
      <c r="H158" s="1">
        <v>0</v>
      </c>
      <c r="I158" s="1">
        <v>0</v>
      </c>
    </row>
    <row r="159" spans="1:9" hidden="1" x14ac:dyDescent="0.25">
      <c r="A159" s="1" t="s">
        <v>157</v>
      </c>
      <c r="B159" s="1" t="s">
        <v>90</v>
      </c>
      <c r="C159" s="1" t="s">
        <v>10</v>
      </c>
      <c r="D159" s="1">
        <v>0</v>
      </c>
      <c r="E159" s="1">
        <v>-54.25</v>
      </c>
      <c r="F159" s="1">
        <v>0</v>
      </c>
      <c r="G159" s="1">
        <v>895.154</v>
      </c>
      <c r="H159" s="1">
        <v>0</v>
      </c>
      <c r="I159" s="1">
        <v>-217.00700000000001</v>
      </c>
    </row>
    <row r="160" spans="1:9" hidden="1" x14ac:dyDescent="0.25">
      <c r="A160" s="1" t="s">
        <v>157</v>
      </c>
      <c r="B160" s="1" t="s">
        <v>91</v>
      </c>
      <c r="C160" s="1" t="s">
        <v>25</v>
      </c>
      <c r="D160" s="1">
        <v>0</v>
      </c>
      <c r="E160" s="1">
        <v>-54.25</v>
      </c>
      <c r="F160" s="1">
        <v>0</v>
      </c>
      <c r="G160" s="1">
        <v>732.399</v>
      </c>
      <c r="H160" s="1">
        <v>0</v>
      </c>
      <c r="I160" s="1">
        <v>0</v>
      </c>
    </row>
    <row r="161" spans="1:9" hidden="1" x14ac:dyDescent="0.25">
      <c r="A161" s="1" t="s">
        <v>157</v>
      </c>
      <c r="B161" s="1" t="s">
        <v>91</v>
      </c>
      <c r="C161" s="1" t="s">
        <v>10</v>
      </c>
      <c r="D161" s="1">
        <v>0</v>
      </c>
      <c r="E161" s="1">
        <v>-54.25</v>
      </c>
      <c r="F161" s="1">
        <v>0</v>
      </c>
      <c r="G161" s="1">
        <v>732.399</v>
      </c>
      <c r="H161" s="1">
        <v>0</v>
      </c>
      <c r="I161" s="1">
        <v>-217.00700000000001</v>
      </c>
    </row>
    <row r="162" spans="1:9" hidden="1" x14ac:dyDescent="0.25">
      <c r="A162" s="1" t="s">
        <v>157</v>
      </c>
      <c r="B162" s="1" t="s">
        <v>92</v>
      </c>
      <c r="C162" s="1" t="s">
        <v>25</v>
      </c>
      <c r="D162" s="1">
        <v>0</v>
      </c>
      <c r="E162" s="1">
        <v>54.25</v>
      </c>
      <c r="F162" s="1">
        <v>0</v>
      </c>
      <c r="G162" s="1">
        <v>-895.154</v>
      </c>
      <c r="H162" s="1">
        <v>0</v>
      </c>
      <c r="I162" s="1">
        <v>0</v>
      </c>
    </row>
    <row r="163" spans="1:9" hidden="1" x14ac:dyDescent="0.25">
      <c r="A163" s="1" t="s">
        <v>157</v>
      </c>
      <c r="B163" s="1" t="s">
        <v>92</v>
      </c>
      <c r="C163" s="1" t="s">
        <v>10</v>
      </c>
      <c r="D163" s="1">
        <v>0</v>
      </c>
      <c r="E163" s="1">
        <v>54.25</v>
      </c>
      <c r="F163" s="1">
        <v>0</v>
      </c>
      <c r="G163" s="1">
        <v>-895.154</v>
      </c>
      <c r="H163" s="1">
        <v>0</v>
      </c>
      <c r="I163" s="1">
        <v>217.00700000000001</v>
      </c>
    </row>
    <row r="164" spans="1:9" hidden="1" x14ac:dyDescent="0.25">
      <c r="A164" s="1" t="s">
        <v>157</v>
      </c>
      <c r="B164" s="1" t="s">
        <v>93</v>
      </c>
      <c r="C164" s="1" t="s">
        <v>25</v>
      </c>
      <c r="D164" s="1">
        <v>0</v>
      </c>
      <c r="E164" s="1">
        <v>54.25</v>
      </c>
      <c r="F164" s="1">
        <v>0</v>
      </c>
      <c r="G164" s="1">
        <v>-732.399</v>
      </c>
      <c r="H164" s="1">
        <v>0</v>
      </c>
      <c r="I164" s="1">
        <v>0</v>
      </c>
    </row>
    <row r="165" spans="1:9" hidden="1" x14ac:dyDescent="0.25">
      <c r="A165" s="1" t="s">
        <v>157</v>
      </c>
      <c r="B165" s="1" t="s">
        <v>93</v>
      </c>
      <c r="C165" s="1" t="s">
        <v>10</v>
      </c>
      <c r="D165" s="1">
        <v>0</v>
      </c>
      <c r="E165" s="1">
        <v>54.25</v>
      </c>
      <c r="F165" s="1">
        <v>0</v>
      </c>
      <c r="G165" s="1">
        <v>-732.399</v>
      </c>
      <c r="H165" s="1">
        <v>0</v>
      </c>
      <c r="I165" s="1">
        <v>217.00700000000001</v>
      </c>
    </row>
    <row r="166" spans="1:9" hidden="1" x14ac:dyDescent="0.25">
      <c r="A166" s="1" t="s">
        <v>157</v>
      </c>
      <c r="B166" s="1" t="s">
        <v>94</v>
      </c>
      <c r="C166" s="1" t="s">
        <v>25</v>
      </c>
      <c r="D166" s="1">
        <v>0</v>
      </c>
      <c r="E166" s="1">
        <v>0</v>
      </c>
      <c r="F166" s="1">
        <v>-65.58</v>
      </c>
      <c r="G166" s="1">
        <v>-1298.4269999999999</v>
      </c>
      <c r="H166" s="1">
        <v>0</v>
      </c>
      <c r="I166" s="1">
        <v>0</v>
      </c>
    </row>
    <row r="167" spans="1:9" hidden="1" x14ac:dyDescent="0.25">
      <c r="A167" s="1" t="s">
        <v>157</v>
      </c>
      <c r="B167" s="1" t="s">
        <v>94</v>
      </c>
      <c r="C167" s="1" t="s">
        <v>10</v>
      </c>
      <c r="D167" s="1">
        <v>0</v>
      </c>
      <c r="E167" s="1">
        <v>0</v>
      </c>
      <c r="F167" s="1">
        <v>-65.58</v>
      </c>
      <c r="G167" s="1">
        <v>-1298.4269999999999</v>
      </c>
      <c r="H167" s="1">
        <v>262.30900000000003</v>
      </c>
      <c r="I167" s="1">
        <v>0</v>
      </c>
    </row>
    <row r="168" spans="1:9" hidden="1" x14ac:dyDescent="0.25">
      <c r="A168" s="1" t="s">
        <v>157</v>
      </c>
      <c r="B168" s="1" t="s">
        <v>95</v>
      </c>
      <c r="C168" s="1" t="s">
        <v>25</v>
      </c>
      <c r="D168" s="1">
        <v>0</v>
      </c>
      <c r="E168" s="1">
        <v>0</v>
      </c>
      <c r="F168" s="1">
        <v>-65.58</v>
      </c>
      <c r="G168" s="1">
        <v>-1062.3499999999999</v>
      </c>
      <c r="H168" s="1">
        <v>0</v>
      </c>
      <c r="I168" s="1">
        <v>0</v>
      </c>
    </row>
    <row r="169" spans="1:9" hidden="1" x14ac:dyDescent="0.25">
      <c r="A169" s="1" t="s">
        <v>157</v>
      </c>
      <c r="B169" s="1" t="s">
        <v>95</v>
      </c>
      <c r="C169" s="1" t="s">
        <v>10</v>
      </c>
      <c r="D169" s="1">
        <v>0</v>
      </c>
      <c r="E169" s="1">
        <v>0</v>
      </c>
      <c r="F169" s="1">
        <v>-65.58</v>
      </c>
      <c r="G169" s="1">
        <v>-1062.3499999999999</v>
      </c>
      <c r="H169" s="1">
        <v>262.30900000000003</v>
      </c>
      <c r="I169" s="1">
        <v>0</v>
      </c>
    </row>
    <row r="170" spans="1:9" hidden="1" x14ac:dyDescent="0.25">
      <c r="A170" s="1" t="s">
        <v>157</v>
      </c>
      <c r="B170" s="1" t="s">
        <v>96</v>
      </c>
      <c r="C170" s="1" t="s">
        <v>25</v>
      </c>
      <c r="D170" s="1">
        <v>0</v>
      </c>
      <c r="E170" s="1">
        <v>0</v>
      </c>
      <c r="F170" s="1">
        <v>65.58</v>
      </c>
      <c r="G170" s="1">
        <v>1298.4269999999999</v>
      </c>
      <c r="H170" s="1">
        <v>0</v>
      </c>
      <c r="I170" s="1">
        <v>0</v>
      </c>
    </row>
    <row r="171" spans="1:9" hidden="1" x14ac:dyDescent="0.25">
      <c r="A171" s="1" t="s">
        <v>157</v>
      </c>
      <c r="B171" s="1" t="s">
        <v>96</v>
      </c>
      <c r="C171" s="1" t="s">
        <v>10</v>
      </c>
      <c r="D171" s="1">
        <v>0</v>
      </c>
      <c r="E171" s="1">
        <v>0</v>
      </c>
      <c r="F171" s="1">
        <v>65.58</v>
      </c>
      <c r="G171" s="1">
        <v>1298.4269999999999</v>
      </c>
      <c r="H171" s="1">
        <v>-262.30900000000003</v>
      </c>
      <c r="I171" s="1">
        <v>0</v>
      </c>
    </row>
    <row r="172" spans="1:9" hidden="1" x14ac:dyDescent="0.25">
      <c r="A172" s="1" t="s">
        <v>157</v>
      </c>
      <c r="B172" s="1" t="s">
        <v>97</v>
      </c>
      <c r="C172" s="1" t="s">
        <v>25</v>
      </c>
      <c r="D172" s="1">
        <v>0</v>
      </c>
      <c r="E172" s="1">
        <v>0</v>
      </c>
      <c r="F172" s="1">
        <v>65.58</v>
      </c>
      <c r="G172" s="1">
        <v>1062.3499999999999</v>
      </c>
      <c r="H172" s="1">
        <v>0</v>
      </c>
      <c r="I172" s="1">
        <v>0</v>
      </c>
    </row>
    <row r="173" spans="1:9" hidden="1" x14ac:dyDescent="0.25">
      <c r="A173" s="1" t="s">
        <v>157</v>
      </c>
      <c r="B173" s="1" t="s">
        <v>97</v>
      </c>
      <c r="C173" s="1" t="s">
        <v>10</v>
      </c>
      <c r="D173" s="1">
        <v>0</v>
      </c>
      <c r="E173" s="1">
        <v>0</v>
      </c>
      <c r="F173" s="1">
        <v>65.58</v>
      </c>
      <c r="G173" s="1">
        <v>1062.3499999999999</v>
      </c>
      <c r="H173" s="1">
        <v>-262.30900000000003</v>
      </c>
      <c r="I173" s="1">
        <v>0</v>
      </c>
    </row>
    <row r="174" spans="1:9" hidden="1" x14ac:dyDescent="0.25">
      <c r="A174" s="1" t="s">
        <v>157</v>
      </c>
      <c r="B174" s="1" t="s">
        <v>14</v>
      </c>
      <c r="C174" s="1" t="s">
        <v>25</v>
      </c>
      <c r="D174" s="1">
        <v>0</v>
      </c>
      <c r="E174" s="1">
        <v>136.57</v>
      </c>
      <c r="F174" s="1">
        <v>0</v>
      </c>
      <c r="G174" s="1">
        <v>2253.422</v>
      </c>
      <c r="H174" s="1">
        <v>0</v>
      </c>
      <c r="I174" s="1">
        <v>0</v>
      </c>
    </row>
    <row r="175" spans="1:9" hidden="1" x14ac:dyDescent="0.25">
      <c r="A175" s="1" t="s">
        <v>157</v>
      </c>
      <c r="B175" s="1" t="s">
        <v>14</v>
      </c>
      <c r="C175" s="1" t="s">
        <v>10</v>
      </c>
      <c r="D175" s="1">
        <v>0</v>
      </c>
      <c r="E175" s="1">
        <v>136.57</v>
      </c>
      <c r="F175" s="1">
        <v>0</v>
      </c>
      <c r="G175" s="1">
        <v>2253.422</v>
      </c>
      <c r="H175" s="1">
        <v>0</v>
      </c>
      <c r="I175" s="1">
        <v>546.28399999999999</v>
      </c>
    </row>
    <row r="176" spans="1:9" hidden="1" x14ac:dyDescent="0.25">
      <c r="A176" s="1" t="s">
        <v>157</v>
      </c>
      <c r="B176" s="1" t="s">
        <v>98</v>
      </c>
      <c r="C176" s="1" t="s">
        <v>25</v>
      </c>
      <c r="D176" s="1">
        <v>0</v>
      </c>
      <c r="E176" s="1">
        <v>-136.57</v>
      </c>
      <c r="F176" s="1">
        <v>0</v>
      </c>
      <c r="G176" s="1">
        <v>-2253.422</v>
      </c>
      <c r="H176" s="1">
        <v>0</v>
      </c>
      <c r="I176" s="1">
        <v>0</v>
      </c>
    </row>
    <row r="177" spans="1:9" hidden="1" x14ac:dyDescent="0.25">
      <c r="A177" s="1" t="s">
        <v>157</v>
      </c>
      <c r="B177" s="1" t="s">
        <v>98</v>
      </c>
      <c r="C177" s="1" t="s">
        <v>10</v>
      </c>
      <c r="D177" s="1">
        <v>0</v>
      </c>
      <c r="E177" s="1">
        <v>-136.57</v>
      </c>
      <c r="F177" s="1">
        <v>0</v>
      </c>
      <c r="G177" s="1">
        <v>-2253.422</v>
      </c>
      <c r="H177" s="1">
        <v>0</v>
      </c>
      <c r="I177" s="1">
        <v>-546.28399999999999</v>
      </c>
    </row>
    <row r="178" spans="1:9" hidden="1" x14ac:dyDescent="0.25">
      <c r="A178" s="1" t="s">
        <v>157</v>
      </c>
      <c r="B178" s="1" t="s">
        <v>15</v>
      </c>
      <c r="C178" s="1" t="s">
        <v>25</v>
      </c>
      <c r="D178" s="1">
        <v>0</v>
      </c>
      <c r="E178" s="1">
        <v>0</v>
      </c>
      <c r="F178" s="1">
        <v>290.91000000000003</v>
      </c>
      <c r="G178" s="1">
        <v>5759.9690000000001</v>
      </c>
      <c r="H178" s="1">
        <v>0</v>
      </c>
      <c r="I178" s="1">
        <v>0</v>
      </c>
    </row>
    <row r="179" spans="1:9" hidden="1" x14ac:dyDescent="0.25">
      <c r="A179" s="1" t="s">
        <v>157</v>
      </c>
      <c r="B179" s="1" t="s">
        <v>15</v>
      </c>
      <c r="C179" s="1" t="s">
        <v>10</v>
      </c>
      <c r="D179" s="1">
        <v>0</v>
      </c>
      <c r="E179" s="1">
        <v>0</v>
      </c>
      <c r="F179" s="1">
        <v>290.91000000000003</v>
      </c>
      <c r="G179" s="1">
        <v>5759.9690000000001</v>
      </c>
      <c r="H179" s="1">
        <v>1163.6300000000001</v>
      </c>
      <c r="I179" s="1">
        <v>0</v>
      </c>
    </row>
    <row r="180" spans="1:9" hidden="1" x14ac:dyDescent="0.25">
      <c r="A180" s="1" t="s">
        <v>157</v>
      </c>
      <c r="B180" s="1" t="s">
        <v>99</v>
      </c>
      <c r="C180" s="1" t="s">
        <v>25</v>
      </c>
      <c r="D180" s="1">
        <v>0</v>
      </c>
      <c r="E180" s="1">
        <v>0</v>
      </c>
      <c r="F180" s="1">
        <v>-290.91000000000003</v>
      </c>
      <c r="G180" s="1">
        <v>-5759.9690000000001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99</v>
      </c>
      <c r="C181" s="1" t="s">
        <v>10</v>
      </c>
      <c r="D181" s="1">
        <v>0</v>
      </c>
      <c r="E181" s="1">
        <v>0</v>
      </c>
      <c r="F181" s="1">
        <v>-290.91000000000003</v>
      </c>
      <c r="G181" s="1">
        <v>-5759.9690000000001</v>
      </c>
      <c r="H181" s="1">
        <v>-1163.6300000000001</v>
      </c>
      <c r="I181" s="1">
        <v>0</v>
      </c>
    </row>
    <row r="182" spans="1:9" hidden="1" x14ac:dyDescent="0.25">
      <c r="A182" s="1" t="s">
        <v>157</v>
      </c>
      <c r="B182" s="1" t="s">
        <v>100</v>
      </c>
      <c r="C182" s="1" t="s">
        <v>25</v>
      </c>
      <c r="D182" s="1">
        <v>0</v>
      </c>
      <c r="E182" s="1">
        <v>136.57</v>
      </c>
      <c r="F182" s="1">
        <v>0</v>
      </c>
      <c r="G182" s="1">
        <v>2253.422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100</v>
      </c>
      <c r="C183" s="1" t="s">
        <v>10</v>
      </c>
      <c r="D183" s="1">
        <v>0</v>
      </c>
      <c r="E183" s="1">
        <v>136.57</v>
      </c>
      <c r="F183" s="1">
        <v>0</v>
      </c>
      <c r="G183" s="1">
        <v>2253.422</v>
      </c>
      <c r="H183" s="1">
        <v>0</v>
      </c>
      <c r="I183" s="1">
        <v>546.28399999999999</v>
      </c>
    </row>
    <row r="184" spans="1:9" hidden="1" x14ac:dyDescent="0.25">
      <c r="A184" s="1" t="s">
        <v>157</v>
      </c>
      <c r="B184" s="1" t="s">
        <v>101</v>
      </c>
      <c r="C184" s="1" t="s">
        <v>25</v>
      </c>
      <c r="D184" s="1">
        <v>0</v>
      </c>
      <c r="E184" s="1">
        <v>-136.57</v>
      </c>
      <c r="F184" s="1">
        <v>0</v>
      </c>
      <c r="G184" s="1">
        <v>-2253.422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101</v>
      </c>
      <c r="C185" s="1" t="s">
        <v>10</v>
      </c>
      <c r="D185" s="1">
        <v>0</v>
      </c>
      <c r="E185" s="1">
        <v>-136.57</v>
      </c>
      <c r="F185" s="1">
        <v>0</v>
      </c>
      <c r="G185" s="1">
        <v>-2253.422</v>
      </c>
      <c r="H185" s="1">
        <v>0</v>
      </c>
      <c r="I185" s="1">
        <v>-546.28399999999999</v>
      </c>
    </row>
    <row r="186" spans="1:9" hidden="1" x14ac:dyDescent="0.25">
      <c r="A186" s="1" t="s">
        <v>157</v>
      </c>
      <c r="B186" s="1" t="s">
        <v>102</v>
      </c>
      <c r="C186" s="1" t="s">
        <v>25</v>
      </c>
      <c r="D186" s="1">
        <v>0</v>
      </c>
      <c r="E186" s="1">
        <v>136.57</v>
      </c>
      <c r="F186" s="1">
        <v>0</v>
      </c>
      <c r="G186" s="1">
        <v>2253.422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102</v>
      </c>
      <c r="C187" s="1" t="s">
        <v>10</v>
      </c>
      <c r="D187" s="1">
        <v>0</v>
      </c>
      <c r="E187" s="1">
        <v>136.57</v>
      </c>
      <c r="F187" s="1">
        <v>0</v>
      </c>
      <c r="G187" s="1">
        <v>2253.422</v>
      </c>
      <c r="H187" s="1">
        <v>0</v>
      </c>
      <c r="I187" s="1">
        <v>546.28399999999999</v>
      </c>
    </row>
    <row r="188" spans="1:9" hidden="1" x14ac:dyDescent="0.25">
      <c r="A188" s="1" t="s">
        <v>157</v>
      </c>
      <c r="B188" s="1" t="s">
        <v>103</v>
      </c>
      <c r="C188" s="1" t="s">
        <v>25</v>
      </c>
      <c r="D188" s="1">
        <v>0</v>
      </c>
      <c r="E188" s="1">
        <v>-136.57</v>
      </c>
      <c r="F188" s="1">
        <v>0</v>
      </c>
      <c r="G188" s="1">
        <v>-2253.422</v>
      </c>
      <c r="H188" s="1">
        <v>0</v>
      </c>
      <c r="I188" s="1">
        <v>0</v>
      </c>
    </row>
    <row r="189" spans="1:9" hidden="1" x14ac:dyDescent="0.25">
      <c r="A189" s="1" t="s">
        <v>157</v>
      </c>
      <c r="B189" s="1" t="s">
        <v>103</v>
      </c>
      <c r="C189" s="1" t="s">
        <v>10</v>
      </c>
      <c r="D189" s="1">
        <v>0</v>
      </c>
      <c r="E189" s="1">
        <v>-136.57</v>
      </c>
      <c r="F189" s="1">
        <v>0</v>
      </c>
      <c r="G189" s="1">
        <v>-2253.422</v>
      </c>
      <c r="H189" s="1">
        <v>0</v>
      </c>
      <c r="I189" s="1">
        <v>-546.28399999999999</v>
      </c>
    </row>
    <row r="190" spans="1:9" hidden="1" x14ac:dyDescent="0.25">
      <c r="A190" s="1" t="s">
        <v>157</v>
      </c>
      <c r="B190" s="1" t="s">
        <v>104</v>
      </c>
      <c r="C190" s="1" t="s">
        <v>25</v>
      </c>
      <c r="D190" s="1">
        <v>0</v>
      </c>
      <c r="E190" s="1">
        <v>0</v>
      </c>
      <c r="F190" s="1">
        <v>290.91000000000003</v>
      </c>
      <c r="G190" s="1">
        <v>5759.9690000000001</v>
      </c>
      <c r="H190" s="1">
        <v>0</v>
      </c>
      <c r="I190" s="1">
        <v>0</v>
      </c>
    </row>
    <row r="191" spans="1:9" hidden="1" x14ac:dyDescent="0.25">
      <c r="A191" s="1" t="s">
        <v>157</v>
      </c>
      <c r="B191" s="1" t="s">
        <v>104</v>
      </c>
      <c r="C191" s="1" t="s">
        <v>10</v>
      </c>
      <c r="D191" s="1">
        <v>0</v>
      </c>
      <c r="E191" s="1">
        <v>0</v>
      </c>
      <c r="F191" s="1">
        <v>290.91000000000003</v>
      </c>
      <c r="G191" s="1">
        <v>5759.9690000000001</v>
      </c>
      <c r="H191" s="1">
        <v>1163.6300000000001</v>
      </c>
      <c r="I191" s="1">
        <v>0</v>
      </c>
    </row>
    <row r="192" spans="1:9" hidden="1" x14ac:dyDescent="0.25">
      <c r="A192" s="1" t="s">
        <v>157</v>
      </c>
      <c r="B192" s="1" t="s">
        <v>105</v>
      </c>
      <c r="C192" s="1" t="s">
        <v>25</v>
      </c>
      <c r="D192" s="1">
        <v>0</v>
      </c>
      <c r="E192" s="1">
        <v>0</v>
      </c>
      <c r="F192" s="1">
        <v>-290.91000000000003</v>
      </c>
      <c r="G192" s="1">
        <v>-5759.9690000000001</v>
      </c>
      <c r="H192" s="1">
        <v>0</v>
      </c>
      <c r="I192" s="1">
        <v>0</v>
      </c>
    </row>
    <row r="193" spans="1:9" hidden="1" x14ac:dyDescent="0.25">
      <c r="A193" s="1" t="s">
        <v>157</v>
      </c>
      <c r="B193" s="1" t="s">
        <v>105</v>
      </c>
      <c r="C193" s="1" t="s">
        <v>10</v>
      </c>
      <c r="D193" s="1">
        <v>0</v>
      </c>
      <c r="E193" s="1">
        <v>0</v>
      </c>
      <c r="F193" s="1">
        <v>-290.91000000000003</v>
      </c>
      <c r="G193" s="1">
        <v>-5759.9690000000001</v>
      </c>
      <c r="H193" s="1">
        <v>-1163.6300000000001</v>
      </c>
      <c r="I193" s="1">
        <v>0</v>
      </c>
    </row>
    <row r="194" spans="1:9" hidden="1" x14ac:dyDescent="0.25">
      <c r="A194" s="1" t="s">
        <v>157</v>
      </c>
      <c r="B194" s="1" t="s">
        <v>106</v>
      </c>
      <c r="C194" s="1" t="s">
        <v>25</v>
      </c>
      <c r="D194" s="1">
        <v>0</v>
      </c>
      <c r="E194" s="1">
        <v>0</v>
      </c>
      <c r="F194" s="1">
        <v>290.91000000000003</v>
      </c>
      <c r="G194" s="1">
        <v>5759.9690000000001</v>
      </c>
      <c r="H194" s="1">
        <v>0</v>
      </c>
      <c r="I194" s="1">
        <v>0</v>
      </c>
    </row>
    <row r="195" spans="1:9" hidden="1" x14ac:dyDescent="0.25">
      <c r="A195" s="1" t="s">
        <v>157</v>
      </c>
      <c r="B195" s="1" t="s">
        <v>106</v>
      </c>
      <c r="C195" s="1" t="s">
        <v>10</v>
      </c>
      <c r="D195" s="1">
        <v>0</v>
      </c>
      <c r="E195" s="1">
        <v>0</v>
      </c>
      <c r="F195" s="1">
        <v>290.91000000000003</v>
      </c>
      <c r="G195" s="1">
        <v>5759.9690000000001</v>
      </c>
      <c r="H195" s="1">
        <v>1163.6300000000001</v>
      </c>
      <c r="I195" s="1">
        <v>0</v>
      </c>
    </row>
    <row r="196" spans="1:9" hidden="1" x14ac:dyDescent="0.25">
      <c r="A196" s="1" t="s">
        <v>157</v>
      </c>
      <c r="B196" s="1" t="s">
        <v>107</v>
      </c>
      <c r="C196" s="1" t="s">
        <v>25</v>
      </c>
      <c r="D196" s="1">
        <v>0</v>
      </c>
      <c r="E196" s="1">
        <v>0</v>
      </c>
      <c r="F196" s="1">
        <v>-290.91000000000003</v>
      </c>
      <c r="G196" s="1">
        <v>-5759.9690000000001</v>
      </c>
      <c r="H196" s="1">
        <v>0</v>
      </c>
      <c r="I196" s="1">
        <v>0</v>
      </c>
    </row>
    <row r="197" spans="1:9" hidden="1" x14ac:dyDescent="0.25">
      <c r="A197" s="1" t="s">
        <v>157</v>
      </c>
      <c r="B197" s="1" t="s">
        <v>107</v>
      </c>
      <c r="C197" s="1" t="s">
        <v>10</v>
      </c>
      <c r="D197" s="1">
        <v>0</v>
      </c>
      <c r="E197" s="1">
        <v>0</v>
      </c>
      <c r="F197" s="1">
        <v>-290.91000000000003</v>
      </c>
      <c r="G197" s="1">
        <v>-5759.9690000000001</v>
      </c>
      <c r="H197" s="1">
        <v>-1163.6300000000001</v>
      </c>
      <c r="I197" s="1">
        <v>0</v>
      </c>
    </row>
    <row r="198" spans="1:9" hidden="1" x14ac:dyDescent="0.25">
      <c r="A198" s="1" t="s">
        <v>157</v>
      </c>
      <c r="B198" s="1" t="s">
        <v>108</v>
      </c>
      <c r="C198" s="1" t="s">
        <v>25</v>
      </c>
      <c r="D198" s="1">
        <v>0</v>
      </c>
      <c r="E198" s="1">
        <v>40.97</v>
      </c>
      <c r="F198" s="1">
        <v>0</v>
      </c>
      <c r="G198" s="1">
        <v>676.02599999999995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108</v>
      </c>
      <c r="C199" s="1" t="s">
        <v>10</v>
      </c>
      <c r="D199" s="1">
        <v>0</v>
      </c>
      <c r="E199" s="1">
        <v>40.97</v>
      </c>
      <c r="F199" s="1">
        <v>0</v>
      </c>
      <c r="G199" s="1">
        <v>676.02599999999995</v>
      </c>
      <c r="H199" s="1">
        <v>0</v>
      </c>
      <c r="I199" s="1">
        <v>163.88499999999999</v>
      </c>
    </row>
    <row r="200" spans="1:9" hidden="1" x14ac:dyDescent="0.25">
      <c r="A200" s="1" t="s">
        <v>157</v>
      </c>
      <c r="B200" s="1" t="s">
        <v>109</v>
      </c>
      <c r="C200" s="1" t="s">
        <v>25</v>
      </c>
      <c r="D200" s="1">
        <v>0</v>
      </c>
      <c r="E200" s="1">
        <v>-40.97</v>
      </c>
      <c r="F200" s="1">
        <v>0</v>
      </c>
      <c r="G200" s="1">
        <v>-676.02599999999995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109</v>
      </c>
      <c r="C201" s="1" t="s">
        <v>10</v>
      </c>
      <c r="D201" s="1">
        <v>0</v>
      </c>
      <c r="E201" s="1">
        <v>-40.97</v>
      </c>
      <c r="F201" s="1">
        <v>0</v>
      </c>
      <c r="G201" s="1">
        <v>-676.02599999999995</v>
      </c>
      <c r="H201" s="1">
        <v>0</v>
      </c>
      <c r="I201" s="1">
        <v>-163.88499999999999</v>
      </c>
    </row>
    <row r="202" spans="1:9" hidden="1" x14ac:dyDescent="0.25">
      <c r="A202" s="1" t="s">
        <v>157</v>
      </c>
      <c r="B202" s="1" t="s">
        <v>110</v>
      </c>
      <c r="C202" s="1" t="s">
        <v>25</v>
      </c>
      <c r="D202" s="1">
        <v>0</v>
      </c>
      <c r="E202" s="1">
        <v>40.97</v>
      </c>
      <c r="F202" s="1">
        <v>0</v>
      </c>
      <c r="G202" s="1">
        <v>676.02599999999995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110</v>
      </c>
      <c r="C203" s="1" t="s">
        <v>10</v>
      </c>
      <c r="D203" s="1">
        <v>0</v>
      </c>
      <c r="E203" s="1">
        <v>40.97</v>
      </c>
      <c r="F203" s="1">
        <v>0</v>
      </c>
      <c r="G203" s="1">
        <v>676.02599999999995</v>
      </c>
      <c r="H203" s="1">
        <v>0</v>
      </c>
      <c r="I203" s="1">
        <v>163.88499999999999</v>
      </c>
    </row>
    <row r="204" spans="1:9" hidden="1" x14ac:dyDescent="0.25">
      <c r="A204" s="1" t="s">
        <v>157</v>
      </c>
      <c r="B204" s="1" t="s">
        <v>111</v>
      </c>
      <c r="C204" s="1" t="s">
        <v>25</v>
      </c>
      <c r="D204" s="1">
        <v>0</v>
      </c>
      <c r="E204" s="1">
        <v>-40.97</v>
      </c>
      <c r="F204" s="1">
        <v>0</v>
      </c>
      <c r="G204" s="1">
        <v>-676.02599999999995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111</v>
      </c>
      <c r="C205" s="1" t="s">
        <v>10</v>
      </c>
      <c r="D205" s="1">
        <v>0</v>
      </c>
      <c r="E205" s="1">
        <v>-40.97</v>
      </c>
      <c r="F205" s="1">
        <v>0</v>
      </c>
      <c r="G205" s="1">
        <v>-676.02599999999995</v>
      </c>
      <c r="H205" s="1">
        <v>0</v>
      </c>
      <c r="I205" s="1">
        <v>-163.88499999999999</v>
      </c>
    </row>
    <row r="206" spans="1:9" hidden="1" x14ac:dyDescent="0.25">
      <c r="A206" s="1" t="s">
        <v>157</v>
      </c>
      <c r="B206" s="1" t="s">
        <v>112</v>
      </c>
      <c r="C206" s="1" t="s">
        <v>25</v>
      </c>
      <c r="D206" s="1">
        <v>0</v>
      </c>
      <c r="E206" s="1">
        <v>0</v>
      </c>
      <c r="F206" s="1">
        <v>87.27</v>
      </c>
      <c r="G206" s="1">
        <v>1727.991</v>
      </c>
      <c r="H206" s="1">
        <v>0</v>
      </c>
      <c r="I206" s="1">
        <v>0</v>
      </c>
    </row>
    <row r="207" spans="1:9" hidden="1" x14ac:dyDescent="0.25">
      <c r="A207" s="1" t="s">
        <v>157</v>
      </c>
      <c r="B207" s="1" t="s">
        <v>112</v>
      </c>
      <c r="C207" s="1" t="s">
        <v>10</v>
      </c>
      <c r="D207" s="1">
        <v>0</v>
      </c>
      <c r="E207" s="1">
        <v>0</v>
      </c>
      <c r="F207" s="1">
        <v>87.27</v>
      </c>
      <c r="G207" s="1">
        <v>1727.991</v>
      </c>
      <c r="H207" s="1">
        <v>349.089</v>
      </c>
      <c r="I207" s="1">
        <v>0</v>
      </c>
    </row>
    <row r="208" spans="1:9" hidden="1" x14ac:dyDescent="0.25">
      <c r="A208" s="1" t="s">
        <v>157</v>
      </c>
      <c r="B208" s="1" t="s">
        <v>113</v>
      </c>
      <c r="C208" s="1" t="s">
        <v>25</v>
      </c>
      <c r="D208" s="1">
        <v>0</v>
      </c>
      <c r="E208" s="1">
        <v>0</v>
      </c>
      <c r="F208" s="1">
        <v>-87.27</v>
      </c>
      <c r="G208" s="1">
        <v>-1727.991</v>
      </c>
      <c r="H208" s="1">
        <v>0</v>
      </c>
      <c r="I208" s="1">
        <v>0</v>
      </c>
    </row>
    <row r="209" spans="1:9" hidden="1" x14ac:dyDescent="0.25">
      <c r="A209" s="1" t="s">
        <v>157</v>
      </c>
      <c r="B209" s="1" t="s">
        <v>113</v>
      </c>
      <c r="C209" s="1" t="s">
        <v>10</v>
      </c>
      <c r="D209" s="1">
        <v>0</v>
      </c>
      <c r="E209" s="1">
        <v>0</v>
      </c>
      <c r="F209" s="1">
        <v>-87.27</v>
      </c>
      <c r="G209" s="1">
        <v>-1727.991</v>
      </c>
      <c r="H209" s="1">
        <v>-349.089</v>
      </c>
      <c r="I209" s="1">
        <v>0</v>
      </c>
    </row>
    <row r="210" spans="1:9" hidden="1" x14ac:dyDescent="0.25">
      <c r="A210" s="1" t="s">
        <v>157</v>
      </c>
      <c r="B210" s="1" t="s">
        <v>114</v>
      </c>
      <c r="C210" s="1" t="s">
        <v>25</v>
      </c>
      <c r="D210" s="1">
        <v>0</v>
      </c>
      <c r="E210" s="1">
        <v>0</v>
      </c>
      <c r="F210" s="1">
        <v>87.27</v>
      </c>
      <c r="G210" s="1">
        <v>1727.991</v>
      </c>
      <c r="H210" s="1">
        <v>0</v>
      </c>
      <c r="I210" s="1">
        <v>0</v>
      </c>
    </row>
    <row r="211" spans="1:9" hidden="1" x14ac:dyDescent="0.25">
      <c r="A211" s="1" t="s">
        <v>157</v>
      </c>
      <c r="B211" s="1" t="s">
        <v>114</v>
      </c>
      <c r="C211" s="1" t="s">
        <v>10</v>
      </c>
      <c r="D211" s="1">
        <v>0</v>
      </c>
      <c r="E211" s="1">
        <v>0</v>
      </c>
      <c r="F211" s="1">
        <v>87.27</v>
      </c>
      <c r="G211" s="1">
        <v>1727.991</v>
      </c>
      <c r="H211" s="1">
        <v>349.089</v>
      </c>
      <c r="I211" s="1">
        <v>0</v>
      </c>
    </row>
    <row r="212" spans="1:9" hidden="1" x14ac:dyDescent="0.25">
      <c r="A212" s="1" t="s">
        <v>157</v>
      </c>
      <c r="B212" s="1" t="s">
        <v>115</v>
      </c>
      <c r="C212" s="1" t="s">
        <v>25</v>
      </c>
      <c r="D212" s="1">
        <v>0</v>
      </c>
      <c r="E212" s="1">
        <v>0</v>
      </c>
      <c r="F212" s="1">
        <v>-87.27</v>
      </c>
      <c r="G212" s="1">
        <v>-1727.991</v>
      </c>
      <c r="H212" s="1">
        <v>0</v>
      </c>
      <c r="I212" s="1">
        <v>0</v>
      </c>
    </row>
    <row r="213" spans="1:9" hidden="1" x14ac:dyDescent="0.25">
      <c r="A213" s="1" t="s">
        <v>157</v>
      </c>
      <c r="B213" s="1" t="s">
        <v>115</v>
      </c>
      <c r="C213" s="1" t="s">
        <v>10</v>
      </c>
      <c r="D213" s="1">
        <v>0</v>
      </c>
      <c r="E213" s="1">
        <v>0</v>
      </c>
      <c r="F213" s="1">
        <v>-87.27</v>
      </c>
      <c r="G213" s="1">
        <v>-1727.991</v>
      </c>
      <c r="H213" s="1">
        <v>-349.089</v>
      </c>
      <c r="I213" s="1">
        <v>0</v>
      </c>
    </row>
    <row r="214" spans="1:9" hidden="1" x14ac:dyDescent="0.25">
      <c r="A214" s="1" t="s">
        <v>157</v>
      </c>
      <c r="B214" s="1" t="s">
        <v>116</v>
      </c>
      <c r="C214" s="1" t="s">
        <v>25</v>
      </c>
      <c r="D214" s="1">
        <v>0</v>
      </c>
      <c r="E214" s="1">
        <v>136.57</v>
      </c>
      <c r="F214" s="1">
        <v>0</v>
      </c>
      <c r="G214" s="1">
        <v>2253.422</v>
      </c>
      <c r="H214" s="1">
        <v>0</v>
      </c>
      <c r="I214" s="1">
        <v>0</v>
      </c>
    </row>
    <row r="215" spans="1:9" hidden="1" x14ac:dyDescent="0.25">
      <c r="A215" s="1" t="s">
        <v>157</v>
      </c>
      <c r="B215" s="1" t="s">
        <v>116</v>
      </c>
      <c r="C215" s="1" t="s">
        <v>10</v>
      </c>
      <c r="D215" s="1">
        <v>0</v>
      </c>
      <c r="E215" s="1">
        <v>136.57</v>
      </c>
      <c r="F215" s="1">
        <v>0</v>
      </c>
      <c r="G215" s="1">
        <v>2253.422</v>
      </c>
      <c r="H215" s="1">
        <v>0</v>
      </c>
      <c r="I215" s="1">
        <v>546.28399999999999</v>
      </c>
    </row>
    <row r="216" spans="1:9" hidden="1" x14ac:dyDescent="0.25">
      <c r="A216" s="1" t="s">
        <v>157</v>
      </c>
      <c r="B216" s="1" t="s">
        <v>117</v>
      </c>
      <c r="C216" s="1" t="s">
        <v>25</v>
      </c>
      <c r="D216" s="1">
        <v>0</v>
      </c>
      <c r="E216" s="1">
        <v>-136.57</v>
      </c>
      <c r="F216" s="1">
        <v>0</v>
      </c>
      <c r="G216" s="1">
        <v>-2253.422</v>
      </c>
      <c r="H216" s="1">
        <v>0</v>
      </c>
      <c r="I216" s="1">
        <v>0</v>
      </c>
    </row>
    <row r="217" spans="1:9" hidden="1" x14ac:dyDescent="0.25">
      <c r="A217" s="1" t="s">
        <v>157</v>
      </c>
      <c r="B217" s="1" t="s">
        <v>117</v>
      </c>
      <c r="C217" s="1" t="s">
        <v>10</v>
      </c>
      <c r="D217" s="1">
        <v>0</v>
      </c>
      <c r="E217" s="1">
        <v>-136.57</v>
      </c>
      <c r="F217" s="1">
        <v>0</v>
      </c>
      <c r="G217" s="1">
        <v>-2253.422</v>
      </c>
      <c r="H217" s="1">
        <v>0</v>
      </c>
      <c r="I217" s="1">
        <v>-546.28399999999999</v>
      </c>
    </row>
    <row r="218" spans="1:9" hidden="1" x14ac:dyDescent="0.25">
      <c r="A218" s="1" t="s">
        <v>157</v>
      </c>
      <c r="B218" s="1" t="s">
        <v>118</v>
      </c>
      <c r="C218" s="1" t="s">
        <v>25</v>
      </c>
      <c r="D218" s="1">
        <v>0</v>
      </c>
      <c r="E218" s="1">
        <v>136.57</v>
      </c>
      <c r="F218" s="1">
        <v>0</v>
      </c>
      <c r="G218" s="1">
        <v>2253.422</v>
      </c>
      <c r="H218" s="1">
        <v>0</v>
      </c>
      <c r="I218" s="1">
        <v>0</v>
      </c>
    </row>
    <row r="219" spans="1:9" hidden="1" x14ac:dyDescent="0.25">
      <c r="A219" s="1" t="s">
        <v>157</v>
      </c>
      <c r="B219" s="1" t="s">
        <v>118</v>
      </c>
      <c r="C219" s="1" t="s">
        <v>10</v>
      </c>
      <c r="D219" s="1">
        <v>0</v>
      </c>
      <c r="E219" s="1">
        <v>136.57</v>
      </c>
      <c r="F219" s="1">
        <v>0</v>
      </c>
      <c r="G219" s="1">
        <v>2253.422</v>
      </c>
      <c r="H219" s="1">
        <v>0</v>
      </c>
      <c r="I219" s="1">
        <v>546.28399999999999</v>
      </c>
    </row>
    <row r="220" spans="1:9" hidden="1" x14ac:dyDescent="0.25">
      <c r="A220" s="1" t="s">
        <v>157</v>
      </c>
      <c r="B220" s="1" t="s">
        <v>119</v>
      </c>
      <c r="C220" s="1" t="s">
        <v>25</v>
      </c>
      <c r="D220" s="1">
        <v>0</v>
      </c>
      <c r="E220" s="1">
        <v>-136.57</v>
      </c>
      <c r="F220" s="1">
        <v>0</v>
      </c>
      <c r="G220" s="1">
        <v>-2253.422</v>
      </c>
      <c r="H220" s="1">
        <v>0</v>
      </c>
      <c r="I220" s="1">
        <v>0</v>
      </c>
    </row>
    <row r="221" spans="1:9" hidden="1" x14ac:dyDescent="0.25">
      <c r="A221" s="1" t="s">
        <v>157</v>
      </c>
      <c r="B221" s="1" t="s">
        <v>119</v>
      </c>
      <c r="C221" s="1" t="s">
        <v>10</v>
      </c>
      <c r="D221" s="1">
        <v>0</v>
      </c>
      <c r="E221" s="1">
        <v>-136.57</v>
      </c>
      <c r="F221" s="1">
        <v>0</v>
      </c>
      <c r="G221" s="1">
        <v>-2253.422</v>
      </c>
      <c r="H221" s="1">
        <v>0</v>
      </c>
      <c r="I221" s="1">
        <v>-546.28399999999999</v>
      </c>
    </row>
    <row r="222" spans="1:9" hidden="1" x14ac:dyDescent="0.25">
      <c r="A222" s="1" t="s">
        <v>157</v>
      </c>
      <c r="B222" s="1" t="s">
        <v>120</v>
      </c>
      <c r="C222" s="1" t="s">
        <v>25</v>
      </c>
      <c r="D222" s="1">
        <v>0</v>
      </c>
      <c r="E222" s="1">
        <v>0</v>
      </c>
      <c r="F222" s="1">
        <v>290.91000000000003</v>
      </c>
      <c r="G222" s="1">
        <v>5759.9690000000001</v>
      </c>
      <c r="H222" s="1">
        <v>0</v>
      </c>
      <c r="I222" s="1">
        <v>0</v>
      </c>
    </row>
    <row r="223" spans="1:9" hidden="1" x14ac:dyDescent="0.25">
      <c r="A223" s="1" t="s">
        <v>157</v>
      </c>
      <c r="B223" s="1" t="s">
        <v>120</v>
      </c>
      <c r="C223" s="1" t="s">
        <v>10</v>
      </c>
      <c r="D223" s="1">
        <v>0</v>
      </c>
      <c r="E223" s="1">
        <v>0</v>
      </c>
      <c r="F223" s="1">
        <v>290.91000000000003</v>
      </c>
      <c r="G223" s="1">
        <v>5759.9690000000001</v>
      </c>
      <c r="H223" s="1">
        <v>1163.6300000000001</v>
      </c>
      <c r="I223" s="1">
        <v>0</v>
      </c>
    </row>
    <row r="224" spans="1:9" hidden="1" x14ac:dyDescent="0.25">
      <c r="A224" s="1" t="s">
        <v>157</v>
      </c>
      <c r="B224" s="1" t="s">
        <v>121</v>
      </c>
      <c r="C224" s="1" t="s">
        <v>25</v>
      </c>
      <c r="D224" s="1">
        <v>0</v>
      </c>
      <c r="E224" s="1">
        <v>0</v>
      </c>
      <c r="F224" s="1">
        <v>-290.91000000000003</v>
      </c>
      <c r="G224" s="1">
        <v>-5759.9690000000001</v>
      </c>
      <c r="H224" s="1">
        <v>0</v>
      </c>
      <c r="I224" s="1">
        <v>0</v>
      </c>
    </row>
    <row r="225" spans="1:9" hidden="1" x14ac:dyDescent="0.25">
      <c r="A225" s="1" t="s">
        <v>157</v>
      </c>
      <c r="B225" s="1" t="s">
        <v>121</v>
      </c>
      <c r="C225" s="1" t="s">
        <v>10</v>
      </c>
      <c r="D225" s="1">
        <v>0</v>
      </c>
      <c r="E225" s="1">
        <v>0</v>
      </c>
      <c r="F225" s="1">
        <v>-290.91000000000003</v>
      </c>
      <c r="G225" s="1">
        <v>-5759.9690000000001</v>
      </c>
      <c r="H225" s="1">
        <v>-1163.6300000000001</v>
      </c>
      <c r="I225" s="1">
        <v>0</v>
      </c>
    </row>
    <row r="226" spans="1:9" hidden="1" x14ac:dyDescent="0.25">
      <c r="A226" s="1" t="s">
        <v>157</v>
      </c>
      <c r="B226" s="1" t="s">
        <v>122</v>
      </c>
      <c r="C226" s="1" t="s">
        <v>25</v>
      </c>
      <c r="D226" s="1">
        <v>0</v>
      </c>
      <c r="E226" s="1">
        <v>0</v>
      </c>
      <c r="F226" s="1">
        <v>290.91000000000003</v>
      </c>
      <c r="G226" s="1">
        <v>5759.9690000000001</v>
      </c>
      <c r="H226" s="1">
        <v>0</v>
      </c>
      <c r="I226" s="1">
        <v>0</v>
      </c>
    </row>
    <row r="227" spans="1:9" hidden="1" x14ac:dyDescent="0.25">
      <c r="A227" s="1" t="s">
        <v>157</v>
      </c>
      <c r="B227" s="1" t="s">
        <v>122</v>
      </c>
      <c r="C227" s="1" t="s">
        <v>10</v>
      </c>
      <c r="D227" s="1">
        <v>0</v>
      </c>
      <c r="E227" s="1">
        <v>0</v>
      </c>
      <c r="F227" s="1">
        <v>290.91000000000003</v>
      </c>
      <c r="G227" s="1">
        <v>5759.9690000000001</v>
      </c>
      <c r="H227" s="1">
        <v>1163.6300000000001</v>
      </c>
      <c r="I227" s="1">
        <v>0</v>
      </c>
    </row>
    <row r="228" spans="1:9" hidden="1" x14ac:dyDescent="0.25">
      <c r="A228" s="1" t="s">
        <v>157</v>
      </c>
      <c r="B228" s="1" t="s">
        <v>123</v>
      </c>
      <c r="C228" s="1" t="s">
        <v>25</v>
      </c>
      <c r="D228" s="1">
        <v>0</v>
      </c>
      <c r="E228" s="1">
        <v>0</v>
      </c>
      <c r="F228" s="1">
        <v>-290.91000000000003</v>
      </c>
      <c r="G228" s="1">
        <v>-5759.9690000000001</v>
      </c>
      <c r="H228" s="1">
        <v>0</v>
      </c>
      <c r="I228" s="1">
        <v>0</v>
      </c>
    </row>
    <row r="229" spans="1:9" hidden="1" x14ac:dyDescent="0.25">
      <c r="A229" s="1" t="s">
        <v>157</v>
      </c>
      <c r="B229" s="1" t="s">
        <v>123</v>
      </c>
      <c r="C229" s="1" t="s">
        <v>10</v>
      </c>
      <c r="D229" s="1">
        <v>0</v>
      </c>
      <c r="E229" s="1">
        <v>0</v>
      </c>
      <c r="F229" s="1">
        <v>-290.91000000000003</v>
      </c>
      <c r="G229" s="1">
        <v>-5759.9690000000001</v>
      </c>
      <c r="H229" s="1">
        <v>-1163.6300000000001</v>
      </c>
      <c r="I229" s="1">
        <v>0</v>
      </c>
    </row>
    <row r="230" spans="1:9" hidden="1" x14ac:dyDescent="0.25">
      <c r="A230" s="1" t="s">
        <v>157</v>
      </c>
      <c r="B230" s="1" t="s">
        <v>124</v>
      </c>
      <c r="C230" s="1" t="s">
        <v>25</v>
      </c>
      <c r="D230" s="1">
        <v>0</v>
      </c>
      <c r="E230" s="1">
        <v>40.97</v>
      </c>
      <c r="F230" s="1">
        <v>0</v>
      </c>
      <c r="G230" s="1">
        <v>676.02599999999995</v>
      </c>
      <c r="H230" s="1">
        <v>0</v>
      </c>
      <c r="I230" s="1">
        <v>0</v>
      </c>
    </row>
    <row r="231" spans="1:9" hidden="1" x14ac:dyDescent="0.25">
      <c r="A231" s="1" t="s">
        <v>157</v>
      </c>
      <c r="B231" s="1" t="s">
        <v>124</v>
      </c>
      <c r="C231" s="1" t="s">
        <v>10</v>
      </c>
      <c r="D231" s="1">
        <v>0</v>
      </c>
      <c r="E231" s="1">
        <v>40.97</v>
      </c>
      <c r="F231" s="1">
        <v>0</v>
      </c>
      <c r="G231" s="1">
        <v>676.02599999999995</v>
      </c>
      <c r="H231" s="1">
        <v>0</v>
      </c>
      <c r="I231" s="1">
        <v>163.88499999999999</v>
      </c>
    </row>
    <row r="232" spans="1:9" hidden="1" x14ac:dyDescent="0.25">
      <c r="A232" s="1" t="s">
        <v>157</v>
      </c>
      <c r="B232" s="1" t="s">
        <v>125</v>
      </c>
      <c r="C232" s="1" t="s">
        <v>25</v>
      </c>
      <c r="D232" s="1">
        <v>0</v>
      </c>
      <c r="E232" s="1">
        <v>-40.97</v>
      </c>
      <c r="F232" s="1">
        <v>0</v>
      </c>
      <c r="G232" s="1">
        <v>-676.02599999999995</v>
      </c>
      <c r="H232" s="1">
        <v>0</v>
      </c>
      <c r="I232" s="1">
        <v>0</v>
      </c>
    </row>
    <row r="233" spans="1:9" hidden="1" x14ac:dyDescent="0.25">
      <c r="A233" s="1" t="s">
        <v>157</v>
      </c>
      <c r="B233" s="1" t="s">
        <v>125</v>
      </c>
      <c r="C233" s="1" t="s">
        <v>10</v>
      </c>
      <c r="D233" s="1">
        <v>0</v>
      </c>
      <c r="E233" s="1">
        <v>-40.97</v>
      </c>
      <c r="F233" s="1">
        <v>0</v>
      </c>
      <c r="G233" s="1">
        <v>-676.02599999999995</v>
      </c>
      <c r="H233" s="1">
        <v>0</v>
      </c>
      <c r="I233" s="1">
        <v>-163.88499999999999</v>
      </c>
    </row>
    <row r="234" spans="1:9" hidden="1" x14ac:dyDescent="0.25">
      <c r="A234" s="1" t="s">
        <v>157</v>
      </c>
      <c r="B234" s="1" t="s">
        <v>126</v>
      </c>
      <c r="C234" s="1" t="s">
        <v>25</v>
      </c>
      <c r="D234" s="1">
        <v>0</v>
      </c>
      <c r="E234" s="1">
        <v>40.97</v>
      </c>
      <c r="F234" s="1">
        <v>0</v>
      </c>
      <c r="G234" s="1">
        <v>676.02599999999995</v>
      </c>
      <c r="H234" s="1">
        <v>0</v>
      </c>
      <c r="I234" s="1">
        <v>0</v>
      </c>
    </row>
    <row r="235" spans="1:9" hidden="1" x14ac:dyDescent="0.25">
      <c r="A235" s="1" t="s">
        <v>157</v>
      </c>
      <c r="B235" s="1" t="s">
        <v>126</v>
      </c>
      <c r="C235" s="1" t="s">
        <v>10</v>
      </c>
      <c r="D235" s="1">
        <v>0</v>
      </c>
      <c r="E235" s="1">
        <v>40.97</v>
      </c>
      <c r="F235" s="1">
        <v>0</v>
      </c>
      <c r="G235" s="1">
        <v>676.02599999999995</v>
      </c>
      <c r="H235" s="1">
        <v>0</v>
      </c>
      <c r="I235" s="1">
        <v>163.88499999999999</v>
      </c>
    </row>
    <row r="236" spans="1:9" hidden="1" x14ac:dyDescent="0.25">
      <c r="A236" s="1" t="s">
        <v>157</v>
      </c>
      <c r="B236" s="1" t="s">
        <v>127</v>
      </c>
      <c r="C236" s="1" t="s">
        <v>25</v>
      </c>
      <c r="D236" s="1">
        <v>0</v>
      </c>
      <c r="E236" s="1">
        <v>-40.97</v>
      </c>
      <c r="F236" s="1">
        <v>0</v>
      </c>
      <c r="G236" s="1">
        <v>-676.02599999999995</v>
      </c>
      <c r="H236" s="1">
        <v>0</v>
      </c>
      <c r="I236" s="1">
        <v>0</v>
      </c>
    </row>
    <row r="237" spans="1:9" hidden="1" x14ac:dyDescent="0.25">
      <c r="A237" s="1" t="s">
        <v>157</v>
      </c>
      <c r="B237" s="1" t="s">
        <v>127</v>
      </c>
      <c r="C237" s="1" t="s">
        <v>10</v>
      </c>
      <c r="D237" s="1">
        <v>0</v>
      </c>
      <c r="E237" s="1">
        <v>-40.97</v>
      </c>
      <c r="F237" s="1">
        <v>0</v>
      </c>
      <c r="G237" s="1">
        <v>-676.02599999999995</v>
      </c>
      <c r="H237" s="1">
        <v>0</v>
      </c>
      <c r="I237" s="1">
        <v>-163.88499999999999</v>
      </c>
    </row>
    <row r="238" spans="1:9" hidden="1" x14ac:dyDescent="0.25">
      <c r="A238" s="1" t="s">
        <v>157</v>
      </c>
      <c r="B238" s="1" t="s">
        <v>128</v>
      </c>
      <c r="C238" s="1" t="s">
        <v>25</v>
      </c>
      <c r="D238" s="1">
        <v>0</v>
      </c>
      <c r="E238" s="1">
        <v>0</v>
      </c>
      <c r="F238" s="1">
        <v>87.27</v>
      </c>
      <c r="G238" s="1">
        <v>1727.991</v>
      </c>
      <c r="H238" s="1">
        <v>0</v>
      </c>
      <c r="I238" s="1">
        <v>0</v>
      </c>
    </row>
    <row r="239" spans="1:9" hidden="1" x14ac:dyDescent="0.25">
      <c r="A239" s="1" t="s">
        <v>157</v>
      </c>
      <c r="B239" s="1" t="s">
        <v>128</v>
      </c>
      <c r="C239" s="1" t="s">
        <v>10</v>
      </c>
      <c r="D239" s="1">
        <v>0</v>
      </c>
      <c r="E239" s="1">
        <v>0</v>
      </c>
      <c r="F239" s="1">
        <v>87.27</v>
      </c>
      <c r="G239" s="1">
        <v>1727.991</v>
      </c>
      <c r="H239" s="1">
        <v>349.089</v>
      </c>
      <c r="I239" s="1">
        <v>0</v>
      </c>
    </row>
    <row r="240" spans="1:9" hidden="1" x14ac:dyDescent="0.25">
      <c r="A240" s="1" t="s">
        <v>157</v>
      </c>
      <c r="B240" s="1" t="s">
        <v>129</v>
      </c>
      <c r="C240" s="1" t="s">
        <v>25</v>
      </c>
      <c r="D240" s="1">
        <v>0</v>
      </c>
      <c r="E240" s="1">
        <v>0</v>
      </c>
      <c r="F240" s="1">
        <v>-87.27</v>
      </c>
      <c r="G240" s="1">
        <v>-1727.991</v>
      </c>
      <c r="H240" s="1">
        <v>0</v>
      </c>
      <c r="I240" s="1">
        <v>0</v>
      </c>
    </row>
    <row r="241" spans="1:9" hidden="1" x14ac:dyDescent="0.25">
      <c r="A241" s="1" t="s">
        <v>157</v>
      </c>
      <c r="B241" s="1" t="s">
        <v>129</v>
      </c>
      <c r="C241" s="1" t="s">
        <v>10</v>
      </c>
      <c r="D241" s="1">
        <v>0</v>
      </c>
      <c r="E241" s="1">
        <v>0</v>
      </c>
      <c r="F241" s="1">
        <v>-87.27</v>
      </c>
      <c r="G241" s="1">
        <v>-1727.991</v>
      </c>
      <c r="H241" s="1">
        <v>-349.089</v>
      </c>
      <c r="I241" s="1">
        <v>0</v>
      </c>
    </row>
    <row r="242" spans="1:9" hidden="1" x14ac:dyDescent="0.25">
      <c r="A242" s="1" t="s">
        <v>157</v>
      </c>
      <c r="B242" s="1" t="s">
        <v>130</v>
      </c>
      <c r="C242" s="1" t="s">
        <v>25</v>
      </c>
      <c r="D242" s="1">
        <v>0</v>
      </c>
      <c r="E242" s="1">
        <v>0</v>
      </c>
      <c r="F242" s="1">
        <v>87.27</v>
      </c>
      <c r="G242" s="1">
        <v>1727.991</v>
      </c>
      <c r="H242" s="1">
        <v>0</v>
      </c>
      <c r="I242" s="1">
        <v>0</v>
      </c>
    </row>
    <row r="243" spans="1:9" hidden="1" x14ac:dyDescent="0.25">
      <c r="A243" s="1" t="s">
        <v>157</v>
      </c>
      <c r="B243" s="1" t="s">
        <v>130</v>
      </c>
      <c r="C243" s="1" t="s">
        <v>10</v>
      </c>
      <c r="D243" s="1">
        <v>0</v>
      </c>
      <c r="E243" s="1">
        <v>0</v>
      </c>
      <c r="F243" s="1">
        <v>87.27</v>
      </c>
      <c r="G243" s="1">
        <v>1727.991</v>
      </c>
      <c r="H243" s="1">
        <v>349.089</v>
      </c>
      <c r="I243" s="1">
        <v>0</v>
      </c>
    </row>
    <row r="244" spans="1:9" hidden="1" x14ac:dyDescent="0.25">
      <c r="A244" s="1" t="s">
        <v>157</v>
      </c>
      <c r="B244" s="1" t="s">
        <v>131</v>
      </c>
      <c r="C244" s="1" t="s">
        <v>25</v>
      </c>
      <c r="D244" s="1">
        <v>0</v>
      </c>
      <c r="E244" s="1">
        <v>0</v>
      </c>
      <c r="F244" s="1">
        <v>-87.27</v>
      </c>
      <c r="G244" s="1">
        <v>-1727.991</v>
      </c>
      <c r="H244" s="1">
        <v>0</v>
      </c>
      <c r="I244" s="1">
        <v>0</v>
      </c>
    </row>
    <row r="245" spans="1:9" hidden="1" x14ac:dyDescent="0.25">
      <c r="A245" s="1" t="s">
        <v>157</v>
      </c>
      <c r="B245" s="1" t="s">
        <v>131</v>
      </c>
      <c r="C245" s="1" t="s">
        <v>10</v>
      </c>
      <c r="D245" s="1">
        <v>0</v>
      </c>
      <c r="E245" s="1">
        <v>0</v>
      </c>
      <c r="F245" s="1">
        <v>-87.27</v>
      </c>
      <c r="G245" s="1">
        <v>-1727.991</v>
      </c>
      <c r="H245" s="1">
        <v>-349.089</v>
      </c>
      <c r="I245" s="1">
        <v>0</v>
      </c>
    </row>
    <row r="246" spans="1:9" hidden="1" x14ac:dyDescent="0.25">
      <c r="A246" s="1" t="s">
        <v>157</v>
      </c>
      <c r="B246" s="1" t="s">
        <v>132</v>
      </c>
      <c r="C246" s="1" t="s">
        <v>25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</row>
    <row r="247" spans="1:9" hidden="1" x14ac:dyDescent="0.25">
      <c r="A247" s="1" t="s">
        <v>157</v>
      </c>
      <c r="B247" s="1" t="s">
        <v>132</v>
      </c>
      <c r="C247" s="1" t="s">
        <v>10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</row>
    <row r="248" spans="1:9" hidden="1" x14ac:dyDescent="0.25">
      <c r="A248" s="1" t="s">
        <v>157</v>
      </c>
      <c r="B248" s="1" t="s">
        <v>133</v>
      </c>
      <c r="C248" s="1" t="s">
        <v>25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</row>
    <row r="249" spans="1:9" hidden="1" x14ac:dyDescent="0.25">
      <c r="A249" s="1" t="s">
        <v>157</v>
      </c>
      <c r="B249" s="1" t="s">
        <v>133</v>
      </c>
      <c r="C249" s="1" t="s">
        <v>10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</row>
    <row r="250" spans="1:9" hidden="1" x14ac:dyDescent="0.25">
      <c r="A250" s="1" t="s">
        <v>157</v>
      </c>
      <c r="B250" s="1" t="s">
        <v>134</v>
      </c>
      <c r="C250" s="1" t="s">
        <v>25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</row>
    <row r="251" spans="1:9" hidden="1" x14ac:dyDescent="0.25">
      <c r="A251" s="1" t="s">
        <v>157</v>
      </c>
      <c r="B251" s="1" t="s">
        <v>134</v>
      </c>
      <c r="C251" s="1" t="s">
        <v>10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</row>
    <row r="252" spans="1:9" hidden="1" x14ac:dyDescent="0.25">
      <c r="A252" s="1" t="s">
        <v>157</v>
      </c>
      <c r="B252" s="1" t="s">
        <v>135</v>
      </c>
      <c r="C252" s="1" t="s">
        <v>25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</row>
    <row r="253" spans="1:9" hidden="1" x14ac:dyDescent="0.25">
      <c r="A253" s="1" t="s">
        <v>157</v>
      </c>
      <c r="B253" s="1" t="s">
        <v>135</v>
      </c>
      <c r="C253" s="1" t="s">
        <v>10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</row>
    <row r="254" spans="1:9" hidden="1" x14ac:dyDescent="0.25">
      <c r="A254" s="1" t="s">
        <v>157</v>
      </c>
      <c r="B254" s="1" t="s">
        <v>136</v>
      </c>
      <c r="C254" s="1" t="s">
        <v>25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</row>
    <row r="255" spans="1:9" hidden="1" x14ac:dyDescent="0.25">
      <c r="A255" s="1" t="s">
        <v>157</v>
      </c>
      <c r="B255" s="1" t="s">
        <v>136</v>
      </c>
      <c r="C255" s="1" t="s">
        <v>10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</row>
    <row r="256" spans="1:9" hidden="1" x14ac:dyDescent="0.25">
      <c r="A256" s="1" t="s">
        <v>157</v>
      </c>
      <c r="B256" s="1" t="s">
        <v>137</v>
      </c>
      <c r="C256" s="1" t="s">
        <v>25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</row>
    <row r="257" spans="1:9" hidden="1" x14ac:dyDescent="0.25">
      <c r="A257" s="1" t="s">
        <v>157</v>
      </c>
      <c r="B257" s="1" t="s">
        <v>137</v>
      </c>
      <c r="C257" s="1" t="s">
        <v>10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</row>
    <row r="258" spans="1:9" hidden="1" x14ac:dyDescent="0.25">
      <c r="A258" s="1" t="s">
        <v>157</v>
      </c>
      <c r="B258" s="1" t="s">
        <v>138</v>
      </c>
      <c r="C258" s="1" t="s">
        <v>25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</row>
    <row r="259" spans="1:9" hidden="1" x14ac:dyDescent="0.25">
      <c r="A259" s="1" t="s">
        <v>157</v>
      </c>
      <c r="B259" s="1" t="s">
        <v>138</v>
      </c>
      <c r="C259" s="1" t="s">
        <v>10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</row>
    <row r="260" spans="1:9" hidden="1" x14ac:dyDescent="0.25">
      <c r="A260" s="1" t="s">
        <v>157</v>
      </c>
      <c r="B260" s="1" t="s">
        <v>139</v>
      </c>
      <c r="C260" s="1" t="s">
        <v>25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</row>
    <row r="261" spans="1:9" hidden="1" x14ac:dyDescent="0.25">
      <c r="A261" s="1" t="s">
        <v>157</v>
      </c>
      <c r="B261" s="1" t="s">
        <v>139</v>
      </c>
      <c r="C261" s="1" t="s">
        <v>10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</row>
    <row r="262" spans="1:9" hidden="1" x14ac:dyDescent="0.25">
      <c r="A262" s="1" t="s">
        <v>157</v>
      </c>
      <c r="B262" s="1" t="s">
        <v>140</v>
      </c>
      <c r="C262" s="1" t="s">
        <v>25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</row>
    <row r="263" spans="1:9" hidden="1" x14ac:dyDescent="0.25">
      <c r="A263" s="1" t="s">
        <v>157</v>
      </c>
      <c r="B263" s="1" t="s">
        <v>140</v>
      </c>
      <c r="C263" s="1" t="s">
        <v>10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</row>
    <row r="264" spans="1:9" hidden="1" x14ac:dyDescent="0.25">
      <c r="A264" s="1" t="s">
        <v>157</v>
      </c>
      <c r="B264" s="1" t="s">
        <v>141</v>
      </c>
      <c r="C264" s="1" t="s">
        <v>25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</row>
    <row r="265" spans="1:9" hidden="1" x14ac:dyDescent="0.25">
      <c r="A265" s="1" t="s">
        <v>157</v>
      </c>
      <c r="B265" s="1" t="s">
        <v>141</v>
      </c>
      <c r="C265" s="1" t="s">
        <v>10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</row>
    <row r="266" spans="1:9" hidden="1" x14ac:dyDescent="0.25">
      <c r="A266" s="1" t="s">
        <v>157</v>
      </c>
      <c r="B266" s="1" t="s">
        <v>142</v>
      </c>
      <c r="C266" s="1" t="s">
        <v>25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</row>
    <row r="267" spans="1:9" hidden="1" x14ac:dyDescent="0.25">
      <c r="A267" s="1" t="s">
        <v>157</v>
      </c>
      <c r="B267" s="1" t="s">
        <v>142</v>
      </c>
      <c r="C267" s="1" t="s">
        <v>10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</row>
    <row r="268" spans="1:9" hidden="1" x14ac:dyDescent="0.25">
      <c r="A268" s="1" t="s">
        <v>157</v>
      </c>
      <c r="B268" s="1" t="s">
        <v>143</v>
      </c>
      <c r="C268" s="1" t="s">
        <v>25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</row>
    <row r="269" spans="1:9" hidden="1" x14ac:dyDescent="0.25">
      <c r="A269" s="1" t="s">
        <v>157</v>
      </c>
      <c r="B269" s="1" t="s">
        <v>143</v>
      </c>
      <c r="C269" s="1" t="s">
        <v>10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</row>
    <row r="270" spans="1:9" hidden="1" x14ac:dyDescent="0.25">
      <c r="A270" s="1" t="s">
        <v>157</v>
      </c>
      <c r="B270" s="1" t="s">
        <v>144</v>
      </c>
      <c r="C270" s="1" t="s">
        <v>25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157</v>
      </c>
      <c r="B271" s="1" t="s">
        <v>144</v>
      </c>
      <c r="C271" s="1" t="s">
        <v>10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157</v>
      </c>
      <c r="B272" s="1" t="s">
        <v>145</v>
      </c>
      <c r="C272" s="1" t="s">
        <v>25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</row>
    <row r="273" spans="1:9" hidden="1" x14ac:dyDescent="0.25">
      <c r="A273" s="1" t="s">
        <v>157</v>
      </c>
      <c r="B273" s="1" t="s">
        <v>145</v>
      </c>
      <c r="C273" s="1" t="s">
        <v>10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</row>
    <row r="274" spans="1:9" hidden="1" x14ac:dyDescent="0.25">
      <c r="A274" s="1" t="s">
        <v>157</v>
      </c>
      <c r="B274" s="1" t="s">
        <v>146</v>
      </c>
      <c r="C274" s="1" t="s">
        <v>25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</row>
    <row r="275" spans="1:9" hidden="1" x14ac:dyDescent="0.25">
      <c r="A275" s="1" t="s">
        <v>157</v>
      </c>
      <c r="B275" s="1" t="s">
        <v>146</v>
      </c>
      <c r="C275" s="1" t="s">
        <v>10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</row>
    <row r="276" spans="1:9" hidden="1" x14ac:dyDescent="0.25">
      <c r="A276" s="1" t="s">
        <v>157</v>
      </c>
      <c r="B276" s="1" t="s">
        <v>147</v>
      </c>
      <c r="C276" s="1" t="s">
        <v>25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</row>
    <row r="277" spans="1:9" hidden="1" x14ac:dyDescent="0.25">
      <c r="A277" s="1" t="s">
        <v>157</v>
      </c>
      <c r="B277" s="1" t="s">
        <v>147</v>
      </c>
      <c r="C277" s="1" t="s">
        <v>10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</row>
    <row r="278" spans="1:9" hidden="1" x14ac:dyDescent="0.25">
      <c r="A278" s="1" t="s">
        <v>157</v>
      </c>
      <c r="B278" s="1" t="s">
        <v>159</v>
      </c>
      <c r="C278" s="1" t="s">
        <v>25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</row>
    <row r="279" spans="1:9" hidden="1" x14ac:dyDescent="0.25">
      <c r="A279" s="1" t="s">
        <v>157</v>
      </c>
      <c r="B279" s="1" t="s">
        <v>159</v>
      </c>
      <c r="C279" s="1" t="s">
        <v>10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</row>
    <row r="280" spans="1:9" hidden="1" x14ac:dyDescent="0.25">
      <c r="A280" s="1" t="s">
        <v>157</v>
      </c>
      <c r="B280" s="1" t="s">
        <v>160</v>
      </c>
      <c r="C280" s="1" t="s">
        <v>25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</row>
    <row r="281" spans="1:9" hidden="1" x14ac:dyDescent="0.25">
      <c r="A281" s="1" t="s">
        <v>157</v>
      </c>
      <c r="B281" s="1" t="s">
        <v>160</v>
      </c>
      <c r="C281" s="1" t="s">
        <v>10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</row>
    <row r="282" spans="1:9" hidden="1" x14ac:dyDescent="0.25">
      <c r="A282" s="1" t="s">
        <v>157</v>
      </c>
      <c r="B282" s="1" t="s">
        <v>161</v>
      </c>
      <c r="C282" s="1" t="s">
        <v>25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</row>
    <row r="283" spans="1:9" hidden="1" x14ac:dyDescent="0.25">
      <c r="A283" s="1" t="s">
        <v>157</v>
      </c>
      <c r="B283" s="1" t="s">
        <v>161</v>
      </c>
      <c r="C283" s="1" t="s">
        <v>10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</row>
    <row r="284" spans="1:9" hidden="1" x14ac:dyDescent="0.25">
      <c r="A284" s="1" t="s">
        <v>157</v>
      </c>
      <c r="B284" s="1" t="s">
        <v>162</v>
      </c>
      <c r="C284" s="1" t="s">
        <v>25</v>
      </c>
      <c r="D284" s="1">
        <v>0</v>
      </c>
      <c r="E284" s="1">
        <v>-253.17</v>
      </c>
      <c r="F284" s="1">
        <v>0</v>
      </c>
      <c r="G284" s="1">
        <v>4177.384</v>
      </c>
      <c r="H284" s="1">
        <v>0</v>
      </c>
      <c r="I284" s="1">
        <v>0</v>
      </c>
    </row>
    <row r="285" spans="1:9" hidden="1" x14ac:dyDescent="0.25">
      <c r="A285" s="1" t="s">
        <v>157</v>
      </c>
      <c r="B285" s="1" t="s">
        <v>162</v>
      </c>
      <c r="C285" s="1" t="s">
        <v>10</v>
      </c>
      <c r="D285" s="1">
        <v>0</v>
      </c>
      <c r="E285" s="1">
        <v>-253.17</v>
      </c>
      <c r="F285" s="1">
        <v>0</v>
      </c>
      <c r="G285" s="1">
        <v>4177.384</v>
      </c>
      <c r="H285" s="1">
        <v>0</v>
      </c>
      <c r="I285" s="1">
        <v>-1012.699</v>
      </c>
    </row>
    <row r="286" spans="1:9" hidden="1" x14ac:dyDescent="0.25">
      <c r="A286" s="1" t="s">
        <v>157</v>
      </c>
      <c r="B286" s="1" t="s">
        <v>163</v>
      </c>
      <c r="C286" s="1" t="s">
        <v>25</v>
      </c>
      <c r="D286" s="1">
        <v>0</v>
      </c>
      <c r="E286" s="1">
        <v>-253.17</v>
      </c>
      <c r="F286" s="1">
        <v>0</v>
      </c>
      <c r="G286" s="1">
        <v>3417.86</v>
      </c>
      <c r="H286" s="1">
        <v>0</v>
      </c>
      <c r="I286" s="1">
        <v>0</v>
      </c>
    </row>
    <row r="287" spans="1:9" hidden="1" x14ac:dyDescent="0.25">
      <c r="A287" s="1" t="s">
        <v>157</v>
      </c>
      <c r="B287" s="1" t="s">
        <v>163</v>
      </c>
      <c r="C287" s="1" t="s">
        <v>10</v>
      </c>
      <c r="D287" s="1">
        <v>0</v>
      </c>
      <c r="E287" s="1">
        <v>-253.17</v>
      </c>
      <c r="F287" s="1">
        <v>0</v>
      </c>
      <c r="G287" s="1">
        <v>3417.86</v>
      </c>
      <c r="H287" s="1">
        <v>0</v>
      </c>
      <c r="I287" s="1">
        <v>-1012.699</v>
      </c>
    </row>
    <row r="288" spans="1:9" hidden="1" x14ac:dyDescent="0.25">
      <c r="A288" s="1" t="s">
        <v>157</v>
      </c>
      <c r="B288" s="1" t="s">
        <v>164</v>
      </c>
      <c r="C288" s="1" t="s">
        <v>25</v>
      </c>
      <c r="D288" s="1">
        <v>0</v>
      </c>
      <c r="E288" s="1">
        <v>253.17</v>
      </c>
      <c r="F288" s="1">
        <v>0</v>
      </c>
      <c r="G288" s="1">
        <v>-4177.384</v>
      </c>
      <c r="H288" s="1">
        <v>0</v>
      </c>
      <c r="I288" s="1">
        <v>0</v>
      </c>
    </row>
    <row r="289" spans="1:9" hidden="1" x14ac:dyDescent="0.25">
      <c r="A289" s="1" t="s">
        <v>157</v>
      </c>
      <c r="B289" s="1" t="s">
        <v>164</v>
      </c>
      <c r="C289" s="1" t="s">
        <v>10</v>
      </c>
      <c r="D289" s="1">
        <v>0</v>
      </c>
      <c r="E289" s="1">
        <v>253.17</v>
      </c>
      <c r="F289" s="1">
        <v>0</v>
      </c>
      <c r="G289" s="1">
        <v>-4177.384</v>
      </c>
      <c r="H289" s="1">
        <v>0</v>
      </c>
      <c r="I289" s="1">
        <v>1012.699</v>
      </c>
    </row>
    <row r="290" spans="1:9" hidden="1" x14ac:dyDescent="0.25">
      <c r="A290" s="1" t="s">
        <v>157</v>
      </c>
      <c r="B290" s="1" t="s">
        <v>165</v>
      </c>
      <c r="C290" s="1" t="s">
        <v>25</v>
      </c>
      <c r="D290" s="1">
        <v>0</v>
      </c>
      <c r="E290" s="1">
        <v>253.17</v>
      </c>
      <c r="F290" s="1">
        <v>0</v>
      </c>
      <c r="G290" s="1">
        <v>-3417.86</v>
      </c>
      <c r="H290" s="1">
        <v>0</v>
      </c>
      <c r="I290" s="1">
        <v>0</v>
      </c>
    </row>
    <row r="291" spans="1:9" hidden="1" x14ac:dyDescent="0.25">
      <c r="A291" s="1" t="s">
        <v>157</v>
      </c>
      <c r="B291" s="1" t="s">
        <v>165</v>
      </c>
      <c r="C291" s="1" t="s">
        <v>10</v>
      </c>
      <c r="D291" s="1">
        <v>0</v>
      </c>
      <c r="E291" s="1">
        <v>253.17</v>
      </c>
      <c r="F291" s="1">
        <v>0</v>
      </c>
      <c r="G291" s="1">
        <v>-3417.86</v>
      </c>
      <c r="H291" s="1">
        <v>0</v>
      </c>
      <c r="I291" s="1">
        <v>1012.699</v>
      </c>
    </row>
    <row r="292" spans="1:9" hidden="1" x14ac:dyDescent="0.25">
      <c r="A292" s="1" t="s">
        <v>157</v>
      </c>
      <c r="B292" s="1" t="s">
        <v>166</v>
      </c>
      <c r="C292" s="1" t="s">
        <v>25</v>
      </c>
      <c r="D292" s="1">
        <v>0</v>
      </c>
      <c r="E292" s="1">
        <v>0</v>
      </c>
      <c r="F292" s="1">
        <v>-306.02999999999997</v>
      </c>
      <c r="G292" s="1">
        <v>-6059.3280000000004</v>
      </c>
      <c r="H292" s="1">
        <v>0</v>
      </c>
      <c r="I292" s="1">
        <v>0</v>
      </c>
    </row>
    <row r="293" spans="1:9" hidden="1" x14ac:dyDescent="0.25">
      <c r="A293" s="1" t="s">
        <v>157</v>
      </c>
      <c r="B293" s="1" t="s">
        <v>166</v>
      </c>
      <c r="C293" s="1" t="s">
        <v>10</v>
      </c>
      <c r="D293" s="1">
        <v>0</v>
      </c>
      <c r="E293" s="1">
        <v>0</v>
      </c>
      <c r="F293" s="1">
        <v>-306.02999999999997</v>
      </c>
      <c r="G293" s="1">
        <v>-6059.3280000000004</v>
      </c>
      <c r="H293" s="1">
        <v>1224.107</v>
      </c>
      <c r="I293" s="1">
        <v>0</v>
      </c>
    </row>
    <row r="294" spans="1:9" hidden="1" x14ac:dyDescent="0.25">
      <c r="A294" s="1" t="s">
        <v>157</v>
      </c>
      <c r="B294" s="1" t="s">
        <v>167</v>
      </c>
      <c r="C294" s="1" t="s">
        <v>25</v>
      </c>
      <c r="D294" s="1">
        <v>0</v>
      </c>
      <c r="E294" s="1">
        <v>0</v>
      </c>
      <c r="F294" s="1">
        <v>-306.02999999999997</v>
      </c>
      <c r="G294" s="1">
        <v>-4957.6319999999996</v>
      </c>
      <c r="H294" s="1">
        <v>0</v>
      </c>
      <c r="I294" s="1">
        <v>0</v>
      </c>
    </row>
    <row r="295" spans="1:9" hidden="1" x14ac:dyDescent="0.25">
      <c r="A295" s="1" t="s">
        <v>157</v>
      </c>
      <c r="B295" s="1" t="s">
        <v>167</v>
      </c>
      <c r="C295" s="1" t="s">
        <v>10</v>
      </c>
      <c r="D295" s="1">
        <v>0</v>
      </c>
      <c r="E295" s="1">
        <v>0</v>
      </c>
      <c r="F295" s="1">
        <v>-306.02999999999997</v>
      </c>
      <c r="G295" s="1">
        <v>-4957.6319999999996</v>
      </c>
      <c r="H295" s="1">
        <v>1224.107</v>
      </c>
      <c r="I295" s="1">
        <v>0</v>
      </c>
    </row>
    <row r="296" spans="1:9" hidden="1" x14ac:dyDescent="0.25">
      <c r="A296" s="1" t="s">
        <v>157</v>
      </c>
      <c r="B296" s="1" t="s">
        <v>168</v>
      </c>
      <c r="C296" s="1" t="s">
        <v>25</v>
      </c>
      <c r="D296" s="1">
        <v>0</v>
      </c>
      <c r="E296" s="1">
        <v>0</v>
      </c>
      <c r="F296" s="1">
        <v>306.02999999999997</v>
      </c>
      <c r="G296" s="1">
        <v>6059.3280000000004</v>
      </c>
      <c r="H296" s="1">
        <v>0</v>
      </c>
      <c r="I296" s="1">
        <v>0</v>
      </c>
    </row>
    <row r="297" spans="1:9" hidden="1" x14ac:dyDescent="0.25">
      <c r="A297" s="1" t="s">
        <v>157</v>
      </c>
      <c r="B297" s="1" t="s">
        <v>168</v>
      </c>
      <c r="C297" s="1" t="s">
        <v>10</v>
      </c>
      <c r="D297" s="1">
        <v>0</v>
      </c>
      <c r="E297" s="1">
        <v>0</v>
      </c>
      <c r="F297" s="1">
        <v>306.02999999999997</v>
      </c>
      <c r="G297" s="1">
        <v>6059.3280000000004</v>
      </c>
      <c r="H297" s="1">
        <v>-1224.107</v>
      </c>
      <c r="I297" s="1">
        <v>0</v>
      </c>
    </row>
    <row r="298" spans="1:9" hidden="1" x14ac:dyDescent="0.25">
      <c r="A298" s="1" t="s">
        <v>157</v>
      </c>
      <c r="B298" s="1" t="s">
        <v>169</v>
      </c>
      <c r="C298" s="1" t="s">
        <v>25</v>
      </c>
      <c r="D298" s="1">
        <v>0</v>
      </c>
      <c r="E298" s="1">
        <v>0</v>
      </c>
      <c r="F298" s="1">
        <v>306.02999999999997</v>
      </c>
      <c r="G298" s="1">
        <v>4957.6319999999996</v>
      </c>
      <c r="H298" s="1">
        <v>0</v>
      </c>
      <c r="I298" s="1">
        <v>0</v>
      </c>
    </row>
    <row r="299" spans="1:9" hidden="1" x14ac:dyDescent="0.25">
      <c r="A299" s="1" t="s">
        <v>157</v>
      </c>
      <c r="B299" s="1" t="s">
        <v>169</v>
      </c>
      <c r="C299" s="1" t="s">
        <v>10</v>
      </c>
      <c r="D299" s="1">
        <v>0</v>
      </c>
      <c r="E299" s="1">
        <v>0</v>
      </c>
      <c r="F299" s="1">
        <v>306.02999999999997</v>
      </c>
      <c r="G299" s="1">
        <v>4957.6319999999996</v>
      </c>
      <c r="H299" s="1">
        <v>-1224.107</v>
      </c>
      <c r="I299" s="1">
        <v>0</v>
      </c>
    </row>
    <row r="300" spans="1:9" hidden="1" x14ac:dyDescent="0.25">
      <c r="A300" s="1" t="s">
        <v>157</v>
      </c>
      <c r="B300" s="1" t="s">
        <v>170</v>
      </c>
      <c r="C300" s="1" t="s">
        <v>25</v>
      </c>
      <c r="D300" s="1">
        <v>0</v>
      </c>
      <c r="E300" s="1">
        <v>-253.17</v>
      </c>
      <c r="F300" s="1">
        <v>0</v>
      </c>
      <c r="G300" s="1">
        <v>4177.384</v>
      </c>
      <c r="H300" s="1">
        <v>0</v>
      </c>
      <c r="I300" s="1">
        <v>0</v>
      </c>
    </row>
    <row r="301" spans="1:9" hidden="1" x14ac:dyDescent="0.25">
      <c r="A301" s="1" t="s">
        <v>157</v>
      </c>
      <c r="B301" s="1" t="s">
        <v>170</v>
      </c>
      <c r="C301" s="1" t="s">
        <v>10</v>
      </c>
      <c r="D301" s="1">
        <v>0</v>
      </c>
      <c r="E301" s="1">
        <v>-253.17</v>
      </c>
      <c r="F301" s="1">
        <v>0</v>
      </c>
      <c r="G301" s="1">
        <v>4177.384</v>
      </c>
      <c r="H301" s="1">
        <v>0</v>
      </c>
      <c r="I301" s="1">
        <v>-1012.699</v>
      </c>
    </row>
    <row r="302" spans="1:9" hidden="1" x14ac:dyDescent="0.25">
      <c r="A302" s="1" t="s">
        <v>157</v>
      </c>
      <c r="B302" s="1" t="s">
        <v>171</v>
      </c>
      <c r="C302" s="1" t="s">
        <v>25</v>
      </c>
      <c r="D302" s="1">
        <v>0</v>
      </c>
      <c r="E302" s="1">
        <v>-253.17</v>
      </c>
      <c r="F302" s="1">
        <v>0</v>
      </c>
      <c r="G302" s="1">
        <v>3417.86</v>
      </c>
      <c r="H302" s="1">
        <v>0</v>
      </c>
      <c r="I302" s="1">
        <v>0</v>
      </c>
    </row>
    <row r="303" spans="1:9" hidden="1" x14ac:dyDescent="0.25">
      <c r="A303" s="1" t="s">
        <v>157</v>
      </c>
      <c r="B303" s="1" t="s">
        <v>171</v>
      </c>
      <c r="C303" s="1" t="s">
        <v>10</v>
      </c>
      <c r="D303" s="1">
        <v>0</v>
      </c>
      <c r="E303" s="1">
        <v>-253.17</v>
      </c>
      <c r="F303" s="1">
        <v>0</v>
      </c>
      <c r="G303" s="1">
        <v>3417.86</v>
      </c>
      <c r="H303" s="1">
        <v>0</v>
      </c>
      <c r="I303" s="1">
        <v>-1012.699</v>
      </c>
    </row>
    <row r="304" spans="1:9" hidden="1" x14ac:dyDescent="0.25">
      <c r="A304" s="1" t="s">
        <v>157</v>
      </c>
      <c r="B304" s="1" t="s">
        <v>172</v>
      </c>
      <c r="C304" s="1" t="s">
        <v>25</v>
      </c>
      <c r="D304" s="1">
        <v>0</v>
      </c>
      <c r="E304" s="1">
        <v>253.17</v>
      </c>
      <c r="F304" s="1">
        <v>0</v>
      </c>
      <c r="G304" s="1">
        <v>-4177.384</v>
      </c>
      <c r="H304" s="1">
        <v>0</v>
      </c>
      <c r="I304" s="1">
        <v>0</v>
      </c>
    </row>
    <row r="305" spans="1:9" hidden="1" x14ac:dyDescent="0.25">
      <c r="A305" s="1" t="s">
        <v>157</v>
      </c>
      <c r="B305" s="1" t="s">
        <v>172</v>
      </c>
      <c r="C305" s="1" t="s">
        <v>10</v>
      </c>
      <c r="D305" s="1">
        <v>0</v>
      </c>
      <c r="E305" s="1">
        <v>253.17</v>
      </c>
      <c r="F305" s="1">
        <v>0</v>
      </c>
      <c r="G305" s="1">
        <v>-4177.384</v>
      </c>
      <c r="H305" s="1">
        <v>0</v>
      </c>
      <c r="I305" s="1">
        <v>1012.699</v>
      </c>
    </row>
    <row r="306" spans="1:9" hidden="1" x14ac:dyDescent="0.25">
      <c r="A306" s="1" t="s">
        <v>157</v>
      </c>
      <c r="B306" s="1" t="s">
        <v>173</v>
      </c>
      <c r="C306" s="1" t="s">
        <v>25</v>
      </c>
      <c r="D306" s="1">
        <v>0</v>
      </c>
      <c r="E306" s="1">
        <v>253.17</v>
      </c>
      <c r="F306" s="1">
        <v>0</v>
      </c>
      <c r="G306" s="1">
        <v>-3417.86</v>
      </c>
      <c r="H306" s="1">
        <v>0</v>
      </c>
      <c r="I306" s="1">
        <v>0</v>
      </c>
    </row>
    <row r="307" spans="1:9" hidden="1" x14ac:dyDescent="0.25">
      <c r="A307" s="1" t="s">
        <v>157</v>
      </c>
      <c r="B307" s="1" t="s">
        <v>173</v>
      </c>
      <c r="C307" s="1" t="s">
        <v>10</v>
      </c>
      <c r="D307" s="1">
        <v>0</v>
      </c>
      <c r="E307" s="1">
        <v>253.17</v>
      </c>
      <c r="F307" s="1">
        <v>0</v>
      </c>
      <c r="G307" s="1">
        <v>-3417.86</v>
      </c>
      <c r="H307" s="1">
        <v>0</v>
      </c>
      <c r="I307" s="1">
        <v>1012.699</v>
      </c>
    </row>
    <row r="308" spans="1:9" hidden="1" x14ac:dyDescent="0.25">
      <c r="A308" s="1" t="s">
        <v>157</v>
      </c>
      <c r="B308" s="1" t="s">
        <v>174</v>
      </c>
      <c r="C308" s="1" t="s">
        <v>25</v>
      </c>
      <c r="D308" s="1">
        <v>0</v>
      </c>
      <c r="E308" s="1">
        <v>0</v>
      </c>
      <c r="F308" s="1">
        <v>-306.02999999999997</v>
      </c>
      <c r="G308" s="1">
        <v>-6059.3280000000004</v>
      </c>
      <c r="H308" s="1">
        <v>0</v>
      </c>
      <c r="I308" s="1">
        <v>0</v>
      </c>
    </row>
    <row r="309" spans="1:9" hidden="1" x14ac:dyDescent="0.25">
      <c r="A309" s="1" t="s">
        <v>157</v>
      </c>
      <c r="B309" s="1" t="s">
        <v>174</v>
      </c>
      <c r="C309" s="1" t="s">
        <v>10</v>
      </c>
      <c r="D309" s="1">
        <v>0</v>
      </c>
      <c r="E309" s="1">
        <v>0</v>
      </c>
      <c r="F309" s="1">
        <v>-306.02999999999997</v>
      </c>
      <c r="G309" s="1">
        <v>-6059.3280000000004</v>
      </c>
      <c r="H309" s="1">
        <v>1224.107</v>
      </c>
      <c r="I309" s="1">
        <v>0</v>
      </c>
    </row>
    <row r="310" spans="1:9" hidden="1" x14ac:dyDescent="0.25">
      <c r="A310" s="1" t="s">
        <v>157</v>
      </c>
      <c r="B310" s="1" t="s">
        <v>175</v>
      </c>
      <c r="C310" s="1" t="s">
        <v>25</v>
      </c>
      <c r="D310" s="1">
        <v>0</v>
      </c>
      <c r="E310" s="1">
        <v>0</v>
      </c>
      <c r="F310" s="1">
        <v>-306.02999999999997</v>
      </c>
      <c r="G310" s="1">
        <v>-4957.6319999999996</v>
      </c>
      <c r="H310" s="1">
        <v>0</v>
      </c>
      <c r="I310" s="1">
        <v>0</v>
      </c>
    </row>
    <row r="311" spans="1:9" hidden="1" x14ac:dyDescent="0.25">
      <c r="A311" s="1" t="s">
        <v>157</v>
      </c>
      <c r="B311" s="1" t="s">
        <v>175</v>
      </c>
      <c r="C311" s="1" t="s">
        <v>10</v>
      </c>
      <c r="D311" s="1">
        <v>0</v>
      </c>
      <c r="E311" s="1">
        <v>0</v>
      </c>
      <c r="F311" s="1">
        <v>-306.02999999999997</v>
      </c>
      <c r="G311" s="1">
        <v>-4957.6319999999996</v>
      </c>
      <c r="H311" s="1">
        <v>1224.107</v>
      </c>
      <c r="I311" s="1">
        <v>0</v>
      </c>
    </row>
    <row r="312" spans="1:9" hidden="1" x14ac:dyDescent="0.25">
      <c r="A312" s="1" t="s">
        <v>157</v>
      </c>
      <c r="B312" s="1" t="s">
        <v>176</v>
      </c>
      <c r="C312" s="1" t="s">
        <v>25</v>
      </c>
      <c r="D312" s="1">
        <v>0</v>
      </c>
      <c r="E312" s="1">
        <v>0</v>
      </c>
      <c r="F312" s="1">
        <v>306.02999999999997</v>
      </c>
      <c r="G312" s="1">
        <v>6059.3280000000004</v>
      </c>
      <c r="H312" s="1">
        <v>0</v>
      </c>
      <c r="I312" s="1">
        <v>0</v>
      </c>
    </row>
    <row r="313" spans="1:9" hidden="1" x14ac:dyDescent="0.25">
      <c r="A313" s="1" t="s">
        <v>157</v>
      </c>
      <c r="B313" s="1" t="s">
        <v>176</v>
      </c>
      <c r="C313" s="1" t="s">
        <v>10</v>
      </c>
      <c r="D313" s="1">
        <v>0</v>
      </c>
      <c r="E313" s="1">
        <v>0</v>
      </c>
      <c r="F313" s="1">
        <v>306.02999999999997</v>
      </c>
      <c r="G313" s="1">
        <v>6059.3280000000004</v>
      </c>
      <c r="H313" s="1">
        <v>-1224.107</v>
      </c>
      <c r="I313" s="1">
        <v>0</v>
      </c>
    </row>
    <row r="314" spans="1:9" hidden="1" x14ac:dyDescent="0.25">
      <c r="A314" s="1" t="s">
        <v>157</v>
      </c>
      <c r="B314" s="1" t="s">
        <v>177</v>
      </c>
      <c r="C314" s="1" t="s">
        <v>25</v>
      </c>
      <c r="D314" s="1">
        <v>0</v>
      </c>
      <c r="E314" s="1">
        <v>0</v>
      </c>
      <c r="F314" s="1">
        <v>306.02999999999997</v>
      </c>
      <c r="G314" s="1">
        <v>4957.6319999999996</v>
      </c>
      <c r="H314" s="1">
        <v>0</v>
      </c>
      <c r="I314" s="1">
        <v>0</v>
      </c>
    </row>
    <row r="315" spans="1:9" hidden="1" x14ac:dyDescent="0.25">
      <c r="A315" s="1" t="s">
        <v>157</v>
      </c>
      <c r="B315" s="1" t="s">
        <v>177</v>
      </c>
      <c r="C315" s="1" t="s">
        <v>10</v>
      </c>
      <c r="D315" s="1">
        <v>0</v>
      </c>
      <c r="E315" s="1">
        <v>0</v>
      </c>
      <c r="F315" s="1">
        <v>306.02999999999997</v>
      </c>
      <c r="G315" s="1">
        <v>4957.6319999999996</v>
      </c>
      <c r="H315" s="1">
        <v>-1224.107</v>
      </c>
      <c r="I315" s="1">
        <v>0</v>
      </c>
    </row>
    <row r="316" spans="1:9" hidden="1" x14ac:dyDescent="0.25">
      <c r="A316" s="1" t="s">
        <v>157</v>
      </c>
      <c r="B316" s="1" t="s">
        <v>178</v>
      </c>
      <c r="C316" s="1" t="s">
        <v>25</v>
      </c>
      <c r="D316" s="1">
        <v>0</v>
      </c>
      <c r="E316" s="1">
        <v>-75.95</v>
      </c>
      <c r="F316" s="1">
        <v>0</v>
      </c>
      <c r="G316" s="1">
        <v>1253.2149999999999</v>
      </c>
      <c r="H316" s="1">
        <v>0</v>
      </c>
      <c r="I316" s="1">
        <v>0</v>
      </c>
    </row>
    <row r="317" spans="1:9" hidden="1" x14ac:dyDescent="0.25">
      <c r="A317" s="1" t="s">
        <v>157</v>
      </c>
      <c r="B317" s="1" t="s">
        <v>178</v>
      </c>
      <c r="C317" s="1" t="s">
        <v>10</v>
      </c>
      <c r="D317" s="1">
        <v>0</v>
      </c>
      <c r="E317" s="1">
        <v>-75.95</v>
      </c>
      <c r="F317" s="1">
        <v>0</v>
      </c>
      <c r="G317" s="1">
        <v>1253.2149999999999</v>
      </c>
      <c r="H317" s="1">
        <v>0</v>
      </c>
      <c r="I317" s="1">
        <v>-303.81</v>
      </c>
    </row>
    <row r="318" spans="1:9" hidden="1" x14ac:dyDescent="0.25">
      <c r="A318" s="1" t="s">
        <v>157</v>
      </c>
      <c r="B318" s="1" t="s">
        <v>179</v>
      </c>
      <c r="C318" s="1" t="s">
        <v>25</v>
      </c>
      <c r="D318" s="1">
        <v>0</v>
      </c>
      <c r="E318" s="1">
        <v>-75.95</v>
      </c>
      <c r="F318" s="1">
        <v>0</v>
      </c>
      <c r="G318" s="1">
        <v>1025.3579999999999</v>
      </c>
      <c r="H318" s="1">
        <v>0</v>
      </c>
      <c r="I318" s="1">
        <v>0</v>
      </c>
    </row>
    <row r="319" spans="1:9" hidden="1" x14ac:dyDescent="0.25">
      <c r="A319" s="1" t="s">
        <v>157</v>
      </c>
      <c r="B319" s="1" t="s">
        <v>179</v>
      </c>
      <c r="C319" s="1" t="s">
        <v>10</v>
      </c>
      <c r="D319" s="1">
        <v>0</v>
      </c>
      <c r="E319" s="1">
        <v>-75.95</v>
      </c>
      <c r="F319" s="1">
        <v>0</v>
      </c>
      <c r="G319" s="1">
        <v>1025.3579999999999</v>
      </c>
      <c r="H319" s="1">
        <v>0</v>
      </c>
      <c r="I319" s="1">
        <v>-303.81</v>
      </c>
    </row>
    <row r="320" spans="1:9" hidden="1" x14ac:dyDescent="0.25">
      <c r="A320" s="1" t="s">
        <v>157</v>
      </c>
      <c r="B320" s="1" t="s">
        <v>180</v>
      </c>
      <c r="C320" s="1" t="s">
        <v>25</v>
      </c>
      <c r="D320" s="1">
        <v>0</v>
      </c>
      <c r="E320" s="1">
        <v>75.95</v>
      </c>
      <c r="F320" s="1">
        <v>0</v>
      </c>
      <c r="G320" s="1">
        <v>-1253.2149999999999</v>
      </c>
      <c r="H320" s="1">
        <v>0</v>
      </c>
      <c r="I320" s="1">
        <v>0</v>
      </c>
    </row>
    <row r="321" spans="1:9" hidden="1" x14ac:dyDescent="0.25">
      <c r="A321" s="1" t="s">
        <v>157</v>
      </c>
      <c r="B321" s="1" t="s">
        <v>180</v>
      </c>
      <c r="C321" s="1" t="s">
        <v>10</v>
      </c>
      <c r="D321" s="1">
        <v>0</v>
      </c>
      <c r="E321" s="1">
        <v>75.95</v>
      </c>
      <c r="F321" s="1">
        <v>0</v>
      </c>
      <c r="G321" s="1">
        <v>-1253.2149999999999</v>
      </c>
      <c r="H321" s="1">
        <v>0</v>
      </c>
      <c r="I321" s="1">
        <v>303.81</v>
      </c>
    </row>
    <row r="322" spans="1:9" hidden="1" x14ac:dyDescent="0.25">
      <c r="A322" s="1" t="s">
        <v>157</v>
      </c>
      <c r="B322" s="1" t="s">
        <v>181</v>
      </c>
      <c r="C322" s="1" t="s">
        <v>25</v>
      </c>
      <c r="D322" s="1">
        <v>0</v>
      </c>
      <c r="E322" s="1">
        <v>75.95</v>
      </c>
      <c r="F322" s="1">
        <v>0</v>
      </c>
      <c r="G322" s="1">
        <v>-1025.3579999999999</v>
      </c>
      <c r="H322" s="1">
        <v>0</v>
      </c>
      <c r="I322" s="1">
        <v>0</v>
      </c>
    </row>
    <row r="323" spans="1:9" hidden="1" x14ac:dyDescent="0.25">
      <c r="A323" s="1" t="s">
        <v>157</v>
      </c>
      <c r="B323" s="1" t="s">
        <v>181</v>
      </c>
      <c r="C323" s="1" t="s">
        <v>10</v>
      </c>
      <c r="D323" s="1">
        <v>0</v>
      </c>
      <c r="E323" s="1">
        <v>75.95</v>
      </c>
      <c r="F323" s="1">
        <v>0</v>
      </c>
      <c r="G323" s="1">
        <v>-1025.3579999999999</v>
      </c>
      <c r="H323" s="1">
        <v>0</v>
      </c>
      <c r="I323" s="1">
        <v>303.81</v>
      </c>
    </row>
    <row r="324" spans="1:9" hidden="1" x14ac:dyDescent="0.25">
      <c r="A324" s="1" t="s">
        <v>157</v>
      </c>
      <c r="B324" s="1" t="s">
        <v>182</v>
      </c>
      <c r="C324" s="1" t="s">
        <v>25</v>
      </c>
      <c r="D324" s="1">
        <v>0</v>
      </c>
      <c r="E324" s="1">
        <v>0</v>
      </c>
      <c r="F324" s="1">
        <v>-91.81</v>
      </c>
      <c r="G324" s="1">
        <v>-1817.798</v>
      </c>
      <c r="H324" s="1">
        <v>0</v>
      </c>
      <c r="I324" s="1">
        <v>0</v>
      </c>
    </row>
    <row r="325" spans="1:9" hidden="1" x14ac:dyDescent="0.25">
      <c r="A325" s="1" t="s">
        <v>157</v>
      </c>
      <c r="B325" s="1" t="s">
        <v>182</v>
      </c>
      <c r="C325" s="1" t="s">
        <v>10</v>
      </c>
      <c r="D325" s="1">
        <v>0</v>
      </c>
      <c r="E325" s="1">
        <v>0</v>
      </c>
      <c r="F325" s="1">
        <v>-91.81</v>
      </c>
      <c r="G325" s="1">
        <v>-1817.798</v>
      </c>
      <c r="H325" s="1">
        <v>367.23200000000003</v>
      </c>
      <c r="I325" s="1">
        <v>0</v>
      </c>
    </row>
    <row r="326" spans="1:9" hidden="1" x14ac:dyDescent="0.25">
      <c r="A326" s="1" t="s">
        <v>157</v>
      </c>
      <c r="B326" s="1" t="s">
        <v>183</v>
      </c>
      <c r="C326" s="1" t="s">
        <v>25</v>
      </c>
      <c r="D326" s="1">
        <v>0</v>
      </c>
      <c r="E326" s="1">
        <v>0</v>
      </c>
      <c r="F326" s="1">
        <v>-91.81</v>
      </c>
      <c r="G326" s="1">
        <v>-1487.29</v>
      </c>
      <c r="H326" s="1">
        <v>0</v>
      </c>
      <c r="I326" s="1">
        <v>0</v>
      </c>
    </row>
    <row r="327" spans="1:9" hidden="1" x14ac:dyDescent="0.25">
      <c r="A327" s="1" t="s">
        <v>157</v>
      </c>
      <c r="B327" s="1" t="s">
        <v>183</v>
      </c>
      <c r="C327" s="1" t="s">
        <v>10</v>
      </c>
      <c r="D327" s="1">
        <v>0</v>
      </c>
      <c r="E327" s="1">
        <v>0</v>
      </c>
      <c r="F327" s="1">
        <v>-91.81</v>
      </c>
      <c r="G327" s="1">
        <v>-1487.29</v>
      </c>
      <c r="H327" s="1">
        <v>367.23200000000003</v>
      </c>
      <c r="I327" s="1">
        <v>0</v>
      </c>
    </row>
    <row r="328" spans="1:9" hidden="1" x14ac:dyDescent="0.25">
      <c r="A328" s="1" t="s">
        <v>157</v>
      </c>
      <c r="B328" s="1" t="s">
        <v>184</v>
      </c>
      <c r="C328" s="1" t="s">
        <v>25</v>
      </c>
      <c r="D328" s="1">
        <v>0</v>
      </c>
      <c r="E328" s="1">
        <v>0</v>
      </c>
      <c r="F328" s="1">
        <v>91.81</v>
      </c>
      <c r="G328" s="1">
        <v>1817.798</v>
      </c>
      <c r="H328" s="1">
        <v>0</v>
      </c>
      <c r="I328" s="1">
        <v>0</v>
      </c>
    </row>
    <row r="329" spans="1:9" hidden="1" x14ac:dyDescent="0.25">
      <c r="A329" s="1" t="s">
        <v>157</v>
      </c>
      <c r="B329" s="1" t="s">
        <v>184</v>
      </c>
      <c r="C329" s="1" t="s">
        <v>10</v>
      </c>
      <c r="D329" s="1">
        <v>0</v>
      </c>
      <c r="E329" s="1">
        <v>0</v>
      </c>
      <c r="F329" s="1">
        <v>91.81</v>
      </c>
      <c r="G329" s="1">
        <v>1817.798</v>
      </c>
      <c r="H329" s="1">
        <v>-367.23200000000003</v>
      </c>
      <c r="I329" s="1">
        <v>0</v>
      </c>
    </row>
    <row r="330" spans="1:9" hidden="1" x14ac:dyDescent="0.25">
      <c r="A330" s="1" t="s">
        <v>157</v>
      </c>
      <c r="B330" s="1" t="s">
        <v>185</v>
      </c>
      <c r="C330" s="1" t="s">
        <v>25</v>
      </c>
      <c r="D330" s="1">
        <v>0</v>
      </c>
      <c r="E330" s="1">
        <v>0</v>
      </c>
      <c r="F330" s="1">
        <v>91.81</v>
      </c>
      <c r="G330" s="1">
        <v>1487.29</v>
      </c>
      <c r="H330" s="1">
        <v>0</v>
      </c>
      <c r="I330" s="1">
        <v>0</v>
      </c>
    </row>
    <row r="331" spans="1:9" hidden="1" x14ac:dyDescent="0.25">
      <c r="A331" s="1" t="s">
        <v>157</v>
      </c>
      <c r="B331" s="1" t="s">
        <v>185</v>
      </c>
      <c r="C331" s="1" t="s">
        <v>10</v>
      </c>
      <c r="D331" s="1">
        <v>0</v>
      </c>
      <c r="E331" s="1">
        <v>0</v>
      </c>
      <c r="F331" s="1">
        <v>91.81</v>
      </c>
      <c r="G331" s="1">
        <v>1487.29</v>
      </c>
      <c r="H331" s="1">
        <v>-367.23200000000003</v>
      </c>
      <c r="I331" s="1">
        <v>0</v>
      </c>
    </row>
    <row r="332" spans="1:9" hidden="1" x14ac:dyDescent="0.25">
      <c r="A332" s="1" t="s">
        <v>157</v>
      </c>
      <c r="B332" s="1" t="s">
        <v>186</v>
      </c>
      <c r="C332" s="1" t="s">
        <v>25</v>
      </c>
      <c r="D332" s="1">
        <v>0</v>
      </c>
      <c r="E332" s="1">
        <v>-75.95</v>
      </c>
      <c r="F332" s="1">
        <v>0</v>
      </c>
      <c r="G332" s="1">
        <v>1253.2149999999999</v>
      </c>
      <c r="H332" s="1">
        <v>0</v>
      </c>
      <c r="I332" s="1">
        <v>0</v>
      </c>
    </row>
    <row r="333" spans="1:9" hidden="1" x14ac:dyDescent="0.25">
      <c r="A333" s="1" t="s">
        <v>157</v>
      </c>
      <c r="B333" s="1" t="s">
        <v>186</v>
      </c>
      <c r="C333" s="1" t="s">
        <v>10</v>
      </c>
      <c r="D333" s="1">
        <v>0</v>
      </c>
      <c r="E333" s="1">
        <v>-75.95</v>
      </c>
      <c r="F333" s="1">
        <v>0</v>
      </c>
      <c r="G333" s="1">
        <v>1253.2149999999999</v>
      </c>
      <c r="H333" s="1">
        <v>0</v>
      </c>
      <c r="I333" s="1">
        <v>-303.81</v>
      </c>
    </row>
    <row r="334" spans="1:9" hidden="1" x14ac:dyDescent="0.25">
      <c r="A334" s="1" t="s">
        <v>157</v>
      </c>
      <c r="B334" s="1" t="s">
        <v>187</v>
      </c>
      <c r="C334" s="1" t="s">
        <v>25</v>
      </c>
      <c r="D334" s="1">
        <v>0</v>
      </c>
      <c r="E334" s="1">
        <v>-75.95</v>
      </c>
      <c r="F334" s="1">
        <v>0</v>
      </c>
      <c r="G334" s="1">
        <v>1025.3579999999999</v>
      </c>
      <c r="H334" s="1">
        <v>0</v>
      </c>
      <c r="I334" s="1">
        <v>0</v>
      </c>
    </row>
    <row r="335" spans="1:9" hidden="1" x14ac:dyDescent="0.25">
      <c r="A335" s="1" t="s">
        <v>157</v>
      </c>
      <c r="B335" s="1" t="s">
        <v>187</v>
      </c>
      <c r="C335" s="1" t="s">
        <v>10</v>
      </c>
      <c r="D335" s="1">
        <v>0</v>
      </c>
      <c r="E335" s="1">
        <v>-75.95</v>
      </c>
      <c r="F335" s="1">
        <v>0</v>
      </c>
      <c r="G335" s="1">
        <v>1025.3579999999999</v>
      </c>
      <c r="H335" s="1">
        <v>0</v>
      </c>
      <c r="I335" s="1">
        <v>-303.81</v>
      </c>
    </row>
    <row r="336" spans="1:9" hidden="1" x14ac:dyDescent="0.25">
      <c r="A336" s="1" t="s">
        <v>157</v>
      </c>
      <c r="B336" s="1" t="s">
        <v>188</v>
      </c>
      <c r="C336" s="1" t="s">
        <v>25</v>
      </c>
      <c r="D336" s="1">
        <v>0</v>
      </c>
      <c r="E336" s="1">
        <v>75.95</v>
      </c>
      <c r="F336" s="1">
        <v>0</v>
      </c>
      <c r="G336" s="1">
        <v>-1253.2149999999999</v>
      </c>
      <c r="H336" s="1">
        <v>0</v>
      </c>
      <c r="I336" s="1">
        <v>0</v>
      </c>
    </row>
    <row r="337" spans="1:9" hidden="1" x14ac:dyDescent="0.25">
      <c r="A337" s="1" t="s">
        <v>157</v>
      </c>
      <c r="B337" s="1" t="s">
        <v>188</v>
      </c>
      <c r="C337" s="1" t="s">
        <v>10</v>
      </c>
      <c r="D337" s="1">
        <v>0</v>
      </c>
      <c r="E337" s="1">
        <v>75.95</v>
      </c>
      <c r="F337" s="1">
        <v>0</v>
      </c>
      <c r="G337" s="1">
        <v>-1253.2149999999999</v>
      </c>
      <c r="H337" s="1">
        <v>0</v>
      </c>
      <c r="I337" s="1">
        <v>303.81</v>
      </c>
    </row>
    <row r="338" spans="1:9" hidden="1" x14ac:dyDescent="0.25">
      <c r="A338" s="1" t="s">
        <v>157</v>
      </c>
      <c r="B338" s="1" t="s">
        <v>189</v>
      </c>
      <c r="C338" s="1" t="s">
        <v>25</v>
      </c>
      <c r="D338" s="1">
        <v>0</v>
      </c>
      <c r="E338" s="1">
        <v>75.95</v>
      </c>
      <c r="F338" s="1">
        <v>0</v>
      </c>
      <c r="G338" s="1">
        <v>-1025.3579999999999</v>
      </c>
      <c r="H338" s="1">
        <v>0</v>
      </c>
      <c r="I338" s="1">
        <v>0</v>
      </c>
    </row>
    <row r="339" spans="1:9" hidden="1" x14ac:dyDescent="0.25">
      <c r="A339" s="1" t="s">
        <v>157</v>
      </c>
      <c r="B339" s="1" t="s">
        <v>189</v>
      </c>
      <c r="C339" s="1" t="s">
        <v>10</v>
      </c>
      <c r="D339" s="1">
        <v>0</v>
      </c>
      <c r="E339" s="1">
        <v>75.95</v>
      </c>
      <c r="F339" s="1">
        <v>0</v>
      </c>
      <c r="G339" s="1">
        <v>-1025.3579999999999</v>
      </c>
      <c r="H339" s="1">
        <v>0</v>
      </c>
      <c r="I339" s="1">
        <v>303.81</v>
      </c>
    </row>
    <row r="340" spans="1:9" hidden="1" x14ac:dyDescent="0.25">
      <c r="A340" s="1" t="s">
        <v>157</v>
      </c>
      <c r="B340" s="1" t="s">
        <v>190</v>
      </c>
      <c r="C340" s="1" t="s">
        <v>25</v>
      </c>
      <c r="D340" s="1">
        <v>0</v>
      </c>
      <c r="E340" s="1">
        <v>0</v>
      </c>
      <c r="F340" s="1">
        <v>-91.81</v>
      </c>
      <c r="G340" s="1">
        <v>-1817.798</v>
      </c>
      <c r="H340" s="1">
        <v>0</v>
      </c>
      <c r="I340" s="1">
        <v>0</v>
      </c>
    </row>
    <row r="341" spans="1:9" hidden="1" x14ac:dyDescent="0.25">
      <c r="A341" s="1" t="s">
        <v>157</v>
      </c>
      <c r="B341" s="1" t="s">
        <v>190</v>
      </c>
      <c r="C341" s="1" t="s">
        <v>10</v>
      </c>
      <c r="D341" s="1">
        <v>0</v>
      </c>
      <c r="E341" s="1">
        <v>0</v>
      </c>
      <c r="F341" s="1">
        <v>-91.81</v>
      </c>
      <c r="G341" s="1">
        <v>-1817.798</v>
      </c>
      <c r="H341" s="1">
        <v>367.23200000000003</v>
      </c>
      <c r="I341" s="1">
        <v>0</v>
      </c>
    </row>
    <row r="342" spans="1:9" hidden="1" x14ac:dyDescent="0.25">
      <c r="A342" s="1" t="s">
        <v>157</v>
      </c>
      <c r="B342" s="1" t="s">
        <v>191</v>
      </c>
      <c r="C342" s="1" t="s">
        <v>25</v>
      </c>
      <c r="D342" s="1">
        <v>0</v>
      </c>
      <c r="E342" s="1">
        <v>0</v>
      </c>
      <c r="F342" s="1">
        <v>-91.81</v>
      </c>
      <c r="G342" s="1">
        <v>-1487.29</v>
      </c>
      <c r="H342" s="1">
        <v>0</v>
      </c>
      <c r="I342" s="1">
        <v>0</v>
      </c>
    </row>
    <row r="343" spans="1:9" hidden="1" x14ac:dyDescent="0.25">
      <c r="A343" s="1" t="s">
        <v>157</v>
      </c>
      <c r="B343" s="1" t="s">
        <v>191</v>
      </c>
      <c r="C343" s="1" t="s">
        <v>10</v>
      </c>
      <c r="D343" s="1">
        <v>0</v>
      </c>
      <c r="E343" s="1">
        <v>0</v>
      </c>
      <c r="F343" s="1">
        <v>-91.81</v>
      </c>
      <c r="G343" s="1">
        <v>-1487.29</v>
      </c>
      <c r="H343" s="1">
        <v>367.23200000000003</v>
      </c>
      <c r="I343" s="1">
        <v>0</v>
      </c>
    </row>
    <row r="344" spans="1:9" hidden="1" x14ac:dyDescent="0.25">
      <c r="A344" s="1" t="s">
        <v>157</v>
      </c>
      <c r="B344" s="1" t="s">
        <v>192</v>
      </c>
      <c r="C344" s="1" t="s">
        <v>25</v>
      </c>
      <c r="D344" s="1">
        <v>0</v>
      </c>
      <c r="E344" s="1">
        <v>0</v>
      </c>
      <c r="F344" s="1">
        <v>91.81</v>
      </c>
      <c r="G344" s="1">
        <v>1817.798</v>
      </c>
      <c r="H344" s="1">
        <v>0</v>
      </c>
      <c r="I344" s="1">
        <v>0</v>
      </c>
    </row>
    <row r="345" spans="1:9" hidden="1" x14ac:dyDescent="0.25">
      <c r="A345" s="1" t="s">
        <v>157</v>
      </c>
      <c r="B345" s="1" t="s">
        <v>192</v>
      </c>
      <c r="C345" s="1" t="s">
        <v>10</v>
      </c>
      <c r="D345" s="1">
        <v>0</v>
      </c>
      <c r="E345" s="1">
        <v>0</v>
      </c>
      <c r="F345" s="1">
        <v>91.81</v>
      </c>
      <c r="G345" s="1">
        <v>1817.798</v>
      </c>
      <c r="H345" s="1">
        <v>-367.23200000000003</v>
      </c>
      <c r="I345" s="1">
        <v>0</v>
      </c>
    </row>
    <row r="346" spans="1:9" hidden="1" x14ac:dyDescent="0.25">
      <c r="A346" s="1" t="s">
        <v>157</v>
      </c>
      <c r="B346" s="1" t="s">
        <v>193</v>
      </c>
      <c r="C346" s="1" t="s">
        <v>25</v>
      </c>
      <c r="D346" s="1">
        <v>0</v>
      </c>
      <c r="E346" s="1">
        <v>0</v>
      </c>
      <c r="F346" s="1">
        <v>91.81</v>
      </c>
      <c r="G346" s="1">
        <v>1487.29</v>
      </c>
      <c r="H346" s="1">
        <v>0</v>
      </c>
      <c r="I346" s="1">
        <v>0</v>
      </c>
    </row>
    <row r="347" spans="1:9" hidden="1" x14ac:dyDescent="0.25">
      <c r="A347" s="1" t="s">
        <v>157</v>
      </c>
      <c r="B347" s="1" t="s">
        <v>193</v>
      </c>
      <c r="C347" s="1" t="s">
        <v>10</v>
      </c>
      <c r="D347" s="1">
        <v>0</v>
      </c>
      <c r="E347" s="1">
        <v>0</v>
      </c>
      <c r="F347" s="1">
        <v>91.81</v>
      </c>
      <c r="G347" s="1">
        <v>1487.29</v>
      </c>
      <c r="H347" s="1">
        <v>-367.23200000000003</v>
      </c>
      <c r="I347" s="1">
        <v>0</v>
      </c>
    </row>
    <row r="348" spans="1:9" hidden="1" x14ac:dyDescent="0.25">
      <c r="A348" s="1" t="s">
        <v>157</v>
      </c>
      <c r="B348" s="1" t="s">
        <v>194</v>
      </c>
      <c r="C348" s="1" t="s">
        <v>25</v>
      </c>
      <c r="D348" s="1">
        <v>0</v>
      </c>
      <c r="E348" s="1">
        <v>-253.17</v>
      </c>
      <c r="F348" s="1">
        <v>0</v>
      </c>
      <c r="G348" s="1">
        <v>4177.384</v>
      </c>
      <c r="H348" s="1">
        <v>0</v>
      </c>
      <c r="I348" s="1">
        <v>0</v>
      </c>
    </row>
    <row r="349" spans="1:9" hidden="1" x14ac:dyDescent="0.25">
      <c r="A349" s="1" t="s">
        <v>157</v>
      </c>
      <c r="B349" s="1" t="s">
        <v>194</v>
      </c>
      <c r="C349" s="1" t="s">
        <v>10</v>
      </c>
      <c r="D349" s="1">
        <v>0</v>
      </c>
      <c r="E349" s="1">
        <v>-253.17</v>
      </c>
      <c r="F349" s="1">
        <v>0</v>
      </c>
      <c r="G349" s="1">
        <v>4177.384</v>
      </c>
      <c r="H349" s="1">
        <v>0</v>
      </c>
      <c r="I349" s="1">
        <v>-1012.699</v>
      </c>
    </row>
    <row r="350" spans="1:9" hidden="1" x14ac:dyDescent="0.25">
      <c r="A350" s="1" t="s">
        <v>157</v>
      </c>
      <c r="B350" s="1" t="s">
        <v>195</v>
      </c>
      <c r="C350" s="1" t="s">
        <v>25</v>
      </c>
      <c r="D350" s="1">
        <v>0</v>
      </c>
      <c r="E350" s="1">
        <v>-253.17</v>
      </c>
      <c r="F350" s="1">
        <v>0</v>
      </c>
      <c r="G350" s="1">
        <v>3417.86</v>
      </c>
      <c r="H350" s="1">
        <v>0</v>
      </c>
      <c r="I350" s="1">
        <v>0</v>
      </c>
    </row>
    <row r="351" spans="1:9" hidden="1" x14ac:dyDescent="0.25">
      <c r="A351" s="1" t="s">
        <v>157</v>
      </c>
      <c r="B351" s="1" t="s">
        <v>195</v>
      </c>
      <c r="C351" s="1" t="s">
        <v>10</v>
      </c>
      <c r="D351" s="1">
        <v>0</v>
      </c>
      <c r="E351" s="1">
        <v>-253.17</v>
      </c>
      <c r="F351" s="1">
        <v>0</v>
      </c>
      <c r="G351" s="1">
        <v>3417.86</v>
      </c>
      <c r="H351" s="1">
        <v>0</v>
      </c>
      <c r="I351" s="1">
        <v>-1012.699</v>
      </c>
    </row>
    <row r="352" spans="1:9" hidden="1" x14ac:dyDescent="0.25">
      <c r="A352" s="1" t="s">
        <v>157</v>
      </c>
      <c r="B352" s="1" t="s">
        <v>196</v>
      </c>
      <c r="C352" s="1" t="s">
        <v>25</v>
      </c>
      <c r="D352" s="1">
        <v>0</v>
      </c>
      <c r="E352" s="1">
        <v>253.17</v>
      </c>
      <c r="F352" s="1">
        <v>0</v>
      </c>
      <c r="G352" s="1">
        <v>-4177.384</v>
      </c>
      <c r="H352" s="1">
        <v>0</v>
      </c>
      <c r="I352" s="1">
        <v>0</v>
      </c>
    </row>
    <row r="353" spans="1:9" hidden="1" x14ac:dyDescent="0.25">
      <c r="A353" s="1" t="s">
        <v>157</v>
      </c>
      <c r="B353" s="1" t="s">
        <v>196</v>
      </c>
      <c r="C353" s="1" t="s">
        <v>10</v>
      </c>
      <c r="D353" s="1">
        <v>0</v>
      </c>
      <c r="E353" s="1">
        <v>253.17</v>
      </c>
      <c r="F353" s="1">
        <v>0</v>
      </c>
      <c r="G353" s="1">
        <v>-4177.384</v>
      </c>
      <c r="H353" s="1">
        <v>0</v>
      </c>
      <c r="I353" s="1">
        <v>1012.699</v>
      </c>
    </row>
    <row r="354" spans="1:9" hidden="1" x14ac:dyDescent="0.25">
      <c r="A354" s="1" t="s">
        <v>157</v>
      </c>
      <c r="B354" s="1" t="s">
        <v>197</v>
      </c>
      <c r="C354" s="1" t="s">
        <v>25</v>
      </c>
      <c r="D354" s="1">
        <v>0</v>
      </c>
      <c r="E354" s="1">
        <v>253.17</v>
      </c>
      <c r="F354" s="1">
        <v>0</v>
      </c>
      <c r="G354" s="1">
        <v>-3417.86</v>
      </c>
      <c r="H354" s="1">
        <v>0</v>
      </c>
      <c r="I354" s="1">
        <v>0</v>
      </c>
    </row>
    <row r="355" spans="1:9" hidden="1" x14ac:dyDescent="0.25">
      <c r="A355" s="1" t="s">
        <v>157</v>
      </c>
      <c r="B355" s="1" t="s">
        <v>197</v>
      </c>
      <c r="C355" s="1" t="s">
        <v>10</v>
      </c>
      <c r="D355" s="1">
        <v>0</v>
      </c>
      <c r="E355" s="1">
        <v>253.17</v>
      </c>
      <c r="F355" s="1">
        <v>0</v>
      </c>
      <c r="G355" s="1">
        <v>-3417.86</v>
      </c>
      <c r="H355" s="1">
        <v>0</v>
      </c>
      <c r="I355" s="1">
        <v>1012.699</v>
      </c>
    </row>
    <row r="356" spans="1:9" hidden="1" x14ac:dyDescent="0.25">
      <c r="A356" s="1" t="s">
        <v>157</v>
      </c>
      <c r="B356" s="1" t="s">
        <v>198</v>
      </c>
      <c r="C356" s="1" t="s">
        <v>25</v>
      </c>
      <c r="D356" s="1">
        <v>0</v>
      </c>
      <c r="E356" s="1">
        <v>0</v>
      </c>
      <c r="F356" s="1">
        <v>-306.02999999999997</v>
      </c>
      <c r="G356" s="1">
        <v>-6059.3280000000004</v>
      </c>
      <c r="H356" s="1">
        <v>0</v>
      </c>
      <c r="I356" s="1">
        <v>0</v>
      </c>
    </row>
    <row r="357" spans="1:9" hidden="1" x14ac:dyDescent="0.25">
      <c r="A357" s="1" t="s">
        <v>157</v>
      </c>
      <c r="B357" s="1" t="s">
        <v>198</v>
      </c>
      <c r="C357" s="1" t="s">
        <v>10</v>
      </c>
      <c r="D357" s="1">
        <v>0</v>
      </c>
      <c r="E357" s="1">
        <v>0</v>
      </c>
      <c r="F357" s="1">
        <v>-306.02999999999997</v>
      </c>
      <c r="G357" s="1">
        <v>-6059.3280000000004</v>
      </c>
      <c r="H357" s="1">
        <v>1224.107</v>
      </c>
      <c r="I357" s="1">
        <v>0</v>
      </c>
    </row>
    <row r="358" spans="1:9" hidden="1" x14ac:dyDescent="0.25">
      <c r="A358" s="1" t="s">
        <v>157</v>
      </c>
      <c r="B358" s="1" t="s">
        <v>199</v>
      </c>
      <c r="C358" s="1" t="s">
        <v>25</v>
      </c>
      <c r="D358" s="1">
        <v>0</v>
      </c>
      <c r="E358" s="1">
        <v>0</v>
      </c>
      <c r="F358" s="1">
        <v>-306.02999999999997</v>
      </c>
      <c r="G358" s="1">
        <v>-4957.6319999999996</v>
      </c>
      <c r="H358" s="1">
        <v>0</v>
      </c>
      <c r="I358" s="1">
        <v>0</v>
      </c>
    </row>
    <row r="359" spans="1:9" hidden="1" x14ac:dyDescent="0.25">
      <c r="A359" s="1" t="s">
        <v>157</v>
      </c>
      <c r="B359" s="1" t="s">
        <v>199</v>
      </c>
      <c r="C359" s="1" t="s">
        <v>10</v>
      </c>
      <c r="D359" s="1">
        <v>0</v>
      </c>
      <c r="E359" s="1">
        <v>0</v>
      </c>
      <c r="F359" s="1">
        <v>-306.02999999999997</v>
      </c>
      <c r="G359" s="1">
        <v>-4957.6319999999996</v>
      </c>
      <c r="H359" s="1">
        <v>1224.107</v>
      </c>
      <c r="I359" s="1">
        <v>0</v>
      </c>
    </row>
    <row r="360" spans="1:9" hidden="1" x14ac:dyDescent="0.25">
      <c r="A360" s="1" t="s">
        <v>157</v>
      </c>
      <c r="B360" s="1" t="s">
        <v>200</v>
      </c>
      <c r="C360" s="1" t="s">
        <v>25</v>
      </c>
      <c r="D360" s="1">
        <v>0</v>
      </c>
      <c r="E360" s="1">
        <v>0</v>
      </c>
      <c r="F360" s="1">
        <v>306.02999999999997</v>
      </c>
      <c r="G360" s="1">
        <v>6059.3280000000004</v>
      </c>
      <c r="H360" s="1">
        <v>0</v>
      </c>
      <c r="I360" s="1">
        <v>0</v>
      </c>
    </row>
    <row r="361" spans="1:9" hidden="1" x14ac:dyDescent="0.25">
      <c r="A361" s="1" t="s">
        <v>157</v>
      </c>
      <c r="B361" s="1" t="s">
        <v>200</v>
      </c>
      <c r="C361" s="1" t="s">
        <v>10</v>
      </c>
      <c r="D361" s="1">
        <v>0</v>
      </c>
      <c r="E361" s="1">
        <v>0</v>
      </c>
      <c r="F361" s="1">
        <v>306.02999999999997</v>
      </c>
      <c r="G361" s="1">
        <v>6059.3280000000004</v>
      </c>
      <c r="H361" s="1">
        <v>-1224.107</v>
      </c>
      <c r="I361" s="1">
        <v>0</v>
      </c>
    </row>
    <row r="362" spans="1:9" hidden="1" x14ac:dyDescent="0.25">
      <c r="A362" s="1" t="s">
        <v>157</v>
      </c>
      <c r="B362" s="1" t="s">
        <v>201</v>
      </c>
      <c r="C362" s="1" t="s">
        <v>25</v>
      </c>
      <c r="D362" s="1">
        <v>0</v>
      </c>
      <c r="E362" s="1">
        <v>0</v>
      </c>
      <c r="F362" s="1">
        <v>306.02999999999997</v>
      </c>
      <c r="G362" s="1">
        <v>4957.6319999999996</v>
      </c>
      <c r="H362" s="1">
        <v>0</v>
      </c>
      <c r="I362" s="1">
        <v>0</v>
      </c>
    </row>
    <row r="363" spans="1:9" hidden="1" x14ac:dyDescent="0.25">
      <c r="A363" s="1" t="s">
        <v>157</v>
      </c>
      <c r="B363" s="1" t="s">
        <v>201</v>
      </c>
      <c r="C363" s="1" t="s">
        <v>10</v>
      </c>
      <c r="D363" s="1">
        <v>0</v>
      </c>
      <c r="E363" s="1">
        <v>0</v>
      </c>
      <c r="F363" s="1">
        <v>306.02999999999997</v>
      </c>
      <c r="G363" s="1">
        <v>4957.6319999999996</v>
      </c>
      <c r="H363" s="1">
        <v>-1224.107</v>
      </c>
      <c r="I363" s="1">
        <v>0</v>
      </c>
    </row>
    <row r="364" spans="1:9" hidden="1" x14ac:dyDescent="0.25">
      <c r="A364" s="1" t="s">
        <v>157</v>
      </c>
      <c r="B364" s="1" t="s">
        <v>202</v>
      </c>
      <c r="C364" s="1" t="s">
        <v>25</v>
      </c>
      <c r="D364" s="1">
        <v>0</v>
      </c>
      <c r="E364" s="1">
        <v>-253.17</v>
      </c>
      <c r="F364" s="1">
        <v>0</v>
      </c>
      <c r="G364" s="1">
        <v>4177.384</v>
      </c>
      <c r="H364" s="1">
        <v>0</v>
      </c>
      <c r="I364" s="1">
        <v>0</v>
      </c>
    </row>
    <row r="365" spans="1:9" hidden="1" x14ac:dyDescent="0.25">
      <c r="A365" s="1" t="s">
        <v>157</v>
      </c>
      <c r="B365" s="1" t="s">
        <v>202</v>
      </c>
      <c r="C365" s="1" t="s">
        <v>10</v>
      </c>
      <c r="D365" s="1">
        <v>0</v>
      </c>
      <c r="E365" s="1">
        <v>-253.17</v>
      </c>
      <c r="F365" s="1">
        <v>0</v>
      </c>
      <c r="G365" s="1">
        <v>4177.384</v>
      </c>
      <c r="H365" s="1">
        <v>0</v>
      </c>
      <c r="I365" s="1">
        <v>-1012.699</v>
      </c>
    </row>
    <row r="366" spans="1:9" hidden="1" x14ac:dyDescent="0.25">
      <c r="A366" s="1" t="s">
        <v>157</v>
      </c>
      <c r="B366" s="1" t="s">
        <v>203</v>
      </c>
      <c r="C366" s="1" t="s">
        <v>25</v>
      </c>
      <c r="D366" s="1">
        <v>0</v>
      </c>
      <c r="E366" s="1">
        <v>-253.17</v>
      </c>
      <c r="F366" s="1">
        <v>0</v>
      </c>
      <c r="G366" s="1">
        <v>3417.86</v>
      </c>
      <c r="H366" s="1">
        <v>0</v>
      </c>
      <c r="I366" s="1">
        <v>0</v>
      </c>
    </row>
    <row r="367" spans="1:9" hidden="1" x14ac:dyDescent="0.25">
      <c r="A367" s="1" t="s">
        <v>157</v>
      </c>
      <c r="B367" s="1" t="s">
        <v>203</v>
      </c>
      <c r="C367" s="1" t="s">
        <v>10</v>
      </c>
      <c r="D367" s="1">
        <v>0</v>
      </c>
      <c r="E367" s="1">
        <v>-253.17</v>
      </c>
      <c r="F367" s="1">
        <v>0</v>
      </c>
      <c r="G367" s="1">
        <v>3417.86</v>
      </c>
      <c r="H367" s="1">
        <v>0</v>
      </c>
      <c r="I367" s="1">
        <v>-1012.699</v>
      </c>
    </row>
    <row r="368" spans="1:9" hidden="1" x14ac:dyDescent="0.25">
      <c r="A368" s="1" t="s">
        <v>157</v>
      </c>
      <c r="B368" s="1" t="s">
        <v>204</v>
      </c>
      <c r="C368" s="1" t="s">
        <v>25</v>
      </c>
      <c r="D368" s="1">
        <v>0</v>
      </c>
      <c r="E368" s="1">
        <v>253.17</v>
      </c>
      <c r="F368" s="1">
        <v>0</v>
      </c>
      <c r="G368" s="1">
        <v>-4177.384</v>
      </c>
      <c r="H368" s="1">
        <v>0</v>
      </c>
      <c r="I368" s="1">
        <v>0</v>
      </c>
    </row>
    <row r="369" spans="1:9" hidden="1" x14ac:dyDescent="0.25">
      <c r="A369" s="1" t="s">
        <v>157</v>
      </c>
      <c r="B369" s="1" t="s">
        <v>204</v>
      </c>
      <c r="C369" s="1" t="s">
        <v>10</v>
      </c>
      <c r="D369" s="1">
        <v>0</v>
      </c>
      <c r="E369" s="1">
        <v>253.17</v>
      </c>
      <c r="F369" s="1">
        <v>0</v>
      </c>
      <c r="G369" s="1">
        <v>-4177.384</v>
      </c>
      <c r="H369" s="1">
        <v>0</v>
      </c>
      <c r="I369" s="1">
        <v>1012.699</v>
      </c>
    </row>
    <row r="370" spans="1:9" hidden="1" x14ac:dyDescent="0.25">
      <c r="A370" s="1" t="s">
        <v>157</v>
      </c>
      <c r="B370" s="1" t="s">
        <v>205</v>
      </c>
      <c r="C370" s="1" t="s">
        <v>25</v>
      </c>
      <c r="D370" s="1">
        <v>0</v>
      </c>
      <c r="E370" s="1">
        <v>253.17</v>
      </c>
      <c r="F370" s="1">
        <v>0</v>
      </c>
      <c r="G370" s="1">
        <v>-3417.86</v>
      </c>
      <c r="H370" s="1">
        <v>0</v>
      </c>
      <c r="I370" s="1">
        <v>0</v>
      </c>
    </row>
    <row r="371" spans="1:9" hidden="1" x14ac:dyDescent="0.25">
      <c r="A371" s="1" t="s">
        <v>157</v>
      </c>
      <c r="B371" s="1" t="s">
        <v>205</v>
      </c>
      <c r="C371" s="1" t="s">
        <v>10</v>
      </c>
      <c r="D371" s="1">
        <v>0</v>
      </c>
      <c r="E371" s="1">
        <v>253.17</v>
      </c>
      <c r="F371" s="1">
        <v>0</v>
      </c>
      <c r="G371" s="1">
        <v>-3417.86</v>
      </c>
      <c r="H371" s="1">
        <v>0</v>
      </c>
      <c r="I371" s="1">
        <v>1012.699</v>
      </c>
    </row>
    <row r="372" spans="1:9" hidden="1" x14ac:dyDescent="0.25">
      <c r="A372" s="1" t="s">
        <v>157</v>
      </c>
      <c r="B372" s="1" t="s">
        <v>206</v>
      </c>
      <c r="C372" s="1" t="s">
        <v>25</v>
      </c>
      <c r="D372" s="1">
        <v>0</v>
      </c>
      <c r="E372" s="1">
        <v>0</v>
      </c>
      <c r="F372" s="1">
        <v>-306.02999999999997</v>
      </c>
      <c r="G372" s="1">
        <v>-6059.3280000000004</v>
      </c>
      <c r="H372" s="1">
        <v>0</v>
      </c>
      <c r="I372" s="1">
        <v>0</v>
      </c>
    </row>
    <row r="373" spans="1:9" hidden="1" x14ac:dyDescent="0.25">
      <c r="A373" s="1" t="s">
        <v>157</v>
      </c>
      <c r="B373" s="1" t="s">
        <v>206</v>
      </c>
      <c r="C373" s="1" t="s">
        <v>10</v>
      </c>
      <c r="D373" s="1">
        <v>0</v>
      </c>
      <c r="E373" s="1">
        <v>0</v>
      </c>
      <c r="F373" s="1">
        <v>-306.02999999999997</v>
      </c>
      <c r="G373" s="1">
        <v>-6059.3280000000004</v>
      </c>
      <c r="H373" s="1">
        <v>1224.107</v>
      </c>
      <c r="I373" s="1">
        <v>0</v>
      </c>
    </row>
    <row r="374" spans="1:9" hidden="1" x14ac:dyDescent="0.25">
      <c r="A374" s="1" t="s">
        <v>157</v>
      </c>
      <c r="B374" s="1" t="s">
        <v>207</v>
      </c>
      <c r="C374" s="1" t="s">
        <v>25</v>
      </c>
      <c r="D374" s="1">
        <v>0</v>
      </c>
      <c r="E374" s="1">
        <v>0</v>
      </c>
      <c r="F374" s="1">
        <v>-306.02999999999997</v>
      </c>
      <c r="G374" s="1">
        <v>-4957.6319999999996</v>
      </c>
      <c r="H374" s="1">
        <v>0</v>
      </c>
      <c r="I374" s="1">
        <v>0</v>
      </c>
    </row>
    <row r="375" spans="1:9" hidden="1" x14ac:dyDescent="0.25">
      <c r="A375" s="1" t="s">
        <v>157</v>
      </c>
      <c r="B375" s="1" t="s">
        <v>207</v>
      </c>
      <c r="C375" s="1" t="s">
        <v>10</v>
      </c>
      <c r="D375" s="1">
        <v>0</v>
      </c>
      <c r="E375" s="1">
        <v>0</v>
      </c>
      <c r="F375" s="1">
        <v>-306.02999999999997</v>
      </c>
      <c r="G375" s="1">
        <v>-4957.6319999999996</v>
      </c>
      <c r="H375" s="1">
        <v>1224.107</v>
      </c>
      <c r="I375" s="1">
        <v>0</v>
      </c>
    </row>
    <row r="376" spans="1:9" hidden="1" x14ac:dyDescent="0.25">
      <c r="A376" s="1" t="s">
        <v>157</v>
      </c>
      <c r="B376" s="1" t="s">
        <v>208</v>
      </c>
      <c r="C376" s="1" t="s">
        <v>25</v>
      </c>
      <c r="D376" s="1">
        <v>0</v>
      </c>
      <c r="E376" s="1">
        <v>0</v>
      </c>
      <c r="F376" s="1">
        <v>306.02999999999997</v>
      </c>
      <c r="G376" s="1">
        <v>6059.3280000000004</v>
      </c>
      <c r="H376" s="1">
        <v>0</v>
      </c>
      <c r="I376" s="1">
        <v>0</v>
      </c>
    </row>
    <row r="377" spans="1:9" hidden="1" x14ac:dyDescent="0.25">
      <c r="A377" s="1" t="s">
        <v>157</v>
      </c>
      <c r="B377" s="1" t="s">
        <v>208</v>
      </c>
      <c r="C377" s="1" t="s">
        <v>10</v>
      </c>
      <c r="D377" s="1">
        <v>0</v>
      </c>
      <c r="E377" s="1">
        <v>0</v>
      </c>
      <c r="F377" s="1">
        <v>306.02999999999997</v>
      </c>
      <c r="G377" s="1">
        <v>6059.3280000000004</v>
      </c>
      <c r="H377" s="1">
        <v>-1224.107</v>
      </c>
      <c r="I377" s="1">
        <v>0</v>
      </c>
    </row>
    <row r="378" spans="1:9" hidden="1" x14ac:dyDescent="0.25">
      <c r="A378" s="1" t="s">
        <v>157</v>
      </c>
      <c r="B378" s="1" t="s">
        <v>209</v>
      </c>
      <c r="C378" s="1" t="s">
        <v>25</v>
      </c>
      <c r="D378" s="1">
        <v>0</v>
      </c>
      <c r="E378" s="1">
        <v>0</v>
      </c>
      <c r="F378" s="1">
        <v>306.02999999999997</v>
      </c>
      <c r="G378" s="1">
        <v>4957.6319999999996</v>
      </c>
      <c r="H378" s="1">
        <v>0</v>
      </c>
      <c r="I378" s="1">
        <v>0</v>
      </c>
    </row>
    <row r="379" spans="1:9" hidden="1" x14ac:dyDescent="0.25">
      <c r="A379" s="1" t="s">
        <v>157</v>
      </c>
      <c r="B379" s="1" t="s">
        <v>209</v>
      </c>
      <c r="C379" s="1" t="s">
        <v>10</v>
      </c>
      <c r="D379" s="1">
        <v>0</v>
      </c>
      <c r="E379" s="1">
        <v>0</v>
      </c>
      <c r="F379" s="1">
        <v>306.02999999999997</v>
      </c>
      <c r="G379" s="1">
        <v>4957.6319999999996</v>
      </c>
      <c r="H379" s="1">
        <v>-1224.107</v>
      </c>
      <c r="I379" s="1">
        <v>0</v>
      </c>
    </row>
    <row r="380" spans="1:9" hidden="1" x14ac:dyDescent="0.25">
      <c r="A380" s="1" t="s">
        <v>157</v>
      </c>
      <c r="B380" s="1" t="s">
        <v>210</v>
      </c>
      <c r="C380" s="1" t="s">
        <v>25</v>
      </c>
      <c r="D380" s="1">
        <v>0</v>
      </c>
      <c r="E380" s="1">
        <v>-75.95</v>
      </c>
      <c r="F380" s="1">
        <v>0</v>
      </c>
      <c r="G380" s="1">
        <v>1253.2149999999999</v>
      </c>
      <c r="H380" s="1">
        <v>0</v>
      </c>
      <c r="I380" s="1">
        <v>0</v>
      </c>
    </row>
    <row r="381" spans="1:9" hidden="1" x14ac:dyDescent="0.25">
      <c r="A381" s="1" t="s">
        <v>157</v>
      </c>
      <c r="B381" s="1" t="s">
        <v>210</v>
      </c>
      <c r="C381" s="1" t="s">
        <v>10</v>
      </c>
      <c r="D381" s="1">
        <v>0</v>
      </c>
      <c r="E381" s="1">
        <v>-75.95</v>
      </c>
      <c r="F381" s="1">
        <v>0</v>
      </c>
      <c r="G381" s="1">
        <v>1253.2149999999999</v>
      </c>
      <c r="H381" s="1">
        <v>0</v>
      </c>
      <c r="I381" s="1">
        <v>-303.81</v>
      </c>
    </row>
    <row r="382" spans="1:9" hidden="1" x14ac:dyDescent="0.25">
      <c r="A382" s="1" t="s">
        <v>157</v>
      </c>
      <c r="B382" s="1" t="s">
        <v>211</v>
      </c>
      <c r="C382" s="1" t="s">
        <v>25</v>
      </c>
      <c r="D382" s="1">
        <v>0</v>
      </c>
      <c r="E382" s="1">
        <v>-75.95</v>
      </c>
      <c r="F382" s="1">
        <v>0</v>
      </c>
      <c r="G382" s="1">
        <v>1025.3579999999999</v>
      </c>
      <c r="H382" s="1">
        <v>0</v>
      </c>
      <c r="I382" s="1">
        <v>0</v>
      </c>
    </row>
    <row r="383" spans="1:9" hidden="1" x14ac:dyDescent="0.25">
      <c r="A383" s="1" t="s">
        <v>157</v>
      </c>
      <c r="B383" s="1" t="s">
        <v>211</v>
      </c>
      <c r="C383" s="1" t="s">
        <v>10</v>
      </c>
      <c r="D383" s="1">
        <v>0</v>
      </c>
      <c r="E383" s="1">
        <v>-75.95</v>
      </c>
      <c r="F383" s="1">
        <v>0</v>
      </c>
      <c r="G383" s="1">
        <v>1025.3579999999999</v>
      </c>
      <c r="H383" s="1">
        <v>0</v>
      </c>
      <c r="I383" s="1">
        <v>-303.81</v>
      </c>
    </row>
    <row r="384" spans="1:9" hidden="1" x14ac:dyDescent="0.25">
      <c r="A384" s="1" t="s">
        <v>157</v>
      </c>
      <c r="B384" s="1" t="s">
        <v>212</v>
      </c>
      <c r="C384" s="1" t="s">
        <v>25</v>
      </c>
      <c r="D384" s="1">
        <v>0</v>
      </c>
      <c r="E384" s="1">
        <v>75.95</v>
      </c>
      <c r="F384" s="1">
        <v>0</v>
      </c>
      <c r="G384" s="1">
        <v>-1253.2149999999999</v>
      </c>
      <c r="H384" s="1">
        <v>0</v>
      </c>
      <c r="I384" s="1">
        <v>0</v>
      </c>
    </row>
    <row r="385" spans="1:9" hidden="1" x14ac:dyDescent="0.25">
      <c r="A385" s="1" t="s">
        <v>157</v>
      </c>
      <c r="B385" s="1" t="s">
        <v>212</v>
      </c>
      <c r="C385" s="1" t="s">
        <v>10</v>
      </c>
      <c r="D385" s="1">
        <v>0</v>
      </c>
      <c r="E385" s="1">
        <v>75.95</v>
      </c>
      <c r="F385" s="1">
        <v>0</v>
      </c>
      <c r="G385" s="1">
        <v>-1253.2149999999999</v>
      </c>
      <c r="H385" s="1">
        <v>0</v>
      </c>
      <c r="I385" s="1">
        <v>303.81</v>
      </c>
    </row>
    <row r="386" spans="1:9" hidden="1" x14ac:dyDescent="0.25">
      <c r="A386" s="1" t="s">
        <v>157</v>
      </c>
      <c r="B386" s="1" t="s">
        <v>213</v>
      </c>
      <c r="C386" s="1" t="s">
        <v>25</v>
      </c>
      <c r="D386" s="1">
        <v>0</v>
      </c>
      <c r="E386" s="1">
        <v>75.95</v>
      </c>
      <c r="F386" s="1">
        <v>0</v>
      </c>
      <c r="G386" s="1">
        <v>-1025.3579999999999</v>
      </c>
      <c r="H386" s="1">
        <v>0</v>
      </c>
      <c r="I386" s="1">
        <v>0</v>
      </c>
    </row>
    <row r="387" spans="1:9" hidden="1" x14ac:dyDescent="0.25">
      <c r="A387" s="1" t="s">
        <v>157</v>
      </c>
      <c r="B387" s="1" t="s">
        <v>213</v>
      </c>
      <c r="C387" s="1" t="s">
        <v>10</v>
      </c>
      <c r="D387" s="1">
        <v>0</v>
      </c>
      <c r="E387" s="1">
        <v>75.95</v>
      </c>
      <c r="F387" s="1">
        <v>0</v>
      </c>
      <c r="G387" s="1">
        <v>-1025.3579999999999</v>
      </c>
      <c r="H387" s="1">
        <v>0</v>
      </c>
      <c r="I387" s="1">
        <v>303.81</v>
      </c>
    </row>
    <row r="388" spans="1:9" hidden="1" x14ac:dyDescent="0.25">
      <c r="A388" s="1" t="s">
        <v>157</v>
      </c>
      <c r="B388" s="1" t="s">
        <v>214</v>
      </c>
      <c r="C388" s="1" t="s">
        <v>25</v>
      </c>
      <c r="D388" s="1">
        <v>0</v>
      </c>
      <c r="E388" s="1">
        <v>0</v>
      </c>
      <c r="F388" s="1">
        <v>-91.81</v>
      </c>
      <c r="G388" s="1">
        <v>-1817.798</v>
      </c>
      <c r="H388" s="1">
        <v>0</v>
      </c>
      <c r="I388" s="1">
        <v>0</v>
      </c>
    </row>
    <row r="389" spans="1:9" hidden="1" x14ac:dyDescent="0.25">
      <c r="A389" s="1" t="s">
        <v>157</v>
      </c>
      <c r="B389" s="1" t="s">
        <v>214</v>
      </c>
      <c r="C389" s="1" t="s">
        <v>10</v>
      </c>
      <c r="D389" s="1">
        <v>0</v>
      </c>
      <c r="E389" s="1">
        <v>0</v>
      </c>
      <c r="F389" s="1">
        <v>-91.81</v>
      </c>
      <c r="G389" s="1">
        <v>-1817.798</v>
      </c>
      <c r="H389" s="1">
        <v>367.23200000000003</v>
      </c>
      <c r="I389" s="1">
        <v>0</v>
      </c>
    </row>
    <row r="390" spans="1:9" hidden="1" x14ac:dyDescent="0.25">
      <c r="A390" s="1" t="s">
        <v>157</v>
      </c>
      <c r="B390" s="1" t="s">
        <v>215</v>
      </c>
      <c r="C390" s="1" t="s">
        <v>25</v>
      </c>
      <c r="D390" s="1">
        <v>0</v>
      </c>
      <c r="E390" s="1">
        <v>0</v>
      </c>
      <c r="F390" s="1">
        <v>-91.81</v>
      </c>
      <c r="G390" s="1">
        <v>-1487.29</v>
      </c>
      <c r="H390" s="1">
        <v>0</v>
      </c>
      <c r="I390" s="1">
        <v>0</v>
      </c>
    </row>
    <row r="391" spans="1:9" hidden="1" x14ac:dyDescent="0.25">
      <c r="A391" s="1" t="s">
        <v>157</v>
      </c>
      <c r="B391" s="1" t="s">
        <v>215</v>
      </c>
      <c r="C391" s="1" t="s">
        <v>10</v>
      </c>
      <c r="D391" s="1">
        <v>0</v>
      </c>
      <c r="E391" s="1">
        <v>0</v>
      </c>
      <c r="F391" s="1">
        <v>-91.81</v>
      </c>
      <c r="G391" s="1">
        <v>-1487.29</v>
      </c>
      <c r="H391" s="1">
        <v>367.23200000000003</v>
      </c>
      <c r="I391" s="1">
        <v>0</v>
      </c>
    </row>
    <row r="392" spans="1:9" hidden="1" x14ac:dyDescent="0.25">
      <c r="A392" s="1" t="s">
        <v>157</v>
      </c>
      <c r="B392" s="1" t="s">
        <v>216</v>
      </c>
      <c r="C392" s="1" t="s">
        <v>25</v>
      </c>
      <c r="D392" s="1">
        <v>0</v>
      </c>
      <c r="E392" s="1">
        <v>0</v>
      </c>
      <c r="F392" s="1">
        <v>91.81</v>
      </c>
      <c r="G392" s="1">
        <v>1817.798</v>
      </c>
      <c r="H392" s="1">
        <v>0</v>
      </c>
      <c r="I392" s="1">
        <v>0</v>
      </c>
    </row>
    <row r="393" spans="1:9" hidden="1" x14ac:dyDescent="0.25">
      <c r="A393" s="1" t="s">
        <v>157</v>
      </c>
      <c r="B393" s="1" t="s">
        <v>216</v>
      </c>
      <c r="C393" s="1" t="s">
        <v>10</v>
      </c>
      <c r="D393" s="1">
        <v>0</v>
      </c>
      <c r="E393" s="1">
        <v>0</v>
      </c>
      <c r="F393" s="1">
        <v>91.81</v>
      </c>
      <c r="G393" s="1">
        <v>1817.798</v>
      </c>
      <c r="H393" s="1">
        <v>-367.23200000000003</v>
      </c>
      <c r="I393" s="1">
        <v>0</v>
      </c>
    </row>
    <row r="394" spans="1:9" hidden="1" x14ac:dyDescent="0.25">
      <c r="A394" s="1" t="s">
        <v>157</v>
      </c>
      <c r="B394" s="1" t="s">
        <v>217</v>
      </c>
      <c r="C394" s="1" t="s">
        <v>25</v>
      </c>
      <c r="D394" s="1">
        <v>0</v>
      </c>
      <c r="E394" s="1">
        <v>0</v>
      </c>
      <c r="F394" s="1">
        <v>91.81</v>
      </c>
      <c r="G394" s="1">
        <v>1487.29</v>
      </c>
      <c r="H394" s="1">
        <v>0</v>
      </c>
      <c r="I394" s="1">
        <v>0</v>
      </c>
    </row>
    <row r="395" spans="1:9" hidden="1" x14ac:dyDescent="0.25">
      <c r="A395" s="1" t="s">
        <v>157</v>
      </c>
      <c r="B395" s="1" t="s">
        <v>217</v>
      </c>
      <c r="C395" s="1" t="s">
        <v>10</v>
      </c>
      <c r="D395" s="1">
        <v>0</v>
      </c>
      <c r="E395" s="1">
        <v>0</v>
      </c>
      <c r="F395" s="1">
        <v>91.81</v>
      </c>
      <c r="G395" s="1">
        <v>1487.29</v>
      </c>
      <c r="H395" s="1">
        <v>-367.23200000000003</v>
      </c>
      <c r="I395" s="1">
        <v>0</v>
      </c>
    </row>
    <row r="396" spans="1:9" hidden="1" x14ac:dyDescent="0.25">
      <c r="A396" s="1" t="s">
        <v>157</v>
      </c>
      <c r="B396" s="1" t="s">
        <v>218</v>
      </c>
      <c r="C396" s="1" t="s">
        <v>25</v>
      </c>
      <c r="D396" s="1">
        <v>0</v>
      </c>
      <c r="E396" s="1">
        <v>-75.95</v>
      </c>
      <c r="F396" s="1">
        <v>0</v>
      </c>
      <c r="G396" s="1">
        <v>1253.2149999999999</v>
      </c>
      <c r="H396" s="1">
        <v>0</v>
      </c>
      <c r="I396" s="1">
        <v>0</v>
      </c>
    </row>
    <row r="397" spans="1:9" hidden="1" x14ac:dyDescent="0.25">
      <c r="A397" s="1" t="s">
        <v>157</v>
      </c>
      <c r="B397" s="1" t="s">
        <v>218</v>
      </c>
      <c r="C397" s="1" t="s">
        <v>10</v>
      </c>
      <c r="D397" s="1">
        <v>0</v>
      </c>
      <c r="E397" s="1">
        <v>-75.95</v>
      </c>
      <c r="F397" s="1">
        <v>0</v>
      </c>
      <c r="G397" s="1">
        <v>1253.2149999999999</v>
      </c>
      <c r="H397" s="1">
        <v>0</v>
      </c>
      <c r="I397" s="1">
        <v>-303.81</v>
      </c>
    </row>
    <row r="398" spans="1:9" hidden="1" x14ac:dyDescent="0.25">
      <c r="A398" s="1" t="s">
        <v>157</v>
      </c>
      <c r="B398" s="1" t="s">
        <v>219</v>
      </c>
      <c r="C398" s="1" t="s">
        <v>25</v>
      </c>
      <c r="D398" s="1">
        <v>0</v>
      </c>
      <c r="E398" s="1">
        <v>-75.95</v>
      </c>
      <c r="F398" s="1">
        <v>0</v>
      </c>
      <c r="G398" s="1">
        <v>1025.3579999999999</v>
      </c>
      <c r="H398" s="1">
        <v>0</v>
      </c>
      <c r="I398" s="1">
        <v>0</v>
      </c>
    </row>
    <row r="399" spans="1:9" hidden="1" x14ac:dyDescent="0.25">
      <c r="A399" s="1" t="s">
        <v>157</v>
      </c>
      <c r="B399" s="1" t="s">
        <v>219</v>
      </c>
      <c r="C399" s="1" t="s">
        <v>10</v>
      </c>
      <c r="D399" s="1">
        <v>0</v>
      </c>
      <c r="E399" s="1">
        <v>-75.95</v>
      </c>
      <c r="F399" s="1">
        <v>0</v>
      </c>
      <c r="G399" s="1">
        <v>1025.3579999999999</v>
      </c>
      <c r="H399" s="1">
        <v>0</v>
      </c>
      <c r="I399" s="1">
        <v>-303.81</v>
      </c>
    </row>
    <row r="400" spans="1:9" hidden="1" x14ac:dyDescent="0.25">
      <c r="A400" s="1" t="s">
        <v>157</v>
      </c>
      <c r="B400" s="1" t="s">
        <v>220</v>
      </c>
      <c r="C400" s="1" t="s">
        <v>25</v>
      </c>
      <c r="D400" s="1">
        <v>0</v>
      </c>
      <c r="E400" s="1">
        <v>75.95</v>
      </c>
      <c r="F400" s="1">
        <v>0</v>
      </c>
      <c r="G400" s="1">
        <v>-1253.2149999999999</v>
      </c>
      <c r="H400" s="1">
        <v>0</v>
      </c>
      <c r="I400" s="1">
        <v>0</v>
      </c>
    </row>
    <row r="401" spans="1:9" hidden="1" x14ac:dyDescent="0.25">
      <c r="A401" s="1" t="s">
        <v>157</v>
      </c>
      <c r="B401" s="1" t="s">
        <v>220</v>
      </c>
      <c r="C401" s="1" t="s">
        <v>10</v>
      </c>
      <c r="D401" s="1">
        <v>0</v>
      </c>
      <c r="E401" s="1">
        <v>75.95</v>
      </c>
      <c r="F401" s="1">
        <v>0</v>
      </c>
      <c r="G401" s="1">
        <v>-1253.2149999999999</v>
      </c>
      <c r="H401" s="1">
        <v>0</v>
      </c>
      <c r="I401" s="1">
        <v>303.81</v>
      </c>
    </row>
    <row r="402" spans="1:9" hidden="1" x14ac:dyDescent="0.25">
      <c r="A402" s="1" t="s">
        <v>157</v>
      </c>
      <c r="B402" s="1" t="s">
        <v>221</v>
      </c>
      <c r="C402" s="1" t="s">
        <v>25</v>
      </c>
      <c r="D402" s="1">
        <v>0</v>
      </c>
      <c r="E402" s="1">
        <v>75.95</v>
      </c>
      <c r="F402" s="1">
        <v>0</v>
      </c>
      <c r="G402" s="1">
        <v>-1025.3579999999999</v>
      </c>
      <c r="H402" s="1">
        <v>0</v>
      </c>
      <c r="I402" s="1">
        <v>0</v>
      </c>
    </row>
    <row r="403" spans="1:9" hidden="1" x14ac:dyDescent="0.25">
      <c r="A403" s="1" t="s">
        <v>157</v>
      </c>
      <c r="B403" s="1" t="s">
        <v>221</v>
      </c>
      <c r="C403" s="1" t="s">
        <v>10</v>
      </c>
      <c r="D403" s="1">
        <v>0</v>
      </c>
      <c r="E403" s="1">
        <v>75.95</v>
      </c>
      <c r="F403" s="1">
        <v>0</v>
      </c>
      <c r="G403" s="1">
        <v>-1025.3579999999999</v>
      </c>
      <c r="H403" s="1">
        <v>0</v>
      </c>
      <c r="I403" s="1">
        <v>303.81</v>
      </c>
    </row>
    <row r="404" spans="1:9" hidden="1" x14ac:dyDescent="0.25">
      <c r="A404" s="1" t="s">
        <v>157</v>
      </c>
      <c r="B404" s="1" t="s">
        <v>222</v>
      </c>
      <c r="C404" s="1" t="s">
        <v>25</v>
      </c>
      <c r="D404" s="1">
        <v>0</v>
      </c>
      <c r="E404" s="1">
        <v>0</v>
      </c>
      <c r="F404" s="1">
        <v>-91.81</v>
      </c>
      <c r="G404" s="1">
        <v>-1817.798</v>
      </c>
      <c r="H404" s="1">
        <v>0</v>
      </c>
      <c r="I404" s="1">
        <v>0</v>
      </c>
    </row>
    <row r="405" spans="1:9" hidden="1" x14ac:dyDescent="0.25">
      <c r="A405" s="1" t="s">
        <v>157</v>
      </c>
      <c r="B405" s="1" t="s">
        <v>222</v>
      </c>
      <c r="C405" s="1" t="s">
        <v>10</v>
      </c>
      <c r="D405" s="1">
        <v>0</v>
      </c>
      <c r="E405" s="1">
        <v>0</v>
      </c>
      <c r="F405" s="1">
        <v>-91.81</v>
      </c>
      <c r="G405" s="1">
        <v>-1817.798</v>
      </c>
      <c r="H405" s="1">
        <v>367.23200000000003</v>
      </c>
      <c r="I405" s="1">
        <v>0</v>
      </c>
    </row>
    <row r="406" spans="1:9" hidden="1" x14ac:dyDescent="0.25">
      <c r="A406" s="1" t="s">
        <v>157</v>
      </c>
      <c r="B406" s="1" t="s">
        <v>223</v>
      </c>
      <c r="C406" s="1" t="s">
        <v>25</v>
      </c>
      <c r="D406" s="1">
        <v>0</v>
      </c>
      <c r="E406" s="1">
        <v>0</v>
      </c>
      <c r="F406" s="1">
        <v>-91.81</v>
      </c>
      <c r="G406" s="1">
        <v>-1487.29</v>
      </c>
      <c r="H406" s="1">
        <v>0</v>
      </c>
      <c r="I406" s="1">
        <v>0</v>
      </c>
    </row>
    <row r="407" spans="1:9" hidden="1" x14ac:dyDescent="0.25">
      <c r="A407" s="1" t="s">
        <v>157</v>
      </c>
      <c r="B407" s="1" t="s">
        <v>223</v>
      </c>
      <c r="C407" s="1" t="s">
        <v>10</v>
      </c>
      <c r="D407" s="1">
        <v>0</v>
      </c>
      <c r="E407" s="1">
        <v>0</v>
      </c>
      <c r="F407" s="1">
        <v>-91.81</v>
      </c>
      <c r="G407" s="1">
        <v>-1487.29</v>
      </c>
      <c r="H407" s="1">
        <v>367.23200000000003</v>
      </c>
      <c r="I407" s="1">
        <v>0</v>
      </c>
    </row>
    <row r="408" spans="1:9" hidden="1" x14ac:dyDescent="0.25">
      <c r="A408" s="1" t="s">
        <v>157</v>
      </c>
      <c r="B408" s="1" t="s">
        <v>224</v>
      </c>
      <c r="C408" s="1" t="s">
        <v>25</v>
      </c>
      <c r="D408" s="1">
        <v>0</v>
      </c>
      <c r="E408" s="1">
        <v>0</v>
      </c>
      <c r="F408" s="1">
        <v>91.81</v>
      </c>
      <c r="G408" s="1">
        <v>1817.798</v>
      </c>
      <c r="H408" s="1">
        <v>0</v>
      </c>
      <c r="I408" s="1">
        <v>0</v>
      </c>
    </row>
    <row r="409" spans="1:9" hidden="1" x14ac:dyDescent="0.25">
      <c r="A409" s="1" t="s">
        <v>157</v>
      </c>
      <c r="B409" s="1" t="s">
        <v>224</v>
      </c>
      <c r="C409" s="1" t="s">
        <v>10</v>
      </c>
      <c r="D409" s="1">
        <v>0</v>
      </c>
      <c r="E409" s="1">
        <v>0</v>
      </c>
      <c r="F409" s="1">
        <v>91.81</v>
      </c>
      <c r="G409" s="1">
        <v>1817.798</v>
      </c>
      <c r="H409" s="1">
        <v>-367.23200000000003</v>
      </c>
      <c r="I409" s="1">
        <v>0</v>
      </c>
    </row>
    <row r="410" spans="1:9" hidden="1" x14ac:dyDescent="0.25">
      <c r="A410" s="1" t="s">
        <v>157</v>
      </c>
      <c r="B410" s="1" t="s">
        <v>225</v>
      </c>
      <c r="C410" s="1" t="s">
        <v>25</v>
      </c>
      <c r="D410" s="1">
        <v>0</v>
      </c>
      <c r="E410" s="1">
        <v>0</v>
      </c>
      <c r="F410" s="1">
        <v>91.81</v>
      </c>
      <c r="G410" s="1">
        <v>1487.29</v>
      </c>
      <c r="H410" s="1">
        <v>0</v>
      </c>
      <c r="I410" s="1">
        <v>0</v>
      </c>
    </row>
    <row r="411" spans="1:9" hidden="1" x14ac:dyDescent="0.25">
      <c r="A411" s="1" t="s">
        <v>157</v>
      </c>
      <c r="B411" s="1" t="s">
        <v>225</v>
      </c>
      <c r="C411" s="1" t="s">
        <v>10</v>
      </c>
      <c r="D411" s="1">
        <v>0</v>
      </c>
      <c r="E411" s="1">
        <v>0</v>
      </c>
      <c r="F411" s="1">
        <v>91.81</v>
      </c>
      <c r="G411" s="1">
        <v>1487.29</v>
      </c>
      <c r="H411" s="1">
        <v>-367.23200000000003</v>
      </c>
      <c r="I411" s="1">
        <v>0</v>
      </c>
    </row>
    <row r="412" spans="1:9" hidden="1" x14ac:dyDescent="0.25">
      <c r="A412" s="1" t="s">
        <v>157</v>
      </c>
      <c r="B412" s="1" t="s">
        <v>327</v>
      </c>
      <c r="C412" s="1" t="s">
        <v>25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</row>
    <row r="413" spans="1:9" hidden="1" x14ac:dyDescent="0.25">
      <c r="A413" s="1" t="s">
        <v>157</v>
      </c>
      <c r="B413" s="1" t="s">
        <v>327</v>
      </c>
      <c r="C413" s="1" t="s">
        <v>10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</row>
    <row r="414" spans="1:9" hidden="1" x14ac:dyDescent="0.25">
      <c r="A414" s="1" t="s">
        <v>157</v>
      </c>
      <c r="B414" s="1" t="s">
        <v>328</v>
      </c>
      <c r="C414" s="1" t="s">
        <v>25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</row>
    <row r="415" spans="1:9" hidden="1" x14ac:dyDescent="0.25">
      <c r="A415" s="1" t="s">
        <v>157</v>
      </c>
      <c r="B415" s="1" t="s">
        <v>328</v>
      </c>
      <c r="C415" s="1" t="s">
        <v>10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</row>
    <row r="416" spans="1:9" hidden="1" x14ac:dyDescent="0.25">
      <c r="A416" s="1" t="s">
        <v>158</v>
      </c>
      <c r="B416" s="1" t="s">
        <v>9</v>
      </c>
      <c r="C416" s="1" t="s">
        <v>25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</row>
    <row r="417" spans="1:9" hidden="1" x14ac:dyDescent="0.25">
      <c r="A417" s="1" t="s">
        <v>158</v>
      </c>
      <c r="B417" s="1" t="s">
        <v>9</v>
      </c>
      <c r="C417" s="1" t="s">
        <v>10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</row>
    <row r="418" spans="1:9" hidden="1" x14ac:dyDescent="0.25">
      <c r="A418" s="1" t="s">
        <v>158</v>
      </c>
      <c r="B418" s="1" t="s">
        <v>26</v>
      </c>
      <c r="C418" s="1" t="s">
        <v>25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</row>
    <row r="419" spans="1:9" x14ac:dyDescent="0.25">
      <c r="A419" s="1" t="s">
        <v>158</v>
      </c>
      <c r="B419" s="1" t="s">
        <v>26</v>
      </c>
      <c r="C419" s="1" t="s">
        <v>10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</row>
    <row r="420" spans="1:9" hidden="1" x14ac:dyDescent="0.25">
      <c r="A420" s="1" t="s">
        <v>158</v>
      </c>
      <c r="B420" s="1" t="s">
        <v>20</v>
      </c>
      <c r="C420" s="1" t="s">
        <v>25</v>
      </c>
      <c r="D420" s="1">
        <v>0</v>
      </c>
      <c r="E420" s="1">
        <v>-316.47000000000003</v>
      </c>
      <c r="F420" s="1">
        <v>0</v>
      </c>
      <c r="G420" s="1">
        <v>5221.7299999999996</v>
      </c>
      <c r="H420" s="1">
        <v>0</v>
      </c>
      <c r="I420" s="1">
        <v>-723.35699999999997</v>
      </c>
    </row>
    <row r="421" spans="1:9" hidden="1" x14ac:dyDescent="0.25">
      <c r="A421" s="1" t="s">
        <v>158</v>
      </c>
      <c r="B421" s="1" t="s">
        <v>20</v>
      </c>
      <c r="C421" s="1" t="s">
        <v>10</v>
      </c>
      <c r="D421" s="1">
        <v>0</v>
      </c>
      <c r="E421" s="1">
        <v>-316.47000000000003</v>
      </c>
      <c r="F421" s="1">
        <v>0</v>
      </c>
      <c r="G421" s="1">
        <v>5221.7299999999996</v>
      </c>
      <c r="H421" s="1">
        <v>0</v>
      </c>
      <c r="I421" s="1">
        <v>-1989.231</v>
      </c>
    </row>
    <row r="422" spans="1:9" hidden="1" x14ac:dyDescent="0.25">
      <c r="A422" s="1" t="s">
        <v>158</v>
      </c>
      <c r="B422" s="1" t="s">
        <v>21</v>
      </c>
      <c r="C422" s="1" t="s">
        <v>25</v>
      </c>
      <c r="D422" s="1">
        <v>0</v>
      </c>
      <c r="E422" s="1">
        <v>-316.47000000000003</v>
      </c>
      <c r="F422" s="1">
        <v>0</v>
      </c>
      <c r="G422" s="1">
        <v>4272.3249999999998</v>
      </c>
      <c r="H422" s="1">
        <v>0</v>
      </c>
      <c r="I422" s="1">
        <v>-723.35699999999997</v>
      </c>
    </row>
    <row r="423" spans="1:9" hidden="1" x14ac:dyDescent="0.25">
      <c r="A423" s="1" t="s">
        <v>158</v>
      </c>
      <c r="B423" s="1" t="s">
        <v>21</v>
      </c>
      <c r="C423" s="1" t="s">
        <v>10</v>
      </c>
      <c r="D423" s="1">
        <v>0</v>
      </c>
      <c r="E423" s="1">
        <v>-316.47000000000003</v>
      </c>
      <c r="F423" s="1">
        <v>0</v>
      </c>
      <c r="G423" s="1">
        <v>4272.3249999999998</v>
      </c>
      <c r="H423" s="1">
        <v>0</v>
      </c>
      <c r="I423" s="1">
        <v>-1989.231</v>
      </c>
    </row>
    <row r="424" spans="1:9" hidden="1" x14ac:dyDescent="0.25">
      <c r="A424" s="1" t="s">
        <v>158</v>
      </c>
      <c r="B424" s="1" t="s">
        <v>22</v>
      </c>
      <c r="C424" s="1" t="s">
        <v>25</v>
      </c>
      <c r="D424" s="1">
        <v>0</v>
      </c>
      <c r="E424" s="1">
        <v>0</v>
      </c>
      <c r="F424" s="1">
        <v>-382.53</v>
      </c>
      <c r="G424" s="1">
        <v>-7574.16</v>
      </c>
      <c r="H424" s="1">
        <v>874.36199999999997</v>
      </c>
      <c r="I424" s="1">
        <v>0</v>
      </c>
    </row>
    <row r="425" spans="1:9" hidden="1" x14ac:dyDescent="0.25">
      <c r="A425" s="1" t="s">
        <v>158</v>
      </c>
      <c r="B425" s="1" t="s">
        <v>22</v>
      </c>
      <c r="C425" s="1" t="s">
        <v>10</v>
      </c>
      <c r="D425" s="1">
        <v>0</v>
      </c>
      <c r="E425" s="1">
        <v>0</v>
      </c>
      <c r="F425" s="1">
        <v>-382.53</v>
      </c>
      <c r="G425" s="1">
        <v>-7574.16</v>
      </c>
      <c r="H425" s="1">
        <v>2404.4949999999999</v>
      </c>
      <c r="I425" s="1">
        <v>0</v>
      </c>
    </row>
    <row r="426" spans="1:9" hidden="1" x14ac:dyDescent="0.25">
      <c r="A426" s="1" t="s">
        <v>158</v>
      </c>
      <c r="B426" s="1" t="s">
        <v>23</v>
      </c>
      <c r="C426" s="1" t="s">
        <v>25</v>
      </c>
      <c r="D426" s="1">
        <v>0</v>
      </c>
      <c r="E426" s="1">
        <v>0</v>
      </c>
      <c r="F426" s="1">
        <v>-382.53</v>
      </c>
      <c r="G426" s="1">
        <v>-6197.04</v>
      </c>
      <c r="H426" s="1">
        <v>874.36199999999997</v>
      </c>
      <c r="I426" s="1">
        <v>0</v>
      </c>
    </row>
    <row r="427" spans="1:9" hidden="1" x14ac:dyDescent="0.25">
      <c r="A427" s="1" t="s">
        <v>158</v>
      </c>
      <c r="B427" s="1" t="s">
        <v>23</v>
      </c>
      <c r="C427" s="1" t="s">
        <v>10</v>
      </c>
      <c r="D427" s="1">
        <v>0</v>
      </c>
      <c r="E427" s="1">
        <v>0</v>
      </c>
      <c r="F427" s="1">
        <v>-382.53</v>
      </c>
      <c r="G427" s="1">
        <v>-6197.04</v>
      </c>
      <c r="H427" s="1">
        <v>2404.4949999999999</v>
      </c>
      <c r="I427" s="1">
        <v>0</v>
      </c>
    </row>
    <row r="428" spans="1:9" hidden="1" x14ac:dyDescent="0.25">
      <c r="A428" s="1" t="s">
        <v>158</v>
      </c>
      <c r="B428" s="1" t="s">
        <v>321</v>
      </c>
      <c r="C428" s="1" t="s">
        <v>25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158</v>
      </c>
      <c r="B429" s="1" t="s">
        <v>321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158</v>
      </c>
      <c r="B430" s="1" t="s">
        <v>322</v>
      </c>
      <c r="C430" s="1" t="s">
        <v>25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158</v>
      </c>
      <c r="B431" s="1" t="s">
        <v>322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158</v>
      </c>
      <c r="B432" s="1" t="s">
        <v>323</v>
      </c>
      <c r="C432" s="1" t="s">
        <v>25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158</v>
      </c>
      <c r="B433" s="1" t="s">
        <v>323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158</v>
      </c>
      <c r="B434" s="1" t="s">
        <v>324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324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325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325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27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28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28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29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29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30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30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11</v>
      </c>
      <c r="C448" s="1" t="s">
        <v>25</v>
      </c>
      <c r="D448" s="1">
        <v>0</v>
      </c>
      <c r="E448" s="1">
        <v>155.59</v>
      </c>
      <c r="F448" s="1">
        <v>0</v>
      </c>
      <c r="G448" s="1">
        <v>2628.0709999999999</v>
      </c>
      <c r="H448" s="1">
        <v>0</v>
      </c>
      <c r="I448" s="1">
        <v>437.33600000000001</v>
      </c>
    </row>
    <row r="449" spans="1:9" hidden="1" x14ac:dyDescent="0.25">
      <c r="A449" s="1" t="s">
        <v>158</v>
      </c>
      <c r="B449" s="1" t="s">
        <v>11</v>
      </c>
      <c r="C449" s="1" t="s">
        <v>10</v>
      </c>
      <c r="D449" s="1">
        <v>0</v>
      </c>
      <c r="E449" s="1">
        <v>155.59</v>
      </c>
      <c r="F449" s="1">
        <v>0</v>
      </c>
      <c r="G449" s="1">
        <v>2628.0709999999999</v>
      </c>
      <c r="H449" s="1">
        <v>0</v>
      </c>
      <c r="I449" s="1">
        <v>1018.086</v>
      </c>
    </row>
    <row r="450" spans="1:9" hidden="1" x14ac:dyDescent="0.25">
      <c r="A450" s="1" t="s">
        <v>158</v>
      </c>
      <c r="B450" s="1" t="s">
        <v>12</v>
      </c>
      <c r="C450" s="1" t="s">
        <v>25</v>
      </c>
      <c r="D450" s="1">
        <v>0</v>
      </c>
      <c r="E450" s="1">
        <v>0</v>
      </c>
      <c r="F450" s="1">
        <v>402.26</v>
      </c>
      <c r="G450" s="1">
        <v>8000.375</v>
      </c>
      <c r="H450" s="1">
        <v>968.72900000000004</v>
      </c>
      <c r="I450" s="1">
        <v>0</v>
      </c>
    </row>
    <row r="451" spans="1:9" hidden="1" x14ac:dyDescent="0.25">
      <c r="A451" s="1" t="s">
        <v>158</v>
      </c>
      <c r="B451" s="1" t="s">
        <v>12</v>
      </c>
      <c r="C451" s="1" t="s">
        <v>10</v>
      </c>
      <c r="D451" s="1">
        <v>0</v>
      </c>
      <c r="E451" s="1">
        <v>0</v>
      </c>
      <c r="F451" s="1">
        <v>402.26</v>
      </c>
      <c r="G451" s="1">
        <v>8000.375</v>
      </c>
      <c r="H451" s="1">
        <v>2556.8760000000002</v>
      </c>
      <c r="I451" s="1">
        <v>0</v>
      </c>
    </row>
    <row r="452" spans="1:9" hidden="1" x14ac:dyDescent="0.25">
      <c r="A452" s="1" t="s">
        <v>158</v>
      </c>
      <c r="B452" s="1" t="s">
        <v>13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13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31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158</v>
      </c>
      <c r="B455" s="1" t="s">
        <v>31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158</v>
      </c>
      <c r="B456" s="1" t="s">
        <v>32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158</v>
      </c>
      <c r="B457" s="1" t="s">
        <v>32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158</v>
      </c>
      <c r="B458" s="1" t="s">
        <v>33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158</v>
      </c>
      <c r="B459" s="1" t="s">
        <v>33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158</v>
      </c>
      <c r="B460" s="1" t="s">
        <v>34</v>
      </c>
      <c r="C460" s="1" t="s">
        <v>25</v>
      </c>
      <c r="D460" s="1">
        <v>0</v>
      </c>
      <c r="E460" s="1">
        <v>-316.47000000000003</v>
      </c>
      <c r="F460" s="1">
        <v>0</v>
      </c>
      <c r="G460" s="1">
        <v>5221.7299999999996</v>
      </c>
      <c r="H460" s="1">
        <v>0</v>
      </c>
      <c r="I460" s="1">
        <v>-723.35699999999997</v>
      </c>
    </row>
    <row r="461" spans="1:9" hidden="1" x14ac:dyDescent="0.25">
      <c r="A461" s="1" t="s">
        <v>158</v>
      </c>
      <c r="B461" s="1" t="s">
        <v>34</v>
      </c>
      <c r="C461" s="1" t="s">
        <v>10</v>
      </c>
      <c r="D461" s="1">
        <v>0</v>
      </c>
      <c r="E461" s="1">
        <v>-316.47000000000003</v>
      </c>
      <c r="F461" s="1">
        <v>0</v>
      </c>
      <c r="G461" s="1">
        <v>5221.7299999999996</v>
      </c>
      <c r="H461" s="1">
        <v>0</v>
      </c>
      <c r="I461" s="1">
        <v>-1989.231</v>
      </c>
    </row>
    <row r="462" spans="1:9" hidden="1" x14ac:dyDescent="0.25">
      <c r="A462" s="1" t="s">
        <v>158</v>
      </c>
      <c r="B462" s="1" t="s">
        <v>35</v>
      </c>
      <c r="C462" s="1" t="s">
        <v>25</v>
      </c>
      <c r="D462" s="1">
        <v>0</v>
      </c>
      <c r="E462" s="1">
        <v>-316.47000000000003</v>
      </c>
      <c r="F462" s="1">
        <v>0</v>
      </c>
      <c r="G462" s="1">
        <v>4272.3249999999998</v>
      </c>
      <c r="H462" s="1">
        <v>0</v>
      </c>
      <c r="I462" s="1">
        <v>-723.35699999999997</v>
      </c>
    </row>
    <row r="463" spans="1:9" hidden="1" x14ac:dyDescent="0.25">
      <c r="A463" s="1" t="s">
        <v>158</v>
      </c>
      <c r="B463" s="1" t="s">
        <v>35</v>
      </c>
      <c r="C463" s="1" t="s">
        <v>10</v>
      </c>
      <c r="D463" s="1">
        <v>0</v>
      </c>
      <c r="E463" s="1">
        <v>-316.47000000000003</v>
      </c>
      <c r="F463" s="1">
        <v>0</v>
      </c>
      <c r="G463" s="1">
        <v>4272.3249999999998</v>
      </c>
      <c r="H463" s="1">
        <v>0</v>
      </c>
      <c r="I463" s="1">
        <v>-1989.231</v>
      </c>
    </row>
    <row r="464" spans="1:9" hidden="1" x14ac:dyDescent="0.25">
      <c r="A464" s="1" t="s">
        <v>158</v>
      </c>
      <c r="B464" s="1" t="s">
        <v>36</v>
      </c>
      <c r="C464" s="1" t="s">
        <v>25</v>
      </c>
      <c r="D464" s="1">
        <v>0</v>
      </c>
      <c r="E464" s="1">
        <v>316.47000000000003</v>
      </c>
      <c r="F464" s="1">
        <v>0</v>
      </c>
      <c r="G464" s="1">
        <v>-5221.7299999999996</v>
      </c>
      <c r="H464" s="1">
        <v>0</v>
      </c>
      <c r="I464" s="1">
        <v>723.35699999999997</v>
      </c>
    </row>
    <row r="465" spans="1:9" hidden="1" x14ac:dyDescent="0.25">
      <c r="A465" s="1" t="s">
        <v>158</v>
      </c>
      <c r="B465" s="1" t="s">
        <v>36</v>
      </c>
      <c r="C465" s="1" t="s">
        <v>10</v>
      </c>
      <c r="D465" s="1">
        <v>0</v>
      </c>
      <c r="E465" s="1">
        <v>316.47000000000003</v>
      </c>
      <c r="F465" s="1">
        <v>0</v>
      </c>
      <c r="G465" s="1">
        <v>-5221.7299999999996</v>
      </c>
      <c r="H465" s="1">
        <v>0</v>
      </c>
      <c r="I465" s="1">
        <v>1989.231</v>
      </c>
    </row>
    <row r="466" spans="1:9" hidden="1" x14ac:dyDescent="0.25">
      <c r="A466" s="1" t="s">
        <v>158</v>
      </c>
      <c r="B466" s="1" t="s">
        <v>37</v>
      </c>
      <c r="C466" s="1" t="s">
        <v>25</v>
      </c>
      <c r="D466" s="1">
        <v>0</v>
      </c>
      <c r="E466" s="1">
        <v>316.47000000000003</v>
      </c>
      <c r="F466" s="1">
        <v>0</v>
      </c>
      <c r="G466" s="1">
        <v>-4272.3249999999998</v>
      </c>
      <c r="H466" s="1">
        <v>0</v>
      </c>
      <c r="I466" s="1">
        <v>723.35699999999997</v>
      </c>
    </row>
    <row r="467" spans="1:9" hidden="1" x14ac:dyDescent="0.25">
      <c r="A467" s="1" t="s">
        <v>158</v>
      </c>
      <c r="B467" s="1" t="s">
        <v>37</v>
      </c>
      <c r="C467" s="1" t="s">
        <v>10</v>
      </c>
      <c r="D467" s="1">
        <v>0</v>
      </c>
      <c r="E467" s="1">
        <v>316.47000000000003</v>
      </c>
      <c r="F467" s="1">
        <v>0</v>
      </c>
      <c r="G467" s="1">
        <v>-4272.3249999999998</v>
      </c>
      <c r="H467" s="1">
        <v>0</v>
      </c>
      <c r="I467" s="1">
        <v>1989.231</v>
      </c>
    </row>
    <row r="468" spans="1:9" hidden="1" x14ac:dyDescent="0.25">
      <c r="A468" s="1" t="s">
        <v>158</v>
      </c>
      <c r="B468" s="1" t="s">
        <v>38</v>
      </c>
      <c r="C468" s="1" t="s">
        <v>25</v>
      </c>
      <c r="D468" s="1">
        <v>0</v>
      </c>
      <c r="E468" s="1">
        <v>0</v>
      </c>
      <c r="F468" s="1">
        <v>-382.53</v>
      </c>
      <c r="G468" s="1">
        <v>-7574.16</v>
      </c>
      <c r="H468" s="1">
        <v>874.36199999999997</v>
      </c>
      <c r="I468" s="1">
        <v>0</v>
      </c>
    </row>
    <row r="469" spans="1:9" hidden="1" x14ac:dyDescent="0.25">
      <c r="A469" s="1" t="s">
        <v>158</v>
      </c>
      <c r="B469" s="1" t="s">
        <v>38</v>
      </c>
      <c r="C469" s="1" t="s">
        <v>10</v>
      </c>
      <c r="D469" s="1">
        <v>0</v>
      </c>
      <c r="E469" s="1">
        <v>0</v>
      </c>
      <c r="F469" s="1">
        <v>-382.53</v>
      </c>
      <c r="G469" s="1">
        <v>-7574.16</v>
      </c>
      <c r="H469" s="1">
        <v>2404.4949999999999</v>
      </c>
      <c r="I469" s="1">
        <v>0</v>
      </c>
    </row>
    <row r="470" spans="1:9" hidden="1" x14ac:dyDescent="0.25">
      <c r="A470" s="1" t="s">
        <v>158</v>
      </c>
      <c r="B470" s="1" t="s">
        <v>39</v>
      </c>
      <c r="C470" s="1" t="s">
        <v>25</v>
      </c>
      <c r="D470" s="1">
        <v>0</v>
      </c>
      <c r="E470" s="1">
        <v>0</v>
      </c>
      <c r="F470" s="1">
        <v>-382.53</v>
      </c>
      <c r="G470" s="1">
        <v>-6197.04</v>
      </c>
      <c r="H470" s="1">
        <v>874.36199999999997</v>
      </c>
      <c r="I470" s="1">
        <v>0</v>
      </c>
    </row>
    <row r="471" spans="1:9" hidden="1" x14ac:dyDescent="0.25">
      <c r="A471" s="1" t="s">
        <v>158</v>
      </c>
      <c r="B471" s="1" t="s">
        <v>39</v>
      </c>
      <c r="C471" s="1" t="s">
        <v>10</v>
      </c>
      <c r="D471" s="1">
        <v>0</v>
      </c>
      <c r="E471" s="1">
        <v>0</v>
      </c>
      <c r="F471" s="1">
        <v>-382.53</v>
      </c>
      <c r="G471" s="1">
        <v>-6197.04</v>
      </c>
      <c r="H471" s="1">
        <v>2404.4949999999999</v>
      </c>
      <c r="I471" s="1">
        <v>0</v>
      </c>
    </row>
    <row r="472" spans="1:9" hidden="1" x14ac:dyDescent="0.25">
      <c r="A472" s="1" t="s">
        <v>158</v>
      </c>
      <c r="B472" s="1" t="s">
        <v>40</v>
      </c>
      <c r="C472" s="1" t="s">
        <v>25</v>
      </c>
      <c r="D472" s="1">
        <v>0</v>
      </c>
      <c r="E472" s="1">
        <v>0</v>
      </c>
      <c r="F472" s="1">
        <v>382.53</v>
      </c>
      <c r="G472" s="1">
        <v>7574.16</v>
      </c>
      <c r="H472" s="1">
        <v>-874.36199999999997</v>
      </c>
      <c r="I472" s="1">
        <v>0</v>
      </c>
    </row>
    <row r="473" spans="1:9" hidden="1" x14ac:dyDescent="0.25">
      <c r="A473" s="1" t="s">
        <v>158</v>
      </c>
      <c r="B473" s="1" t="s">
        <v>40</v>
      </c>
      <c r="C473" s="1" t="s">
        <v>10</v>
      </c>
      <c r="D473" s="1">
        <v>0</v>
      </c>
      <c r="E473" s="1">
        <v>0</v>
      </c>
      <c r="F473" s="1">
        <v>382.53</v>
      </c>
      <c r="G473" s="1">
        <v>7574.16</v>
      </c>
      <c r="H473" s="1">
        <v>-2404.4949999999999</v>
      </c>
      <c r="I473" s="1">
        <v>0</v>
      </c>
    </row>
    <row r="474" spans="1:9" hidden="1" x14ac:dyDescent="0.25">
      <c r="A474" s="1" t="s">
        <v>158</v>
      </c>
      <c r="B474" s="1" t="s">
        <v>41</v>
      </c>
      <c r="C474" s="1" t="s">
        <v>25</v>
      </c>
      <c r="D474" s="1">
        <v>0</v>
      </c>
      <c r="E474" s="1">
        <v>0</v>
      </c>
      <c r="F474" s="1">
        <v>382.53</v>
      </c>
      <c r="G474" s="1">
        <v>6197.04</v>
      </c>
      <c r="H474" s="1">
        <v>-874.36199999999997</v>
      </c>
      <c r="I474" s="1">
        <v>0</v>
      </c>
    </row>
    <row r="475" spans="1:9" hidden="1" x14ac:dyDescent="0.25">
      <c r="A475" s="1" t="s">
        <v>158</v>
      </c>
      <c r="B475" s="1" t="s">
        <v>41</v>
      </c>
      <c r="C475" s="1" t="s">
        <v>10</v>
      </c>
      <c r="D475" s="1">
        <v>0</v>
      </c>
      <c r="E475" s="1">
        <v>0</v>
      </c>
      <c r="F475" s="1">
        <v>382.53</v>
      </c>
      <c r="G475" s="1">
        <v>6197.04</v>
      </c>
      <c r="H475" s="1">
        <v>-2404.4949999999999</v>
      </c>
      <c r="I475" s="1">
        <v>0</v>
      </c>
    </row>
    <row r="476" spans="1:9" hidden="1" x14ac:dyDescent="0.25">
      <c r="A476" s="1" t="s">
        <v>158</v>
      </c>
      <c r="B476" s="1" t="s">
        <v>42</v>
      </c>
      <c r="C476" s="1" t="s">
        <v>25</v>
      </c>
      <c r="D476" s="1">
        <v>0</v>
      </c>
      <c r="E476" s="1">
        <v>-316.47000000000003</v>
      </c>
      <c r="F476" s="1">
        <v>0</v>
      </c>
      <c r="G476" s="1">
        <v>5221.7299999999996</v>
      </c>
      <c r="H476" s="1">
        <v>0</v>
      </c>
      <c r="I476" s="1">
        <v>-723.35699999999997</v>
      </c>
    </row>
    <row r="477" spans="1:9" hidden="1" x14ac:dyDescent="0.25">
      <c r="A477" s="1" t="s">
        <v>158</v>
      </c>
      <c r="B477" s="1" t="s">
        <v>42</v>
      </c>
      <c r="C477" s="1" t="s">
        <v>10</v>
      </c>
      <c r="D477" s="1">
        <v>0</v>
      </c>
      <c r="E477" s="1">
        <v>-316.47000000000003</v>
      </c>
      <c r="F477" s="1">
        <v>0</v>
      </c>
      <c r="G477" s="1">
        <v>5221.7299999999996</v>
      </c>
      <c r="H477" s="1">
        <v>0</v>
      </c>
      <c r="I477" s="1">
        <v>-1989.231</v>
      </c>
    </row>
    <row r="478" spans="1:9" hidden="1" x14ac:dyDescent="0.25">
      <c r="A478" s="1" t="s">
        <v>158</v>
      </c>
      <c r="B478" s="1" t="s">
        <v>43</v>
      </c>
      <c r="C478" s="1" t="s">
        <v>25</v>
      </c>
      <c r="D478" s="1">
        <v>0</v>
      </c>
      <c r="E478" s="1">
        <v>-316.47000000000003</v>
      </c>
      <c r="F478" s="1">
        <v>0</v>
      </c>
      <c r="G478" s="1">
        <v>4272.3249999999998</v>
      </c>
      <c r="H478" s="1">
        <v>0</v>
      </c>
      <c r="I478" s="1">
        <v>-723.35699999999997</v>
      </c>
    </row>
    <row r="479" spans="1:9" hidden="1" x14ac:dyDescent="0.25">
      <c r="A479" s="1" t="s">
        <v>158</v>
      </c>
      <c r="B479" s="1" t="s">
        <v>43</v>
      </c>
      <c r="C479" s="1" t="s">
        <v>10</v>
      </c>
      <c r="D479" s="1">
        <v>0</v>
      </c>
      <c r="E479" s="1">
        <v>-316.47000000000003</v>
      </c>
      <c r="F479" s="1">
        <v>0</v>
      </c>
      <c r="G479" s="1">
        <v>4272.3249999999998</v>
      </c>
      <c r="H479" s="1">
        <v>0</v>
      </c>
      <c r="I479" s="1">
        <v>-1989.231</v>
      </c>
    </row>
    <row r="480" spans="1:9" hidden="1" x14ac:dyDescent="0.25">
      <c r="A480" s="1" t="s">
        <v>158</v>
      </c>
      <c r="B480" s="1" t="s">
        <v>44</v>
      </c>
      <c r="C480" s="1" t="s">
        <v>25</v>
      </c>
      <c r="D480" s="1">
        <v>0</v>
      </c>
      <c r="E480" s="1">
        <v>316.47000000000003</v>
      </c>
      <c r="F480" s="1">
        <v>0</v>
      </c>
      <c r="G480" s="1">
        <v>-5221.7299999999996</v>
      </c>
      <c r="H480" s="1">
        <v>0</v>
      </c>
      <c r="I480" s="1">
        <v>723.35699999999997</v>
      </c>
    </row>
    <row r="481" spans="1:9" hidden="1" x14ac:dyDescent="0.25">
      <c r="A481" s="1" t="s">
        <v>158</v>
      </c>
      <c r="B481" s="1" t="s">
        <v>44</v>
      </c>
      <c r="C481" s="1" t="s">
        <v>10</v>
      </c>
      <c r="D481" s="1">
        <v>0</v>
      </c>
      <c r="E481" s="1">
        <v>316.47000000000003</v>
      </c>
      <c r="F481" s="1">
        <v>0</v>
      </c>
      <c r="G481" s="1">
        <v>-5221.7299999999996</v>
      </c>
      <c r="H481" s="1">
        <v>0</v>
      </c>
      <c r="I481" s="1">
        <v>1989.231</v>
      </c>
    </row>
    <row r="482" spans="1:9" hidden="1" x14ac:dyDescent="0.25">
      <c r="A482" s="1" t="s">
        <v>158</v>
      </c>
      <c r="B482" s="1" t="s">
        <v>45</v>
      </c>
      <c r="C482" s="1" t="s">
        <v>25</v>
      </c>
      <c r="D482" s="1">
        <v>0</v>
      </c>
      <c r="E482" s="1">
        <v>316.47000000000003</v>
      </c>
      <c r="F482" s="1">
        <v>0</v>
      </c>
      <c r="G482" s="1">
        <v>-4272.3249999999998</v>
      </c>
      <c r="H482" s="1">
        <v>0</v>
      </c>
      <c r="I482" s="1">
        <v>723.35699999999997</v>
      </c>
    </row>
    <row r="483" spans="1:9" hidden="1" x14ac:dyDescent="0.25">
      <c r="A483" s="1" t="s">
        <v>158</v>
      </c>
      <c r="B483" s="1" t="s">
        <v>45</v>
      </c>
      <c r="C483" s="1" t="s">
        <v>10</v>
      </c>
      <c r="D483" s="1">
        <v>0</v>
      </c>
      <c r="E483" s="1">
        <v>316.47000000000003</v>
      </c>
      <c r="F483" s="1">
        <v>0</v>
      </c>
      <c r="G483" s="1">
        <v>-4272.3249999999998</v>
      </c>
      <c r="H483" s="1">
        <v>0</v>
      </c>
      <c r="I483" s="1">
        <v>1989.231</v>
      </c>
    </row>
    <row r="484" spans="1:9" hidden="1" x14ac:dyDescent="0.25">
      <c r="A484" s="1" t="s">
        <v>158</v>
      </c>
      <c r="B484" s="1" t="s">
        <v>46</v>
      </c>
      <c r="C484" s="1" t="s">
        <v>25</v>
      </c>
      <c r="D484" s="1">
        <v>0</v>
      </c>
      <c r="E484" s="1">
        <v>0</v>
      </c>
      <c r="F484" s="1">
        <v>-382.53</v>
      </c>
      <c r="G484" s="1">
        <v>-7574.16</v>
      </c>
      <c r="H484" s="1">
        <v>874.36199999999997</v>
      </c>
      <c r="I484" s="1">
        <v>0</v>
      </c>
    </row>
    <row r="485" spans="1:9" hidden="1" x14ac:dyDescent="0.25">
      <c r="A485" s="1" t="s">
        <v>158</v>
      </c>
      <c r="B485" s="1" t="s">
        <v>46</v>
      </c>
      <c r="C485" s="1" t="s">
        <v>10</v>
      </c>
      <c r="D485" s="1">
        <v>0</v>
      </c>
      <c r="E485" s="1">
        <v>0</v>
      </c>
      <c r="F485" s="1">
        <v>-382.53</v>
      </c>
      <c r="G485" s="1">
        <v>-7574.16</v>
      </c>
      <c r="H485" s="1">
        <v>2404.4949999999999</v>
      </c>
      <c r="I485" s="1">
        <v>0</v>
      </c>
    </row>
    <row r="486" spans="1:9" hidden="1" x14ac:dyDescent="0.25">
      <c r="A486" s="1" t="s">
        <v>158</v>
      </c>
      <c r="B486" s="1" t="s">
        <v>47</v>
      </c>
      <c r="C486" s="1" t="s">
        <v>25</v>
      </c>
      <c r="D486" s="1">
        <v>0</v>
      </c>
      <c r="E486" s="1">
        <v>0</v>
      </c>
      <c r="F486" s="1">
        <v>-382.53</v>
      </c>
      <c r="G486" s="1">
        <v>-6197.04</v>
      </c>
      <c r="H486" s="1">
        <v>874.36199999999997</v>
      </c>
      <c r="I486" s="1">
        <v>0</v>
      </c>
    </row>
    <row r="487" spans="1:9" hidden="1" x14ac:dyDescent="0.25">
      <c r="A487" s="1" t="s">
        <v>158</v>
      </c>
      <c r="B487" s="1" t="s">
        <v>47</v>
      </c>
      <c r="C487" s="1" t="s">
        <v>10</v>
      </c>
      <c r="D487" s="1">
        <v>0</v>
      </c>
      <c r="E487" s="1">
        <v>0</v>
      </c>
      <c r="F487" s="1">
        <v>-382.53</v>
      </c>
      <c r="G487" s="1">
        <v>-6197.04</v>
      </c>
      <c r="H487" s="1">
        <v>2404.4949999999999</v>
      </c>
      <c r="I487" s="1">
        <v>0</v>
      </c>
    </row>
    <row r="488" spans="1:9" hidden="1" x14ac:dyDescent="0.25">
      <c r="A488" s="1" t="s">
        <v>158</v>
      </c>
      <c r="B488" s="1" t="s">
        <v>48</v>
      </c>
      <c r="C488" s="1" t="s">
        <v>25</v>
      </c>
      <c r="D488" s="1">
        <v>0</v>
      </c>
      <c r="E488" s="1">
        <v>0</v>
      </c>
      <c r="F488" s="1">
        <v>382.53</v>
      </c>
      <c r="G488" s="1">
        <v>7574.16</v>
      </c>
      <c r="H488" s="1">
        <v>-874.36199999999997</v>
      </c>
      <c r="I488" s="1">
        <v>0</v>
      </c>
    </row>
    <row r="489" spans="1:9" hidden="1" x14ac:dyDescent="0.25">
      <c r="A489" s="1" t="s">
        <v>158</v>
      </c>
      <c r="B489" s="1" t="s">
        <v>48</v>
      </c>
      <c r="C489" s="1" t="s">
        <v>10</v>
      </c>
      <c r="D489" s="1">
        <v>0</v>
      </c>
      <c r="E489" s="1">
        <v>0</v>
      </c>
      <c r="F489" s="1">
        <v>382.53</v>
      </c>
      <c r="G489" s="1">
        <v>7574.16</v>
      </c>
      <c r="H489" s="1">
        <v>-2404.4949999999999</v>
      </c>
      <c r="I489" s="1">
        <v>0</v>
      </c>
    </row>
    <row r="490" spans="1:9" hidden="1" x14ac:dyDescent="0.25">
      <c r="A490" s="1" t="s">
        <v>158</v>
      </c>
      <c r="B490" s="1" t="s">
        <v>49</v>
      </c>
      <c r="C490" s="1" t="s">
        <v>25</v>
      </c>
      <c r="D490" s="1">
        <v>0</v>
      </c>
      <c r="E490" s="1">
        <v>0</v>
      </c>
      <c r="F490" s="1">
        <v>382.53</v>
      </c>
      <c r="G490" s="1">
        <v>6197.04</v>
      </c>
      <c r="H490" s="1">
        <v>-874.36199999999997</v>
      </c>
      <c r="I490" s="1">
        <v>0</v>
      </c>
    </row>
    <row r="491" spans="1:9" hidden="1" x14ac:dyDescent="0.25">
      <c r="A491" s="1" t="s">
        <v>158</v>
      </c>
      <c r="B491" s="1" t="s">
        <v>49</v>
      </c>
      <c r="C491" s="1" t="s">
        <v>10</v>
      </c>
      <c r="D491" s="1">
        <v>0</v>
      </c>
      <c r="E491" s="1">
        <v>0</v>
      </c>
      <c r="F491" s="1">
        <v>382.53</v>
      </c>
      <c r="G491" s="1">
        <v>6197.04</v>
      </c>
      <c r="H491" s="1">
        <v>-2404.4949999999999</v>
      </c>
      <c r="I491" s="1">
        <v>0</v>
      </c>
    </row>
    <row r="492" spans="1:9" hidden="1" x14ac:dyDescent="0.25">
      <c r="A492" s="1" t="s">
        <v>158</v>
      </c>
      <c r="B492" s="1" t="s">
        <v>50</v>
      </c>
      <c r="C492" s="1" t="s">
        <v>25</v>
      </c>
      <c r="D492" s="1">
        <v>0</v>
      </c>
      <c r="E492" s="1">
        <v>-94.94</v>
      </c>
      <c r="F492" s="1">
        <v>0</v>
      </c>
      <c r="G492" s="1">
        <v>1566.519</v>
      </c>
      <c r="H492" s="1">
        <v>0</v>
      </c>
      <c r="I492" s="1">
        <v>-217.00700000000001</v>
      </c>
    </row>
    <row r="493" spans="1:9" hidden="1" x14ac:dyDescent="0.25">
      <c r="A493" s="1" t="s">
        <v>158</v>
      </c>
      <c r="B493" s="1" t="s">
        <v>50</v>
      </c>
      <c r="C493" s="1" t="s">
        <v>10</v>
      </c>
      <c r="D493" s="1">
        <v>0</v>
      </c>
      <c r="E493" s="1">
        <v>-94.94</v>
      </c>
      <c r="F493" s="1">
        <v>0</v>
      </c>
      <c r="G493" s="1">
        <v>1566.519</v>
      </c>
      <c r="H493" s="1">
        <v>0</v>
      </c>
      <c r="I493" s="1">
        <v>-596.76900000000001</v>
      </c>
    </row>
    <row r="494" spans="1:9" hidden="1" x14ac:dyDescent="0.25">
      <c r="A494" s="1" t="s">
        <v>158</v>
      </c>
      <c r="B494" s="1" t="s">
        <v>51</v>
      </c>
      <c r="C494" s="1" t="s">
        <v>25</v>
      </c>
      <c r="D494" s="1">
        <v>0</v>
      </c>
      <c r="E494" s="1">
        <v>-94.94</v>
      </c>
      <c r="F494" s="1">
        <v>0</v>
      </c>
      <c r="G494" s="1">
        <v>1281.6969999999999</v>
      </c>
      <c r="H494" s="1">
        <v>0</v>
      </c>
      <c r="I494" s="1">
        <v>-217.00700000000001</v>
      </c>
    </row>
    <row r="495" spans="1:9" hidden="1" x14ac:dyDescent="0.25">
      <c r="A495" s="1" t="s">
        <v>158</v>
      </c>
      <c r="B495" s="1" t="s">
        <v>51</v>
      </c>
      <c r="C495" s="1" t="s">
        <v>10</v>
      </c>
      <c r="D495" s="1">
        <v>0</v>
      </c>
      <c r="E495" s="1">
        <v>-94.94</v>
      </c>
      <c r="F495" s="1">
        <v>0</v>
      </c>
      <c r="G495" s="1">
        <v>1281.6969999999999</v>
      </c>
      <c r="H495" s="1">
        <v>0</v>
      </c>
      <c r="I495" s="1">
        <v>-596.76900000000001</v>
      </c>
    </row>
    <row r="496" spans="1:9" hidden="1" x14ac:dyDescent="0.25">
      <c r="A496" s="1" t="s">
        <v>158</v>
      </c>
      <c r="B496" s="1" t="s">
        <v>52</v>
      </c>
      <c r="C496" s="1" t="s">
        <v>25</v>
      </c>
      <c r="D496" s="1">
        <v>0</v>
      </c>
      <c r="E496" s="1">
        <v>94.94</v>
      </c>
      <c r="F496" s="1">
        <v>0</v>
      </c>
      <c r="G496" s="1">
        <v>-1566.519</v>
      </c>
      <c r="H496" s="1">
        <v>0</v>
      </c>
      <c r="I496" s="1">
        <v>217.00700000000001</v>
      </c>
    </row>
    <row r="497" spans="1:9" hidden="1" x14ac:dyDescent="0.25">
      <c r="A497" s="1" t="s">
        <v>158</v>
      </c>
      <c r="B497" s="1" t="s">
        <v>52</v>
      </c>
      <c r="C497" s="1" t="s">
        <v>10</v>
      </c>
      <c r="D497" s="1">
        <v>0</v>
      </c>
      <c r="E497" s="1">
        <v>94.94</v>
      </c>
      <c r="F497" s="1">
        <v>0</v>
      </c>
      <c r="G497" s="1">
        <v>-1566.519</v>
      </c>
      <c r="H497" s="1">
        <v>0</v>
      </c>
      <c r="I497" s="1">
        <v>596.76900000000001</v>
      </c>
    </row>
    <row r="498" spans="1:9" hidden="1" x14ac:dyDescent="0.25">
      <c r="A498" s="1" t="s">
        <v>158</v>
      </c>
      <c r="B498" s="1" t="s">
        <v>53</v>
      </c>
      <c r="C498" s="1" t="s">
        <v>25</v>
      </c>
      <c r="D498" s="1">
        <v>0</v>
      </c>
      <c r="E498" s="1">
        <v>94.94</v>
      </c>
      <c r="F498" s="1">
        <v>0</v>
      </c>
      <c r="G498" s="1">
        <v>-1281.6969999999999</v>
      </c>
      <c r="H498" s="1">
        <v>0</v>
      </c>
      <c r="I498" s="1">
        <v>217.00700000000001</v>
      </c>
    </row>
    <row r="499" spans="1:9" hidden="1" x14ac:dyDescent="0.25">
      <c r="A499" s="1" t="s">
        <v>158</v>
      </c>
      <c r="B499" s="1" t="s">
        <v>53</v>
      </c>
      <c r="C499" s="1" t="s">
        <v>10</v>
      </c>
      <c r="D499" s="1">
        <v>0</v>
      </c>
      <c r="E499" s="1">
        <v>94.94</v>
      </c>
      <c r="F499" s="1">
        <v>0</v>
      </c>
      <c r="G499" s="1">
        <v>-1281.6969999999999</v>
      </c>
      <c r="H499" s="1">
        <v>0</v>
      </c>
      <c r="I499" s="1">
        <v>596.76900000000001</v>
      </c>
    </row>
    <row r="500" spans="1:9" hidden="1" x14ac:dyDescent="0.25">
      <c r="A500" s="1" t="s">
        <v>158</v>
      </c>
      <c r="B500" s="1" t="s">
        <v>54</v>
      </c>
      <c r="C500" s="1" t="s">
        <v>25</v>
      </c>
      <c r="D500" s="1">
        <v>0</v>
      </c>
      <c r="E500" s="1">
        <v>0</v>
      </c>
      <c r="F500" s="1">
        <v>-114.76</v>
      </c>
      <c r="G500" s="1">
        <v>-2272.248</v>
      </c>
      <c r="H500" s="1">
        <v>262.30900000000003</v>
      </c>
      <c r="I500" s="1">
        <v>0</v>
      </c>
    </row>
    <row r="501" spans="1:9" hidden="1" x14ac:dyDescent="0.25">
      <c r="A501" s="1" t="s">
        <v>158</v>
      </c>
      <c r="B501" s="1" t="s">
        <v>54</v>
      </c>
      <c r="C501" s="1" t="s">
        <v>10</v>
      </c>
      <c r="D501" s="1">
        <v>0</v>
      </c>
      <c r="E501" s="1">
        <v>0</v>
      </c>
      <c r="F501" s="1">
        <v>-114.76</v>
      </c>
      <c r="G501" s="1">
        <v>-2272.248</v>
      </c>
      <c r="H501" s="1">
        <v>721.34900000000005</v>
      </c>
      <c r="I501" s="1">
        <v>0</v>
      </c>
    </row>
    <row r="502" spans="1:9" hidden="1" x14ac:dyDescent="0.25">
      <c r="A502" s="1" t="s">
        <v>158</v>
      </c>
      <c r="B502" s="1" t="s">
        <v>55</v>
      </c>
      <c r="C502" s="1" t="s">
        <v>25</v>
      </c>
      <c r="D502" s="1">
        <v>0</v>
      </c>
      <c r="E502" s="1">
        <v>0</v>
      </c>
      <c r="F502" s="1">
        <v>-114.76</v>
      </c>
      <c r="G502" s="1">
        <v>-1859.1120000000001</v>
      </c>
      <c r="H502" s="1">
        <v>262.30900000000003</v>
      </c>
      <c r="I502" s="1">
        <v>0</v>
      </c>
    </row>
    <row r="503" spans="1:9" hidden="1" x14ac:dyDescent="0.25">
      <c r="A503" s="1" t="s">
        <v>158</v>
      </c>
      <c r="B503" s="1" t="s">
        <v>55</v>
      </c>
      <c r="C503" s="1" t="s">
        <v>10</v>
      </c>
      <c r="D503" s="1">
        <v>0</v>
      </c>
      <c r="E503" s="1">
        <v>0</v>
      </c>
      <c r="F503" s="1">
        <v>-114.76</v>
      </c>
      <c r="G503" s="1">
        <v>-1859.1120000000001</v>
      </c>
      <c r="H503" s="1">
        <v>721.34900000000005</v>
      </c>
      <c r="I503" s="1">
        <v>0</v>
      </c>
    </row>
    <row r="504" spans="1:9" hidden="1" x14ac:dyDescent="0.25">
      <c r="A504" s="1" t="s">
        <v>158</v>
      </c>
      <c r="B504" s="1" t="s">
        <v>56</v>
      </c>
      <c r="C504" s="1" t="s">
        <v>25</v>
      </c>
      <c r="D504" s="1">
        <v>0</v>
      </c>
      <c r="E504" s="1">
        <v>0</v>
      </c>
      <c r="F504" s="1">
        <v>114.76</v>
      </c>
      <c r="G504" s="1">
        <v>2272.248</v>
      </c>
      <c r="H504" s="1">
        <v>-262.30900000000003</v>
      </c>
      <c r="I504" s="1">
        <v>0</v>
      </c>
    </row>
    <row r="505" spans="1:9" hidden="1" x14ac:dyDescent="0.25">
      <c r="A505" s="1" t="s">
        <v>158</v>
      </c>
      <c r="B505" s="1" t="s">
        <v>56</v>
      </c>
      <c r="C505" s="1" t="s">
        <v>10</v>
      </c>
      <c r="D505" s="1">
        <v>0</v>
      </c>
      <c r="E505" s="1">
        <v>0</v>
      </c>
      <c r="F505" s="1">
        <v>114.76</v>
      </c>
      <c r="G505" s="1">
        <v>2272.248</v>
      </c>
      <c r="H505" s="1">
        <v>-721.34900000000005</v>
      </c>
      <c r="I505" s="1">
        <v>0</v>
      </c>
    </row>
    <row r="506" spans="1:9" hidden="1" x14ac:dyDescent="0.25">
      <c r="A506" s="1" t="s">
        <v>158</v>
      </c>
      <c r="B506" s="1" t="s">
        <v>57</v>
      </c>
      <c r="C506" s="1" t="s">
        <v>25</v>
      </c>
      <c r="D506" s="1">
        <v>0</v>
      </c>
      <c r="E506" s="1">
        <v>0</v>
      </c>
      <c r="F506" s="1">
        <v>114.76</v>
      </c>
      <c r="G506" s="1">
        <v>1859.1120000000001</v>
      </c>
      <c r="H506" s="1">
        <v>-262.30900000000003</v>
      </c>
      <c r="I506" s="1">
        <v>0</v>
      </c>
    </row>
    <row r="507" spans="1:9" hidden="1" x14ac:dyDescent="0.25">
      <c r="A507" s="1" t="s">
        <v>158</v>
      </c>
      <c r="B507" s="1" t="s">
        <v>57</v>
      </c>
      <c r="C507" s="1" t="s">
        <v>10</v>
      </c>
      <c r="D507" s="1">
        <v>0</v>
      </c>
      <c r="E507" s="1">
        <v>0</v>
      </c>
      <c r="F507" s="1">
        <v>114.76</v>
      </c>
      <c r="G507" s="1">
        <v>1859.1120000000001</v>
      </c>
      <c r="H507" s="1">
        <v>-721.34900000000005</v>
      </c>
      <c r="I507" s="1">
        <v>0</v>
      </c>
    </row>
    <row r="508" spans="1:9" hidden="1" x14ac:dyDescent="0.25">
      <c r="A508" s="1" t="s">
        <v>158</v>
      </c>
      <c r="B508" s="1" t="s">
        <v>58</v>
      </c>
      <c r="C508" s="1" t="s">
        <v>25</v>
      </c>
      <c r="D508" s="1">
        <v>0</v>
      </c>
      <c r="E508" s="1">
        <v>-94.94</v>
      </c>
      <c r="F508" s="1">
        <v>0</v>
      </c>
      <c r="G508" s="1">
        <v>1566.519</v>
      </c>
      <c r="H508" s="1">
        <v>0</v>
      </c>
      <c r="I508" s="1">
        <v>-217.00700000000001</v>
      </c>
    </row>
    <row r="509" spans="1:9" hidden="1" x14ac:dyDescent="0.25">
      <c r="A509" s="1" t="s">
        <v>158</v>
      </c>
      <c r="B509" s="1" t="s">
        <v>58</v>
      </c>
      <c r="C509" s="1" t="s">
        <v>10</v>
      </c>
      <c r="D509" s="1">
        <v>0</v>
      </c>
      <c r="E509" s="1">
        <v>-94.94</v>
      </c>
      <c r="F509" s="1">
        <v>0</v>
      </c>
      <c r="G509" s="1">
        <v>1566.519</v>
      </c>
      <c r="H509" s="1">
        <v>0</v>
      </c>
      <c r="I509" s="1">
        <v>-596.76900000000001</v>
      </c>
    </row>
    <row r="510" spans="1:9" hidden="1" x14ac:dyDescent="0.25">
      <c r="A510" s="1" t="s">
        <v>158</v>
      </c>
      <c r="B510" s="1" t="s">
        <v>59</v>
      </c>
      <c r="C510" s="1" t="s">
        <v>25</v>
      </c>
      <c r="D510" s="1">
        <v>0</v>
      </c>
      <c r="E510" s="1">
        <v>-94.94</v>
      </c>
      <c r="F510" s="1">
        <v>0</v>
      </c>
      <c r="G510" s="1">
        <v>1281.6969999999999</v>
      </c>
      <c r="H510" s="1">
        <v>0</v>
      </c>
      <c r="I510" s="1">
        <v>-217.00700000000001</v>
      </c>
    </row>
    <row r="511" spans="1:9" hidden="1" x14ac:dyDescent="0.25">
      <c r="A511" s="1" t="s">
        <v>158</v>
      </c>
      <c r="B511" s="1" t="s">
        <v>59</v>
      </c>
      <c r="C511" s="1" t="s">
        <v>10</v>
      </c>
      <c r="D511" s="1">
        <v>0</v>
      </c>
      <c r="E511" s="1">
        <v>-94.94</v>
      </c>
      <c r="F511" s="1">
        <v>0</v>
      </c>
      <c r="G511" s="1">
        <v>1281.6969999999999</v>
      </c>
      <c r="H511" s="1">
        <v>0</v>
      </c>
      <c r="I511" s="1">
        <v>-596.76900000000001</v>
      </c>
    </row>
    <row r="512" spans="1:9" hidden="1" x14ac:dyDescent="0.25">
      <c r="A512" s="1" t="s">
        <v>158</v>
      </c>
      <c r="B512" s="1" t="s">
        <v>60</v>
      </c>
      <c r="C512" s="1" t="s">
        <v>25</v>
      </c>
      <c r="D512" s="1">
        <v>0</v>
      </c>
      <c r="E512" s="1">
        <v>94.94</v>
      </c>
      <c r="F512" s="1">
        <v>0</v>
      </c>
      <c r="G512" s="1">
        <v>-1566.519</v>
      </c>
      <c r="H512" s="1">
        <v>0</v>
      </c>
      <c r="I512" s="1">
        <v>217.00700000000001</v>
      </c>
    </row>
    <row r="513" spans="1:9" hidden="1" x14ac:dyDescent="0.25">
      <c r="A513" s="1" t="s">
        <v>158</v>
      </c>
      <c r="B513" s="1" t="s">
        <v>60</v>
      </c>
      <c r="C513" s="1" t="s">
        <v>10</v>
      </c>
      <c r="D513" s="1">
        <v>0</v>
      </c>
      <c r="E513" s="1">
        <v>94.94</v>
      </c>
      <c r="F513" s="1">
        <v>0</v>
      </c>
      <c r="G513" s="1">
        <v>-1566.519</v>
      </c>
      <c r="H513" s="1">
        <v>0</v>
      </c>
      <c r="I513" s="1">
        <v>596.76900000000001</v>
      </c>
    </row>
    <row r="514" spans="1:9" hidden="1" x14ac:dyDescent="0.25">
      <c r="A514" s="1" t="s">
        <v>158</v>
      </c>
      <c r="B514" s="1" t="s">
        <v>61</v>
      </c>
      <c r="C514" s="1" t="s">
        <v>25</v>
      </c>
      <c r="D514" s="1">
        <v>0</v>
      </c>
      <c r="E514" s="1">
        <v>94.94</v>
      </c>
      <c r="F514" s="1">
        <v>0</v>
      </c>
      <c r="G514" s="1">
        <v>-1281.6969999999999</v>
      </c>
      <c r="H514" s="1">
        <v>0</v>
      </c>
      <c r="I514" s="1">
        <v>217.00700000000001</v>
      </c>
    </row>
    <row r="515" spans="1:9" hidden="1" x14ac:dyDescent="0.25">
      <c r="A515" s="1" t="s">
        <v>158</v>
      </c>
      <c r="B515" s="1" t="s">
        <v>61</v>
      </c>
      <c r="C515" s="1" t="s">
        <v>10</v>
      </c>
      <c r="D515" s="1">
        <v>0</v>
      </c>
      <c r="E515" s="1">
        <v>94.94</v>
      </c>
      <c r="F515" s="1">
        <v>0</v>
      </c>
      <c r="G515" s="1">
        <v>-1281.6969999999999</v>
      </c>
      <c r="H515" s="1">
        <v>0</v>
      </c>
      <c r="I515" s="1">
        <v>596.76900000000001</v>
      </c>
    </row>
    <row r="516" spans="1:9" hidden="1" x14ac:dyDescent="0.25">
      <c r="A516" s="1" t="s">
        <v>158</v>
      </c>
      <c r="B516" s="1" t="s">
        <v>62</v>
      </c>
      <c r="C516" s="1" t="s">
        <v>25</v>
      </c>
      <c r="D516" s="1">
        <v>0</v>
      </c>
      <c r="E516" s="1">
        <v>0</v>
      </c>
      <c r="F516" s="1">
        <v>-114.76</v>
      </c>
      <c r="G516" s="1">
        <v>-2272.248</v>
      </c>
      <c r="H516" s="1">
        <v>262.30900000000003</v>
      </c>
      <c r="I516" s="1">
        <v>0</v>
      </c>
    </row>
    <row r="517" spans="1:9" hidden="1" x14ac:dyDescent="0.25">
      <c r="A517" s="1" t="s">
        <v>158</v>
      </c>
      <c r="B517" s="1" t="s">
        <v>62</v>
      </c>
      <c r="C517" s="1" t="s">
        <v>10</v>
      </c>
      <c r="D517" s="1">
        <v>0</v>
      </c>
      <c r="E517" s="1">
        <v>0</v>
      </c>
      <c r="F517" s="1">
        <v>-114.76</v>
      </c>
      <c r="G517" s="1">
        <v>-2272.248</v>
      </c>
      <c r="H517" s="1">
        <v>721.34900000000005</v>
      </c>
      <c r="I517" s="1">
        <v>0</v>
      </c>
    </row>
    <row r="518" spans="1:9" hidden="1" x14ac:dyDescent="0.25">
      <c r="A518" s="1" t="s">
        <v>158</v>
      </c>
      <c r="B518" s="1" t="s">
        <v>63</v>
      </c>
      <c r="C518" s="1" t="s">
        <v>25</v>
      </c>
      <c r="D518" s="1">
        <v>0</v>
      </c>
      <c r="E518" s="1">
        <v>0</v>
      </c>
      <c r="F518" s="1">
        <v>-114.76</v>
      </c>
      <c r="G518" s="1">
        <v>-1859.1120000000001</v>
      </c>
      <c r="H518" s="1">
        <v>262.30900000000003</v>
      </c>
      <c r="I518" s="1">
        <v>0</v>
      </c>
    </row>
    <row r="519" spans="1:9" hidden="1" x14ac:dyDescent="0.25">
      <c r="A519" s="1" t="s">
        <v>158</v>
      </c>
      <c r="B519" s="1" t="s">
        <v>63</v>
      </c>
      <c r="C519" s="1" t="s">
        <v>10</v>
      </c>
      <c r="D519" s="1">
        <v>0</v>
      </c>
      <c r="E519" s="1">
        <v>0</v>
      </c>
      <c r="F519" s="1">
        <v>-114.76</v>
      </c>
      <c r="G519" s="1">
        <v>-1859.1120000000001</v>
      </c>
      <c r="H519" s="1">
        <v>721.34900000000005</v>
      </c>
      <c r="I519" s="1">
        <v>0</v>
      </c>
    </row>
    <row r="520" spans="1:9" hidden="1" x14ac:dyDescent="0.25">
      <c r="A520" s="1" t="s">
        <v>158</v>
      </c>
      <c r="B520" s="1" t="s">
        <v>64</v>
      </c>
      <c r="C520" s="1" t="s">
        <v>25</v>
      </c>
      <c r="D520" s="1">
        <v>0</v>
      </c>
      <c r="E520" s="1">
        <v>0</v>
      </c>
      <c r="F520" s="1">
        <v>114.76</v>
      </c>
      <c r="G520" s="1">
        <v>2272.248</v>
      </c>
      <c r="H520" s="1">
        <v>-262.30900000000003</v>
      </c>
      <c r="I520" s="1">
        <v>0</v>
      </c>
    </row>
    <row r="521" spans="1:9" hidden="1" x14ac:dyDescent="0.25">
      <c r="A521" s="1" t="s">
        <v>158</v>
      </c>
      <c r="B521" s="1" t="s">
        <v>64</v>
      </c>
      <c r="C521" s="1" t="s">
        <v>10</v>
      </c>
      <c r="D521" s="1">
        <v>0</v>
      </c>
      <c r="E521" s="1">
        <v>0</v>
      </c>
      <c r="F521" s="1">
        <v>114.76</v>
      </c>
      <c r="G521" s="1">
        <v>2272.248</v>
      </c>
      <c r="H521" s="1">
        <v>-721.34900000000005</v>
      </c>
      <c r="I521" s="1">
        <v>0</v>
      </c>
    </row>
    <row r="522" spans="1:9" hidden="1" x14ac:dyDescent="0.25">
      <c r="A522" s="1" t="s">
        <v>158</v>
      </c>
      <c r="B522" s="1" t="s">
        <v>65</v>
      </c>
      <c r="C522" s="1" t="s">
        <v>25</v>
      </c>
      <c r="D522" s="1">
        <v>0</v>
      </c>
      <c r="E522" s="1">
        <v>0</v>
      </c>
      <c r="F522" s="1">
        <v>114.76</v>
      </c>
      <c r="G522" s="1">
        <v>1859.1120000000001</v>
      </c>
      <c r="H522" s="1">
        <v>-262.30900000000003</v>
      </c>
      <c r="I522" s="1">
        <v>0</v>
      </c>
    </row>
    <row r="523" spans="1:9" hidden="1" x14ac:dyDescent="0.25">
      <c r="A523" s="1" t="s">
        <v>158</v>
      </c>
      <c r="B523" s="1" t="s">
        <v>65</v>
      </c>
      <c r="C523" s="1" t="s">
        <v>10</v>
      </c>
      <c r="D523" s="1">
        <v>0</v>
      </c>
      <c r="E523" s="1">
        <v>0</v>
      </c>
      <c r="F523" s="1">
        <v>114.76</v>
      </c>
      <c r="G523" s="1">
        <v>1859.1120000000001</v>
      </c>
      <c r="H523" s="1">
        <v>-721.34900000000005</v>
      </c>
      <c r="I523" s="1">
        <v>0</v>
      </c>
    </row>
    <row r="524" spans="1:9" hidden="1" x14ac:dyDescent="0.25">
      <c r="A524" s="1" t="s">
        <v>158</v>
      </c>
      <c r="B524" s="1" t="s">
        <v>66</v>
      </c>
      <c r="C524" s="1" t="s">
        <v>25</v>
      </c>
      <c r="D524" s="1">
        <v>0</v>
      </c>
      <c r="E524" s="1">
        <v>-316.47000000000003</v>
      </c>
      <c r="F524" s="1">
        <v>0</v>
      </c>
      <c r="G524" s="1">
        <v>5221.7299999999996</v>
      </c>
      <c r="H524" s="1">
        <v>0</v>
      </c>
      <c r="I524" s="1">
        <v>-723.35699999999997</v>
      </c>
    </row>
    <row r="525" spans="1:9" hidden="1" x14ac:dyDescent="0.25">
      <c r="A525" s="1" t="s">
        <v>158</v>
      </c>
      <c r="B525" s="1" t="s">
        <v>66</v>
      </c>
      <c r="C525" s="1" t="s">
        <v>10</v>
      </c>
      <c r="D525" s="1">
        <v>0</v>
      </c>
      <c r="E525" s="1">
        <v>-316.47000000000003</v>
      </c>
      <c r="F525" s="1">
        <v>0</v>
      </c>
      <c r="G525" s="1">
        <v>5221.7299999999996</v>
      </c>
      <c r="H525" s="1">
        <v>0</v>
      </c>
      <c r="I525" s="1">
        <v>-1989.231</v>
      </c>
    </row>
    <row r="526" spans="1:9" hidden="1" x14ac:dyDescent="0.25">
      <c r="A526" s="1" t="s">
        <v>158</v>
      </c>
      <c r="B526" s="1" t="s">
        <v>67</v>
      </c>
      <c r="C526" s="1" t="s">
        <v>25</v>
      </c>
      <c r="D526" s="1">
        <v>0</v>
      </c>
      <c r="E526" s="1">
        <v>-316.47000000000003</v>
      </c>
      <c r="F526" s="1">
        <v>0</v>
      </c>
      <c r="G526" s="1">
        <v>4272.3249999999998</v>
      </c>
      <c r="H526" s="1">
        <v>0</v>
      </c>
      <c r="I526" s="1">
        <v>-723.35699999999997</v>
      </c>
    </row>
    <row r="527" spans="1:9" hidden="1" x14ac:dyDescent="0.25">
      <c r="A527" s="1" t="s">
        <v>158</v>
      </c>
      <c r="B527" s="1" t="s">
        <v>67</v>
      </c>
      <c r="C527" s="1" t="s">
        <v>10</v>
      </c>
      <c r="D527" s="1">
        <v>0</v>
      </c>
      <c r="E527" s="1">
        <v>-316.47000000000003</v>
      </c>
      <c r="F527" s="1">
        <v>0</v>
      </c>
      <c r="G527" s="1">
        <v>4272.3249999999998</v>
      </c>
      <c r="H527" s="1">
        <v>0</v>
      </c>
      <c r="I527" s="1">
        <v>-1989.231</v>
      </c>
    </row>
    <row r="528" spans="1:9" hidden="1" x14ac:dyDescent="0.25">
      <c r="A528" s="1" t="s">
        <v>158</v>
      </c>
      <c r="B528" s="1" t="s">
        <v>68</v>
      </c>
      <c r="C528" s="1" t="s">
        <v>25</v>
      </c>
      <c r="D528" s="1">
        <v>0</v>
      </c>
      <c r="E528" s="1">
        <v>316.47000000000003</v>
      </c>
      <c r="F528" s="1">
        <v>0</v>
      </c>
      <c r="G528" s="1">
        <v>-5221.7299999999996</v>
      </c>
      <c r="H528" s="1">
        <v>0</v>
      </c>
      <c r="I528" s="1">
        <v>723.35699999999997</v>
      </c>
    </row>
    <row r="529" spans="1:9" hidden="1" x14ac:dyDescent="0.25">
      <c r="A529" s="1" t="s">
        <v>158</v>
      </c>
      <c r="B529" s="1" t="s">
        <v>68</v>
      </c>
      <c r="C529" s="1" t="s">
        <v>10</v>
      </c>
      <c r="D529" s="1">
        <v>0</v>
      </c>
      <c r="E529" s="1">
        <v>316.47000000000003</v>
      </c>
      <c r="F529" s="1">
        <v>0</v>
      </c>
      <c r="G529" s="1">
        <v>-5221.7299999999996</v>
      </c>
      <c r="H529" s="1">
        <v>0</v>
      </c>
      <c r="I529" s="1">
        <v>1989.231</v>
      </c>
    </row>
    <row r="530" spans="1:9" hidden="1" x14ac:dyDescent="0.25">
      <c r="A530" s="1" t="s">
        <v>158</v>
      </c>
      <c r="B530" s="1" t="s">
        <v>69</v>
      </c>
      <c r="C530" s="1" t="s">
        <v>25</v>
      </c>
      <c r="D530" s="1">
        <v>0</v>
      </c>
      <c r="E530" s="1">
        <v>316.47000000000003</v>
      </c>
      <c r="F530" s="1">
        <v>0</v>
      </c>
      <c r="G530" s="1">
        <v>-4272.3249999999998</v>
      </c>
      <c r="H530" s="1">
        <v>0</v>
      </c>
      <c r="I530" s="1">
        <v>723.35699999999997</v>
      </c>
    </row>
    <row r="531" spans="1:9" hidden="1" x14ac:dyDescent="0.25">
      <c r="A531" s="1" t="s">
        <v>158</v>
      </c>
      <c r="B531" s="1" t="s">
        <v>69</v>
      </c>
      <c r="C531" s="1" t="s">
        <v>10</v>
      </c>
      <c r="D531" s="1">
        <v>0</v>
      </c>
      <c r="E531" s="1">
        <v>316.47000000000003</v>
      </c>
      <c r="F531" s="1">
        <v>0</v>
      </c>
      <c r="G531" s="1">
        <v>-4272.3249999999998</v>
      </c>
      <c r="H531" s="1">
        <v>0</v>
      </c>
      <c r="I531" s="1">
        <v>1989.231</v>
      </c>
    </row>
    <row r="532" spans="1:9" hidden="1" x14ac:dyDescent="0.25">
      <c r="A532" s="1" t="s">
        <v>158</v>
      </c>
      <c r="B532" s="1" t="s">
        <v>70</v>
      </c>
      <c r="C532" s="1" t="s">
        <v>25</v>
      </c>
      <c r="D532" s="1">
        <v>0</v>
      </c>
      <c r="E532" s="1">
        <v>0</v>
      </c>
      <c r="F532" s="1">
        <v>-382.53</v>
      </c>
      <c r="G532" s="1">
        <v>-7574.16</v>
      </c>
      <c r="H532" s="1">
        <v>874.36199999999997</v>
      </c>
      <c r="I532" s="1">
        <v>0</v>
      </c>
    </row>
    <row r="533" spans="1:9" hidden="1" x14ac:dyDescent="0.25">
      <c r="A533" s="1" t="s">
        <v>158</v>
      </c>
      <c r="B533" s="1" t="s">
        <v>70</v>
      </c>
      <c r="C533" s="1" t="s">
        <v>10</v>
      </c>
      <c r="D533" s="1">
        <v>0</v>
      </c>
      <c r="E533" s="1">
        <v>0</v>
      </c>
      <c r="F533" s="1">
        <v>-382.53</v>
      </c>
      <c r="G533" s="1">
        <v>-7574.16</v>
      </c>
      <c r="H533" s="1">
        <v>2404.4949999999999</v>
      </c>
      <c r="I533" s="1">
        <v>0</v>
      </c>
    </row>
    <row r="534" spans="1:9" hidden="1" x14ac:dyDescent="0.25">
      <c r="A534" s="1" t="s">
        <v>158</v>
      </c>
      <c r="B534" s="1" t="s">
        <v>71</v>
      </c>
      <c r="C534" s="1" t="s">
        <v>25</v>
      </c>
      <c r="D534" s="1">
        <v>0</v>
      </c>
      <c r="E534" s="1">
        <v>0</v>
      </c>
      <c r="F534" s="1">
        <v>-382.53</v>
      </c>
      <c r="G534" s="1">
        <v>-6197.04</v>
      </c>
      <c r="H534" s="1">
        <v>874.36199999999997</v>
      </c>
      <c r="I534" s="1">
        <v>0</v>
      </c>
    </row>
    <row r="535" spans="1:9" hidden="1" x14ac:dyDescent="0.25">
      <c r="A535" s="1" t="s">
        <v>158</v>
      </c>
      <c r="B535" s="1" t="s">
        <v>71</v>
      </c>
      <c r="C535" s="1" t="s">
        <v>10</v>
      </c>
      <c r="D535" s="1">
        <v>0</v>
      </c>
      <c r="E535" s="1">
        <v>0</v>
      </c>
      <c r="F535" s="1">
        <v>-382.53</v>
      </c>
      <c r="G535" s="1">
        <v>-6197.04</v>
      </c>
      <c r="H535" s="1">
        <v>2404.4949999999999</v>
      </c>
      <c r="I535" s="1">
        <v>0</v>
      </c>
    </row>
    <row r="536" spans="1:9" hidden="1" x14ac:dyDescent="0.25">
      <c r="A536" s="1" t="s">
        <v>158</v>
      </c>
      <c r="B536" s="1" t="s">
        <v>72</v>
      </c>
      <c r="C536" s="1" t="s">
        <v>25</v>
      </c>
      <c r="D536" s="1">
        <v>0</v>
      </c>
      <c r="E536" s="1">
        <v>0</v>
      </c>
      <c r="F536" s="1">
        <v>382.53</v>
      </c>
      <c r="G536" s="1">
        <v>7574.16</v>
      </c>
      <c r="H536" s="1">
        <v>-874.36199999999997</v>
      </c>
      <c r="I536" s="1">
        <v>0</v>
      </c>
    </row>
    <row r="537" spans="1:9" hidden="1" x14ac:dyDescent="0.25">
      <c r="A537" s="1" t="s">
        <v>158</v>
      </c>
      <c r="B537" s="1" t="s">
        <v>72</v>
      </c>
      <c r="C537" s="1" t="s">
        <v>10</v>
      </c>
      <c r="D537" s="1">
        <v>0</v>
      </c>
      <c r="E537" s="1">
        <v>0</v>
      </c>
      <c r="F537" s="1">
        <v>382.53</v>
      </c>
      <c r="G537" s="1">
        <v>7574.16</v>
      </c>
      <c r="H537" s="1">
        <v>-2404.4949999999999</v>
      </c>
      <c r="I537" s="1">
        <v>0</v>
      </c>
    </row>
    <row r="538" spans="1:9" hidden="1" x14ac:dyDescent="0.25">
      <c r="A538" s="1" t="s">
        <v>158</v>
      </c>
      <c r="B538" s="1" t="s">
        <v>73</v>
      </c>
      <c r="C538" s="1" t="s">
        <v>25</v>
      </c>
      <c r="D538" s="1">
        <v>0</v>
      </c>
      <c r="E538" s="1">
        <v>0</v>
      </c>
      <c r="F538" s="1">
        <v>382.53</v>
      </c>
      <c r="G538" s="1">
        <v>6197.04</v>
      </c>
      <c r="H538" s="1">
        <v>-874.36199999999997</v>
      </c>
      <c r="I538" s="1">
        <v>0</v>
      </c>
    </row>
    <row r="539" spans="1:9" hidden="1" x14ac:dyDescent="0.25">
      <c r="A539" s="1" t="s">
        <v>158</v>
      </c>
      <c r="B539" s="1" t="s">
        <v>73</v>
      </c>
      <c r="C539" s="1" t="s">
        <v>10</v>
      </c>
      <c r="D539" s="1">
        <v>0</v>
      </c>
      <c r="E539" s="1">
        <v>0</v>
      </c>
      <c r="F539" s="1">
        <v>382.53</v>
      </c>
      <c r="G539" s="1">
        <v>6197.04</v>
      </c>
      <c r="H539" s="1">
        <v>-2404.4949999999999</v>
      </c>
      <c r="I539" s="1">
        <v>0</v>
      </c>
    </row>
    <row r="540" spans="1:9" hidden="1" x14ac:dyDescent="0.25">
      <c r="A540" s="1" t="s">
        <v>158</v>
      </c>
      <c r="B540" s="1" t="s">
        <v>74</v>
      </c>
      <c r="C540" s="1" t="s">
        <v>25</v>
      </c>
      <c r="D540" s="1">
        <v>0</v>
      </c>
      <c r="E540" s="1">
        <v>-316.47000000000003</v>
      </c>
      <c r="F540" s="1">
        <v>0</v>
      </c>
      <c r="G540" s="1">
        <v>5221.7299999999996</v>
      </c>
      <c r="H540" s="1">
        <v>0</v>
      </c>
      <c r="I540" s="1">
        <v>-723.35699999999997</v>
      </c>
    </row>
    <row r="541" spans="1:9" hidden="1" x14ac:dyDescent="0.25">
      <c r="A541" s="1" t="s">
        <v>158</v>
      </c>
      <c r="B541" s="1" t="s">
        <v>74</v>
      </c>
      <c r="C541" s="1" t="s">
        <v>10</v>
      </c>
      <c r="D541" s="1">
        <v>0</v>
      </c>
      <c r="E541" s="1">
        <v>-316.47000000000003</v>
      </c>
      <c r="F541" s="1">
        <v>0</v>
      </c>
      <c r="G541" s="1">
        <v>5221.7299999999996</v>
      </c>
      <c r="H541" s="1">
        <v>0</v>
      </c>
      <c r="I541" s="1">
        <v>-1989.231</v>
      </c>
    </row>
    <row r="542" spans="1:9" hidden="1" x14ac:dyDescent="0.25">
      <c r="A542" s="1" t="s">
        <v>158</v>
      </c>
      <c r="B542" s="1" t="s">
        <v>75</v>
      </c>
      <c r="C542" s="1" t="s">
        <v>25</v>
      </c>
      <c r="D542" s="1">
        <v>0</v>
      </c>
      <c r="E542" s="1">
        <v>-316.47000000000003</v>
      </c>
      <c r="F542" s="1">
        <v>0</v>
      </c>
      <c r="G542" s="1">
        <v>4272.3249999999998</v>
      </c>
      <c r="H542" s="1">
        <v>0</v>
      </c>
      <c r="I542" s="1">
        <v>-723.35699999999997</v>
      </c>
    </row>
    <row r="543" spans="1:9" hidden="1" x14ac:dyDescent="0.25">
      <c r="A543" s="1" t="s">
        <v>158</v>
      </c>
      <c r="B543" s="1" t="s">
        <v>75</v>
      </c>
      <c r="C543" s="1" t="s">
        <v>10</v>
      </c>
      <c r="D543" s="1">
        <v>0</v>
      </c>
      <c r="E543" s="1">
        <v>-316.47000000000003</v>
      </c>
      <c r="F543" s="1">
        <v>0</v>
      </c>
      <c r="G543" s="1">
        <v>4272.3249999999998</v>
      </c>
      <c r="H543" s="1">
        <v>0</v>
      </c>
      <c r="I543" s="1">
        <v>-1989.231</v>
      </c>
    </row>
    <row r="544" spans="1:9" hidden="1" x14ac:dyDescent="0.25">
      <c r="A544" s="1" t="s">
        <v>158</v>
      </c>
      <c r="B544" s="1" t="s">
        <v>76</v>
      </c>
      <c r="C544" s="1" t="s">
        <v>25</v>
      </c>
      <c r="D544" s="1">
        <v>0</v>
      </c>
      <c r="E544" s="1">
        <v>316.47000000000003</v>
      </c>
      <c r="F544" s="1">
        <v>0</v>
      </c>
      <c r="G544" s="1">
        <v>-5221.7299999999996</v>
      </c>
      <c r="H544" s="1">
        <v>0</v>
      </c>
      <c r="I544" s="1">
        <v>723.35699999999997</v>
      </c>
    </row>
    <row r="545" spans="1:9" hidden="1" x14ac:dyDescent="0.25">
      <c r="A545" s="1" t="s">
        <v>158</v>
      </c>
      <c r="B545" s="1" t="s">
        <v>76</v>
      </c>
      <c r="C545" s="1" t="s">
        <v>10</v>
      </c>
      <c r="D545" s="1">
        <v>0</v>
      </c>
      <c r="E545" s="1">
        <v>316.47000000000003</v>
      </c>
      <c r="F545" s="1">
        <v>0</v>
      </c>
      <c r="G545" s="1">
        <v>-5221.7299999999996</v>
      </c>
      <c r="H545" s="1">
        <v>0</v>
      </c>
      <c r="I545" s="1">
        <v>1989.231</v>
      </c>
    </row>
    <row r="546" spans="1:9" hidden="1" x14ac:dyDescent="0.25">
      <c r="A546" s="1" t="s">
        <v>158</v>
      </c>
      <c r="B546" s="1" t="s">
        <v>77</v>
      </c>
      <c r="C546" s="1" t="s">
        <v>25</v>
      </c>
      <c r="D546" s="1">
        <v>0</v>
      </c>
      <c r="E546" s="1">
        <v>316.47000000000003</v>
      </c>
      <c r="F546" s="1">
        <v>0</v>
      </c>
      <c r="G546" s="1">
        <v>-4272.3249999999998</v>
      </c>
      <c r="H546" s="1">
        <v>0</v>
      </c>
      <c r="I546" s="1">
        <v>723.35699999999997</v>
      </c>
    </row>
    <row r="547" spans="1:9" hidden="1" x14ac:dyDescent="0.25">
      <c r="A547" s="1" t="s">
        <v>158</v>
      </c>
      <c r="B547" s="1" t="s">
        <v>77</v>
      </c>
      <c r="C547" s="1" t="s">
        <v>10</v>
      </c>
      <c r="D547" s="1">
        <v>0</v>
      </c>
      <c r="E547" s="1">
        <v>316.47000000000003</v>
      </c>
      <c r="F547" s="1">
        <v>0</v>
      </c>
      <c r="G547" s="1">
        <v>-4272.3249999999998</v>
      </c>
      <c r="H547" s="1">
        <v>0</v>
      </c>
      <c r="I547" s="1">
        <v>1989.231</v>
      </c>
    </row>
    <row r="548" spans="1:9" hidden="1" x14ac:dyDescent="0.25">
      <c r="A548" s="1" t="s">
        <v>158</v>
      </c>
      <c r="B548" s="1" t="s">
        <v>78</v>
      </c>
      <c r="C548" s="1" t="s">
        <v>25</v>
      </c>
      <c r="D548" s="1">
        <v>0</v>
      </c>
      <c r="E548" s="1">
        <v>0</v>
      </c>
      <c r="F548" s="1">
        <v>-382.53</v>
      </c>
      <c r="G548" s="1">
        <v>-7574.16</v>
      </c>
      <c r="H548" s="1">
        <v>874.36199999999997</v>
      </c>
      <c r="I548" s="1">
        <v>0</v>
      </c>
    </row>
    <row r="549" spans="1:9" hidden="1" x14ac:dyDescent="0.25">
      <c r="A549" s="1" t="s">
        <v>158</v>
      </c>
      <c r="B549" s="1" t="s">
        <v>78</v>
      </c>
      <c r="C549" s="1" t="s">
        <v>10</v>
      </c>
      <c r="D549" s="1">
        <v>0</v>
      </c>
      <c r="E549" s="1">
        <v>0</v>
      </c>
      <c r="F549" s="1">
        <v>-382.53</v>
      </c>
      <c r="G549" s="1">
        <v>-7574.16</v>
      </c>
      <c r="H549" s="1">
        <v>2404.4949999999999</v>
      </c>
      <c r="I549" s="1">
        <v>0</v>
      </c>
    </row>
    <row r="550" spans="1:9" hidden="1" x14ac:dyDescent="0.25">
      <c r="A550" s="1" t="s">
        <v>158</v>
      </c>
      <c r="B550" s="1" t="s">
        <v>79</v>
      </c>
      <c r="C550" s="1" t="s">
        <v>25</v>
      </c>
      <c r="D550" s="1">
        <v>0</v>
      </c>
      <c r="E550" s="1">
        <v>0</v>
      </c>
      <c r="F550" s="1">
        <v>-382.53</v>
      </c>
      <c r="G550" s="1">
        <v>-6197.04</v>
      </c>
      <c r="H550" s="1">
        <v>874.36199999999997</v>
      </c>
      <c r="I550" s="1">
        <v>0</v>
      </c>
    </row>
    <row r="551" spans="1:9" hidden="1" x14ac:dyDescent="0.25">
      <c r="A551" s="1" t="s">
        <v>158</v>
      </c>
      <c r="B551" s="1" t="s">
        <v>79</v>
      </c>
      <c r="C551" s="1" t="s">
        <v>10</v>
      </c>
      <c r="D551" s="1">
        <v>0</v>
      </c>
      <c r="E551" s="1">
        <v>0</v>
      </c>
      <c r="F551" s="1">
        <v>-382.53</v>
      </c>
      <c r="G551" s="1">
        <v>-6197.04</v>
      </c>
      <c r="H551" s="1">
        <v>2404.4949999999999</v>
      </c>
      <c r="I551" s="1">
        <v>0</v>
      </c>
    </row>
    <row r="552" spans="1:9" hidden="1" x14ac:dyDescent="0.25">
      <c r="A552" s="1" t="s">
        <v>158</v>
      </c>
      <c r="B552" s="1" t="s">
        <v>80</v>
      </c>
      <c r="C552" s="1" t="s">
        <v>25</v>
      </c>
      <c r="D552" s="1">
        <v>0</v>
      </c>
      <c r="E552" s="1">
        <v>0</v>
      </c>
      <c r="F552" s="1">
        <v>382.53</v>
      </c>
      <c r="G552" s="1">
        <v>7574.16</v>
      </c>
      <c r="H552" s="1">
        <v>-874.36199999999997</v>
      </c>
      <c r="I552" s="1">
        <v>0</v>
      </c>
    </row>
    <row r="553" spans="1:9" hidden="1" x14ac:dyDescent="0.25">
      <c r="A553" s="1" t="s">
        <v>158</v>
      </c>
      <c r="B553" s="1" t="s">
        <v>80</v>
      </c>
      <c r="C553" s="1" t="s">
        <v>10</v>
      </c>
      <c r="D553" s="1">
        <v>0</v>
      </c>
      <c r="E553" s="1">
        <v>0</v>
      </c>
      <c r="F553" s="1">
        <v>382.53</v>
      </c>
      <c r="G553" s="1">
        <v>7574.16</v>
      </c>
      <c r="H553" s="1">
        <v>-2404.4949999999999</v>
      </c>
      <c r="I553" s="1">
        <v>0</v>
      </c>
    </row>
    <row r="554" spans="1:9" hidden="1" x14ac:dyDescent="0.25">
      <c r="A554" s="1" t="s">
        <v>158</v>
      </c>
      <c r="B554" s="1" t="s">
        <v>81</v>
      </c>
      <c r="C554" s="1" t="s">
        <v>25</v>
      </c>
      <c r="D554" s="1">
        <v>0</v>
      </c>
      <c r="E554" s="1">
        <v>0</v>
      </c>
      <c r="F554" s="1">
        <v>382.53</v>
      </c>
      <c r="G554" s="1">
        <v>6197.04</v>
      </c>
      <c r="H554" s="1">
        <v>-874.36199999999997</v>
      </c>
      <c r="I554" s="1">
        <v>0</v>
      </c>
    </row>
    <row r="555" spans="1:9" hidden="1" x14ac:dyDescent="0.25">
      <c r="A555" s="1" t="s">
        <v>158</v>
      </c>
      <c r="B555" s="1" t="s">
        <v>81</v>
      </c>
      <c r="C555" s="1" t="s">
        <v>10</v>
      </c>
      <c r="D555" s="1">
        <v>0</v>
      </c>
      <c r="E555" s="1">
        <v>0</v>
      </c>
      <c r="F555" s="1">
        <v>382.53</v>
      </c>
      <c r="G555" s="1">
        <v>6197.04</v>
      </c>
      <c r="H555" s="1">
        <v>-2404.4949999999999</v>
      </c>
      <c r="I555" s="1">
        <v>0</v>
      </c>
    </row>
    <row r="556" spans="1:9" hidden="1" x14ac:dyDescent="0.25">
      <c r="A556" s="1" t="s">
        <v>158</v>
      </c>
      <c r="B556" s="1" t="s">
        <v>82</v>
      </c>
      <c r="C556" s="1" t="s">
        <v>25</v>
      </c>
      <c r="D556" s="1">
        <v>0</v>
      </c>
      <c r="E556" s="1">
        <v>-94.94</v>
      </c>
      <c r="F556" s="1">
        <v>0</v>
      </c>
      <c r="G556" s="1">
        <v>1566.519</v>
      </c>
      <c r="H556" s="1">
        <v>0</v>
      </c>
      <c r="I556" s="1">
        <v>-217.00700000000001</v>
      </c>
    </row>
    <row r="557" spans="1:9" hidden="1" x14ac:dyDescent="0.25">
      <c r="A557" s="1" t="s">
        <v>158</v>
      </c>
      <c r="B557" s="1" t="s">
        <v>82</v>
      </c>
      <c r="C557" s="1" t="s">
        <v>10</v>
      </c>
      <c r="D557" s="1">
        <v>0</v>
      </c>
      <c r="E557" s="1">
        <v>-94.94</v>
      </c>
      <c r="F557" s="1">
        <v>0</v>
      </c>
      <c r="G557" s="1">
        <v>1566.519</v>
      </c>
      <c r="H557" s="1">
        <v>0</v>
      </c>
      <c r="I557" s="1">
        <v>-596.76900000000001</v>
      </c>
    </row>
    <row r="558" spans="1:9" hidden="1" x14ac:dyDescent="0.25">
      <c r="A558" s="1" t="s">
        <v>158</v>
      </c>
      <c r="B558" s="1" t="s">
        <v>83</v>
      </c>
      <c r="C558" s="1" t="s">
        <v>25</v>
      </c>
      <c r="D558" s="1">
        <v>0</v>
      </c>
      <c r="E558" s="1">
        <v>-94.94</v>
      </c>
      <c r="F558" s="1">
        <v>0</v>
      </c>
      <c r="G558" s="1">
        <v>1281.6969999999999</v>
      </c>
      <c r="H558" s="1">
        <v>0</v>
      </c>
      <c r="I558" s="1">
        <v>-217.00700000000001</v>
      </c>
    </row>
    <row r="559" spans="1:9" hidden="1" x14ac:dyDescent="0.25">
      <c r="A559" s="1" t="s">
        <v>158</v>
      </c>
      <c r="B559" s="1" t="s">
        <v>83</v>
      </c>
      <c r="C559" s="1" t="s">
        <v>10</v>
      </c>
      <c r="D559" s="1">
        <v>0</v>
      </c>
      <c r="E559" s="1">
        <v>-94.94</v>
      </c>
      <c r="F559" s="1">
        <v>0</v>
      </c>
      <c r="G559" s="1">
        <v>1281.6969999999999</v>
      </c>
      <c r="H559" s="1">
        <v>0</v>
      </c>
      <c r="I559" s="1">
        <v>-596.76900000000001</v>
      </c>
    </row>
    <row r="560" spans="1:9" hidden="1" x14ac:dyDescent="0.25">
      <c r="A560" s="1" t="s">
        <v>158</v>
      </c>
      <c r="B560" s="1" t="s">
        <v>84</v>
      </c>
      <c r="C560" s="1" t="s">
        <v>25</v>
      </c>
      <c r="D560" s="1">
        <v>0</v>
      </c>
      <c r="E560" s="1">
        <v>94.94</v>
      </c>
      <c r="F560" s="1">
        <v>0</v>
      </c>
      <c r="G560" s="1">
        <v>-1566.519</v>
      </c>
      <c r="H560" s="1">
        <v>0</v>
      </c>
      <c r="I560" s="1">
        <v>217.00700000000001</v>
      </c>
    </row>
    <row r="561" spans="1:9" hidden="1" x14ac:dyDescent="0.25">
      <c r="A561" s="1" t="s">
        <v>158</v>
      </c>
      <c r="B561" s="1" t="s">
        <v>84</v>
      </c>
      <c r="C561" s="1" t="s">
        <v>10</v>
      </c>
      <c r="D561" s="1">
        <v>0</v>
      </c>
      <c r="E561" s="1">
        <v>94.94</v>
      </c>
      <c r="F561" s="1">
        <v>0</v>
      </c>
      <c r="G561" s="1">
        <v>-1566.519</v>
      </c>
      <c r="H561" s="1">
        <v>0</v>
      </c>
      <c r="I561" s="1">
        <v>596.76900000000001</v>
      </c>
    </row>
    <row r="562" spans="1:9" hidden="1" x14ac:dyDescent="0.25">
      <c r="A562" s="1" t="s">
        <v>158</v>
      </c>
      <c r="B562" s="1" t="s">
        <v>85</v>
      </c>
      <c r="C562" s="1" t="s">
        <v>25</v>
      </c>
      <c r="D562" s="1">
        <v>0</v>
      </c>
      <c r="E562" s="1">
        <v>94.94</v>
      </c>
      <c r="F562" s="1">
        <v>0</v>
      </c>
      <c r="G562" s="1">
        <v>-1281.6969999999999</v>
      </c>
      <c r="H562" s="1">
        <v>0</v>
      </c>
      <c r="I562" s="1">
        <v>217.00700000000001</v>
      </c>
    </row>
    <row r="563" spans="1:9" hidden="1" x14ac:dyDescent="0.25">
      <c r="A563" s="1" t="s">
        <v>158</v>
      </c>
      <c r="B563" s="1" t="s">
        <v>85</v>
      </c>
      <c r="C563" s="1" t="s">
        <v>10</v>
      </c>
      <c r="D563" s="1">
        <v>0</v>
      </c>
      <c r="E563" s="1">
        <v>94.94</v>
      </c>
      <c r="F563" s="1">
        <v>0</v>
      </c>
      <c r="G563" s="1">
        <v>-1281.6969999999999</v>
      </c>
      <c r="H563" s="1">
        <v>0</v>
      </c>
      <c r="I563" s="1">
        <v>596.76900000000001</v>
      </c>
    </row>
    <row r="564" spans="1:9" hidden="1" x14ac:dyDescent="0.25">
      <c r="A564" s="1" t="s">
        <v>158</v>
      </c>
      <c r="B564" s="1" t="s">
        <v>86</v>
      </c>
      <c r="C564" s="1" t="s">
        <v>25</v>
      </c>
      <c r="D564" s="1">
        <v>0</v>
      </c>
      <c r="E564" s="1">
        <v>0</v>
      </c>
      <c r="F564" s="1">
        <v>-114.76</v>
      </c>
      <c r="G564" s="1">
        <v>-2272.248</v>
      </c>
      <c r="H564" s="1">
        <v>262.30900000000003</v>
      </c>
      <c r="I564" s="1">
        <v>0</v>
      </c>
    </row>
    <row r="565" spans="1:9" hidden="1" x14ac:dyDescent="0.25">
      <c r="A565" s="1" t="s">
        <v>158</v>
      </c>
      <c r="B565" s="1" t="s">
        <v>86</v>
      </c>
      <c r="C565" s="1" t="s">
        <v>10</v>
      </c>
      <c r="D565" s="1">
        <v>0</v>
      </c>
      <c r="E565" s="1">
        <v>0</v>
      </c>
      <c r="F565" s="1">
        <v>-114.76</v>
      </c>
      <c r="G565" s="1">
        <v>-2272.248</v>
      </c>
      <c r="H565" s="1">
        <v>721.34900000000005</v>
      </c>
      <c r="I565" s="1">
        <v>0</v>
      </c>
    </row>
    <row r="566" spans="1:9" hidden="1" x14ac:dyDescent="0.25">
      <c r="A566" s="1" t="s">
        <v>158</v>
      </c>
      <c r="B566" s="1" t="s">
        <v>87</v>
      </c>
      <c r="C566" s="1" t="s">
        <v>25</v>
      </c>
      <c r="D566" s="1">
        <v>0</v>
      </c>
      <c r="E566" s="1">
        <v>0</v>
      </c>
      <c r="F566" s="1">
        <v>-114.76</v>
      </c>
      <c r="G566" s="1">
        <v>-1859.1120000000001</v>
      </c>
      <c r="H566" s="1">
        <v>262.30900000000003</v>
      </c>
      <c r="I566" s="1">
        <v>0</v>
      </c>
    </row>
    <row r="567" spans="1:9" hidden="1" x14ac:dyDescent="0.25">
      <c r="A567" s="1" t="s">
        <v>158</v>
      </c>
      <c r="B567" s="1" t="s">
        <v>87</v>
      </c>
      <c r="C567" s="1" t="s">
        <v>10</v>
      </c>
      <c r="D567" s="1">
        <v>0</v>
      </c>
      <c r="E567" s="1">
        <v>0</v>
      </c>
      <c r="F567" s="1">
        <v>-114.76</v>
      </c>
      <c r="G567" s="1">
        <v>-1859.1120000000001</v>
      </c>
      <c r="H567" s="1">
        <v>721.34900000000005</v>
      </c>
      <c r="I567" s="1">
        <v>0</v>
      </c>
    </row>
    <row r="568" spans="1:9" hidden="1" x14ac:dyDescent="0.25">
      <c r="A568" s="1" t="s">
        <v>158</v>
      </c>
      <c r="B568" s="1" t="s">
        <v>88</v>
      </c>
      <c r="C568" s="1" t="s">
        <v>25</v>
      </c>
      <c r="D568" s="1">
        <v>0</v>
      </c>
      <c r="E568" s="1">
        <v>0</v>
      </c>
      <c r="F568" s="1">
        <v>114.76</v>
      </c>
      <c r="G568" s="1">
        <v>2272.248</v>
      </c>
      <c r="H568" s="1">
        <v>-262.30900000000003</v>
      </c>
      <c r="I568" s="1">
        <v>0</v>
      </c>
    </row>
    <row r="569" spans="1:9" hidden="1" x14ac:dyDescent="0.25">
      <c r="A569" s="1" t="s">
        <v>158</v>
      </c>
      <c r="B569" s="1" t="s">
        <v>88</v>
      </c>
      <c r="C569" s="1" t="s">
        <v>10</v>
      </c>
      <c r="D569" s="1">
        <v>0</v>
      </c>
      <c r="E569" s="1">
        <v>0</v>
      </c>
      <c r="F569" s="1">
        <v>114.76</v>
      </c>
      <c r="G569" s="1">
        <v>2272.248</v>
      </c>
      <c r="H569" s="1">
        <v>-721.34900000000005</v>
      </c>
      <c r="I569" s="1">
        <v>0</v>
      </c>
    </row>
    <row r="570" spans="1:9" hidden="1" x14ac:dyDescent="0.25">
      <c r="A570" s="1" t="s">
        <v>158</v>
      </c>
      <c r="B570" s="1" t="s">
        <v>89</v>
      </c>
      <c r="C570" s="1" t="s">
        <v>25</v>
      </c>
      <c r="D570" s="1">
        <v>0</v>
      </c>
      <c r="E570" s="1">
        <v>0</v>
      </c>
      <c r="F570" s="1">
        <v>114.76</v>
      </c>
      <c r="G570" s="1">
        <v>1859.1120000000001</v>
      </c>
      <c r="H570" s="1">
        <v>-262.30900000000003</v>
      </c>
      <c r="I570" s="1">
        <v>0</v>
      </c>
    </row>
    <row r="571" spans="1:9" hidden="1" x14ac:dyDescent="0.25">
      <c r="A571" s="1" t="s">
        <v>158</v>
      </c>
      <c r="B571" s="1" t="s">
        <v>89</v>
      </c>
      <c r="C571" s="1" t="s">
        <v>10</v>
      </c>
      <c r="D571" s="1">
        <v>0</v>
      </c>
      <c r="E571" s="1">
        <v>0</v>
      </c>
      <c r="F571" s="1">
        <v>114.76</v>
      </c>
      <c r="G571" s="1">
        <v>1859.1120000000001</v>
      </c>
      <c r="H571" s="1">
        <v>-721.34900000000005</v>
      </c>
      <c r="I571" s="1">
        <v>0</v>
      </c>
    </row>
    <row r="572" spans="1:9" hidden="1" x14ac:dyDescent="0.25">
      <c r="A572" s="1" t="s">
        <v>158</v>
      </c>
      <c r="B572" s="1" t="s">
        <v>90</v>
      </c>
      <c r="C572" s="1" t="s">
        <v>25</v>
      </c>
      <c r="D572" s="1">
        <v>0</v>
      </c>
      <c r="E572" s="1">
        <v>-94.94</v>
      </c>
      <c r="F572" s="1">
        <v>0</v>
      </c>
      <c r="G572" s="1">
        <v>1566.519</v>
      </c>
      <c r="H572" s="1">
        <v>0</v>
      </c>
      <c r="I572" s="1">
        <v>-217.00700000000001</v>
      </c>
    </row>
    <row r="573" spans="1:9" hidden="1" x14ac:dyDescent="0.25">
      <c r="A573" s="1" t="s">
        <v>158</v>
      </c>
      <c r="B573" s="1" t="s">
        <v>90</v>
      </c>
      <c r="C573" s="1" t="s">
        <v>10</v>
      </c>
      <c r="D573" s="1">
        <v>0</v>
      </c>
      <c r="E573" s="1">
        <v>-94.94</v>
      </c>
      <c r="F573" s="1">
        <v>0</v>
      </c>
      <c r="G573" s="1">
        <v>1566.519</v>
      </c>
      <c r="H573" s="1">
        <v>0</v>
      </c>
      <c r="I573" s="1">
        <v>-596.76900000000001</v>
      </c>
    </row>
    <row r="574" spans="1:9" hidden="1" x14ac:dyDescent="0.25">
      <c r="A574" s="1" t="s">
        <v>158</v>
      </c>
      <c r="B574" s="1" t="s">
        <v>91</v>
      </c>
      <c r="C574" s="1" t="s">
        <v>25</v>
      </c>
      <c r="D574" s="1">
        <v>0</v>
      </c>
      <c r="E574" s="1">
        <v>-94.94</v>
      </c>
      <c r="F574" s="1">
        <v>0</v>
      </c>
      <c r="G574" s="1">
        <v>1281.6969999999999</v>
      </c>
      <c r="H574" s="1">
        <v>0</v>
      </c>
      <c r="I574" s="1">
        <v>-217.00700000000001</v>
      </c>
    </row>
    <row r="575" spans="1:9" hidden="1" x14ac:dyDescent="0.25">
      <c r="A575" s="1" t="s">
        <v>158</v>
      </c>
      <c r="B575" s="1" t="s">
        <v>91</v>
      </c>
      <c r="C575" s="1" t="s">
        <v>10</v>
      </c>
      <c r="D575" s="1">
        <v>0</v>
      </c>
      <c r="E575" s="1">
        <v>-94.94</v>
      </c>
      <c r="F575" s="1">
        <v>0</v>
      </c>
      <c r="G575" s="1">
        <v>1281.6969999999999</v>
      </c>
      <c r="H575" s="1">
        <v>0</v>
      </c>
      <c r="I575" s="1">
        <v>-596.76900000000001</v>
      </c>
    </row>
    <row r="576" spans="1:9" hidden="1" x14ac:dyDescent="0.25">
      <c r="A576" s="1" t="s">
        <v>158</v>
      </c>
      <c r="B576" s="1" t="s">
        <v>92</v>
      </c>
      <c r="C576" s="1" t="s">
        <v>25</v>
      </c>
      <c r="D576" s="1">
        <v>0</v>
      </c>
      <c r="E576" s="1">
        <v>94.94</v>
      </c>
      <c r="F576" s="1">
        <v>0</v>
      </c>
      <c r="G576" s="1">
        <v>-1566.519</v>
      </c>
      <c r="H576" s="1">
        <v>0</v>
      </c>
      <c r="I576" s="1">
        <v>217.00700000000001</v>
      </c>
    </row>
    <row r="577" spans="1:9" hidden="1" x14ac:dyDescent="0.25">
      <c r="A577" s="1" t="s">
        <v>158</v>
      </c>
      <c r="B577" s="1" t="s">
        <v>92</v>
      </c>
      <c r="C577" s="1" t="s">
        <v>10</v>
      </c>
      <c r="D577" s="1">
        <v>0</v>
      </c>
      <c r="E577" s="1">
        <v>94.94</v>
      </c>
      <c r="F577" s="1">
        <v>0</v>
      </c>
      <c r="G577" s="1">
        <v>-1566.519</v>
      </c>
      <c r="H577" s="1">
        <v>0</v>
      </c>
      <c r="I577" s="1">
        <v>596.76900000000001</v>
      </c>
    </row>
    <row r="578" spans="1:9" hidden="1" x14ac:dyDescent="0.25">
      <c r="A578" s="1" t="s">
        <v>158</v>
      </c>
      <c r="B578" s="1" t="s">
        <v>93</v>
      </c>
      <c r="C578" s="1" t="s">
        <v>25</v>
      </c>
      <c r="D578" s="1">
        <v>0</v>
      </c>
      <c r="E578" s="1">
        <v>94.94</v>
      </c>
      <c r="F578" s="1">
        <v>0</v>
      </c>
      <c r="G578" s="1">
        <v>-1281.6969999999999</v>
      </c>
      <c r="H578" s="1">
        <v>0</v>
      </c>
      <c r="I578" s="1">
        <v>217.00700000000001</v>
      </c>
    </row>
    <row r="579" spans="1:9" hidden="1" x14ac:dyDescent="0.25">
      <c r="A579" s="1" t="s">
        <v>158</v>
      </c>
      <c r="B579" s="1" t="s">
        <v>93</v>
      </c>
      <c r="C579" s="1" t="s">
        <v>10</v>
      </c>
      <c r="D579" s="1">
        <v>0</v>
      </c>
      <c r="E579" s="1">
        <v>94.94</v>
      </c>
      <c r="F579" s="1">
        <v>0</v>
      </c>
      <c r="G579" s="1">
        <v>-1281.6969999999999</v>
      </c>
      <c r="H579" s="1">
        <v>0</v>
      </c>
      <c r="I579" s="1">
        <v>596.76900000000001</v>
      </c>
    </row>
    <row r="580" spans="1:9" hidden="1" x14ac:dyDescent="0.25">
      <c r="A580" s="1" t="s">
        <v>158</v>
      </c>
      <c r="B580" s="1" t="s">
        <v>94</v>
      </c>
      <c r="C580" s="1" t="s">
        <v>25</v>
      </c>
      <c r="D580" s="1">
        <v>0</v>
      </c>
      <c r="E580" s="1">
        <v>0</v>
      </c>
      <c r="F580" s="1">
        <v>-114.76</v>
      </c>
      <c r="G580" s="1">
        <v>-2272.248</v>
      </c>
      <c r="H580" s="1">
        <v>262.30900000000003</v>
      </c>
      <c r="I580" s="1">
        <v>0</v>
      </c>
    </row>
    <row r="581" spans="1:9" hidden="1" x14ac:dyDescent="0.25">
      <c r="A581" s="1" t="s">
        <v>158</v>
      </c>
      <c r="B581" s="1" t="s">
        <v>94</v>
      </c>
      <c r="C581" s="1" t="s">
        <v>10</v>
      </c>
      <c r="D581" s="1">
        <v>0</v>
      </c>
      <c r="E581" s="1">
        <v>0</v>
      </c>
      <c r="F581" s="1">
        <v>-114.76</v>
      </c>
      <c r="G581" s="1">
        <v>-2272.248</v>
      </c>
      <c r="H581" s="1">
        <v>721.34900000000005</v>
      </c>
      <c r="I581" s="1">
        <v>0</v>
      </c>
    </row>
    <row r="582" spans="1:9" hidden="1" x14ac:dyDescent="0.25">
      <c r="A582" s="1" t="s">
        <v>158</v>
      </c>
      <c r="B582" s="1" t="s">
        <v>95</v>
      </c>
      <c r="C582" s="1" t="s">
        <v>25</v>
      </c>
      <c r="D582" s="1">
        <v>0</v>
      </c>
      <c r="E582" s="1">
        <v>0</v>
      </c>
      <c r="F582" s="1">
        <v>-114.76</v>
      </c>
      <c r="G582" s="1">
        <v>-1859.1120000000001</v>
      </c>
      <c r="H582" s="1">
        <v>262.30900000000003</v>
      </c>
      <c r="I582" s="1">
        <v>0</v>
      </c>
    </row>
    <row r="583" spans="1:9" hidden="1" x14ac:dyDescent="0.25">
      <c r="A583" s="1" t="s">
        <v>158</v>
      </c>
      <c r="B583" s="1" t="s">
        <v>95</v>
      </c>
      <c r="C583" s="1" t="s">
        <v>10</v>
      </c>
      <c r="D583" s="1">
        <v>0</v>
      </c>
      <c r="E583" s="1">
        <v>0</v>
      </c>
      <c r="F583" s="1">
        <v>-114.76</v>
      </c>
      <c r="G583" s="1">
        <v>-1859.1120000000001</v>
      </c>
      <c r="H583" s="1">
        <v>721.34900000000005</v>
      </c>
      <c r="I583" s="1">
        <v>0</v>
      </c>
    </row>
    <row r="584" spans="1:9" hidden="1" x14ac:dyDescent="0.25">
      <c r="A584" s="1" t="s">
        <v>158</v>
      </c>
      <c r="B584" s="1" t="s">
        <v>96</v>
      </c>
      <c r="C584" s="1" t="s">
        <v>25</v>
      </c>
      <c r="D584" s="1">
        <v>0</v>
      </c>
      <c r="E584" s="1">
        <v>0</v>
      </c>
      <c r="F584" s="1">
        <v>114.76</v>
      </c>
      <c r="G584" s="1">
        <v>2272.248</v>
      </c>
      <c r="H584" s="1">
        <v>-262.30900000000003</v>
      </c>
      <c r="I584" s="1">
        <v>0</v>
      </c>
    </row>
    <row r="585" spans="1:9" hidden="1" x14ac:dyDescent="0.25">
      <c r="A585" s="1" t="s">
        <v>158</v>
      </c>
      <c r="B585" s="1" t="s">
        <v>96</v>
      </c>
      <c r="C585" s="1" t="s">
        <v>10</v>
      </c>
      <c r="D585" s="1">
        <v>0</v>
      </c>
      <c r="E585" s="1">
        <v>0</v>
      </c>
      <c r="F585" s="1">
        <v>114.76</v>
      </c>
      <c r="G585" s="1">
        <v>2272.248</v>
      </c>
      <c r="H585" s="1">
        <v>-721.34900000000005</v>
      </c>
      <c r="I585" s="1">
        <v>0</v>
      </c>
    </row>
    <row r="586" spans="1:9" hidden="1" x14ac:dyDescent="0.25">
      <c r="A586" s="1" t="s">
        <v>158</v>
      </c>
      <c r="B586" s="1" t="s">
        <v>97</v>
      </c>
      <c r="C586" s="1" t="s">
        <v>25</v>
      </c>
      <c r="D586" s="1">
        <v>0</v>
      </c>
      <c r="E586" s="1">
        <v>0</v>
      </c>
      <c r="F586" s="1">
        <v>114.76</v>
      </c>
      <c r="G586" s="1">
        <v>1859.1120000000001</v>
      </c>
      <c r="H586" s="1">
        <v>-262.30900000000003</v>
      </c>
      <c r="I586" s="1">
        <v>0</v>
      </c>
    </row>
    <row r="587" spans="1:9" hidden="1" x14ac:dyDescent="0.25">
      <c r="A587" s="1" t="s">
        <v>158</v>
      </c>
      <c r="B587" s="1" t="s">
        <v>97</v>
      </c>
      <c r="C587" s="1" t="s">
        <v>10</v>
      </c>
      <c r="D587" s="1">
        <v>0</v>
      </c>
      <c r="E587" s="1">
        <v>0</v>
      </c>
      <c r="F587" s="1">
        <v>114.76</v>
      </c>
      <c r="G587" s="1">
        <v>1859.1120000000001</v>
      </c>
      <c r="H587" s="1">
        <v>-721.34900000000005</v>
      </c>
      <c r="I587" s="1">
        <v>0</v>
      </c>
    </row>
    <row r="588" spans="1:9" hidden="1" x14ac:dyDescent="0.25">
      <c r="A588" s="1" t="s">
        <v>158</v>
      </c>
      <c r="B588" s="1" t="s">
        <v>14</v>
      </c>
      <c r="C588" s="1" t="s">
        <v>25</v>
      </c>
      <c r="D588" s="1">
        <v>0</v>
      </c>
      <c r="E588" s="1">
        <v>194.35</v>
      </c>
      <c r="F588" s="1">
        <v>0</v>
      </c>
      <c r="G588" s="1">
        <v>3282.768</v>
      </c>
      <c r="H588" s="1">
        <v>0</v>
      </c>
      <c r="I588" s="1">
        <v>546.28399999999999</v>
      </c>
    </row>
    <row r="589" spans="1:9" hidden="1" x14ac:dyDescent="0.25">
      <c r="A589" s="1" t="s">
        <v>158</v>
      </c>
      <c r="B589" s="1" t="s">
        <v>14</v>
      </c>
      <c r="C589" s="1" t="s">
        <v>10</v>
      </c>
      <c r="D589" s="1">
        <v>0</v>
      </c>
      <c r="E589" s="1">
        <v>194.35</v>
      </c>
      <c r="F589" s="1">
        <v>0</v>
      </c>
      <c r="G589" s="1">
        <v>3282.768</v>
      </c>
      <c r="H589" s="1">
        <v>0</v>
      </c>
      <c r="I589" s="1">
        <v>1271.7080000000001</v>
      </c>
    </row>
    <row r="590" spans="1:9" hidden="1" x14ac:dyDescent="0.25">
      <c r="A590" s="1" t="s">
        <v>158</v>
      </c>
      <c r="B590" s="1" t="s">
        <v>98</v>
      </c>
      <c r="C590" s="1" t="s">
        <v>25</v>
      </c>
      <c r="D590" s="1">
        <v>0</v>
      </c>
      <c r="E590" s="1">
        <v>-194.35</v>
      </c>
      <c r="F590" s="1">
        <v>0</v>
      </c>
      <c r="G590" s="1">
        <v>-3282.768</v>
      </c>
      <c r="H590" s="1">
        <v>0</v>
      </c>
      <c r="I590" s="1">
        <v>-546.28399999999999</v>
      </c>
    </row>
    <row r="591" spans="1:9" hidden="1" x14ac:dyDescent="0.25">
      <c r="A591" s="1" t="s">
        <v>158</v>
      </c>
      <c r="B591" s="1" t="s">
        <v>98</v>
      </c>
      <c r="C591" s="1" t="s">
        <v>10</v>
      </c>
      <c r="D591" s="1">
        <v>0</v>
      </c>
      <c r="E591" s="1">
        <v>-194.35</v>
      </c>
      <c r="F591" s="1">
        <v>0</v>
      </c>
      <c r="G591" s="1">
        <v>-3282.768</v>
      </c>
      <c r="H591" s="1">
        <v>0</v>
      </c>
      <c r="I591" s="1">
        <v>-1271.7080000000001</v>
      </c>
    </row>
    <row r="592" spans="1:9" hidden="1" x14ac:dyDescent="0.25">
      <c r="A592" s="1" t="s">
        <v>158</v>
      </c>
      <c r="B592" s="1" t="s">
        <v>15</v>
      </c>
      <c r="C592" s="1" t="s">
        <v>25</v>
      </c>
      <c r="D592" s="1">
        <v>0</v>
      </c>
      <c r="E592" s="1">
        <v>0</v>
      </c>
      <c r="F592" s="1">
        <v>483.2</v>
      </c>
      <c r="G592" s="1">
        <v>9609.9860000000008</v>
      </c>
      <c r="H592" s="1">
        <v>1163.6300000000001</v>
      </c>
      <c r="I592" s="1">
        <v>0</v>
      </c>
    </row>
    <row r="593" spans="1:9" hidden="1" x14ac:dyDescent="0.25">
      <c r="A593" s="1" t="s">
        <v>158</v>
      </c>
      <c r="B593" s="1" t="s">
        <v>15</v>
      </c>
      <c r="C593" s="1" t="s">
        <v>10</v>
      </c>
      <c r="D593" s="1">
        <v>0</v>
      </c>
      <c r="E593" s="1">
        <v>0</v>
      </c>
      <c r="F593" s="1">
        <v>483.2</v>
      </c>
      <c r="G593" s="1">
        <v>9609.9860000000008</v>
      </c>
      <c r="H593" s="1">
        <v>3071.299</v>
      </c>
      <c r="I593" s="1">
        <v>0</v>
      </c>
    </row>
    <row r="594" spans="1:9" hidden="1" x14ac:dyDescent="0.25">
      <c r="A594" s="1" t="s">
        <v>158</v>
      </c>
      <c r="B594" s="1" t="s">
        <v>99</v>
      </c>
      <c r="C594" s="1" t="s">
        <v>25</v>
      </c>
      <c r="D594" s="1">
        <v>0</v>
      </c>
      <c r="E594" s="1">
        <v>0</v>
      </c>
      <c r="F594" s="1">
        <v>-483.2</v>
      </c>
      <c r="G594" s="1">
        <v>-9609.9860000000008</v>
      </c>
      <c r="H594" s="1">
        <v>-1163.6300000000001</v>
      </c>
      <c r="I594" s="1">
        <v>0</v>
      </c>
    </row>
    <row r="595" spans="1:9" hidden="1" x14ac:dyDescent="0.25">
      <c r="A595" s="1" t="s">
        <v>158</v>
      </c>
      <c r="B595" s="1" t="s">
        <v>99</v>
      </c>
      <c r="C595" s="1" t="s">
        <v>10</v>
      </c>
      <c r="D595" s="1">
        <v>0</v>
      </c>
      <c r="E595" s="1">
        <v>0</v>
      </c>
      <c r="F595" s="1">
        <v>-483.2</v>
      </c>
      <c r="G595" s="1">
        <v>-9609.9860000000008</v>
      </c>
      <c r="H595" s="1">
        <v>-3071.299</v>
      </c>
      <c r="I595" s="1">
        <v>0</v>
      </c>
    </row>
    <row r="596" spans="1:9" hidden="1" x14ac:dyDescent="0.25">
      <c r="A596" s="1" t="s">
        <v>158</v>
      </c>
      <c r="B596" s="1" t="s">
        <v>100</v>
      </c>
      <c r="C596" s="1" t="s">
        <v>25</v>
      </c>
      <c r="D596" s="1">
        <v>0</v>
      </c>
      <c r="E596" s="1">
        <v>194.35</v>
      </c>
      <c r="F596" s="1">
        <v>0</v>
      </c>
      <c r="G596" s="1">
        <v>3282.768</v>
      </c>
      <c r="H596" s="1">
        <v>0</v>
      </c>
      <c r="I596" s="1">
        <v>546.28399999999999</v>
      </c>
    </row>
    <row r="597" spans="1:9" hidden="1" x14ac:dyDescent="0.25">
      <c r="A597" s="1" t="s">
        <v>158</v>
      </c>
      <c r="B597" s="1" t="s">
        <v>100</v>
      </c>
      <c r="C597" s="1" t="s">
        <v>10</v>
      </c>
      <c r="D597" s="1">
        <v>0</v>
      </c>
      <c r="E597" s="1">
        <v>194.35</v>
      </c>
      <c r="F597" s="1">
        <v>0</v>
      </c>
      <c r="G597" s="1">
        <v>3282.768</v>
      </c>
      <c r="H597" s="1">
        <v>0</v>
      </c>
      <c r="I597" s="1">
        <v>1271.7080000000001</v>
      </c>
    </row>
    <row r="598" spans="1:9" hidden="1" x14ac:dyDescent="0.25">
      <c r="A598" s="1" t="s">
        <v>158</v>
      </c>
      <c r="B598" s="1" t="s">
        <v>101</v>
      </c>
      <c r="C598" s="1" t="s">
        <v>25</v>
      </c>
      <c r="D598" s="1">
        <v>0</v>
      </c>
      <c r="E598" s="1">
        <v>-194.35</v>
      </c>
      <c r="F598" s="1">
        <v>0</v>
      </c>
      <c r="G598" s="1">
        <v>-3282.768</v>
      </c>
      <c r="H598" s="1">
        <v>0</v>
      </c>
      <c r="I598" s="1">
        <v>-546.28399999999999</v>
      </c>
    </row>
    <row r="599" spans="1:9" hidden="1" x14ac:dyDescent="0.25">
      <c r="A599" s="1" t="s">
        <v>158</v>
      </c>
      <c r="B599" s="1" t="s">
        <v>101</v>
      </c>
      <c r="C599" s="1" t="s">
        <v>10</v>
      </c>
      <c r="D599" s="1">
        <v>0</v>
      </c>
      <c r="E599" s="1">
        <v>-194.35</v>
      </c>
      <c r="F599" s="1">
        <v>0</v>
      </c>
      <c r="G599" s="1">
        <v>-3282.768</v>
      </c>
      <c r="H599" s="1">
        <v>0</v>
      </c>
      <c r="I599" s="1">
        <v>-1271.7080000000001</v>
      </c>
    </row>
    <row r="600" spans="1:9" hidden="1" x14ac:dyDescent="0.25">
      <c r="A600" s="1" t="s">
        <v>158</v>
      </c>
      <c r="B600" s="1" t="s">
        <v>102</v>
      </c>
      <c r="C600" s="1" t="s">
        <v>25</v>
      </c>
      <c r="D600" s="1">
        <v>0</v>
      </c>
      <c r="E600" s="1">
        <v>194.35</v>
      </c>
      <c r="F600" s="1">
        <v>0</v>
      </c>
      <c r="G600" s="1">
        <v>3282.768</v>
      </c>
      <c r="H600" s="1">
        <v>0</v>
      </c>
      <c r="I600" s="1">
        <v>546.28399999999999</v>
      </c>
    </row>
    <row r="601" spans="1:9" hidden="1" x14ac:dyDescent="0.25">
      <c r="A601" s="1" t="s">
        <v>158</v>
      </c>
      <c r="B601" s="1" t="s">
        <v>102</v>
      </c>
      <c r="C601" s="1" t="s">
        <v>10</v>
      </c>
      <c r="D601" s="1">
        <v>0</v>
      </c>
      <c r="E601" s="1">
        <v>194.35</v>
      </c>
      <c r="F601" s="1">
        <v>0</v>
      </c>
      <c r="G601" s="1">
        <v>3282.768</v>
      </c>
      <c r="H601" s="1">
        <v>0</v>
      </c>
      <c r="I601" s="1">
        <v>1271.7080000000001</v>
      </c>
    </row>
    <row r="602" spans="1:9" hidden="1" x14ac:dyDescent="0.25">
      <c r="A602" s="1" t="s">
        <v>158</v>
      </c>
      <c r="B602" s="1" t="s">
        <v>103</v>
      </c>
      <c r="C602" s="1" t="s">
        <v>25</v>
      </c>
      <c r="D602" s="1">
        <v>0</v>
      </c>
      <c r="E602" s="1">
        <v>-194.35</v>
      </c>
      <c r="F602" s="1">
        <v>0</v>
      </c>
      <c r="G602" s="1">
        <v>-3282.768</v>
      </c>
      <c r="H602" s="1">
        <v>0</v>
      </c>
      <c r="I602" s="1">
        <v>-546.28399999999999</v>
      </c>
    </row>
    <row r="603" spans="1:9" hidden="1" x14ac:dyDescent="0.25">
      <c r="A603" s="1" t="s">
        <v>158</v>
      </c>
      <c r="B603" s="1" t="s">
        <v>103</v>
      </c>
      <c r="C603" s="1" t="s">
        <v>10</v>
      </c>
      <c r="D603" s="1">
        <v>0</v>
      </c>
      <c r="E603" s="1">
        <v>-194.35</v>
      </c>
      <c r="F603" s="1">
        <v>0</v>
      </c>
      <c r="G603" s="1">
        <v>-3282.768</v>
      </c>
      <c r="H603" s="1">
        <v>0</v>
      </c>
      <c r="I603" s="1">
        <v>-1271.7080000000001</v>
      </c>
    </row>
    <row r="604" spans="1:9" hidden="1" x14ac:dyDescent="0.25">
      <c r="A604" s="1" t="s">
        <v>158</v>
      </c>
      <c r="B604" s="1" t="s">
        <v>104</v>
      </c>
      <c r="C604" s="1" t="s">
        <v>25</v>
      </c>
      <c r="D604" s="1">
        <v>0</v>
      </c>
      <c r="E604" s="1">
        <v>0</v>
      </c>
      <c r="F604" s="1">
        <v>483.2</v>
      </c>
      <c r="G604" s="1">
        <v>9609.9860000000008</v>
      </c>
      <c r="H604" s="1">
        <v>1163.6300000000001</v>
      </c>
      <c r="I604" s="1">
        <v>0</v>
      </c>
    </row>
    <row r="605" spans="1:9" hidden="1" x14ac:dyDescent="0.25">
      <c r="A605" s="1" t="s">
        <v>158</v>
      </c>
      <c r="B605" s="1" t="s">
        <v>104</v>
      </c>
      <c r="C605" s="1" t="s">
        <v>10</v>
      </c>
      <c r="D605" s="1">
        <v>0</v>
      </c>
      <c r="E605" s="1">
        <v>0</v>
      </c>
      <c r="F605" s="1">
        <v>483.2</v>
      </c>
      <c r="G605" s="1">
        <v>9609.9860000000008</v>
      </c>
      <c r="H605" s="1">
        <v>3071.299</v>
      </c>
      <c r="I605" s="1">
        <v>0</v>
      </c>
    </row>
    <row r="606" spans="1:9" hidden="1" x14ac:dyDescent="0.25">
      <c r="A606" s="1" t="s">
        <v>158</v>
      </c>
      <c r="B606" s="1" t="s">
        <v>105</v>
      </c>
      <c r="C606" s="1" t="s">
        <v>25</v>
      </c>
      <c r="D606" s="1">
        <v>0</v>
      </c>
      <c r="E606" s="1">
        <v>0</v>
      </c>
      <c r="F606" s="1">
        <v>-483.2</v>
      </c>
      <c r="G606" s="1">
        <v>-9609.9860000000008</v>
      </c>
      <c r="H606" s="1">
        <v>-1163.6300000000001</v>
      </c>
      <c r="I606" s="1">
        <v>0</v>
      </c>
    </row>
    <row r="607" spans="1:9" hidden="1" x14ac:dyDescent="0.25">
      <c r="A607" s="1" t="s">
        <v>158</v>
      </c>
      <c r="B607" s="1" t="s">
        <v>105</v>
      </c>
      <c r="C607" s="1" t="s">
        <v>10</v>
      </c>
      <c r="D607" s="1">
        <v>0</v>
      </c>
      <c r="E607" s="1">
        <v>0</v>
      </c>
      <c r="F607" s="1">
        <v>-483.2</v>
      </c>
      <c r="G607" s="1">
        <v>-9609.9860000000008</v>
      </c>
      <c r="H607" s="1">
        <v>-3071.299</v>
      </c>
      <c r="I607" s="1">
        <v>0</v>
      </c>
    </row>
    <row r="608" spans="1:9" hidden="1" x14ac:dyDescent="0.25">
      <c r="A608" s="1" t="s">
        <v>158</v>
      </c>
      <c r="B608" s="1" t="s">
        <v>106</v>
      </c>
      <c r="C608" s="1" t="s">
        <v>25</v>
      </c>
      <c r="D608" s="1">
        <v>0</v>
      </c>
      <c r="E608" s="1">
        <v>0</v>
      </c>
      <c r="F608" s="1">
        <v>483.2</v>
      </c>
      <c r="G608" s="1">
        <v>9609.9860000000008</v>
      </c>
      <c r="H608" s="1">
        <v>1163.6300000000001</v>
      </c>
      <c r="I608" s="1">
        <v>0</v>
      </c>
    </row>
    <row r="609" spans="1:9" hidden="1" x14ac:dyDescent="0.25">
      <c r="A609" s="1" t="s">
        <v>158</v>
      </c>
      <c r="B609" s="1" t="s">
        <v>106</v>
      </c>
      <c r="C609" s="1" t="s">
        <v>10</v>
      </c>
      <c r="D609" s="1">
        <v>0</v>
      </c>
      <c r="E609" s="1">
        <v>0</v>
      </c>
      <c r="F609" s="1">
        <v>483.2</v>
      </c>
      <c r="G609" s="1">
        <v>9609.9860000000008</v>
      </c>
      <c r="H609" s="1">
        <v>3071.299</v>
      </c>
      <c r="I609" s="1">
        <v>0</v>
      </c>
    </row>
    <row r="610" spans="1:9" hidden="1" x14ac:dyDescent="0.25">
      <c r="A610" s="1" t="s">
        <v>158</v>
      </c>
      <c r="B610" s="1" t="s">
        <v>107</v>
      </c>
      <c r="C610" s="1" t="s">
        <v>25</v>
      </c>
      <c r="D610" s="1">
        <v>0</v>
      </c>
      <c r="E610" s="1">
        <v>0</v>
      </c>
      <c r="F610" s="1">
        <v>-483.2</v>
      </c>
      <c r="G610" s="1">
        <v>-9609.9860000000008</v>
      </c>
      <c r="H610" s="1">
        <v>-1163.6300000000001</v>
      </c>
      <c r="I610" s="1">
        <v>0</v>
      </c>
    </row>
    <row r="611" spans="1:9" hidden="1" x14ac:dyDescent="0.25">
      <c r="A611" s="1" t="s">
        <v>158</v>
      </c>
      <c r="B611" s="1" t="s">
        <v>107</v>
      </c>
      <c r="C611" s="1" t="s">
        <v>10</v>
      </c>
      <c r="D611" s="1">
        <v>0</v>
      </c>
      <c r="E611" s="1">
        <v>0</v>
      </c>
      <c r="F611" s="1">
        <v>-483.2</v>
      </c>
      <c r="G611" s="1">
        <v>-9609.9860000000008</v>
      </c>
      <c r="H611" s="1">
        <v>-3071.299</v>
      </c>
      <c r="I611" s="1">
        <v>0</v>
      </c>
    </row>
    <row r="612" spans="1:9" hidden="1" x14ac:dyDescent="0.25">
      <c r="A612" s="1" t="s">
        <v>158</v>
      </c>
      <c r="B612" s="1" t="s">
        <v>108</v>
      </c>
      <c r="C612" s="1" t="s">
        <v>25</v>
      </c>
      <c r="D612" s="1">
        <v>0</v>
      </c>
      <c r="E612" s="1">
        <v>58.3</v>
      </c>
      <c r="F612" s="1">
        <v>0</v>
      </c>
      <c r="G612" s="1">
        <v>984.83</v>
      </c>
      <c r="H612" s="1">
        <v>0</v>
      </c>
      <c r="I612" s="1">
        <v>163.88499999999999</v>
      </c>
    </row>
    <row r="613" spans="1:9" hidden="1" x14ac:dyDescent="0.25">
      <c r="A613" s="1" t="s">
        <v>158</v>
      </c>
      <c r="B613" s="1" t="s">
        <v>108</v>
      </c>
      <c r="C613" s="1" t="s">
        <v>10</v>
      </c>
      <c r="D613" s="1">
        <v>0</v>
      </c>
      <c r="E613" s="1">
        <v>58.3</v>
      </c>
      <c r="F613" s="1">
        <v>0</v>
      </c>
      <c r="G613" s="1">
        <v>984.83</v>
      </c>
      <c r="H613" s="1">
        <v>0</v>
      </c>
      <c r="I613" s="1">
        <v>381.512</v>
      </c>
    </row>
    <row r="614" spans="1:9" hidden="1" x14ac:dyDescent="0.25">
      <c r="A614" s="1" t="s">
        <v>158</v>
      </c>
      <c r="B614" s="1" t="s">
        <v>109</v>
      </c>
      <c r="C614" s="1" t="s">
        <v>25</v>
      </c>
      <c r="D614" s="1">
        <v>0</v>
      </c>
      <c r="E614" s="1">
        <v>-58.3</v>
      </c>
      <c r="F614" s="1">
        <v>0</v>
      </c>
      <c r="G614" s="1">
        <v>-984.83</v>
      </c>
      <c r="H614" s="1">
        <v>0</v>
      </c>
      <c r="I614" s="1">
        <v>-163.88499999999999</v>
      </c>
    </row>
    <row r="615" spans="1:9" hidden="1" x14ac:dyDescent="0.25">
      <c r="A615" s="1" t="s">
        <v>158</v>
      </c>
      <c r="B615" s="1" t="s">
        <v>109</v>
      </c>
      <c r="C615" s="1" t="s">
        <v>10</v>
      </c>
      <c r="D615" s="1">
        <v>0</v>
      </c>
      <c r="E615" s="1">
        <v>-58.3</v>
      </c>
      <c r="F615" s="1">
        <v>0</v>
      </c>
      <c r="G615" s="1">
        <v>-984.83</v>
      </c>
      <c r="H615" s="1">
        <v>0</v>
      </c>
      <c r="I615" s="1">
        <v>-381.512</v>
      </c>
    </row>
    <row r="616" spans="1:9" hidden="1" x14ac:dyDescent="0.25">
      <c r="A616" s="1" t="s">
        <v>158</v>
      </c>
      <c r="B616" s="1" t="s">
        <v>110</v>
      </c>
      <c r="C616" s="1" t="s">
        <v>25</v>
      </c>
      <c r="D616" s="1">
        <v>0</v>
      </c>
      <c r="E616" s="1">
        <v>58.3</v>
      </c>
      <c r="F616" s="1">
        <v>0</v>
      </c>
      <c r="G616" s="1">
        <v>984.83</v>
      </c>
      <c r="H616" s="1">
        <v>0</v>
      </c>
      <c r="I616" s="1">
        <v>163.88499999999999</v>
      </c>
    </row>
    <row r="617" spans="1:9" hidden="1" x14ac:dyDescent="0.25">
      <c r="A617" s="1" t="s">
        <v>158</v>
      </c>
      <c r="B617" s="1" t="s">
        <v>110</v>
      </c>
      <c r="C617" s="1" t="s">
        <v>10</v>
      </c>
      <c r="D617" s="1">
        <v>0</v>
      </c>
      <c r="E617" s="1">
        <v>58.3</v>
      </c>
      <c r="F617" s="1">
        <v>0</v>
      </c>
      <c r="G617" s="1">
        <v>984.83</v>
      </c>
      <c r="H617" s="1">
        <v>0</v>
      </c>
      <c r="I617" s="1">
        <v>381.512</v>
      </c>
    </row>
    <row r="618" spans="1:9" hidden="1" x14ac:dyDescent="0.25">
      <c r="A618" s="1" t="s">
        <v>158</v>
      </c>
      <c r="B618" s="1" t="s">
        <v>111</v>
      </c>
      <c r="C618" s="1" t="s">
        <v>25</v>
      </c>
      <c r="D618" s="1">
        <v>0</v>
      </c>
      <c r="E618" s="1">
        <v>-58.3</v>
      </c>
      <c r="F618" s="1">
        <v>0</v>
      </c>
      <c r="G618" s="1">
        <v>-984.83</v>
      </c>
      <c r="H618" s="1">
        <v>0</v>
      </c>
      <c r="I618" s="1">
        <v>-163.88499999999999</v>
      </c>
    </row>
    <row r="619" spans="1:9" hidden="1" x14ac:dyDescent="0.25">
      <c r="A619" s="1" t="s">
        <v>158</v>
      </c>
      <c r="B619" s="1" t="s">
        <v>111</v>
      </c>
      <c r="C619" s="1" t="s">
        <v>10</v>
      </c>
      <c r="D619" s="1">
        <v>0</v>
      </c>
      <c r="E619" s="1">
        <v>-58.3</v>
      </c>
      <c r="F619" s="1">
        <v>0</v>
      </c>
      <c r="G619" s="1">
        <v>-984.83</v>
      </c>
      <c r="H619" s="1">
        <v>0</v>
      </c>
      <c r="I619" s="1">
        <v>-381.512</v>
      </c>
    </row>
    <row r="620" spans="1:9" hidden="1" x14ac:dyDescent="0.25">
      <c r="A620" s="1" t="s">
        <v>158</v>
      </c>
      <c r="B620" s="1" t="s">
        <v>112</v>
      </c>
      <c r="C620" s="1" t="s">
        <v>25</v>
      </c>
      <c r="D620" s="1">
        <v>0</v>
      </c>
      <c r="E620" s="1">
        <v>0</v>
      </c>
      <c r="F620" s="1">
        <v>144.96</v>
      </c>
      <c r="G620" s="1">
        <v>2882.9960000000001</v>
      </c>
      <c r="H620" s="1">
        <v>349.089</v>
      </c>
      <c r="I620" s="1">
        <v>0</v>
      </c>
    </row>
    <row r="621" spans="1:9" hidden="1" x14ac:dyDescent="0.25">
      <c r="A621" s="1" t="s">
        <v>158</v>
      </c>
      <c r="B621" s="1" t="s">
        <v>112</v>
      </c>
      <c r="C621" s="1" t="s">
        <v>10</v>
      </c>
      <c r="D621" s="1">
        <v>0</v>
      </c>
      <c r="E621" s="1">
        <v>0</v>
      </c>
      <c r="F621" s="1">
        <v>144.96</v>
      </c>
      <c r="G621" s="1">
        <v>2882.9960000000001</v>
      </c>
      <c r="H621" s="1">
        <v>921.39</v>
      </c>
      <c r="I621" s="1">
        <v>0</v>
      </c>
    </row>
    <row r="622" spans="1:9" hidden="1" x14ac:dyDescent="0.25">
      <c r="A622" s="1" t="s">
        <v>158</v>
      </c>
      <c r="B622" s="1" t="s">
        <v>113</v>
      </c>
      <c r="C622" s="1" t="s">
        <v>25</v>
      </c>
      <c r="D622" s="1">
        <v>0</v>
      </c>
      <c r="E622" s="1">
        <v>0</v>
      </c>
      <c r="F622" s="1">
        <v>-144.96</v>
      </c>
      <c r="G622" s="1">
        <v>-2882.9960000000001</v>
      </c>
      <c r="H622" s="1">
        <v>-349.089</v>
      </c>
      <c r="I622" s="1">
        <v>0</v>
      </c>
    </row>
    <row r="623" spans="1:9" hidden="1" x14ac:dyDescent="0.25">
      <c r="A623" s="1" t="s">
        <v>158</v>
      </c>
      <c r="B623" s="1" t="s">
        <v>113</v>
      </c>
      <c r="C623" s="1" t="s">
        <v>10</v>
      </c>
      <c r="D623" s="1">
        <v>0</v>
      </c>
      <c r="E623" s="1">
        <v>0</v>
      </c>
      <c r="F623" s="1">
        <v>-144.96</v>
      </c>
      <c r="G623" s="1">
        <v>-2882.9960000000001</v>
      </c>
      <c r="H623" s="1">
        <v>-921.39</v>
      </c>
      <c r="I623" s="1">
        <v>0</v>
      </c>
    </row>
    <row r="624" spans="1:9" hidden="1" x14ac:dyDescent="0.25">
      <c r="A624" s="1" t="s">
        <v>158</v>
      </c>
      <c r="B624" s="1" t="s">
        <v>114</v>
      </c>
      <c r="C624" s="1" t="s">
        <v>25</v>
      </c>
      <c r="D624" s="1">
        <v>0</v>
      </c>
      <c r="E624" s="1">
        <v>0</v>
      </c>
      <c r="F624" s="1">
        <v>144.96</v>
      </c>
      <c r="G624" s="1">
        <v>2882.9960000000001</v>
      </c>
      <c r="H624" s="1">
        <v>349.089</v>
      </c>
      <c r="I624" s="1">
        <v>0</v>
      </c>
    </row>
    <row r="625" spans="1:9" hidden="1" x14ac:dyDescent="0.25">
      <c r="A625" s="1" t="s">
        <v>158</v>
      </c>
      <c r="B625" s="1" t="s">
        <v>114</v>
      </c>
      <c r="C625" s="1" t="s">
        <v>10</v>
      </c>
      <c r="D625" s="1">
        <v>0</v>
      </c>
      <c r="E625" s="1">
        <v>0</v>
      </c>
      <c r="F625" s="1">
        <v>144.96</v>
      </c>
      <c r="G625" s="1">
        <v>2882.9960000000001</v>
      </c>
      <c r="H625" s="1">
        <v>921.39</v>
      </c>
      <c r="I625" s="1">
        <v>0</v>
      </c>
    </row>
    <row r="626" spans="1:9" hidden="1" x14ac:dyDescent="0.25">
      <c r="A626" s="1" t="s">
        <v>158</v>
      </c>
      <c r="B626" s="1" t="s">
        <v>115</v>
      </c>
      <c r="C626" s="1" t="s">
        <v>25</v>
      </c>
      <c r="D626" s="1">
        <v>0</v>
      </c>
      <c r="E626" s="1">
        <v>0</v>
      </c>
      <c r="F626" s="1">
        <v>-144.96</v>
      </c>
      <c r="G626" s="1">
        <v>-2882.9960000000001</v>
      </c>
      <c r="H626" s="1">
        <v>-349.089</v>
      </c>
      <c r="I626" s="1">
        <v>0</v>
      </c>
    </row>
    <row r="627" spans="1:9" hidden="1" x14ac:dyDescent="0.25">
      <c r="A627" s="1" t="s">
        <v>158</v>
      </c>
      <c r="B627" s="1" t="s">
        <v>115</v>
      </c>
      <c r="C627" s="1" t="s">
        <v>10</v>
      </c>
      <c r="D627" s="1">
        <v>0</v>
      </c>
      <c r="E627" s="1">
        <v>0</v>
      </c>
      <c r="F627" s="1">
        <v>-144.96</v>
      </c>
      <c r="G627" s="1">
        <v>-2882.9960000000001</v>
      </c>
      <c r="H627" s="1">
        <v>-921.39</v>
      </c>
      <c r="I627" s="1">
        <v>0</v>
      </c>
    </row>
    <row r="628" spans="1:9" hidden="1" x14ac:dyDescent="0.25">
      <c r="A628" s="1" t="s">
        <v>158</v>
      </c>
      <c r="B628" s="1" t="s">
        <v>116</v>
      </c>
      <c r="C628" s="1" t="s">
        <v>25</v>
      </c>
      <c r="D628" s="1">
        <v>0</v>
      </c>
      <c r="E628" s="1">
        <v>194.35</v>
      </c>
      <c r="F628" s="1">
        <v>0</v>
      </c>
      <c r="G628" s="1">
        <v>3282.768</v>
      </c>
      <c r="H628" s="1">
        <v>0</v>
      </c>
      <c r="I628" s="1">
        <v>546.28399999999999</v>
      </c>
    </row>
    <row r="629" spans="1:9" hidden="1" x14ac:dyDescent="0.25">
      <c r="A629" s="1" t="s">
        <v>158</v>
      </c>
      <c r="B629" s="1" t="s">
        <v>116</v>
      </c>
      <c r="C629" s="1" t="s">
        <v>10</v>
      </c>
      <c r="D629" s="1">
        <v>0</v>
      </c>
      <c r="E629" s="1">
        <v>194.35</v>
      </c>
      <c r="F629" s="1">
        <v>0</v>
      </c>
      <c r="G629" s="1">
        <v>3282.768</v>
      </c>
      <c r="H629" s="1">
        <v>0</v>
      </c>
      <c r="I629" s="1">
        <v>1271.7080000000001</v>
      </c>
    </row>
    <row r="630" spans="1:9" hidden="1" x14ac:dyDescent="0.25">
      <c r="A630" s="1" t="s">
        <v>158</v>
      </c>
      <c r="B630" s="1" t="s">
        <v>117</v>
      </c>
      <c r="C630" s="1" t="s">
        <v>25</v>
      </c>
      <c r="D630" s="1">
        <v>0</v>
      </c>
      <c r="E630" s="1">
        <v>-194.35</v>
      </c>
      <c r="F630" s="1">
        <v>0</v>
      </c>
      <c r="G630" s="1">
        <v>-3282.768</v>
      </c>
      <c r="H630" s="1">
        <v>0</v>
      </c>
      <c r="I630" s="1">
        <v>-546.28399999999999</v>
      </c>
    </row>
    <row r="631" spans="1:9" hidden="1" x14ac:dyDescent="0.25">
      <c r="A631" s="1" t="s">
        <v>158</v>
      </c>
      <c r="B631" s="1" t="s">
        <v>117</v>
      </c>
      <c r="C631" s="1" t="s">
        <v>10</v>
      </c>
      <c r="D631" s="1">
        <v>0</v>
      </c>
      <c r="E631" s="1">
        <v>-194.35</v>
      </c>
      <c r="F631" s="1">
        <v>0</v>
      </c>
      <c r="G631" s="1">
        <v>-3282.768</v>
      </c>
      <c r="H631" s="1">
        <v>0</v>
      </c>
      <c r="I631" s="1">
        <v>-1271.7080000000001</v>
      </c>
    </row>
    <row r="632" spans="1:9" hidden="1" x14ac:dyDescent="0.25">
      <c r="A632" s="1" t="s">
        <v>158</v>
      </c>
      <c r="B632" s="1" t="s">
        <v>118</v>
      </c>
      <c r="C632" s="1" t="s">
        <v>25</v>
      </c>
      <c r="D632" s="1">
        <v>0</v>
      </c>
      <c r="E632" s="1">
        <v>194.35</v>
      </c>
      <c r="F632" s="1">
        <v>0</v>
      </c>
      <c r="G632" s="1">
        <v>3282.768</v>
      </c>
      <c r="H632" s="1">
        <v>0</v>
      </c>
      <c r="I632" s="1">
        <v>546.28399999999999</v>
      </c>
    </row>
    <row r="633" spans="1:9" hidden="1" x14ac:dyDescent="0.25">
      <c r="A633" s="1" t="s">
        <v>158</v>
      </c>
      <c r="B633" s="1" t="s">
        <v>118</v>
      </c>
      <c r="C633" s="1" t="s">
        <v>10</v>
      </c>
      <c r="D633" s="1">
        <v>0</v>
      </c>
      <c r="E633" s="1">
        <v>194.35</v>
      </c>
      <c r="F633" s="1">
        <v>0</v>
      </c>
      <c r="G633" s="1">
        <v>3282.768</v>
      </c>
      <c r="H633" s="1">
        <v>0</v>
      </c>
      <c r="I633" s="1">
        <v>1271.7080000000001</v>
      </c>
    </row>
    <row r="634" spans="1:9" hidden="1" x14ac:dyDescent="0.25">
      <c r="A634" s="1" t="s">
        <v>158</v>
      </c>
      <c r="B634" s="1" t="s">
        <v>119</v>
      </c>
      <c r="C634" s="1" t="s">
        <v>25</v>
      </c>
      <c r="D634" s="1">
        <v>0</v>
      </c>
      <c r="E634" s="1">
        <v>-194.35</v>
      </c>
      <c r="F634" s="1">
        <v>0</v>
      </c>
      <c r="G634" s="1">
        <v>-3282.768</v>
      </c>
      <c r="H634" s="1">
        <v>0</v>
      </c>
      <c r="I634" s="1">
        <v>-546.28399999999999</v>
      </c>
    </row>
    <row r="635" spans="1:9" hidden="1" x14ac:dyDescent="0.25">
      <c r="A635" s="1" t="s">
        <v>158</v>
      </c>
      <c r="B635" s="1" t="s">
        <v>119</v>
      </c>
      <c r="C635" s="1" t="s">
        <v>10</v>
      </c>
      <c r="D635" s="1">
        <v>0</v>
      </c>
      <c r="E635" s="1">
        <v>-194.35</v>
      </c>
      <c r="F635" s="1">
        <v>0</v>
      </c>
      <c r="G635" s="1">
        <v>-3282.768</v>
      </c>
      <c r="H635" s="1">
        <v>0</v>
      </c>
      <c r="I635" s="1">
        <v>-1271.7080000000001</v>
      </c>
    </row>
    <row r="636" spans="1:9" hidden="1" x14ac:dyDescent="0.25">
      <c r="A636" s="1" t="s">
        <v>158</v>
      </c>
      <c r="B636" s="1" t="s">
        <v>120</v>
      </c>
      <c r="C636" s="1" t="s">
        <v>25</v>
      </c>
      <c r="D636" s="1">
        <v>0</v>
      </c>
      <c r="E636" s="1">
        <v>0</v>
      </c>
      <c r="F636" s="1">
        <v>483.2</v>
      </c>
      <c r="G636" s="1">
        <v>9609.9860000000008</v>
      </c>
      <c r="H636" s="1">
        <v>1163.6300000000001</v>
      </c>
      <c r="I636" s="1">
        <v>0</v>
      </c>
    </row>
    <row r="637" spans="1:9" hidden="1" x14ac:dyDescent="0.25">
      <c r="A637" s="1" t="s">
        <v>158</v>
      </c>
      <c r="B637" s="1" t="s">
        <v>120</v>
      </c>
      <c r="C637" s="1" t="s">
        <v>10</v>
      </c>
      <c r="D637" s="1">
        <v>0</v>
      </c>
      <c r="E637" s="1">
        <v>0</v>
      </c>
      <c r="F637" s="1">
        <v>483.2</v>
      </c>
      <c r="G637" s="1">
        <v>9609.9860000000008</v>
      </c>
      <c r="H637" s="1">
        <v>3071.299</v>
      </c>
      <c r="I637" s="1">
        <v>0</v>
      </c>
    </row>
    <row r="638" spans="1:9" hidden="1" x14ac:dyDescent="0.25">
      <c r="A638" s="1" t="s">
        <v>158</v>
      </c>
      <c r="B638" s="1" t="s">
        <v>121</v>
      </c>
      <c r="C638" s="1" t="s">
        <v>25</v>
      </c>
      <c r="D638" s="1">
        <v>0</v>
      </c>
      <c r="E638" s="1">
        <v>0</v>
      </c>
      <c r="F638" s="1">
        <v>-483.2</v>
      </c>
      <c r="G638" s="1">
        <v>-9609.9860000000008</v>
      </c>
      <c r="H638" s="1">
        <v>-1163.6300000000001</v>
      </c>
      <c r="I638" s="1">
        <v>0</v>
      </c>
    </row>
    <row r="639" spans="1:9" hidden="1" x14ac:dyDescent="0.25">
      <c r="A639" s="1" t="s">
        <v>158</v>
      </c>
      <c r="B639" s="1" t="s">
        <v>121</v>
      </c>
      <c r="C639" s="1" t="s">
        <v>10</v>
      </c>
      <c r="D639" s="1">
        <v>0</v>
      </c>
      <c r="E639" s="1">
        <v>0</v>
      </c>
      <c r="F639" s="1">
        <v>-483.2</v>
      </c>
      <c r="G639" s="1">
        <v>-9609.9860000000008</v>
      </c>
      <c r="H639" s="1">
        <v>-3071.299</v>
      </c>
      <c r="I639" s="1">
        <v>0</v>
      </c>
    </row>
    <row r="640" spans="1:9" hidden="1" x14ac:dyDescent="0.25">
      <c r="A640" s="1" t="s">
        <v>158</v>
      </c>
      <c r="B640" s="1" t="s">
        <v>122</v>
      </c>
      <c r="C640" s="1" t="s">
        <v>25</v>
      </c>
      <c r="D640" s="1">
        <v>0</v>
      </c>
      <c r="E640" s="1">
        <v>0</v>
      </c>
      <c r="F640" s="1">
        <v>483.2</v>
      </c>
      <c r="G640" s="1">
        <v>9609.9860000000008</v>
      </c>
      <c r="H640" s="1">
        <v>1163.6300000000001</v>
      </c>
      <c r="I640" s="1">
        <v>0</v>
      </c>
    </row>
    <row r="641" spans="1:9" hidden="1" x14ac:dyDescent="0.25">
      <c r="A641" s="1" t="s">
        <v>158</v>
      </c>
      <c r="B641" s="1" t="s">
        <v>122</v>
      </c>
      <c r="C641" s="1" t="s">
        <v>10</v>
      </c>
      <c r="D641" s="1">
        <v>0</v>
      </c>
      <c r="E641" s="1">
        <v>0</v>
      </c>
      <c r="F641" s="1">
        <v>483.2</v>
      </c>
      <c r="G641" s="1">
        <v>9609.9860000000008</v>
      </c>
      <c r="H641" s="1">
        <v>3071.299</v>
      </c>
      <c r="I641" s="1">
        <v>0</v>
      </c>
    </row>
    <row r="642" spans="1:9" hidden="1" x14ac:dyDescent="0.25">
      <c r="A642" s="1" t="s">
        <v>158</v>
      </c>
      <c r="B642" s="1" t="s">
        <v>123</v>
      </c>
      <c r="C642" s="1" t="s">
        <v>25</v>
      </c>
      <c r="D642" s="1">
        <v>0</v>
      </c>
      <c r="E642" s="1">
        <v>0</v>
      </c>
      <c r="F642" s="1">
        <v>-483.2</v>
      </c>
      <c r="G642" s="1">
        <v>-9609.9860000000008</v>
      </c>
      <c r="H642" s="1">
        <v>-1163.6300000000001</v>
      </c>
      <c r="I642" s="1">
        <v>0</v>
      </c>
    </row>
    <row r="643" spans="1:9" hidden="1" x14ac:dyDescent="0.25">
      <c r="A643" s="1" t="s">
        <v>158</v>
      </c>
      <c r="B643" s="1" t="s">
        <v>123</v>
      </c>
      <c r="C643" s="1" t="s">
        <v>10</v>
      </c>
      <c r="D643" s="1">
        <v>0</v>
      </c>
      <c r="E643" s="1">
        <v>0</v>
      </c>
      <c r="F643" s="1">
        <v>-483.2</v>
      </c>
      <c r="G643" s="1">
        <v>-9609.9860000000008</v>
      </c>
      <c r="H643" s="1">
        <v>-3071.299</v>
      </c>
      <c r="I643" s="1">
        <v>0</v>
      </c>
    </row>
    <row r="644" spans="1:9" hidden="1" x14ac:dyDescent="0.25">
      <c r="A644" s="1" t="s">
        <v>158</v>
      </c>
      <c r="B644" s="1" t="s">
        <v>124</v>
      </c>
      <c r="C644" s="1" t="s">
        <v>25</v>
      </c>
      <c r="D644" s="1">
        <v>0</v>
      </c>
      <c r="E644" s="1">
        <v>58.3</v>
      </c>
      <c r="F644" s="1">
        <v>0</v>
      </c>
      <c r="G644" s="1">
        <v>984.83</v>
      </c>
      <c r="H644" s="1">
        <v>0</v>
      </c>
      <c r="I644" s="1">
        <v>163.88499999999999</v>
      </c>
    </row>
    <row r="645" spans="1:9" hidden="1" x14ac:dyDescent="0.25">
      <c r="A645" s="1" t="s">
        <v>158</v>
      </c>
      <c r="B645" s="1" t="s">
        <v>124</v>
      </c>
      <c r="C645" s="1" t="s">
        <v>10</v>
      </c>
      <c r="D645" s="1">
        <v>0</v>
      </c>
      <c r="E645" s="1">
        <v>58.3</v>
      </c>
      <c r="F645" s="1">
        <v>0</v>
      </c>
      <c r="G645" s="1">
        <v>984.83</v>
      </c>
      <c r="H645" s="1">
        <v>0</v>
      </c>
      <c r="I645" s="1">
        <v>381.512</v>
      </c>
    </row>
    <row r="646" spans="1:9" hidden="1" x14ac:dyDescent="0.25">
      <c r="A646" s="1" t="s">
        <v>158</v>
      </c>
      <c r="B646" s="1" t="s">
        <v>125</v>
      </c>
      <c r="C646" s="1" t="s">
        <v>25</v>
      </c>
      <c r="D646" s="1">
        <v>0</v>
      </c>
      <c r="E646" s="1">
        <v>-58.3</v>
      </c>
      <c r="F646" s="1">
        <v>0</v>
      </c>
      <c r="G646" s="1">
        <v>-984.83</v>
      </c>
      <c r="H646" s="1">
        <v>0</v>
      </c>
      <c r="I646" s="1">
        <v>-163.88499999999999</v>
      </c>
    </row>
    <row r="647" spans="1:9" hidden="1" x14ac:dyDescent="0.25">
      <c r="A647" s="1" t="s">
        <v>158</v>
      </c>
      <c r="B647" s="1" t="s">
        <v>125</v>
      </c>
      <c r="C647" s="1" t="s">
        <v>10</v>
      </c>
      <c r="D647" s="1">
        <v>0</v>
      </c>
      <c r="E647" s="1">
        <v>-58.3</v>
      </c>
      <c r="F647" s="1">
        <v>0</v>
      </c>
      <c r="G647" s="1">
        <v>-984.83</v>
      </c>
      <c r="H647" s="1">
        <v>0</v>
      </c>
      <c r="I647" s="1">
        <v>-381.512</v>
      </c>
    </row>
    <row r="648" spans="1:9" hidden="1" x14ac:dyDescent="0.25">
      <c r="A648" s="1" t="s">
        <v>158</v>
      </c>
      <c r="B648" s="1" t="s">
        <v>126</v>
      </c>
      <c r="C648" s="1" t="s">
        <v>25</v>
      </c>
      <c r="D648" s="1">
        <v>0</v>
      </c>
      <c r="E648" s="1">
        <v>58.3</v>
      </c>
      <c r="F648" s="1">
        <v>0</v>
      </c>
      <c r="G648" s="1">
        <v>984.83</v>
      </c>
      <c r="H648" s="1">
        <v>0</v>
      </c>
      <c r="I648" s="1">
        <v>163.88499999999999</v>
      </c>
    </row>
    <row r="649" spans="1:9" hidden="1" x14ac:dyDescent="0.25">
      <c r="A649" s="1" t="s">
        <v>158</v>
      </c>
      <c r="B649" s="1" t="s">
        <v>126</v>
      </c>
      <c r="C649" s="1" t="s">
        <v>10</v>
      </c>
      <c r="D649" s="1">
        <v>0</v>
      </c>
      <c r="E649" s="1">
        <v>58.3</v>
      </c>
      <c r="F649" s="1">
        <v>0</v>
      </c>
      <c r="G649" s="1">
        <v>984.83</v>
      </c>
      <c r="H649" s="1">
        <v>0</v>
      </c>
      <c r="I649" s="1">
        <v>381.512</v>
      </c>
    </row>
    <row r="650" spans="1:9" hidden="1" x14ac:dyDescent="0.25">
      <c r="A650" s="1" t="s">
        <v>158</v>
      </c>
      <c r="B650" s="1" t="s">
        <v>127</v>
      </c>
      <c r="C650" s="1" t="s">
        <v>25</v>
      </c>
      <c r="D650" s="1">
        <v>0</v>
      </c>
      <c r="E650" s="1">
        <v>-58.3</v>
      </c>
      <c r="F650" s="1">
        <v>0</v>
      </c>
      <c r="G650" s="1">
        <v>-984.83</v>
      </c>
      <c r="H650" s="1">
        <v>0</v>
      </c>
      <c r="I650" s="1">
        <v>-163.88499999999999</v>
      </c>
    </row>
    <row r="651" spans="1:9" hidden="1" x14ac:dyDescent="0.25">
      <c r="A651" s="1" t="s">
        <v>158</v>
      </c>
      <c r="B651" s="1" t="s">
        <v>127</v>
      </c>
      <c r="C651" s="1" t="s">
        <v>10</v>
      </c>
      <c r="D651" s="1">
        <v>0</v>
      </c>
      <c r="E651" s="1">
        <v>-58.3</v>
      </c>
      <c r="F651" s="1">
        <v>0</v>
      </c>
      <c r="G651" s="1">
        <v>-984.83</v>
      </c>
      <c r="H651" s="1">
        <v>0</v>
      </c>
      <c r="I651" s="1">
        <v>-381.512</v>
      </c>
    </row>
    <row r="652" spans="1:9" hidden="1" x14ac:dyDescent="0.25">
      <c r="A652" s="1" t="s">
        <v>158</v>
      </c>
      <c r="B652" s="1" t="s">
        <v>128</v>
      </c>
      <c r="C652" s="1" t="s">
        <v>25</v>
      </c>
      <c r="D652" s="1">
        <v>0</v>
      </c>
      <c r="E652" s="1">
        <v>0</v>
      </c>
      <c r="F652" s="1">
        <v>144.96</v>
      </c>
      <c r="G652" s="1">
        <v>2882.9960000000001</v>
      </c>
      <c r="H652" s="1">
        <v>349.089</v>
      </c>
      <c r="I652" s="1">
        <v>0</v>
      </c>
    </row>
    <row r="653" spans="1:9" hidden="1" x14ac:dyDescent="0.25">
      <c r="A653" s="1" t="s">
        <v>158</v>
      </c>
      <c r="B653" s="1" t="s">
        <v>128</v>
      </c>
      <c r="C653" s="1" t="s">
        <v>10</v>
      </c>
      <c r="D653" s="1">
        <v>0</v>
      </c>
      <c r="E653" s="1">
        <v>0</v>
      </c>
      <c r="F653" s="1">
        <v>144.96</v>
      </c>
      <c r="G653" s="1">
        <v>2882.9960000000001</v>
      </c>
      <c r="H653" s="1">
        <v>921.39</v>
      </c>
      <c r="I653" s="1">
        <v>0</v>
      </c>
    </row>
    <row r="654" spans="1:9" hidden="1" x14ac:dyDescent="0.25">
      <c r="A654" s="1" t="s">
        <v>158</v>
      </c>
      <c r="B654" s="1" t="s">
        <v>129</v>
      </c>
      <c r="C654" s="1" t="s">
        <v>25</v>
      </c>
      <c r="D654" s="1">
        <v>0</v>
      </c>
      <c r="E654" s="1">
        <v>0</v>
      </c>
      <c r="F654" s="1">
        <v>-144.96</v>
      </c>
      <c r="G654" s="1">
        <v>-2882.9960000000001</v>
      </c>
      <c r="H654" s="1">
        <v>-349.089</v>
      </c>
      <c r="I654" s="1">
        <v>0</v>
      </c>
    </row>
    <row r="655" spans="1:9" hidden="1" x14ac:dyDescent="0.25">
      <c r="A655" s="1" t="s">
        <v>158</v>
      </c>
      <c r="B655" s="1" t="s">
        <v>129</v>
      </c>
      <c r="C655" s="1" t="s">
        <v>10</v>
      </c>
      <c r="D655" s="1">
        <v>0</v>
      </c>
      <c r="E655" s="1">
        <v>0</v>
      </c>
      <c r="F655" s="1">
        <v>-144.96</v>
      </c>
      <c r="G655" s="1">
        <v>-2882.9960000000001</v>
      </c>
      <c r="H655" s="1">
        <v>-921.39</v>
      </c>
      <c r="I655" s="1">
        <v>0</v>
      </c>
    </row>
    <row r="656" spans="1:9" hidden="1" x14ac:dyDescent="0.25">
      <c r="A656" s="1" t="s">
        <v>158</v>
      </c>
      <c r="B656" s="1" t="s">
        <v>130</v>
      </c>
      <c r="C656" s="1" t="s">
        <v>25</v>
      </c>
      <c r="D656" s="1">
        <v>0</v>
      </c>
      <c r="E656" s="1">
        <v>0</v>
      </c>
      <c r="F656" s="1">
        <v>144.96</v>
      </c>
      <c r="G656" s="1">
        <v>2882.9960000000001</v>
      </c>
      <c r="H656" s="1">
        <v>349.089</v>
      </c>
      <c r="I656" s="1">
        <v>0</v>
      </c>
    </row>
    <row r="657" spans="1:9" hidden="1" x14ac:dyDescent="0.25">
      <c r="A657" s="1" t="s">
        <v>158</v>
      </c>
      <c r="B657" s="1" t="s">
        <v>130</v>
      </c>
      <c r="C657" s="1" t="s">
        <v>10</v>
      </c>
      <c r="D657" s="1">
        <v>0</v>
      </c>
      <c r="E657" s="1">
        <v>0</v>
      </c>
      <c r="F657" s="1">
        <v>144.96</v>
      </c>
      <c r="G657" s="1">
        <v>2882.9960000000001</v>
      </c>
      <c r="H657" s="1">
        <v>921.39</v>
      </c>
      <c r="I657" s="1">
        <v>0</v>
      </c>
    </row>
    <row r="658" spans="1:9" hidden="1" x14ac:dyDescent="0.25">
      <c r="A658" s="1" t="s">
        <v>158</v>
      </c>
      <c r="B658" s="1" t="s">
        <v>131</v>
      </c>
      <c r="C658" s="1" t="s">
        <v>25</v>
      </c>
      <c r="D658" s="1">
        <v>0</v>
      </c>
      <c r="E658" s="1">
        <v>0</v>
      </c>
      <c r="F658" s="1">
        <v>-144.96</v>
      </c>
      <c r="G658" s="1">
        <v>-2882.9960000000001</v>
      </c>
      <c r="H658" s="1">
        <v>-349.089</v>
      </c>
      <c r="I658" s="1">
        <v>0</v>
      </c>
    </row>
    <row r="659" spans="1:9" hidden="1" x14ac:dyDescent="0.25">
      <c r="A659" s="1" t="s">
        <v>158</v>
      </c>
      <c r="B659" s="1" t="s">
        <v>131</v>
      </c>
      <c r="C659" s="1" t="s">
        <v>10</v>
      </c>
      <c r="D659" s="1">
        <v>0</v>
      </c>
      <c r="E659" s="1">
        <v>0</v>
      </c>
      <c r="F659" s="1">
        <v>-144.96</v>
      </c>
      <c r="G659" s="1">
        <v>-2882.9960000000001</v>
      </c>
      <c r="H659" s="1">
        <v>-921.39</v>
      </c>
      <c r="I659" s="1">
        <v>0</v>
      </c>
    </row>
    <row r="660" spans="1:9" hidden="1" x14ac:dyDescent="0.25">
      <c r="A660" s="1" t="s">
        <v>158</v>
      </c>
      <c r="B660" s="1" t="s">
        <v>132</v>
      </c>
      <c r="C660" s="1" t="s">
        <v>25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</row>
    <row r="661" spans="1:9" hidden="1" x14ac:dyDescent="0.25">
      <c r="A661" s="1" t="s">
        <v>158</v>
      </c>
      <c r="B661" s="1" t="s">
        <v>132</v>
      </c>
      <c r="C661" s="1" t="s">
        <v>10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</row>
    <row r="662" spans="1:9" hidden="1" x14ac:dyDescent="0.25">
      <c r="A662" s="1" t="s">
        <v>158</v>
      </c>
      <c r="B662" s="1" t="s">
        <v>133</v>
      </c>
      <c r="C662" s="1" t="s">
        <v>25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</row>
    <row r="663" spans="1:9" hidden="1" x14ac:dyDescent="0.25">
      <c r="A663" s="1" t="s">
        <v>158</v>
      </c>
      <c r="B663" s="1" t="s">
        <v>133</v>
      </c>
      <c r="C663" s="1" t="s">
        <v>10</v>
      </c>
      <c r="D663" s="1">
        <v>0</v>
      </c>
      <c r="E663" s="1">
        <v>0</v>
      </c>
      <c r="F663" s="1">
        <v>0</v>
      </c>
      <c r="G663" s="1">
        <v>0</v>
      </c>
      <c r="H663" s="1">
        <v>0</v>
      </c>
      <c r="I663" s="1">
        <v>0</v>
      </c>
    </row>
    <row r="664" spans="1:9" hidden="1" x14ac:dyDescent="0.25">
      <c r="A664" s="1" t="s">
        <v>158</v>
      </c>
      <c r="B664" s="1" t="s">
        <v>134</v>
      </c>
      <c r="C664" s="1" t="s">
        <v>25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</row>
    <row r="665" spans="1:9" hidden="1" x14ac:dyDescent="0.25">
      <c r="A665" s="1" t="s">
        <v>158</v>
      </c>
      <c r="B665" s="1" t="s">
        <v>134</v>
      </c>
      <c r="C665" s="1" t="s">
        <v>10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</row>
    <row r="666" spans="1:9" hidden="1" x14ac:dyDescent="0.25">
      <c r="A666" s="1" t="s">
        <v>158</v>
      </c>
      <c r="B666" s="1" t="s">
        <v>135</v>
      </c>
      <c r="C666" s="1" t="s">
        <v>25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</row>
    <row r="667" spans="1:9" hidden="1" x14ac:dyDescent="0.25">
      <c r="A667" s="1" t="s">
        <v>158</v>
      </c>
      <c r="B667" s="1" t="s">
        <v>135</v>
      </c>
      <c r="C667" s="1" t="s">
        <v>10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</row>
    <row r="668" spans="1:9" hidden="1" x14ac:dyDescent="0.25">
      <c r="A668" s="1" t="s">
        <v>158</v>
      </c>
      <c r="B668" s="1" t="s">
        <v>136</v>
      </c>
      <c r="C668" s="1" t="s">
        <v>25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</row>
    <row r="669" spans="1:9" hidden="1" x14ac:dyDescent="0.25">
      <c r="A669" s="1" t="s">
        <v>158</v>
      </c>
      <c r="B669" s="1" t="s">
        <v>136</v>
      </c>
      <c r="C669" s="1" t="s">
        <v>10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</row>
    <row r="670" spans="1:9" hidden="1" x14ac:dyDescent="0.25">
      <c r="A670" s="1" t="s">
        <v>158</v>
      </c>
      <c r="B670" s="1" t="s">
        <v>137</v>
      </c>
      <c r="C670" s="1" t="s">
        <v>25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</row>
    <row r="671" spans="1:9" hidden="1" x14ac:dyDescent="0.25">
      <c r="A671" s="1" t="s">
        <v>158</v>
      </c>
      <c r="B671" s="1" t="s">
        <v>137</v>
      </c>
      <c r="C671" s="1" t="s">
        <v>10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</row>
    <row r="672" spans="1:9" hidden="1" x14ac:dyDescent="0.25">
      <c r="A672" s="1" t="s">
        <v>158</v>
      </c>
      <c r="B672" s="1" t="s">
        <v>138</v>
      </c>
      <c r="C672" s="1" t="s">
        <v>25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</row>
    <row r="673" spans="1:9" hidden="1" x14ac:dyDescent="0.25">
      <c r="A673" s="1" t="s">
        <v>158</v>
      </c>
      <c r="B673" s="1" t="s">
        <v>138</v>
      </c>
      <c r="C673" s="1" t="s">
        <v>10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</row>
    <row r="674" spans="1:9" hidden="1" x14ac:dyDescent="0.25">
      <c r="A674" s="1" t="s">
        <v>158</v>
      </c>
      <c r="B674" s="1" t="s">
        <v>139</v>
      </c>
      <c r="C674" s="1" t="s">
        <v>25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</row>
    <row r="675" spans="1:9" hidden="1" x14ac:dyDescent="0.25">
      <c r="A675" s="1" t="s">
        <v>158</v>
      </c>
      <c r="B675" s="1" t="s">
        <v>139</v>
      </c>
      <c r="C675" s="1" t="s">
        <v>10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</row>
    <row r="676" spans="1:9" hidden="1" x14ac:dyDescent="0.25">
      <c r="A676" s="1" t="s">
        <v>158</v>
      </c>
      <c r="B676" s="1" t="s">
        <v>140</v>
      </c>
      <c r="C676" s="1" t="s">
        <v>25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</row>
    <row r="677" spans="1:9" hidden="1" x14ac:dyDescent="0.25">
      <c r="A677" s="1" t="s">
        <v>158</v>
      </c>
      <c r="B677" s="1" t="s">
        <v>140</v>
      </c>
      <c r="C677" s="1" t="s">
        <v>10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</row>
    <row r="678" spans="1:9" hidden="1" x14ac:dyDescent="0.25">
      <c r="A678" s="1" t="s">
        <v>158</v>
      </c>
      <c r="B678" s="1" t="s">
        <v>141</v>
      </c>
      <c r="C678" s="1" t="s">
        <v>25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</row>
    <row r="679" spans="1:9" hidden="1" x14ac:dyDescent="0.25">
      <c r="A679" s="1" t="s">
        <v>158</v>
      </c>
      <c r="B679" s="1" t="s">
        <v>141</v>
      </c>
      <c r="C679" s="1" t="s">
        <v>10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</row>
    <row r="680" spans="1:9" hidden="1" x14ac:dyDescent="0.25">
      <c r="A680" s="1" t="s">
        <v>158</v>
      </c>
      <c r="B680" s="1" t="s">
        <v>142</v>
      </c>
      <c r="C680" s="1" t="s">
        <v>25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</row>
    <row r="681" spans="1:9" hidden="1" x14ac:dyDescent="0.25">
      <c r="A681" s="1" t="s">
        <v>158</v>
      </c>
      <c r="B681" s="1" t="s">
        <v>142</v>
      </c>
      <c r="C681" s="1" t="s">
        <v>10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</row>
    <row r="682" spans="1:9" hidden="1" x14ac:dyDescent="0.25">
      <c r="A682" s="1" t="s">
        <v>158</v>
      </c>
      <c r="B682" s="1" t="s">
        <v>143</v>
      </c>
      <c r="C682" s="1" t="s">
        <v>25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</row>
    <row r="683" spans="1:9" hidden="1" x14ac:dyDescent="0.25">
      <c r="A683" s="1" t="s">
        <v>158</v>
      </c>
      <c r="B683" s="1" t="s">
        <v>143</v>
      </c>
      <c r="C683" s="1" t="s">
        <v>10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</row>
    <row r="684" spans="1:9" hidden="1" x14ac:dyDescent="0.25">
      <c r="A684" s="1" t="s">
        <v>158</v>
      </c>
      <c r="B684" s="1" t="s">
        <v>144</v>
      </c>
      <c r="C684" s="1" t="s">
        <v>25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</row>
    <row r="685" spans="1:9" hidden="1" x14ac:dyDescent="0.25">
      <c r="A685" s="1" t="s">
        <v>158</v>
      </c>
      <c r="B685" s="1" t="s">
        <v>144</v>
      </c>
      <c r="C685" s="1" t="s">
        <v>10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</row>
    <row r="686" spans="1:9" hidden="1" x14ac:dyDescent="0.25">
      <c r="A686" s="1" t="s">
        <v>158</v>
      </c>
      <c r="B686" s="1" t="s">
        <v>145</v>
      </c>
      <c r="C686" s="1" t="s">
        <v>25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</row>
    <row r="687" spans="1:9" hidden="1" x14ac:dyDescent="0.25">
      <c r="A687" s="1" t="s">
        <v>158</v>
      </c>
      <c r="B687" s="1" t="s">
        <v>145</v>
      </c>
      <c r="C687" s="1" t="s">
        <v>10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</row>
    <row r="688" spans="1:9" hidden="1" x14ac:dyDescent="0.25">
      <c r="A688" s="1" t="s">
        <v>158</v>
      </c>
      <c r="B688" s="1" t="s">
        <v>146</v>
      </c>
      <c r="C688" s="1" t="s">
        <v>25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</row>
    <row r="689" spans="1:9" hidden="1" x14ac:dyDescent="0.25">
      <c r="A689" s="1" t="s">
        <v>158</v>
      </c>
      <c r="B689" s="1" t="s">
        <v>146</v>
      </c>
      <c r="C689" s="1" t="s">
        <v>10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</row>
    <row r="690" spans="1:9" hidden="1" x14ac:dyDescent="0.25">
      <c r="A690" s="1" t="s">
        <v>158</v>
      </c>
      <c r="B690" s="1" t="s">
        <v>147</v>
      </c>
      <c r="C690" s="1" t="s">
        <v>25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</row>
    <row r="691" spans="1:9" hidden="1" x14ac:dyDescent="0.25">
      <c r="A691" s="1" t="s">
        <v>158</v>
      </c>
      <c r="B691" s="1" t="s">
        <v>147</v>
      </c>
      <c r="C691" s="1" t="s">
        <v>10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</row>
    <row r="692" spans="1:9" hidden="1" x14ac:dyDescent="0.25">
      <c r="A692" s="1" t="s">
        <v>158</v>
      </c>
      <c r="B692" s="1" t="s">
        <v>159</v>
      </c>
      <c r="C692" s="1" t="s">
        <v>25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</row>
    <row r="693" spans="1:9" hidden="1" x14ac:dyDescent="0.25">
      <c r="A693" s="1" t="s">
        <v>158</v>
      </c>
      <c r="B693" s="1" t="s">
        <v>159</v>
      </c>
      <c r="C693" s="1" t="s">
        <v>10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</row>
    <row r="694" spans="1:9" hidden="1" x14ac:dyDescent="0.25">
      <c r="A694" s="1" t="s">
        <v>158</v>
      </c>
      <c r="B694" s="1" t="s">
        <v>160</v>
      </c>
      <c r="C694" s="1" t="s">
        <v>25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</row>
    <row r="695" spans="1:9" hidden="1" x14ac:dyDescent="0.25">
      <c r="A695" s="1" t="s">
        <v>158</v>
      </c>
      <c r="B695" s="1" t="s">
        <v>160</v>
      </c>
      <c r="C695" s="1" t="s">
        <v>10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</row>
    <row r="696" spans="1:9" hidden="1" x14ac:dyDescent="0.25">
      <c r="A696" s="1" t="s">
        <v>158</v>
      </c>
      <c r="B696" s="1" t="s">
        <v>161</v>
      </c>
      <c r="C696" s="1" t="s">
        <v>25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</row>
    <row r="697" spans="1:9" hidden="1" x14ac:dyDescent="0.25">
      <c r="A697" s="1" t="s">
        <v>158</v>
      </c>
      <c r="B697" s="1" t="s">
        <v>161</v>
      </c>
      <c r="C697" s="1" t="s">
        <v>10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</row>
    <row r="698" spans="1:9" hidden="1" x14ac:dyDescent="0.25">
      <c r="A698" s="1" t="s">
        <v>158</v>
      </c>
      <c r="B698" s="1" t="s">
        <v>162</v>
      </c>
      <c r="C698" s="1" t="s">
        <v>25</v>
      </c>
      <c r="D698" s="1">
        <v>0</v>
      </c>
      <c r="E698" s="1">
        <v>-443.06</v>
      </c>
      <c r="F698" s="1">
        <v>0</v>
      </c>
      <c r="G698" s="1">
        <v>7310.4229999999998</v>
      </c>
      <c r="H698" s="1">
        <v>0</v>
      </c>
      <c r="I698" s="1">
        <v>-1012.699</v>
      </c>
    </row>
    <row r="699" spans="1:9" hidden="1" x14ac:dyDescent="0.25">
      <c r="A699" s="1" t="s">
        <v>158</v>
      </c>
      <c r="B699" s="1" t="s">
        <v>162</v>
      </c>
      <c r="C699" s="1" t="s">
        <v>10</v>
      </c>
      <c r="D699" s="1">
        <v>0</v>
      </c>
      <c r="E699" s="1">
        <v>-443.06</v>
      </c>
      <c r="F699" s="1">
        <v>0</v>
      </c>
      <c r="G699" s="1">
        <v>7310.4229999999998</v>
      </c>
      <c r="H699" s="1">
        <v>0</v>
      </c>
      <c r="I699" s="1">
        <v>-2784.9229999999998</v>
      </c>
    </row>
    <row r="700" spans="1:9" hidden="1" x14ac:dyDescent="0.25">
      <c r="A700" s="1" t="s">
        <v>158</v>
      </c>
      <c r="B700" s="1" t="s">
        <v>163</v>
      </c>
      <c r="C700" s="1" t="s">
        <v>25</v>
      </c>
      <c r="D700" s="1">
        <v>0</v>
      </c>
      <c r="E700" s="1">
        <v>-443.06</v>
      </c>
      <c r="F700" s="1">
        <v>0</v>
      </c>
      <c r="G700" s="1">
        <v>5981.2550000000001</v>
      </c>
      <c r="H700" s="1">
        <v>0</v>
      </c>
      <c r="I700" s="1">
        <v>-1012.699</v>
      </c>
    </row>
    <row r="701" spans="1:9" hidden="1" x14ac:dyDescent="0.25">
      <c r="A701" s="1" t="s">
        <v>158</v>
      </c>
      <c r="B701" s="1" t="s">
        <v>163</v>
      </c>
      <c r="C701" s="1" t="s">
        <v>10</v>
      </c>
      <c r="D701" s="1">
        <v>0</v>
      </c>
      <c r="E701" s="1">
        <v>-443.06</v>
      </c>
      <c r="F701" s="1">
        <v>0</v>
      </c>
      <c r="G701" s="1">
        <v>5981.2550000000001</v>
      </c>
      <c r="H701" s="1">
        <v>0</v>
      </c>
      <c r="I701" s="1">
        <v>-2784.9229999999998</v>
      </c>
    </row>
    <row r="702" spans="1:9" hidden="1" x14ac:dyDescent="0.25">
      <c r="A702" s="1" t="s">
        <v>158</v>
      </c>
      <c r="B702" s="1" t="s">
        <v>164</v>
      </c>
      <c r="C702" s="1" t="s">
        <v>25</v>
      </c>
      <c r="D702" s="1">
        <v>0</v>
      </c>
      <c r="E702" s="1">
        <v>443.06</v>
      </c>
      <c r="F702" s="1">
        <v>0</v>
      </c>
      <c r="G702" s="1">
        <v>-7310.4229999999998</v>
      </c>
      <c r="H702" s="1">
        <v>0</v>
      </c>
      <c r="I702" s="1">
        <v>1012.699</v>
      </c>
    </row>
    <row r="703" spans="1:9" hidden="1" x14ac:dyDescent="0.25">
      <c r="A703" s="1" t="s">
        <v>158</v>
      </c>
      <c r="B703" s="1" t="s">
        <v>164</v>
      </c>
      <c r="C703" s="1" t="s">
        <v>10</v>
      </c>
      <c r="D703" s="1">
        <v>0</v>
      </c>
      <c r="E703" s="1">
        <v>443.06</v>
      </c>
      <c r="F703" s="1">
        <v>0</v>
      </c>
      <c r="G703" s="1">
        <v>-7310.4229999999998</v>
      </c>
      <c r="H703" s="1">
        <v>0</v>
      </c>
      <c r="I703" s="1">
        <v>2784.9229999999998</v>
      </c>
    </row>
    <row r="704" spans="1:9" hidden="1" x14ac:dyDescent="0.25">
      <c r="A704" s="1" t="s">
        <v>158</v>
      </c>
      <c r="B704" s="1" t="s">
        <v>165</v>
      </c>
      <c r="C704" s="1" t="s">
        <v>25</v>
      </c>
      <c r="D704" s="1">
        <v>0</v>
      </c>
      <c r="E704" s="1">
        <v>443.06</v>
      </c>
      <c r="F704" s="1">
        <v>0</v>
      </c>
      <c r="G704" s="1">
        <v>-5981.2550000000001</v>
      </c>
      <c r="H704" s="1">
        <v>0</v>
      </c>
      <c r="I704" s="1">
        <v>1012.699</v>
      </c>
    </row>
    <row r="705" spans="1:9" hidden="1" x14ac:dyDescent="0.25">
      <c r="A705" s="1" t="s">
        <v>158</v>
      </c>
      <c r="B705" s="1" t="s">
        <v>165</v>
      </c>
      <c r="C705" s="1" t="s">
        <v>10</v>
      </c>
      <c r="D705" s="1">
        <v>0</v>
      </c>
      <c r="E705" s="1">
        <v>443.06</v>
      </c>
      <c r="F705" s="1">
        <v>0</v>
      </c>
      <c r="G705" s="1">
        <v>-5981.2550000000001</v>
      </c>
      <c r="H705" s="1">
        <v>0</v>
      </c>
      <c r="I705" s="1">
        <v>2784.9229999999998</v>
      </c>
    </row>
    <row r="706" spans="1:9" hidden="1" x14ac:dyDescent="0.25">
      <c r="A706" s="1" t="s">
        <v>158</v>
      </c>
      <c r="B706" s="1" t="s">
        <v>166</v>
      </c>
      <c r="C706" s="1" t="s">
        <v>25</v>
      </c>
      <c r="D706" s="1">
        <v>0</v>
      </c>
      <c r="E706" s="1">
        <v>0</v>
      </c>
      <c r="F706" s="1">
        <v>-535.54999999999995</v>
      </c>
      <c r="G706" s="1">
        <v>-10603.824000000001</v>
      </c>
      <c r="H706" s="1">
        <v>1224.107</v>
      </c>
      <c r="I706" s="1">
        <v>0</v>
      </c>
    </row>
    <row r="707" spans="1:9" hidden="1" x14ac:dyDescent="0.25">
      <c r="A707" s="1" t="s">
        <v>158</v>
      </c>
      <c r="B707" s="1" t="s">
        <v>166</v>
      </c>
      <c r="C707" s="1" t="s">
        <v>10</v>
      </c>
      <c r="D707" s="1">
        <v>0</v>
      </c>
      <c r="E707" s="1">
        <v>0</v>
      </c>
      <c r="F707" s="1">
        <v>-535.54999999999995</v>
      </c>
      <c r="G707" s="1">
        <v>-10603.824000000001</v>
      </c>
      <c r="H707" s="1">
        <v>3366.2930000000001</v>
      </c>
      <c r="I707" s="1">
        <v>0</v>
      </c>
    </row>
    <row r="708" spans="1:9" hidden="1" x14ac:dyDescent="0.25">
      <c r="A708" s="1" t="s">
        <v>158</v>
      </c>
      <c r="B708" s="1" t="s">
        <v>167</v>
      </c>
      <c r="C708" s="1" t="s">
        <v>25</v>
      </c>
      <c r="D708" s="1">
        <v>0</v>
      </c>
      <c r="E708" s="1">
        <v>0</v>
      </c>
      <c r="F708" s="1">
        <v>-535.54999999999995</v>
      </c>
      <c r="G708" s="1">
        <v>-8675.8559999999998</v>
      </c>
      <c r="H708" s="1">
        <v>1224.107</v>
      </c>
      <c r="I708" s="1">
        <v>0</v>
      </c>
    </row>
    <row r="709" spans="1:9" hidden="1" x14ac:dyDescent="0.25">
      <c r="A709" s="1" t="s">
        <v>158</v>
      </c>
      <c r="B709" s="1" t="s">
        <v>167</v>
      </c>
      <c r="C709" s="1" t="s">
        <v>10</v>
      </c>
      <c r="D709" s="1">
        <v>0</v>
      </c>
      <c r="E709" s="1">
        <v>0</v>
      </c>
      <c r="F709" s="1">
        <v>-535.54999999999995</v>
      </c>
      <c r="G709" s="1">
        <v>-8675.8559999999998</v>
      </c>
      <c r="H709" s="1">
        <v>3366.2930000000001</v>
      </c>
      <c r="I709" s="1">
        <v>0</v>
      </c>
    </row>
    <row r="710" spans="1:9" hidden="1" x14ac:dyDescent="0.25">
      <c r="A710" s="1" t="s">
        <v>158</v>
      </c>
      <c r="B710" s="1" t="s">
        <v>168</v>
      </c>
      <c r="C710" s="1" t="s">
        <v>25</v>
      </c>
      <c r="D710" s="1">
        <v>0</v>
      </c>
      <c r="E710" s="1">
        <v>0</v>
      </c>
      <c r="F710" s="1">
        <v>535.54999999999995</v>
      </c>
      <c r="G710" s="1">
        <v>10603.824000000001</v>
      </c>
      <c r="H710" s="1">
        <v>-1224.107</v>
      </c>
      <c r="I710" s="1">
        <v>0</v>
      </c>
    </row>
    <row r="711" spans="1:9" hidden="1" x14ac:dyDescent="0.25">
      <c r="A711" s="1" t="s">
        <v>158</v>
      </c>
      <c r="B711" s="1" t="s">
        <v>168</v>
      </c>
      <c r="C711" s="1" t="s">
        <v>10</v>
      </c>
      <c r="D711" s="1">
        <v>0</v>
      </c>
      <c r="E711" s="1">
        <v>0</v>
      </c>
      <c r="F711" s="1">
        <v>535.54999999999995</v>
      </c>
      <c r="G711" s="1">
        <v>10603.824000000001</v>
      </c>
      <c r="H711" s="1">
        <v>-3366.2930000000001</v>
      </c>
      <c r="I711" s="1">
        <v>0</v>
      </c>
    </row>
    <row r="712" spans="1:9" hidden="1" x14ac:dyDescent="0.25">
      <c r="A712" s="1" t="s">
        <v>158</v>
      </c>
      <c r="B712" s="1" t="s">
        <v>169</v>
      </c>
      <c r="C712" s="1" t="s">
        <v>25</v>
      </c>
      <c r="D712" s="1">
        <v>0</v>
      </c>
      <c r="E712" s="1">
        <v>0</v>
      </c>
      <c r="F712" s="1">
        <v>535.54999999999995</v>
      </c>
      <c r="G712" s="1">
        <v>8675.8559999999998</v>
      </c>
      <c r="H712" s="1">
        <v>-1224.107</v>
      </c>
      <c r="I712" s="1">
        <v>0</v>
      </c>
    </row>
    <row r="713" spans="1:9" hidden="1" x14ac:dyDescent="0.25">
      <c r="A713" s="1" t="s">
        <v>158</v>
      </c>
      <c r="B713" s="1" t="s">
        <v>169</v>
      </c>
      <c r="C713" s="1" t="s">
        <v>10</v>
      </c>
      <c r="D713" s="1">
        <v>0</v>
      </c>
      <c r="E713" s="1">
        <v>0</v>
      </c>
      <c r="F713" s="1">
        <v>535.54999999999995</v>
      </c>
      <c r="G713" s="1">
        <v>8675.8559999999998</v>
      </c>
      <c r="H713" s="1">
        <v>-3366.2930000000001</v>
      </c>
      <c r="I713" s="1">
        <v>0</v>
      </c>
    </row>
    <row r="714" spans="1:9" hidden="1" x14ac:dyDescent="0.25">
      <c r="A714" s="1" t="s">
        <v>158</v>
      </c>
      <c r="B714" s="1" t="s">
        <v>170</v>
      </c>
      <c r="C714" s="1" t="s">
        <v>25</v>
      </c>
      <c r="D714" s="1">
        <v>0</v>
      </c>
      <c r="E714" s="1">
        <v>-443.06</v>
      </c>
      <c r="F714" s="1">
        <v>0</v>
      </c>
      <c r="G714" s="1">
        <v>7310.4229999999998</v>
      </c>
      <c r="H714" s="1">
        <v>0</v>
      </c>
      <c r="I714" s="1">
        <v>-1012.699</v>
      </c>
    </row>
    <row r="715" spans="1:9" hidden="1" x14ac:dyDescent="0.25">
      <c r="A715" s="1" t="s">
        <v>158</v>
      </c>
      <c r="B715" s="1" t="s">
        <v>170</v>
      </c>
      <c r="C715" s="1" t="s">
        <v>10</v>
      </c>
      <c r="D715" s="1">
        <v>0</v>
      </c>
      <c r="E715" s="1">
        <v>-443.06</v>
      </c>
      <c r="F715" s="1">
        <v>0</v>
      </c>
      <c r="G715" s="1">
        <v>7310.4229999999998</v>
      </c>
      <c r="H715" s="1">
        <v>0</v>
      </c>
      <c r="I715" s="1">
        <v>-2784.9229999999998</v>
      </c>
    </row>
    <row r="716" spans="1:9" hidden="1" x14ac:dyDescent="0.25">
      <c r="A716" s="1" t="s">
        <v>158</v>
      </c>
      <c r="B716" s="1" t="s">
        <v>171</v>
      </c>
      <c r="C716" s="1" t="s">
        <v>25</v>
      </c>
      <c r="D716" s="1">
        <v>0</v>
      </c>
      <c r="E716" s="1">
        <v>-443.06</v>
      </c>
      <c r="F716" s="1">
        <v>0</v>
      </c>
      <c r="G716" s="1">
        <v>5981.2550000000001</v>
      </c>
      <c r="H716" s="1">
        <v>0</v>
      </c>
      <c r="I716" s="1">
        <v>-1012.699</v>
      </c>
    </row>
    <row r="717" spans="1:9" hidden="1" x14ac:dyDescent="0.25">
      <c r="A717" s="1" t="s">
        <v>158</v>
      </c>
      <c r="B717" s="1" t="s">
        <v>171</v>
      </c>
      <c r="C717" s="1" t="s">
        <v>10</v>
      </c>
      <c r="D717" s="1">
        <v>0</v>
      </c>
      <c r="E717" s="1">
        <v>-443.06</v>
      </c>
      <c r="F717" s="1">
        <v>0</v>
      </c>
      <c r="G717" s="1">
        <v>5981.2550000000001</v>
      </c>
      <c r="H717" s="1">
        <v>0</v>
      </c>
      <c r="I717" s="1">
        <v>-2784.9229999999998</v>
      </c>
    </row>
    <row r="718" spans="1:9" hidden="1" x14ac:dyDescent="0.25">
      <c r="A718" s="1" t="s">
        <v>158</v>
      </c>
      <c r="B718" s="1" t="s">
        <v>172</v>
      </c>
      <c r="C718" s="1" t="s">
        <v>25</v>
      </c>
      <c r="D718" s="1">
        <v>0</v>
      </c>
      <c r="E718" s="1">
        <v>443.06</v>
      </c>
      <c r="F718" s="1">
        <v>0</v>
      </c>
      <c r="G718" s="1">
        <v>-7310.4229999999998</v>
      </c>
      <c r="H718" s="1">
        <v>0</v>
      </c>
      <c r="I718" s="1">
        <v>1012.699</v>
      </c>
    </row>
    <row r="719" spans="1:9" hidden="1" x14ac:dyDescent="0.25">
      <c r="A719" s="1" t="s">
        <v>158</v>
      </c>
      <c r="B719" s="1" t="s">
        <v>172</v>
      </c>
      <c r="C719" s="1" t="s">
        <v>10</v>
      </c>
      <c r="D719" s="1">
        <v>0</v>
      </c>
      <c r="E719" s="1">
        <v>443.06</v>
      </c>
      <c r="F719" s="1">
        <v>0</v>
      </c>
      <c r="G719" s="1">
        <v>-7310.4229999999998</v>
      </c>
      <c r="H719" s="1">
        <v>0</v>
      </c>
      <c r="I719" s="1">
        <v>2784.9229999999998</v>
      </c>
    </row>
    <row r="720" spans="1:9" hidden="1" x14ac:dyDescent="0.25">
      <c r="A720" s="1" t="s">
        <v>158</v>
      </c>
      <c r="B720" s="1" t="s">
        <v>173</v>
      </c>
      <c r="C720" s="1" t="s">
        <v>25</v>
      </c>
      <c r="D720" s="1">
        <v>0</v>
      </c>
      <c r="E720" s="1">
        <v>443.06</v>
      </c>
      <c r="F720" s="1">
        <v>0</v>
      </c>
      <c r="G720" s="1">
        <v>-5981.2550000000001</v>
      </c>
      <c r="H720" s="1">
        <v>0</v>
      </c>
      <c r="I720" s="1">
        <v>1012.699</v>
      </c>
    </row>
    <row r="721" spans="1:9" hidden="1" x14ac:dyDescent="0.25">
      <c r="A721" s="1" t="s">
        <v>158</v>
      </c>
      <c r="B721" s="1" t="s">
        <v>173</v>
      </c>
      <c r="C721" s="1" t="s">
        <v>10</v>
      </c>
      <c r="D721" s="1">
        <v>0</v>
      </c>
      <c r="E721" s="1">
        <v>443.06</v>
      </c>
      <c r="F721" s="1">
        <v>0</v>
      </c>
      <c r="G721" s="1">
        <v>-5981.2550000000001</v>
      </c>
      <c r="H721" s="1">
        <v>0</v>
      </c>
      <c r="I721" s="1">
        <v>2784.9229999999998</v>
      </c>
    </row>
    <row r="722" spans="1:9" hidden="1" x14ac:dyDescent="0.25">
      <c r="A722" s="1" t="s">
        <v>158</v>
      </c>
      <c r="B722" s="1" t="s">
        <v>174</v>
      </c>
      <c r="C722" s="1" t="s">
        <v>25</v>
      </c>
      <c r="D722" s="1">
        <v>0</v>
      </c>
      <c r="E722" s="1">
        <v>0</v>
      </c>
      <c r="F722" s="1">
        <v>-535.54999999999995</v>
      </c>
      <c r="G722" s="1">
        <v>-10603.824000000001</v>
      </c>
      <c r="H722" s="1">
        <v>1224.107</v>
      </c>
      <c r="I722" s="1">
        <v>0</v>
      </c>
    </row>
    <row r="723" spans="1:9" hidden="1" x14ac:dyDescent="0.25">
      <c r="A723" s="1" t="s">
        <v>158</v>
      </c>
      <c r="B723" s="1" t="s">
        <v>174</v>
      </c>
      <c r="C723" s="1" t="s">
        <v>10</v>
      </c>
      <c r="D723" s="1">
        <v>0</v>
      </c>
      <c r="E723" s="1">
        <v>0</v>
      </c>
      <c r="F723" s="1">
        <v>-535.54999999999995</v>
      </c>
      <c r="G723" s="1">
        <v>-10603.824000000001</v>
      </c>
      <c r="H723" s="1">
        <v>3366.2930000000001</v>
      </c>
      <c r="I723" s="1">
        <v>0</v>
      </c>
    </row>
    <row r="724" spans="1:9" hidden="1" x14ac:dyDescent="0.25">
      <c r="A724" s="1" t="s">
        <v>158</v>
      </c>
      <c r="B724" s="1" t="s">
        <v>175</v>
      </c>
      <c r="C724" s="1" t="s">
        <v>25</v>
      </c>
      <c r="D724" s="1">
        <v>0</v>
      </c>
      <c r="E724" s="1">
        <v>0</v>
      </c>
      <c r="F724" s="1">
        <v>-535.54999999999995</v>
      </c>
      <c r="G724" s="1">
        <v>-8675.8559999999998</v>
      </c>
      <c r="H724" s="1">
        <v>1224.107</v>
      </c>
      <c r="I724" s="1">
        <v>0</v>
      </c>
    </row>
    <row r="725" spans="1:9" hidden="1" x14ac:dyDescent="0.25">
      <c r="A725" s="1" t="s">
        <v>158</v>
      </c>
      <c r="B725" s="1" t="s">
        <v>175</v>
      </c>
      <c r="C725" s="1" t="s">
        <v>10</v>
      </c>
      <c r="D725" s="1">
        <v>0</v>
      </c>
      <c r="E725" s="1">
        <v>0</v>
      </c>
      <c r="F725" s="1">
        <v>-535.54999999999995</v>
      </c>
      <c r="G725" s="1">
        <v>-8675.8559999999998</v>
      </c>
      <c r="H725" s="1">
        <v>3366.2930000000001</v>
      </c>
      <c r="I725" s="1">
        <v>0</v>
      </c>
    </row>
    <row r="726" spans="1:9" hidden="1" x14ac:dyDescent="0.25">
      <c r="A726" s="1" t="s">
        <v>158</v>
      </c>
      <c r="B726" s="1" t="s">
        <v>176</v>
      </c>
      <c r="C726" s="1" t="s">
        <v>25</v>
      </c>
      <c r="D726" s="1">
        <v>0</v>
      </c>
      <c r="E726" s="1">
        <v>0</v>
      </c>
      <c r="F726" s="1">
        <v>535.54999999999995</v>
      </c>
      <c r="G726" s="1">
        <v>10603.824000000001</v>
      </c>
      <c r="H726" s="1">
        <v>-1224.107</v>
      </c>
      <c r="I726" s="1">
        <v>0</v>
      </c>
    </row>
    <row r="727" spans="1:9" hidden="1" x14ac:dyDescent="0.25">
      <c r="A727" s="1" t="s">
        <v>158</v>
      </c>
      <c r="B727" s="1" t="s">
        <v>176</v>
      </c>
      <c r="C727" s="1" t="s">
        <v>10</v>
      </c>
      <c r="D727" s="1">
        <v>0</v>
      </c>
      <c r="E727" s="1">
        <v>0</v>
      </c>
      <c r="F727" s="1">
        <v>535.54999999999995</v>
      </c>
      <c r="G727" s="1">
        <v>10603.824000000001</v>
      </c>
      <c r="H727" s="1">
        <v>-3366.2930000000001</v>
      </c>
      <c r="I727" s="1">
        <v>0</v>
      </c>
    </row>
    <row r="728" spans="1:9" hidden="1" x14ac:dyDescent="0.25">
      <c r="A728" s="1" t="s">
        <v>158</v>
      </c>
      <c r="B728" s="1" t="s">
        <v>177</v>
      </c>
      <c r="C728" s="1" t="s">
        <v>25</v>
      </c>
      <c r="D728" s="1">
        <v>0</v>
      </c>
      <c r="E728" s="1">
        <v>0</v>
      </c>
      <c r="F728" s="1">
        <v>535.54999999999995</v>
      </c>
      <c r="G728" s="1">
        <v>8675.8559999999998</v>
      </c>
      <c r="H728" s="1">
        <v>-1224.107</v>
      </c>
      <c r="I728" s="1">
        <v>0</v>
      </c>
    </row>
    <row r="729" spans="1:9" hidden="1" x14ac:dyDescent="0.25">
      <c r="A729" s="1" t="s">
        <v>158</v>
      </c>
      <c r="B729" s="1" t="s">
        <v>177</v>
      </c>
      <c r="C729" s="1" t="s">
        <v>10</v>
      </c>
      <c r="D729" s="1">
        <v>0</v>
      </c>
      <c r="E729" s="1">
        <v>0</v>
      </c>
      <c r="F729" s="1">
        <v>535.54999999999995</v>
      </c>
      <c r="G729" s="1">
        <v>8675.8559999999998</v>
      </c>
      <c r="H729" s="1">
        <v>-3366.2930000000001</v>
      </c>
      <c r="I729" s="1">
        <v>0</v>
      </c>
    </row>
    <row r="730" spans="1:9" hidden="1" x14ac:dyDescent="0.25">
      <c r="A730" s="1" t="s">
        <v>158</v>
      </c>
      <c r="B730" s="1" t="s">
        <v>178</v>
      </c>
      <c r="C730" s="1" t="s">
        <v>25</v>
      </c>
      <c r="D730" s="1">
        <v>0</v>
      </c>
      <c r="E730" s="1">
        <v>-132.91999999999999</v>
      </c>
      <c r="F730" s="1">
        <v>0</v>
      </c>
      <c r="G730" s="1">
        <v>2193.127</v>
      </c>
      <c r="H730" s="1">
        <v>0</v>
      </c>
      <c r="I730" s="1">
        <v>-303.81</v>
      </c>
    </row>
    <row r="731" spans="1:9" hidden="1" x14ac:dyDescent="0.25">
      <c r="A731" s="1" t="s">
        <v>158</v>
      </c>
      <c r="B731" s="1" t="s">
        <v>178</v>
      </c>
      <c r="C731" s="1" t="s">
        <v>10</v>
      </c>
      <c r="D731" s="1">
        <v>0</v>
      </c>
      <c r="E731" s="1">
        <v>-132.91999999999999</v>
      </c>
      <c r="F731" s="1">
        <v>0</v>
      </c>
      <c r="G731" s="1">
        <v>2193.127</v>
      </c>
      <c r="H731" s="1">
        <v>0</v>
      </c>
      <c r="I731" s="1">
        <v>-835.47699999999998</v>
      </c>
    </row>
    <row r="732" spans="1:9" hidden="1" x14ac:dyDescent="0.25">
      <c r="A732" s="1" t="s">
        <v>158</v>
      </c>
      <c r="B732" s="1" t="s">
        <v>179</v>
      </c>
      <c r="C732" s="1" t="s">
        <v>25</v>
      </c>
      <c r="D732" s="1">
        <v>0</v>
      </c>
      <c r="E732" s="1">
        <v>-132.91999999999999</v>
      </c>
      <c r="F732" s="1">
        <v>0</v>
      </c>
      <c r="G732" s="1">
        <v>1794.376</v>
      </c>
      <c r="H732" s="1">
        <v>0</v>
      </c>
      <c r="I732" s="1">
        <v>-303.81</v>
      </c>
    </row>
    <row r="733" spans="1:9" hidden="1" x14ac:dyDescent="0.25">
      <c r="A733" s="1" t="s">
        <v>158</v>
      </c>
      <c r="B733" s="1" t="s">
        <v>179</v>
      </c>
      <c r="C733" s="1" t="s">
        <v>10</v>
      </c>
      <c r="D733" s="1">
        <v>0</v>
      </c>
      <c r="E733" s="1">
        <v>-132.91999999999999</v>
      </c>
      <c r="F733" s="1">
        <v>0</v>
      </c>
      <c r="G733" s="1">
        <v>1794.376</v>
      </c>
      <c r="H733" s="1">
        <v>0</v>
      </c>
      <c r="I733" s="1">
        <v>-835.47699999999998</v>
      </c>
    </row>
    <row r="734" spans="1:9" hidden="1" x14ac:dyDescent="0.25">
      <c r="A734" s="1" t="s">
        <v>158</v>
      </c>
      <c r="B734" s="1" t="s">
        <v>180</v>
      </c>
      <c r="C734" s="1" t="s">
        <v>25</v>
      </c>
      <c r="D734" s="1">
        <v>0</v>
      </c>
      <c r="E734" s="1">
        <v>132.91999999999999</v>
      </c>
      <c r="F734" s="1">
        <v>0</v>
      </c>
      <c r="G734" s="1">
        <v>-2193.127</v>
      </c>
      <c r="H734" s="1">
        <v>0</v>
      </c>
      <c r="I734" s="1">
        <v>303.81</v>
      </c>
    </row>
    <row r="735" spans="1:9" hidden="1" x14ac:dyDescent="0.25">
      <c r="A735" s="1" t="s">
        <v>158</v>
      </c>
      <c r="B735" s="1" t="s">
        <v>180</v>
      </c>
      <c r="C735" s="1" t="s">
        <v>10</v>
      </c>
      <c r="D735" s="1">
        <v>0</v>
      </c>
      <c r="E735" s="1">
        <v>132.91999999999999</v>
      </c>
      <c r="F735" s="1">
        <v>0</v>
      </c>
      <c r="G735" s="1">
        <v>-2193.127</v>
      </c>
      <c r="H735" s="1">
        <v>0</v>
      </c>
      <c r="I735" s="1">
        <v>835.47699999999998</v>
      </c>
    </row>
    <row r="736" spans="1:9" hidden="1" x14ac:dyDescent="0.25">
      <c r="A736" s="1" t="s">
        <v>158</v>
      </c>
      <c r="B736" s="1" t="s">
        <v>181</v>
      </c>
      <c r="C736" s="1" t="s">
        <v>25</v>
      </c>
      <c r="D736" s="1">
        <v>0</v>
      </c>
      <c r="E736" s="1">
        <v>132.91999999999999</v>
      </c>
      <c r="F736" s="1">
        <v>0</v>
      </c>
      <c r="G736" s="1">
        <v>-1794.376</v>
      </c>
      <c r="H736" s="1">
        <v>0</v>
      </c>
      <c r="I736" s="1">
        <v>303.81</v>
      </c>
    </row>
    <row r="737" spans="1:9" hidden="1" x14ac:dyDescent="0.25">
      <c r="A737" s="1" t="s">
        <v>158</v>
      </c>
      <c r="B737" s="1" t="s">
        <v>181</v>
      </c>
      <c r="C737" s="1" t="s">
        <v>10</v>
      </c>
      <c r="D737" s="1">
        <v>0</v>
      </c>
      <c r="E737" s="1">
        <v>132.91999999999999</v>
      </c>
      <c r="F737" s="1">
        <v>0</v>
      </c>
      <c r="G737" s="1">
        <v>-1794.376</v>
      </c>
      <c r="H737" s="1">
        <v>0</v>
      </c>
      <c r="I737" s="1">
        <v>835.47699999999998</v>
      </c>
    </row>
    <row r="738" spans="1:9" hidden="1" x14ac:dyDescent="0.25">
      <c r="A738" s="1" t="s">
        <v>158</v>
      </c>
      <c r="B738" s="1" t="s">
        <v>182</v>
      </c>
      <c r="C738" s="1" t="s">
        <v>25</v>
      </c>
      <c r="D738" s="1">
        <v>0</v>
      </c>
      <c r="E738" s="1">
        <v>0</v>
      </c>
      <c r="F738" s="1">
        <v>-160.66</v>
      </c>
      <c r="G738" s="1">
        <v>-3181.1469999999999</v>
      </c>
      <c r="H738" s="1">
        <v>367.23200000000003</v>
      </c>
      <c r="I738" s="1">
        <v>0</v>
      </c>
    </row>
    <row r="739" spans="1:9" hidden="1" x14ac:dyDescent="0.25">
      <c r="A739" s="1" t="s">
        <v>158</v>
      </c>
      <c r="B739" s="1" t="s">
        <v>182</v>
      </c>
      <c r="C739" s="1" t="s">
        <v>10</v>
      </c>
      <c r="D739" s="1">
        <v>0</v>
      </c>
      <c r="E739" s="1">
        <v>0</v>
      </c>
      <c r="F739" s="1">
        <v>-160.66</v>
      </c>
      <c r="G739" s="1">
        <v>-3181.1469999999999</v>
      </c>
      <c r="H739" s="1">
        <v>1009.888</v>
      </c>
      <c r="I739" s="1">
        <v>0</v>
      </c>
    </row>
    <row r="740" spans="1:9" hidden="1" x14ac:dyDescent="0.25">
      <c r="A740" s="1" t="s">
        <v>158</v>
      </c>
      <c r="B740" s="1" t="s">
        <v>183</v>
      </c>
      <c r="C740" s="1" t="s">
        <v>25</v>
      </c>
      <c r="D740" s="1">
        <v>0</v>
      </c>
      <c r="E740" s="1">
        <v>0</v>
      </c>
      <c r="F740" s="1">
        <v>-160.66</v>
      </c>
      <c r="G740" s="1">
        <v>-2602.7570000000001</v>
      </c>
      <c r="H740" s="1">
        <v>367.23200000000003</v>
      </c>
      <c r="I740" s="1">
        <v>0</v>
      </c>
    </row>
    <row r="741" spans="1:9" hidden="1" x14ac:dyDescent="0.25">
      <c r="A741" s="1" t="s">
        <v>158</v>
      </c>
      <c r="B741" s="1" t="s">
        <v>183</v>
      </c>
      <c r="C741" s="1" t="s">
        <v>10</v>
      </c>
      <c r="D741" s="1">
        <v>0</v>
      </c>
      <c r="E741" s="1">
        <v>0</v>
      </c>
      <c r="F741" s="1">
        <v>-160.66</v>
      </c>
      <c r="G741" s="1">
        <v>-2602.7570000000001</v>
      </c>
      <c r="H741" s="1">
        <v>1009.888</v>
      </c>
      <c r="I741" s="1">
        <v>0</v>
      </c>
    </row>
    <row r="742" spans="1:9" hidden="1" x14ac:dyDescent="0.25">
      <c r="A742" s="1" t="s">
        <v>158</v>
      </c>
      <c r="B742" s="1" t="s">
        <v>184</v>
      </c>
      <c r="C742" s="1" t="s">
        <v>25</v>
      </c>
      <c r="D742" s="1">
        <v>0</v>
      </c>
      <c r="E742" s="1">
        <v>0</v>
      </c>
      <c r="F742" s="1">
        <v>160.66</v>
      </c>
      <c r="G742" s="1">
        <v>3181.1469999999999</v>
      </c>
      <c r="H742" s="1">
        <v>-367.23200000000003</v>
      </c>
      <c r="I742" s="1">
        <v>0</v>
      </c>
    </row>
    <row r="743" spans="1:9" hidden="1" x14ac:dyDescent="0.25">
      <c r="A743" s="1" t="s">
        <v>158</v>
      </c>
      <c r="B743" s="1" t="s">
        <v>184</v>
      </c>
      <c r="C743" s="1" t="s">
        <v>10</v>
      </c>
      <c r="D743" s="1">
        <v>0</v>
      </c>
      <c r="E743" s="1">
        <v>0</v>
      </c>
      <c r="F743" s="1">
        <v>160.66</v>
      </c>
      <c r="G743" s="1">
        <v>3181.1469999999999</v>
      </c>
      <c r="H743" s="1">
        <v>-1009.888</v>
      </c>
      <c r="I743" s="1">
        <v>0</v>
      </c>
    </row>
    <row r="744" spans="1:9" hidden="1" x14ac:dyDescent="0.25">
      <c r="A744" s="1" t="s">
        <v>158</v>
      </c>
      <c r="B744" s="1" t="s">
        <v>185</v>
      </c>
      <c r="C744" s="1" t="s">
        <v>25</v>
      </c>
      <c r="D744" s="1">
        <v>0</v>
      </c>
      <c r="E744" s="1">
        <v>0</v>
      </c>
      <c r="F744" s="1">
        <v>160.66</v>
      </c>
      <c r="G744" s="1">
        <v>2602.7570000000001</v>
      </c>
      <c r="H744" s="1">
        <v>-367.23200000000003</v>
      </c>
      <c r="I744" s="1">
        <v>0</v>
      </c>
    </row>
    <row r="745" spans="1:9" hidden="1" x14ac:dyDescent="0.25">
      <c r="A745" s="1" t="s">
        <v>158</v>
      </c>
      <c r="B745" s="1" t="s">
        <v>185</v>
      </c>
      <c r="C745" s="1" t="s">
        <v>10</v>
      </c>
      <c r="D745" s="1">
        <v>0</v>
      </c>
      <c r="E745" s="1">
        <v>0</v>
      </c>
      <c r="F745" s="1">
        <v>160.66</v>
      </c>
      <c r="G745" s="1">
        <v>2602.7570000000001</v>
      </c>
      <c r="H745" s="1">
        <v>-1009.888</v>
      </c>
      <c r="I745" s="1">
        <v>0</v>
      </c>
    </row>
    <row r="746" spans="1:9" hidden="1" x14ac:dyDescent="0.25">
      <c r="A746" s="1" t="s">
        <v>158</v>
      </c>
      <c r="B746" s="1" t="s">
        <v>186</v>
      </c>
      <c r="C746" s="1" t="s">
        <v>25</v>
      </c>
      <c r="D746" s="1">
        <v>0</v>
      </c>
      <c r="E746" s="1">
        <v>-132.91999999999999</v>
      </c>
      <c r="F746" s="1">
        <v>0</v>
      </c>
      <c r="G746" s="1">
        <v>2193.127</v>
      </c>
      <c r="H746" s="1">
        <v>0</v>
      </c>
      <c r="I746" s="1">
        <v>-303.81</v>
      </c>
    </row>
    <row r="747" spans="1:9" hidden="1" x14ac:dyDescent="0.25">
      <c r="A747" s="1" t="s">
        <v>158</v>
      </c>
      <c r="B747" s="1" t="s">
        <v>186</v>
      </c>
      <c r="C747" s="1" t="s">
        <v>10</v>
      </c>
      <c r="D747" s="1">
        <v>0</v>
      </c>
      <c r="E747" s="1">
        <v>-132.91999999999999</v>
      </c>
      <c r="F747" s="1">
        <v>0</v>
      </c>
      <c r="G747" s="1">
        <v>2193.127</v>
      </c>
      <c r="H747" s="1">
        <v>0</v>
      </c>
      <c r="I747" s="1">
        <v>-835.47699999999998</v>
      </c>
    </row>
    <row r="748" spans="1:9" hidden="1" x14ac:dyDescent="0.25">
      <c r="A748" s="1" t="s">
        <v>158</v>
      </c>
      <c r="B748" s="1" t="s">
        <v>187</v>
      </c>
      <c r="C748" s="1" t="s">
        <v>25</v>
      </c>
      <c r="D748" s="1">
        <v>0</v>
      </c>
      <c r="E748" s="1">
        <v>-132.91999999999999</v>
      </c>
      <c r="F748" s="1">
        <v>0</v>
      </c>
      <c r="G748" s="1">
        <v>1794.376</v>
      </c>
      <c r="H748" s="1">
        <v>0</v>
      </c>
      <c r="I748" s="1">
        <v>-303.81</v>
      </c>
    </row>
    <row r="749" spans="1:9" hidden="1" x14ac:dyDescent="0.25">
      <c r="A749" s="1" t="s">
        <v>158</v>
      </c>
      <c r="B749" s="1" t="s">
        <v>187</v>
      </c>
      <c r="C749" s="1" t="s">
        <v>10</v>
      </c>
      <c r="D749" s="1">
        <v>0</v>
      </c>
      <c r="E749" s="1">
        <v>-132.91999999999999</v>
      </c>
      <c r="F749" s="1">
        <v>0</v>
      </c>
      <c r="G749" s="1">
        <v>1794.376</v>
      </c>
      <c r="H749" s="1">
        <v>0</v>
      </c>
      <c r="I749" s="1">
        <v>-835.47699999999998</v>
      </c>
    </row>
    <row r="750" spans="1:9" hidden="1" x14ac:dyDescent="0.25">
      <c r="A750" s="1" t="s">
        <v>158</v>
      </c>
      <c r="B750" s="1" t="s">
        <v>188</v>
      </c>
      <c r="C750" s="1" t="s">
        <v>25</v>
      </c>
      <c r="D750" s="1">
        <v>0</v>
      </c>
      <c r="E750" s="1">
        <v>132.91999999999999</v>
      </c>
      <c r="F750" s="1">
        <v>0</v>
      </c>
      <c r="G750" s="1">
        <v>-2193.127</v>
      </c>
      <c r="H750" s="1">
        <v>0</v>
      </c>
      <c r="I750" s="1">
        <v>303.81</v>
      </c>
    </row>
    <row r="751" spans="1:9" hidden="1" x14ac:dyDescent="0.25">
      <c r="A751" s="1" t="s">
        <v>158</v>
      </c>
      <c r="B751" s="1" t="s">
        <v>188</v>
      </c>
      <c r="C751" s="1" t="s">
        <v>10</v>
      </c>
      <c r="D751" s="1">
        <v>0</v>
      </c>
      <c r="E751" s="1">
        <v>132.91999999999999</v>
      </c>
      <c r="F751" s="1">
        <v>0</v>
      </c>
      <c r="G751" s="1">
        <v>-2193.127</v>
      </c>
      <c r="H751" s="1">
        <v>0</v>
      </c>
      <c r="I751" s="1">
        <v>835.47699999999998</v>
      </c>
    </row>
    <row r="752" spans="1:9" hidden="1" x14ac:dyDescent="0.25">
      <c r="A752" s="1" t="s">
        <v>158</v>
      </c>
      <c r="B752" s="1" t="s">
        <v>189</v>
      </c>
      <c r="C752" s="1" t="s">
        <v>25</v>
      </c>
      <c r="D752" s="1">
        <v>0</v>
      </c>
      <c r="E752" s="1">
        <v>132.91999999999999</v>
      </c>
      <c r="F752" s="1">
        <v>0</v>
      </c>
      <c r="G752" s="1">
        <v>-1794.376</v>
      </c>
      <c r="H752" s="1">
        <v>0</v>
      </c>
      <c r="I752" s="1">
        <v>303.81</v>
      </c>
    </row>
    <row r="753" spans="1:9" hidden="1" x14ac:dyDescent="0.25">
      <c r="A753" s="1" t="s">
        <v>158</v>
      </c>
      <c r="B753" s="1" t="s">
        <v>189</v>
      </c>
      <c r="C753" s="1" t="s">
        <v>10</v>
      </c>
      <c r="D753" s="1">
        <v>0</v>
      </c>
      <c r="E753" s="1">
        <v>132.91999999999999</v>
      </c>
      <c r="F753" s="1">
        <v>0</v>
      </c>
      <c r="G753" s="1">
        <v>-1794.376</v>
      </c>
      <c r="H753" s="1">
        <v>0</v>
      </c>
      <c r="I753" s="1">
        <v>835.47699999999998</v>
      </c>
    </row>
    <row r="754" spans="1:9" hidden="1" x14ac:dyDescent="0.25">
      <c r="A754" s="1" t="s">
        <v>158</v>
      </c>
      <c r="B754" s="1" t="s">
        <v>190</v>
      </c>
      <c r="C754" s="1" t="s">
        <v>25</v>
      </c>
      <c r="D754" s="1">
        <v>0</v>
      </c>
      <c r="E754" s="1">
        <v>0</v>
      </c>
      <c r="F754" s="1">
        <v>-160.66</v>
      </c>
      <c r="G754" s="1">
        <v>-3181.1469999999999</v>
      </c>
      <c r="H754" s="1">
        <v>367.23200000000003</v>
      </c>
      <c r="I754" s="1">
        <v>0</v>
      </c>
    </row>
    <row r="755" spans="1:9" hidden="1" x14ac:dyDescent="0.25">
      <c r="A755" s="1" t="s">
        <v>158</v>
      </c>
      <c r="B755" s="1" t="s">
        <v>190</v>
      </c>
      <c r="C755" s="1" t="s">
        <v>10</v>
      </c>
      <c r="D755" s="1">
        <v>0</v>
      </c>
      <c r="E755" s="1">
        <v>0</v>
      </c>
      <c r="F755" s="1">
        <v>-160.66</v>
      </c>
      <c r="G755" s="1">
        <v>-3181.1469999999999</v>
      </c>
      <c r="H755" s="1">
        <v>1009.888</v>
      </c>
      <c r="I755" s="1">
        <v>0</v>
      </c>
    </row>
    <row r="756" spans="1:9" hidden="1" x14ac:dyDescent="0.25">
      <c r="A756" s="1" t="s">
        <v>158</v>
      </c>
      <c r="B756" s="1" t="s">
        <v>191</v>
      </c>
      <c r="C756" s="1" t="s">
        <v>25</v>
      </c>
      <c r="D756" s="1">
        <v>0</v>
      </c>
      <c r="E756" s="1">
        <v>0</v>
      </c>
      <c r="F756" s="1">
        <v>-160.66</v>
      </c>
      <c r="G756" s="1">
        <v>-2602.7570000000001</v>
      </c>
      <c r="H756" s="1">
        <v>367.23200000000003</v>
      </c>
      <c r="I756" s="1">
        <v>0</v>
      </c>
    </row>
    <row r="757" spans="1:9" hidden="1" x14ac:dyDescent="0.25">
      <c r="A757" s="1" t="s">
        <v>158</v>
      </c>
      <c r="B757" s="1" t="s">
        <v>191</v>
      </c>
      <c r="C757" s="1" t="s">
        <v>10</v>
      </c>
      <c r="D757" s="1">
        <v>0</v>
      </c>
      <c r="E757" s="1">
        <v>0</v>
      </c>
      <c r="F757" s="1">
        <v>-160.66</v>
      </c>
      <c r="G757" s="1">
        <v>-2602.7570000000001</v>
      </c>
      <c r="H757" s="1">
        <v>1009.888</v>
      </c>
      <c r="I757" s="1">
        <v>0</v>
      </c>
    </row>
    <row r="758" spans="1:9" hidden="1" x14ac:dyDescent="0.25">
      <c r="A758" s="1" t="s">
        <v>158</v>
      </c>
      <c r="B758" s="1" t="s">
        <v>192</v>
      </c>
      <c r="C758" s="1" t="s">
        <v>25</v>
      </c>
      <c r="D758" s="1">
        <v>0</v>
      </c>
      <c r="E758" s="1">
        <v>0</v>
      </c>
      <c r="F758" s="1">
        <v>160.66</v>
      </c>
      <c r="G758" s="1">
        <v>3181.1469999999999</v>
      </c>
      <c r="H758" s="1">
        <v>-367.23200000000003</v>
      </c>
      <c r="I758" s="1">
        <v>0</v>
      </c>
    </row>
    <row r="759" spans="1:9" hidden="1" x14ac:dyDescent="0.25">
      <c r="A759" s="1" t="s">
        <v>158</v>
      </c>
      <c r="B759" s="1" t="s">
        <v>192</v>
      </c>
      <c r="C759" s="1" t="s">
        <v>10</v>
      </c>
      <c r="D759" s="1">
        <v>0</v>
      </c>
      <c r="E759" s="1">
        <v>0</v>
      </c>
      <c r="F759" s="1">
        <v>160.66</v>
      </c>
      <c r="G759" s="1">
        <v>3181.1469999999999</v>
      </c>
      <c r="H759" s="1">
        <v>-1009.888</v>
      </c>
      <c r="I759" s="1">
        <v>0</v>
      </c>
    </row>
    <row r="760" spans="1:9" hidden="1" x14ac:dyDescent="0.25">
      <c r="A760" s="1" t="s">
        <v>158</v>
      </c>
      <c r="B760" s="1" t="s">
        <v>193</v>
      </c>
      <c r="C760" s="1" t="s">
        <v>25</v>
      </c>
      <c r="D760" s="1">
        <v>0</v>
      </c>
      <c r="E760" s="1">
        <v>0</v>
      </c>
      <c r="F760" s="1">
        <v>160.66</v>
      </c>
      <c r="G760" s="1">
        <v>2602.7570000000001</v>
      </c>
      <c r="H760" s="1">
        <v>-367.23200000000003</v>
      </c>
      <c r="I760" s="1">
        <v>0</v>
      </c>
    </row>
    <row r="761" spans="1:9" hidden="1" x14ac:dyDescent="0.25">
      <c r="A761" s="1" t="s">
        <v>158</v>
      </c>
      <c r="B761" s="1" t="s">
        <v>193</v>
      </c>
      <c r="C761" s="1" t="s">
        <v>10</v>
      </c>
      <c r="D761" s="1">
        <v>0</v>
      </c>
      <c r="E761" s="1">
        <v>0</v>
      </c>
      <c r="F761" s="1">
        <v>160.66</v>
      </c>
      <c r="G761" s="1">
        <v>2602.7570000000001</v>
      </c>
      <c r="H761" s="1">
        <v>-1009.888</v>
      </c>
      <c r="I761" s="1">
        <v>0</v>
      </c>
    </row>
    <row r="762" spans="1:9" hidden="1" x14ac:dyDescent="0.25">
      <c r="A762" s="1" t="s">
        <v>158</v>
      </c>
      <c r="B762" s="1" t="s">
        <v>194</v>
      </c>
      <c r="C762" s="1" t="s">
        <v>25</v>
      </c>
      <c r="D762" s="1">
        <v>0</v>
      </c>
      <c r="E762" s="1">
        <v>-443.06</v>
      </c>
      <c r="F762" s="1">
        <v>0</v>
      </c>
      <c r="G762" s="1">
        <v>7310.4229999999998</v>
      </c>
      <c r="H762" s="1">
        <v>0</v>
      </c>
      <c r="I762" s="1">
        <v>-1012.699</v>
      </c>
    </row>
    <row r="763" spans="1:9" hidden="1" x14ac:dyDescent="0.25">
      <c r="A763" s="1" t="s">
        <v>158</v>
      </c>
      <c r="B763" s="1" t="s">
        <v>194</v>
      </c>
      <c r="C763" s="1" t="s">
        <v>10</v>
      </c>
      <c r="D763" s="1">
        <v>0</v>
      </c>
      <c r="E763" s="1">
        <v>-443.06</v>
      </c>
      <c r="F763" s="1">
        <v>0</v>
      </c>
      <c r="G763" s="1">
        <v>7310.4229999999998</v>
      </c>
      <c r="H763" s="1">
        <v>0</v>
      </c>
      <c r="I763" s="1">
        <v>-2784.9229999999998</v>
      </c>
    </row>
    <row r="764" spans="1:9" hidden="1" x14ac:dyDescent="0.25">
      <c r="A764" s="1" t="s">
        <v>158</v>
      </c>
      <c r="B764" s="1" t="s">
        <v>195</v>
      </c>
      <c r="C764" s="1" t="s">
        <v>25</v>
      </c>
      <c r="D764" s="1">
        <v>0</v>
      </c>
      <c r="E764" s="1">
        <v>-443.06</v>
      </c>
      <c r="F764" s="1">
        <v>0</v>
      </c>
      <c r="G764" s="1">
        <v>5981.2550000000001</v>
      </c>
      <c r="H764" s="1">
        <v>0</v>
      </c>
      <c r="I764" s="1">
        <v>-1012.699</v>
      </c>
    </row>
    <row r="765" spans="1:9" hidden="1" x14ac:dyDescent="0.25">
      <c r="A765" s="1" t="s">
        <v>158</v>
      </c>
      <c r="B765" s="1" t="s">
        <v>195</v>
      </c>
      <c r="C765" s="1" t="s">
        <v>10</v>
      </c>
      <c r="D765" s="1">
        <v>0</v>
      </c>
      <c r="E765" s="1">
        <v>-443.06</v>
      </c>
      <c r="F765" s="1">
        <v>0</v>
      </c>
      <c r="G765" s="1">
        <v>5981.2550000000001</v>
      </c>
      <c r="H765" s="1">
        <v>0</v>
      </c>
      <c r="I765" s="1">
        <v>-2784.9229999999998</v>
      </c>
    </row>
    <row r="766" spans="1:9" hidden="1" x14ac:dyDescent="0.25">
      <c r="A766" s="1" t="s">
        <v>158</v>
      </c>
      <c r="B766" s="1" t="s">
        <v>196</v>
      </c>
      <c r="C766" s="1" t="s">
        <v>25</v>
      </c>
      <c r="D766" s="1">
        <v>0</v>
      </c>
      <c r="E766" s="1">
        <v>443.06</v>
      </c>
      <c r="F766" s="1">
        <v>0</v>
      </c>
      <c r="G766" s="1">
        <v>-7310.4229999999998</v>
      </c>
      <c r="H766" s="1">
        <v>0</v>
      </c>
      <c r="I766" s="1">
        <v>1012.699</v>
      </c>
    </row>
    <row r="767" spans="1:9" hidden="1" x14ac:dyDescent="0.25">
      <c r="A767" s="1" t="s">
        <v>158</v>
      </c>
      <c r="B767" s="1" t="s">
        <v>196</v>
      </c>
      <c r="C767" s="1" t="s">
        <v>10</v>
      </c>
      <c r="D767" s="1">
        <v>0</v>
      </c>
      <c r="E767" s="1">
        <v>443.06</v>
      </c>
      <c r="F767" s="1">
        <v>0</v>
      </c>
      <c r="G767" s="1">
        <v>-7310.4229999999998</v>
      </c>
      <c r="H767" s="1">
        <v>0</v>
      </c>
      <c r="I767" s="1">
        <v>2784.9229999999998</v>
      </c>
    </row>
    <row r="768" spans="1:9" hidden="1" x14ac:dyDescent="0.25">
      <c r="A768" s="1" t="s">
        <v>158</v>
      </c>
      <c r="B768" s="1" t="s">
        <v>197</v>
      </c>
      <c r="C768" s="1" t="s">
        <v>25</v>
      </c>
      <c r="D768" s="1">
        <v>0</v>
      </c>
      <c r="E768" s="1">
        <v>443.06</v>
      </c>
      <c r="F768" s="1">
        <v>0</v>
      </c>
      <c r="G768" s="1">
        <v>-5981.2550000000001</v>
      </c>
      <c r="H768" s="1">
        <v>0</v>
      </c>
      <c r="I768" s="1">
        <v>1012.699</v>
      </c>
    </row>
    <row r="769" spans="1:9" hidden="1" x14ac:dyDescent="0.25">
      <c r="A769" s="1" t="s">
        <v>158</v>
      </c>
      <c r="B769" s="1" t="s">
        <v>197</v>
      </c>
      <c r="C769" s="1" t="s">
        <v>10</v>
      </c>
      <c r="D769" s="1">
        <v>0</v>
      </c>
      <c r="E769" s="1">
        <v>443.06</v>
      </c>
      <c r="F769" s="1">
        <v>0</v>
      </c>
      <c r="G769" s="1">
        <v>-5981.2550000000001</v>
      </c>
      <c r="H769" s="1">
        <v>0</v>
      </c>
      <c r="I769" s="1">
        <v>2784.9229999999998</v>
      </c>
    </row>
    <row r="770" spans="1:9" hidden="1" x14ac:dyDescent="0.25">
      <c r="A770" s="1" t="s">
        <v>158</v>
      </c>
      <c r="B770" s="1" t="s">
        <v>198</v>
      </c>
      <c r="C770" s="1" t="s">
        <v>25</v>
      </c>
      <c r="D770" s="1">
        <v>0</v>
      </c>
      <c r="E770" s="1">
        <v>0</v>
      </c>
      <c r="F770" s="1">
        <v>-535.54999999999995</v>
      </c>
      <c r="G770" s="1">
        <v>-10603.824000000001</v>
      </c>
      <c r="H770" s="1">
        <v>1224.107</v>
      </c>
      <c r="I770" s="1">
        <v>0</v>
      </c>
    </row>
    <row r="771" spans="1:9" hidden="1" x14ac:dyDescent="0.25">
      <c r="A771" s="1" t="s">
        <v>158</v>
      </c>
      <c r="B771" s="1" t="s">
        <v>198</v>
      </c>
      <c r="C771" s="1" t="s">
        <v>10</v>
      </c>
      <c r="D771" s="1">
        <v>0</v>
      </c>
      <c r="E771" s="1">
        <v>0</v>
      </c>
      <c r="F771" s="1">
        <v>-535.54999999999995</v>
      </c>
      <c r="G771" s="1">
        <v>-10603.824000000001</v>
      </c>
      <c r="H771" s="1">
        <v>3366.2930000000001</v>
      </c>
      <c r="I771" s="1">
        <v>0</v>
      </c>
    </row>
    <row r="772" spans="1:9" hidden="1" x14ac:dyDescent="0.25">
      <c r="A772" s="1" t="s">
        <v>158</v>
      </c>
      <c r="B772" s="1" t="s">
        <v>199</v>
      </c>
      <c r="C772" s="1" t="s">
        <v>25</v>
      </c>
      <c r="D772" s="1">
        <v>0</v>
      </c>
      <c r="E772" s="1">
        <v>0</v>
      </c>
      <c r="F772" s="1">
        <v>-535.54999999999995</v>
      </c>
      <c r="G772" s="1">
        <v>-8675.8559999999998</v>
      </c>
      <c r="H772" s="1">
        <v>1224.107</v>
      </c>
      <c r="I772" s="1">
        <v>0</v>
      </c>
    </row>
    <row r="773" spans="1:9" hidden="1" x14ac:dyDescent="0.25">
      <c r="A773" s="1" t="s">
        <v>158</v>
      </c>
      <c r="B773" s="1" t="s">
        <v>199</v>
      </c>
      <c r="C773" s="1" t="s">
        <v>10</v>
      </c>
      <c r="D773" s="1">
        <v>0</v>
      </c>
      <c r="E773" s="1">
        <v>0</v>
      </c>
      <c r="F773" s="1">
        <v>-535.54999999999995</v>
      </c>
      <c r="G773" s="1">
        <v>-8675.8559999999998</v>
      </c>
      <c r="H773" s="1">
        <v>3366.2930000000001</v>
      </c>
      <c r="I773" s="1">
        <v>0</v>
      </c>
    </row>
    <row r="774" spans="1:9" hidden="1" x14ac:dyDescent="0.25">
      <c r="A774" s="1" t="s">
        <v>158</v>
      </c>
      <c r="B774" s="1" t="s">
        <v>200</v>
      </c>
      <c r="C774" s="1" t="s">
        <v>25</v>
      </c>
      <c r="D774" s="1">
        <v>0</v>
      </c>
      <c r="E774" s="1">
        <v>0</v>
      </c>
      <c r="F774" s="1">
        <v>535.54999999999995</v>
      </c>
      <c r="G774" s="1">
        <v>10603.824000000001</v>
      </c>
      <c r="H774" s="1">
        <v>-1224.107</v>
      </c>
      <c r="I774" s="1">
        <v>0</v>
      </c>
    </row>
    <row r="775" spans="1:9" hidden="1" x14ac:dyDescent="0.25">
      <c r="A775" s="1" t="s">
        <v>158</v>
      </c>
      <c r="B775" s="1" t="s">
        <v>200</v>
      </c>
      <c r="C775" s="1" t="s">
        <v>10</v>
      </c>
      <c r="D775" s="1">
        <v>0</v>
      </c>
      <c r="E775" s="1">
        <v>0</v>
      </c>
      <c r="F775" s="1">
        <v>535.54999999999995</v>
      </c>
      <c r="G775" s="1">
        <v>10603.824000000001</v>
      </c>
      <c r="H775" s="1">
        <v>-3366.2930000000001</v>
      </c>
      <c r="I775" s="1">
        <v>0</v>
      </c>
    </row>
    <row r="776" spans="1:9" hidden="1" x14ac:dyDescent="0.25">
      <c r="A776" s="1" t="s">
        <v>158</v>
      </c>
      <c r="B776" s="1" t="s">
        <v>201</v>
      </c>
      <c r="C776" s="1" t="s">
        <v>25</v>
      </c>
      <c r="D776" s="1">
        <v>0</v>
      </c>
      <c r="E776" s="1">
        <v>0</v>
      </c>
      <c r="F776" s="1">
        <v>535.54999999999995</v>
      </c>
      <c r="G776" s="1">
        <v>8675.8559999999998</v>
      </c>
      <c r="H776" s="1">
        <v>-1224.107</v>
      </c>
      <c r="I776" s="1">
        <v>0</v>
      </c>
    </row>
    <row r="777" spans="1:9" hidden="1" x14ac:dyDescent="0.25">
      <c r="A777" s="1" t="s">
        <v>158</v>
      </c>
      <c r="B777" s="1" t="s">
        <v>201</v>
      </c>
      <c r="C777" s="1" t="s">
        <v>10</v>
      </c>
      <c r="D777" s="1">
        <v>0</v>
      </c>
      <c r="E777" s="1">
        <v>0</v>
      </c>
      <c r="F777" s="1">
        <v>535.54999999999995</v>
      </c>
      <c r="G777" s="1">
        <v>8675.8559999999998</v>
      </c>
      <c r="H777" s="1">
        <v>-3366.2930000000001</v>
      </c>
      <c r="I777" s="1">
        <v>0</v>
      </c>
    </row>
    <row r="778" spans="1:9" hidden="1" x14ac:dyDescent="0.25">
      <c r="A778" s="1" t="s">
        <v>158</v>
      </c>
      <c r="B778" s="1" t="s">
        <v>202</v>
      </c>
      <c r="C778" s="1" t="s">
        <v>25</v>
      </c>
      <c r="D778" s="1">
        <v>0</v>
      </c>
      <c r="E778" s="1">
        <v>-443.06</v>
      </c>
      <c r="F778" s="1">
        <v>0</v>
      </c>
      <c r="G778" s="1">
        <v>7310.4229999999998</v>
      </c>
      <c r="H778" s="1">
        <v>0</v>
      </c>
      <c r="I778" s="1">
        <v>-1012.699</v>
      </c>
    </row>
    <row r="779" spans="1:9" hidden="1" x14ac:dyDescent="0.25">
      <c r="A779" s="1" t="s">
        <v>158</v>
      </c>
      <c r="B779" s="1" t="s">
        <v>202</v>
      </c>
      <c r="C779" s="1" t="s">
        <v>10</v>
      </c>
      <c r="D779" s="1">
        <v>0</v>
      </c>
      <c r="E779" s="1">
        <v>-443.06</v>
      </c>
      <c r="F779" s="1">
        <v>0</v>
      </c>
      <c r="G779" s="1">
        <v>7310.4229999999998</v>
      </c>
      <c r="H779" s="1">
        <v>0</v>
      </c>
      <c r="I779" s="1">
        <v>-2784.9229999999998</v>
      </c>
    </row>
    <row r="780" spans="1:9" hidden="1" x14ac:dyDescent="0.25">
      <c r="A780" s="1" t="s">
        <v>158</v>
      </c>
      <c r="B780" s="1" t="s">
        <v>203</v>
      </c>
      <c r="C780" s="1" t="s">
        <v>25</v>
      </c>
      <c r="D780" s="1">
        <v>0</v>
      </c>
      <c r="E780" s="1">
        <v>-443.06</v>
      </c>
      <c r="F780" s="1">
        <v>0</v>
      </c>
      <c r="G780" s="1">
        <v>5981.2550000000001</v>
      </c>
      <c r="H780" s="1">
        <v>0</v>
      </c>
      <c r="I780" s="1">
        <v>-1012.699</v>
      </c>
    </row>
    <row r="781" spans="1:9" hidden="1" x14ac:dyDescent="0.25">
      <c r="A781" s="1" t="s">
        <v>158</v>
      </c>
      <c r="B781" s="1" t="s">
        <v>203</v>
      </c>
      <c r="C781" s="1" t="s">
        <v>10</v>
      </c>
      <c r="D781" s="1">
        <v>0</v>
      </c>
      <c r="E781" s="1">
        <v>-443.06</v>
      </c>
      <c r="F781" s="1">
        <v>0</v>
      </c>
      <c r="G781" s="1">
        <v>5981.2550000000001</v>
      </c>
      <c r="H781" s="1">
        <v>0</v>
      </c>
      <c r="I781" s="1">
        <v>-2784.9229999999998</v>
      </c>
    </row>
    <row r="782" spans="1:9" hidden="1" x14ac:dyDescent="0.25">
      <c r="A782" s="1" t="s">
        <v>158</v>
      </c>
      <c r="B782" s="1" t="s">
        <v>204</v>
      </c>
      <c r="C782" s="1" t="s">
        <v>25</v>
      </c>
      <c r="D782" s="1">
        <v>0</v>
      </c>
      <c r="E782" s="1">
        <v>443.06</v>
      </c>
      <c r="F782" s="1">
        <v>0</v>
      </c>
      <c r="G782" s="1">
        <v>-7310.4229999999998</v>
      </c>
      <c r="H782" s="1">
        <v>0</v>
      </c>
      <c r="I782" s="1">
        <v>1012.699</v>
      </c>
    </row>
    <row r="783" spans="1:9" hidden="1" x14ac:dyDescent="0.25">
      <c r="A783" s="1" t="s">
        <v>158</v>
      </c>
      <c r="B783" s="1" t="s">
        <v>204</v>
      </c>
      <c r="C783" s="1" t="s">
        <v>10</v>
      </c>
      <c r="D783" s="1">
        <v>0</v>
      </c>
      <c r="E783" s="1">
        <v>443.06</v>
      </c>
      <c r="F783" s="1">
        <v>0</v>
      </c>
      <c r="G783" s="1">
        <v>-7310.4229999999998</v>
      </c>
      <c r="H783" s="1">
        <v>0</v>
      </c>
      <c r="I783" s="1">
        <v>2784.9229999999998</v>
      </c>
    </row>
    <row r="784" spans="1:9" hidden="1" x14ac:dyDescent="0.25">
      <c r="A784" s="1" t="s">
        <v>158</v>
      </c>
      <c r="B784" s="1" t="s">
        <v>205</v>
      </c>
      <c r="C784" s="1" t="s">
        <v>25</v>
      </c>
      <c r="D784" s="1">
        <v>0</v>
      </c>
      <c r="E784" s="1">
        <v>443.06</v>
      </c>
      <c r="F784" s="1">
        <v>0</v>
      </c>
      <c r="G784" s="1">
        <v>-5981.2550000000001</v>
      </c>
      <c r="H784" s="1">
        <v>0</v>
      </c>
      <c r="I784" s="1">
        <v>1012.699</v>
      </c>
    </row>
    <row r="785" spans="1:9" hidden="1" x14ac:dyDescent="0.25">
      <c r="A785" s="1" t="s">
        <v>158</v>
      </c>
      <c r="B785" s="1" t="s">
        <v>205</v>
      </c>
      <c r="C785" s="1" t="s">
        <v>10</v>
      </c>
      <c r="D785" s="1">
        <v>0</v>
      </c>
      <c r="E785" s="1">
        <v>443.06</v>
      </c>
      <c r="F785" s="1">
        <v>0</v>
      </c>
      <c r="G785" s="1">
        <v>-5981.2550000000001</v>
      </c>
      <c r="H785" s="1">
        <v>0</v>
      </c>
      <c r="I785" s="1">
        <v>2784.9229999999998</v>
      </c>
    </row>
    <row r="786" spans="1:9" hidden="1" x14ac:dyDescent="0.25">
      <c r="A786" s="1" t="s">
        <v>158</v>
      </c>
      <c r="B786" s="1" t="s">
        <v>206</v>
      </c>
      <c r="C786" s="1" t="s">
        <v>25</v>
      </c>
      <c r="D786" s="1">
        <v>0</v>
      </c>
      <c r="E786" s="1">
        <v>0</v>
      </c>
      <c r="F786" s="1">
        <v>-535.54999999999995</v>
      </c>
      <c r="G786" s="1">
        <v>-10603.824000000001</v>
      </c>
      <c r="H786" s="1">
        <v>1224.107</v>
      </c>
      <c r="I786" s="1">
        <v>0</v>
      </c>
    </row>
    <row r="787" spans="1:9" hidden="1" x14ac:dyDescent="0.25">
      <c r="A787" s="1" t="s">
        <v>158</v>
      </c>
      <c r="B787" s="1" t="s">
        <v>206</v>
      </c>
      <c r="C787" s="1" t="s">
        <v>10</v>
      </c>
      <c r="D787" s="1">
        <v>0</v>
      </c>
      <c r="E787" s="1">
        <v>0</v>
      </c>
      <c r="F787" s="1">
        <v>-535.54999999999995</v>
      </c>
      <c r="G787" s="1">
        <v>-10603.824000000001</v>
      </c>
      <c r="H787" s="1">
        <v>3366.2930000000001</v>
      </c>
      <c r="I787" s="1">
        <v>0</v>
      </c>
    </row>
    <row r="788" spans="1:9" hidden="1" x14ac:dyDescent="0.25">
      <c r="A788" s="1" t="s">
        <v>158</v>
      </c>
      <c r="B788" s="1" t="s">
        <v>207</v>
      </c>
      <c r="C788" s="1" t="s">
        <v>25</v>
      </c>
      <c r="D788" s="1">
        <v>0</v>
      </c>
      <c r="E788" s="1">
        <v>0</v>
      </c>
      <c r="F788" s="1">
        <v>-535.54999999999995</v>
      </c>
      <c r="G788" s="1">
        <v>-8675.8559999999998</v>
      </c>
      <c r="H788" s="1">
        <v>1224.107</v>
      </c>
      <c r="I788" s="1">
        <v>0</v>
      </c>
    </row>
    <row r="789" spans="1:9" hidden="1" x14ac:dyDescent="0.25">
      <c r="A789" s="1" t="s">
        <v>158</v>
      </c>
      <c r="B789" s="1" t="s">
        <v>207</v>
      </c>
      <c r="C789" s="1" t="s">
        <v>10</v>
      </c>
      <c r="D789" s="1">
        <v>0</v>
      </c>
      <c r="E789" s="1">
        <v>0</v>
      </c>
      <c r="F789" s="1">
        <v>-535.54999999999995</v>
      </c>
      <c r="G789" s="1">
        <v>-8675.8559999999998</v>
      </c>
      <c r="H789" s="1">
        <v>3366.2930000000001</v>
      </c>
      <c r="I789" s="1">
        <v>0</v>
      </c>
    </row>
    <row r="790" spans="1:9" hidden="1" x14ac:dyDescent="0.25">
      <c r="A790" s="1" t="s">
        <v>158</v>
      </c>
      <c r="B790" s="1" t="s">
        <v>208</v>
      </c>
      <c r="C790" s="1" t="s">
        <v>25</v>
      </c>
      <c r="D790" s="1">
        <v>0</v>
      </c>
      <c r="E790" s="1">
        <v>0</v>
      </c>
      <c r="F790" s="1">
        <v>535.54999999999995</v>
      </c>
      <c r="G790" s="1">
        <v>10603.824000000001</v>
      </c>
      <c r="H790" s="1">
        <v>-1224.107</v>
      </c>
      <c r="I790" s="1">
        <v>0</v>
      </c>
    </row>
    <row r="791" spans="1:9" hidden="1" x14ac:dyDescent="0.25">
      <c r="A791" s="1" t="s">
        <v>158</v>
      </c>
      <c r="B791" s="1" t="s">
        <v>208</v>
      </c>
      <c r="C791" s="1" t="s">
        <v>10</v>
      </c>
      <c r="D791" s="1">
        <v>0</v>
      </c>
      <c r="E791" s="1">
        <v>0</v>
      </c>
      <c r="F791" s="1">
        <v>535.54999999999995</v>
      </c>
      <c r="G791" s="1">
        <v>10603.824000000001</v>
      </c>
      <c r="H791" s="1">
        <v>-3366.2930000000001</v>
      </c>
      <c r="I791" s="1">
        <v>0</v>
      </c>
    </row>
    <row r="792" spans="1:9" hidden="1" x14ac:dyDescent="0.25">
      <c r="A792" s="1" t="s">
        <v>158</v>
      </c>
      <c r="B792" s="1" t="s">
        <v>209</v>
      </c>
      <c r="C792" s="1" t="s">
        <v>25</v>
      </c>
      <c r="D792" s="1">
        <v>0</v>
      </c>
      <c r="E792" s="1">
        <v>0</v>
      </c>
      <c r="F792" s="1">
        <v>535.54999999999995</v>
      </c>
      <c r="G792" s="1">
        <v>8675.8559999999998</v>
      </c>
      <c r="H792" s="1">
        <v>-1224.107</v>
      </c>
      <c r="I792" s="1">
        <v>0</v>
      </c>
    </row>
    <row r="793" spans="1:9" hidden="1" x14ac:dyDescent="0.25">
      <c r="A793" s="1" t="s">
        <v>158</v>
      </c>
      <c r="B793" s="1" t="s">
        <v>209</v>
      </c>
      <c r="C793" s="1" t="s">
        <v>10</v>
      </c>
      <c r="D793" s="1">
        <v>0</v>
      </c>
      <c r="E793" s="1">
        <v>0</v>
      </c>
      <c r="F793" s="1">
        <v>535.54999999999995</v>
      </c>
      <c r="G793" s="1">
        <v>8675.8559999999998</v>
      </c>
      <c r="H793" s="1">
        <v>-3366.2930000000001</v>
      </c>
      <c r="I793" s="1">
        <v>0</v>
      </c>
    </row>
    <row r="794" spans="1:9" hidden="1" x14ac:dyDescent="0.25">
      <c r="A794" s="1" t="s">
        <v>158</v>
      </c>
      <c r="B794" s="1" t="s">
        <v>210</v>
      </c>
      <c r="C794" s="1" t="s">
        <v>25</v>
      </c>
      <c r="D794" s="1">
        <v>0</v>
      </c>
      <c r="E794" s="1">
        <v>-132.91999999999999</v>
      </c>
      <c r="F794" s="1">
        <v>0</v>
      </c>
      <c r="G794" s="1">
        <v>2193.127</v>
      </c>
      <c r="H794" s="1">
        <v>0</v>
      </c>
      <c r="I794" s="1">
        <v>-303.81</v>
      </c>
    </row>
    <row r="795" spans="1:9" hidden="1" x14ac:dyDescent="0.25">
      <c r="A795" s="1" t="s">
        <v>158</v>
      </c>
      <c r="B795" s="1" t="s">
        <v>210</v>
      </c>
      <c r="C795" s="1" t="s">
        <v>10</v>
      </c>
      <c r="D795" s="1">
        <v>0</v>
      </c>
      <c r="E795" s="1">
        <v>-132.91999999999999</v>
      </c>
      <c r="F795" s="1">
        <v>0</v>
      </c>
      <c r="G795" s="1">
        <v>2193.127</v>
      </c>
      <c r="H795" s="1">
        <v>0</v>
      </c>
      <c r="I795" s="1">
        <v>-835.47699999999998</v>
      </c>
    </row>
    <row r="796" spans="1:9" hidden="1" x14ac:dyDescent="0.25">
      <c r="A796" s="1" t="s">
        <v>158</v>
      </c>
      <c r="B796" s="1" t="s">
        <v>211</v>
      </c>
      <c r="C796" s="1" t="s">
        <v>25</v>
      </c>
      <c r="D796" s="1">
        <v>0</v>
      </c>
      <c r="E796" s="1">
        <v>-132.91999999999999</v>
      </c>
      <c r="F796" s="1">
        <v>0</v>
      </c>
      <c r="G796" s="1">
        <v>1794.376</v>
      </c>
      <c r="H796" s="1">
        <v>0</v>
      </c>
      <c r="I796" s="1">
        <v>-303.81</v>
      </c>
    </row>
    <row r="797" spans="1:9" hidden="1" x14ac:dyDescent="0.25">
      <c r="A797" s="1" t="s">
        <v>158</v>
      </c>
      <c r="B797" s="1" t="s">
        <v>211</v>
      </c>
      <c r="C797" s="1" t="s">
        <v>10</v>
      </c>
      <c r="D797" s="1">
        <v>0</v>
      </c>
      <c r="E797" s="1">
        <v>-132.91999999999999</v>
      </c>
      <c r="F797" s="1">
        <v>0</v>
      </c>
      <c r="G797" s="1">
        <v>1794.376</v>
      </c>
      <c r="H797" s="1">
        <v>0</v>
      </c>
      <c r="I797" s="1">
        <v>-835.47699999999998</v>
      </c>
    </row>
    <row r="798" spans="1:9" hidden="1" x14ac:dyDescent="0.25">
      <c r="A798" s="1" t="s">
        <v>158</v>
      </c>
      <c r="B798" s="1" t="s">
        <v>212</v>
      </c>
      <c r="C798" s="1" t="s">
        <v>25</v>
      </c>
      <c r="D798" s="1">
        <v>0</v>
      </c>
      <c r="E798" s="1">
        <v>132.91999999999999</v>
      </c>
      <c r="F798" s="1">
        <v>0</v>
      </c>
      <c r="G798" s="1">
        <v>-2193.127</v>
      </c>
      <c r="H798" s="1">
        <v>0</v>
      </c>
      <c r="I798" s="1">
        <v>303.81</v>
      </c>
    </row>
    <row r="799" spans="1:9" hidden="1" x14ac:dyDescent="0.25">
      <c r="A799" s="1" t="s">
        <v>158</v>
      </c>
      <c r="B799" s="1" t="s">
        <v>212</v>
      </c>
      <c r="C799" s="1" t="s">
        <v>10</v>
      </c>
      <c r="D799" s="1">
        <v>0</v>
      </c>
      <c r="E799" s="1">
        <v>132.91999999999999</v>
      </c>
      <c r="F799" s="1">
        <v>0</v>
      </c>
      <c r="G799" s="1">
        <v>-2193.127</v>
      </c>
      <c r="H799" s="1">
        <v>0</v>
      </c>
      <c r="I799" s="1">
        <v>835.47699999999998</v>
      </c>
    </row>
    <row r="800" spans="1:9" hidden="1" x14ac:dyDescent="0.25">
      <c r="A800" s="1" t="s">
        <v>158</v>
      </c>
      <c r="B800" s="1" t="s">
        <v>213</v>
      </c>
      <c r="C800" s="1" t="s">
        <v>25</v>
      </c>
      <c r="D800" s="1">
        <v>0</v>
      </c>
      <c r="E800" s="1">
        <v>132.91999999999999</v>
      </c>
      <c r="F800" s="1">
        <v>0</v>
      </c>
      <c r="G800" s="1">
        <v>-1794.376</v>
      </c>
      <c r="H800" s="1">
        <v>0</v>
      </c>
      <c r="I800" s="1">
        <v>303.81</v>
      </c>
    </row>
    <row r="801" spans="1:9" hidden="1" x14ac:dyDescent="0.25">
      <c r="A801" s="1" t="s">
        <v>158</v>
      </c>
      <c r="B801" s="1" t="s">
        <v>213</v>
      </c>
      <c r="C801" s="1" t="s">
        <v>10</v>
      </c>
      <c r="D801" s="1">
        <v>0</v>
      </c>
      <c r="E801" s="1">
        <v>132.91999999999999</v>
      </c>
      <c r="F801" s="1">
        <v>0</v>
      </c>
      <c r="G801" s="1">
        <v>-1794.376</v>
      </c>
      <c r="H801" s="1">
        <v>0</v>
      </c>
      <c r="I801" s="1">
        <v>835.47699999999998</v>
      </c>
    </row>
    <row r="802" spans="1:9" hidden="1" x14ac:dyDescent="0.25">
      <c r="A802" s="1" t="s">
        <v>158</v>
      </c>
      <c r="B802" s="1" t="s">
        <v>214</v>
      </c>
      <c r="C802" s="1" t="s">
        <v>25</v>
      </c>
      <c r="D802" s="1">
        <v>0</v>
      </c>
      <c r="E802" s="1">
        <v>0</v>
      </c>
      <c r="F802" s="1">
        <v>-160.66</v>
      </c>
      <c r="G802" s="1">
        <v>-3181.1469999999999</v>
      </c>
      <c r="H802" s="1">
        <v>367.23200000000003</v>
      </c>
      <c r="I802" s="1">
        <v>0</v>
      </c>
    </row>
    <row r="803" spans="1:9" hidden="1" x14ac:dyDescent="0.25">
      <c r="A803" s="1" t="s">
        <v>158</v>
      </c>
      <c r="B803" s="1" t="s">
        <v>214</v>
      </c>
      <c r="C803" s="1" t="s">
        <v>10</v>
      </c>
      <c r="D803" s="1">
        <v>0</v>
      </c>
      <c r="E803" s="1">
        <v>0</v>
      </c>
      <c r="F803" s="1">
        <v>-160.66</v>
      </c>
      <c r="G803" s="1">
        <v>-3181.1469999999999</v>
      </c>
      <c r="H803" s="1">
        <v>1009.888</v>
      </c>
      <c r="I803" s="1">
        <v>0</v>
      </c>
    </row>
    <row r="804" spans="1:9" hidden="1" x14ac:dyDescent="0.25">
      <c r="A804" s="1" t="s">
        <v>158</v>
      </c>
      <c r="B804" s="1" t="s">
        <v>215</v>
      </c>
      <c r="C804" s="1" t="s">
        <v>25</v>
      </c>
      <c r="D804" s="1">
        <v>0</v>
      </c>
      <c r="E804" s="1">
        <v>0</v>
      </c>
      <c r="F804" s="1">
        <v>-160.66</v>
      </c>
      <c r="G804" s="1">
        <v>-2602.7570000000001</v>
      </c>
      <c r="H804" s="1">
        <v>367.23200000000003</v>
      </c>
      <c r="I804" s="1">
        <v>0</v>
      </c>
    </row>
    <row r="805" spans="1:9" hidden="1" x14ac:dyDescent="0.25">
      <c r="A805" s="1" t="s">
        <v>158</v>
      </c>
      <c r="B805" s="1" t="s">
        <v>215</v>
      </c>
      <c r="C805" s="1" t="s">
        <v>10</v>
      </c>
      <c r="D805" s="1">
        <v>0</v>
      </c>
      <c r="E805" s="1">
        <v>0</v>
      </c>
      <c r="F805" s="1">
        <v>-160.66</v>
      </c>
      <c r="G805" s="1">
        <v>-2602.7570000000001</v>
      </c>
      <c r="H805" s="1">
        <v>1009.888</v>
      </c>
      <c r="I805" s="1">
        <v>0</v>
      </c>
    </row>
    <row r="806" spans="1:9" hidden="1" x14ac:dyDescent="0.25">
      <c r="A806" s="1" t="s">
        <v>158</v>
      </c>
      <c r="B806" s="1" t="s">
        <v>216</v>
      </c>
      <c r="C806" s="1" t="s">
        <v>25</v>
      </c>
      <c r="D806" s="1">
        <v>0</v>
      </c>
      <c r="E806" s="1">
        <v>0</v>
      </c>
      <c r="F806" s="1">
        <v>160.66</v>
      </c>
      <c r="G806" s="1">
        <v>3181.1469999999999</v>
      </c>
      <c r="H806" s="1">
        <v>-367.23200000000003</v>
      </c>
      <c r="I806" s="1">
        <v>0</v>
      </c>
    </row>
    <row r="807" spans="1:9" hidden="1" x14ac:dyDescent="0.25">
      <c r="A807" s="1" t="s">
        <v>158</v>
      </c>
      <c r="B807" s="1" t="s">
        <v>216</v>
      </c>
      <c r="C807" s="1" t="s">
        <v>10</v>
      </c>
      <c r="D807" s="1">
        <v>0</v>
      </c>
      <c r="E807" s="1">
        <v>0</v>
      </c>
      <c r="F807" s="1">
        <v>160.66</v>
      </c>
      <c r="G807" s="1">
        <v>3181.1469999999999</v>
      </c>
      <c r="H807" s="1">
        <v>-1009.888</v>
      </c>
      <c r="I807" s="1">
        <v>0</v>
      </c>
    </row>
    <row r="808" spans="1:9" hidden="1" x14ac:dyDescent="0.25">
      <c r="A808" s="1" t="s">
        <v>158</v>
      </c>
      <c r="B808" s="1" t="s">
        <v>217</v>
      </c>
      <c r="C808" s="1" t="s">
        <v>25</v>
      </c>
      <c r="D808" s="1">
        <v>0</v>
      </c>
      <c r="E808" s="1">
        <v>0</v>
      </c>
      <c r="F808" s="1">
        <v>160.66</v>
      </c>
      <c r="G808" s="1">
        <v>2602.7570000000001</v>
      </c>
      <c r="H808" s="1">
        <v>-367.23200000000003</v>
      </c>
      <c r="I808" s="1">
        <v>0</v>
      </c>
    </row>
    <row r="809" spans="1:9" hidden="1" x14ac:dyDescent="0.25">
      <c r="A809" s="1" t="s">
        <v>158</v>
      </c>
      <c r="B809" s="1" t="s">
        <v>217</v>
      </c>
      <c r="C809" s="1" t="s">
        <v>10</v>
      </c>
      <c r="D809" s="1">
        <v>0</v>
      </c>
      <c r="E809" s="1">
        <v>0</v>
      </c>
      <c r="F809" s="1">
        <v>160.66</v>
      </c>
      <c r="G809" s="1">
        <v>2602.7570000000001</v>
      </c>
      <c r="H809" s="1">
        <v>-1009.888</v>
      </c>
      <c r="I809" s="1">
        <v>0</v>
      </c>
    </row>
    <row r="810" spans="1:9" hidden="1" x14ac:dyDescent="0.25">
      <c r="A810" s="1" t="s">
        <v>158</v>
      </c>
      <c r="B810" s="1" t="s">
        <v>218</v>
      </c>
      <c r="C810" s="1" t="s">
        <v>25</v>
      </c>
      <c r="D810" s="1">
        <v>0</v>
      </c>
      <c r="E810" s="1">
        <v>-132.91999999999999</v>
      </c>
      <c r="F810" s="1">
        <v>0</v>
      </c>
      <c r="G810" s="1">
        <v>2193.127</v>
      </c>
      <c r="H810" s="1">
        <v>0</v>
      </c>
      <c r="I810" s="1">
        <v>-303.81</v>
      </c>
    </row>
    <row r="811" spans="1:9" hidden="1" x14ac:dyDescent="0.25">
      <c r="A811" s="1" t="s">
        <v>158</v>
      </c>
      <c r="B811" s="1" t="s">
        <v>218</v>
      </c>
      <c r="C811" s="1" t="s">
        <v>10</v>
      </c>
      <c r="D811" s="1">
        <v>0</v>
      </c>
      <c r="E811" s="1">
        <v>-132.91999999999999</v>
      </c>
      <c r="F811" s="1">
        <v>0</v>
      </c>
      <c r="G811" s="1">
        <v>2193.127</v>
      </c>
      <c r="H811" s="1">
        <v>0</v>
      </c>
      <c r="I811" s="1">
        <v>-835.47699999999998</v>
      </c>
    </row>
    <row r="812" spans="1:9" hidden="1" x14ac:dyDescent="0.25">
      <c r="A812" s="1" t="s">
        <v>158</v>
      </c>
      <c r="B812" s="1" t="s">
        <v>219</v>
      </c>
      <c r="C812" s="1" t="s">
        <v>25</v>
      </c>
      <c r="D812" s="1">
        <v>0</v>
      </c>
      <c r="E812" s="1">
        <v>-132.91999999999999</v>
      </c>
      <c r="F812" s="1">
        <v>0</v>
      </c>
      <c r="G812" s="1">
        <v>1794.376</v>
      </c>
      <c r="H812" s="1">
        <v>0</v>
      </c>
      <c r="I812" s="1">
        <v>-303.81</v>
      </c>
    </row>
    <row r="813" spans="1:9" hidden="1" x14ac:dyDescent="0.25">
      <c r="A813" s="1" t="s">
        <v>158</v>
      </c>
      <c r="B813" s="1" t="s">
        <v>219</v>
      </c>
      <c r="C813" s="1" t="s">
        <v>10</v>
      </c>
      <c r="D813" s="1">
        <v>0</v>
      </c>
      <c r="E813" s="1">
        <v>-132.91999999999999</v>
      </c>
      <c r="F813" s="1">
        <v>0</v>
      </c>
      <c r="G813" s="1">
        <v>1794.376</v>
      </c>
      <c r="H813" s="1">
        <v>0</v>
      </c>
      <c r="I813" s="1">
        <v>-835.47699999999998</v>
      </c>
    </row>
    <row r="814" spans="1:9" hidden="1" x14ac:dyDescent="0.25">
      <c r="A814" s="1" t="s">
        <v>158</v>
      </c>
      <c r="B814" s="1" t="s">
        <v>220</v>
      </c>
      <c r="C814" s="1" t="s">
        <v>25</v>
      </c>
      <c r="D814" s="1">
        <v>0</v>
      </c>
      <c r="E814" s="1">
        <v>132.91999999999999</v>
      </c>
      <c r="F814" s="1">
        <v>0</v>
      </c>
      <c r="G814" s="1">
        <v>-2193.127</v>
      </c>
      <c r="H814" s="1">
        <v>0</v>
      </c>
      <c r="I814" s="1">
        <v>303.81</v>
      </c>
    </row>
    <row r="815" spans="1:9" hidden="1" x14ac:dyDescent="0.25">
      <c r="A815" s="1" t="s">
        <v>158</v>
      </c>
      <c r="B815" s="1" t="s">
        <v>220</v>
      </c>
      <c r="C815" s="1" t="s">
        <v>10</v>
      </c>
      <c r="D815" s="1">
        <v>0</v>
      </c>
      <c r="E815" s="1">
        <v>132.91999999999999</v>
      </c>
      <c r="F815" s="1">
        <v>0</v>
      </c>
      <c r="G815" s="1">
        <v>-2193.127</v>
      </c>
      <c r="H815" s="1">
        <v>0</v>
      </c>
      <c r="I815" s="1">
        <v>835.47699999999998</v>
      </c>
    </row>
    <row r="816" spans="1:9" hidden="1" x14ac:dyDescent="0.25">
      <c r="A816" s="1" t="s">
        <v>158</v>
      </c>
      <c r="B816" s="1" t="s">
        <v>221</v>
      </c>
      <c r="C816" s="1" t="s">
        <v>25</v>
      </c>
      <c r="D816" s="1">
        <v>0</v>
      </c>
      <c r="E816" s="1">
        <v>132.91999999999999</v>
      </c>
      <c r="F816" s="1">
        <v>0</v>
      </c>
      <c r="G816" s="1">
        <v>-1794.376</v>
      </c>
      <c r="H816" s="1">
        <v>0</v>
      </c>
      <c r="I816" s="1">
        <v>303.81</v>
      </c>
    </row>
    <row r="817" spans="1:9" hidden="1" x14ac:dyDescent="0.25">
      <c r="A817" s="1" t="s">
        <v>158</v>
      </c>
      <c r="B817" s="1" t="s">
        <v>221</v>
      </c>
      <c r="C817" s="1" t="s">
        <v>10</v>
      </c>
      <c r="D817" s="1">
        <v>0</v>
      </c>
      <c r="E817" s="1">
        <v>132.91999999999999</v>
      </c>
      <c r="F817" s="1">
        <v>0</v>
      </c>
      <c r="G817" s="1">
        <v>-1794.376</v>
      </c>
      <c r="H817" s="1">
        <v>0</v>
      </c>
      <c r="I817" s="1">
        <v>835.47699999999998</v>
      </c>
    </row>
    <row r="818" spans="1:9" hidden="1" x14ac:dyDescent="0.25">
      <c r="A818" s="1" t="s">
        <v>158</v>
      </c>
      <c r="B818" s="1" t="s">
        <v>222</v>
      </c>
      <c r="C818" s="1" t="s">
        <v>25</v>
      </c>
      <c r="D818" s="1">
        <v>0</v>
      </c>
      <c r="E818" s="1">
        <v>0</v>
      </c>
      <c r="F818" s="1">
        <v>-160.66</v>
      </c>
      <c r="G818" s="1">
        <v>-3181.1469999999999</v>
      </c>
      <c r="H818" s="1">
        <v>367.23200000000003</v>
      </c>
      <c r="I818" s="1">
        <v>0</v>
      </c>
    </row>
    <row r="819" spans="1:9" hidden="1" x14ac:dyDescent="0.25">
      <c r="A819" s="1" t="s">
        <v>158</v>
      </c>
      <c r="B819" s="1" t="s">
        <v>222</v>
      </c>
      <c r="C819" s="1" t="s">
        <v>10</v>
      </c>
      <c r="D819" s="1">
        <v>0</v>
      </c>
      <c r="E819" s="1">
        <v>0</v>
      </c>
      <c r="F819" s="1">
        <v>-160.66</v>
      </c>
      <c r="G819" s="1">
        <v>-3181.1469999999999</v>
      </c>
      <c r="H819" s="1">
        <v>1009.888</v>
      </c>
      <c r="I819" s="1">
        <v>0</v>
      </c>
    </row>
    <row r="820" spans="1:9" hidden="1" x14ac:dyDescent="0.25">
      <c r="A820" s="1" t="s">
        <v>158</v>
      </c>
      <c r="B820" s="1" t="s">
        <v>223</v>
      </c>
      <c r="C820" s="1" t="s">
        <v>25</v>
      </c>
      <c r="D820" s="1">
        <v>0</v>
      </c>
      <c r="E820" s="1">
        <v>0</v>
      </c>
      <c r="F820" s="1">
        <v>-160.66</v>
      </c>
      <c r="G820" s="1">
        <v>-2602.7570000000001</v>
      </c>
      <c r="H820" s="1">
        <v>367.23200000000003</v>
      </c>
      <c r="I820" s="1">
        <v>0</v>
      </c>
    </row>
    <row r="821" spans="1:9" hidden="1" x14ac:dyDescent="0.25">
      <c r="A821" s="1" t="s">
        <v>158</v>
      </c>
      <c r="B821" s="1" t="s">
        <v>223</v>
      </c>
      <c r="C821" s="1" t="s">
        <v>10</v>
      </c>
      <c r="D821" s="1">
        <v>0</v>
      </c>
      <c r="E821" s="1">
        <v>0</v>
      </c>
      <c r="F821" s="1">
        <v>-160.66</v>
      </c>
      <c r="G821" s="1">
        <v>-2602.7570000000001</v>
      </c>
      <c r="H821" s="1">
        <v>1009.888</v>
      </c>
      <c r="I821" s="1">
        <v>0</v>
      </c>
    </row>
    <row r="822" spans="1:9" hidden="1" x14ac:dyDescent="0.25">
      <c r="A822" s="1" t="s">
        <v>158</v>
      </c>
      <c r="B822" s="1" t="s">
        <v>224</v>
      </c>
      <c r="C822" s="1" t="s">
        <v>25</v>
      </c>
      <c r="D822" s="1">
        <v>0</v>
      </c>
      <c r="E822" s="1">
        <v>0</v>
      </c>
      <c r="F822" s="1">
        <v>160.66</v>
      </c>
      <c r="G822" s="1">
        <v>3181.1469999999999</v>
      </c>
      <c r="H822" s="1">
        <v>-367.23200000000003</v>
      </c>
      <c r="I822" s="1">
        <v>0</v>
      </c>
    </row>
    <row r="823" spans="1:9" hidden="1" x14ac:dyDescent="0.25">
      <c r="A823" s="1" t="s">
        <v>158</v>
      </c>
      <c r="B823" s="1" t="s">
        <v>224</v>
      </c>
      <c r="C823" s="1" t="s">
        <v>10</v>
      </c>
      <c r="D823" s="1">
        <v>0</v>
      </c>
      <c r="E823" s="1">
        <v>0</v>
      </c>
      <c r="F823" s="1">
        <v>160.66</v>
      </c>
      <c r="G823" s="1">
        <v>3181.1469999999999</v>
      </c>
      <c r="H823" s="1">
        <v>-1009.888</v>
      </c>
      <c r="I823" s="1">
        <v>0</v>
      </c>
    </row>
    <row r="824" spans="1:9" hidden="1" x14ac:dyDescent="0.25">
      <c r="A824" s="1" t="s">
        <v>158</v>
      </c>
      <c r="B824" s="1" t="s">
        <v>225</v>
      </c>
      <c r="C824" s="1" t="s">
        <v>25</v>
      </c>
      <c r="D824" s="1">
        <v>0</v>
      </c>
      <c r="E824" s="1">
        <v>0</v>
      </c>
      <c r="F824" s="1">
        <v>160.66</v>
      </c>
      <c r="G824" s="1">
        <v>2602.7570000000001</v>
      </c>
      <c r="H824" s="1">
        <v>-367.23200000000003</v>
      </c>
      <c r="I824" s="1">
        <v>0</v>
      </c>
    </row>
    <row r="825" spans="1:9" hidden="1" x14ac:dyDescent="0.25">
      <c r="A825" s="1" t="s">
        <v>158</v>
      </c>
      <c r="B825" s="1" t="s">
        <v>225</v>
      </c>
      <c r="C825" s="1" t="s">
        <v>10</v>
      </c>
      <c r="D825" s="1">
        <v>0</v>
      </c>
      <c r="E825" s="1">
        <v>0</v>
      </c>
      <c r="F825" s="1">
        <v>160.66</v>
      </c>
      <c r="G825" s="1">
        <v>2602.7570000000001</v>
      </c>
      <c r="H825" s="1">
        <v>-1009.888</v>
      </c>
      <c r="I825" s="1">
        <v>0</v>
      </c>
    </row>
    <row r="826" spans="1:9" hidden="1" x14ac:dyDescent="0.25">
      <c r="A826" s="1" t="s">
        <v>158</v>
      </c>
      <c r="B826" s="1" t="s">
        <v>327</v>
      </c>
      <c r="C826" s="1" t="s">
        <v>25</v>
      </c>
      <c r="D826" s="1">
        <v>0</v>
      </c>
      <c r="E826" s="1">
        <v>0</v>
      </c>
      <c r="F826" s="1">
        <v>0</v>
      </c>
      <c r="G826" s="1">
        <v>0</v>
      </c>
      <c r="H826" s="1">
        <v>0</v>
      </c>
      <c r="I826" s="1">
        <v>0</v>
      </c>
    </row>
    <row r="827" spans="1:9" hidden="1" x14ac:dyDescent="0.25">
      <c r="A827" s="1" t="s">
        <v>158</v>
      </c>
      <c r="B827" s="1" t="s">
        <v>327</v>
      </c>
      <c r="C827" s="1" t="s">
        <v>10</v>
      </c>
      <c r="D827" s="1">
        <v>0</v>
      </c>
      <c r="E827" s="1">
        <v>0</v>
      </c>
      <c r="F827" s="1">
        <v>0</v>
      </c>
      <c r="G827" s="1">
        <v>0</v>
      </c>
      <c r="H827" s="1">
        <v>0</v>
      </c>
      <c r="I827" s="1">
        <v>0</v>
      </c>
    </row>
    <row r="828" spans="1:9" hidden="1" x14ac:dyDescent="0.25">
      <c r="A828" s="1" t="s">
        <v>158</v>
      </c>
      <c r="B828" s="1" t="s">
        <v>328</v>
      </c>
      <c r="C828" s="1" t="s">
        <v>25</v>
      </c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</row>
    <row r="829" spans="1:9" hidden="1" x14ac:dyDescent="0.25">
      <c r="A829" s="1" t="s">
        <v>158</v>
      </c>
      <c r="B829" s="1" t="s">
        <v>328</v>
      </c>
      <c r="C829" s="1" t="s">
        <v>10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</row>
    <row r="830" spans="1:9" hidden="1" x14ac:dyDescent="0.25">
      <c r="A830" s="1" t="s">
        <v>24</v>
      </c>
      <c r="B830" s="1" t="s">
        <v>9</v>
      </c>
      <c r="C830" s="1" t="s">
        <v>25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</row>
    <row r="831" spans="1:9" hidden="1" x14ac:dyDescent="0.25">
      <c r="A831" s="1" t="s">
        <v>24</v>
      </c>
      <c r="B831" s="1" t="s">
        <v>9</v>
      </c>
      <c r="C831" s="1" t="s">
        <v>10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</row>
    <row r="832" spans="1:9" hidden="1" x14ac:dyDescent="0.25">
      <c r="A832" s="1" t="s">
        <v>24</v>
      </c>
      <c r="B832" s="1" t="s">
        <v>26</v>
      </c>
      <c r="C832" s="1" t="s">
        <v>25</v>
      </c>
      <c r="D832" s="1">
        <v>0</v>
      </c>
      <c r="E832" s="1">
        <v>0</v>
      </c>
      <c r="F832" s="1">
        <v>0</v>
      </c>
      <c r="G832" s="1">
        <v>0</v>
      </c>
      <c r="H832" s="1">
        <v>0</v>
      </c>
      <c r="I832" s="1">
        <v>0</v>
      </c>
    </row>
    <row r="833" spans="1:9" x14ac:dyDescent="0.25">
      <c r="A833" s="1" t="s">
        <v>24</v>
      </c>
      <c r="B833" s="1" t="s">
        <v>26</v>
      </c>
      <c r="C833" s="1" t="s">
        <v>10</v>
      </c>
      <c r="D833" s="1">
        <v>0</v>
      </c>
      <c r="E833" s="1">
        <v>0</v>
      </c>
      <c r="F833" s="1">
        <v>0</v>
      </c>
      <c r="G833" s="1">
        <v>0</v>
      </c>
      <c r="H833" s="1">
        <v>0</v>
      </c>
      <c r="I833" s="1">
        <v>0</v>
      </c>
    </row>
    <row r="834" spans="1:9" hidden="1" x14ac:dyDescent="0.25">
      <c r="A834" s="1" t="s">
        <v>24</v>
      </c>
      <c r="B834" s="1" t="s">
        <v>20</v>
      </c>
      <c r="C834" s="1" t="s">
        <v>25</v>
      </c>
      <c r="D834" s="1">
        <v>0</v>
      </c>
      <c r="E834" s="1">
        <v>-406.89</v>
      </c>
      <c r="F834" s="1">
        <v>0</v>
      </c>
      <c r="G834" s="1">
        <v>6713.6530000000002</v>
      </c>
      <c r="H834" s="1">
        <v>0</v>
      </c>
      <c r="I834" s="1">
        <v>-1989.231</v>
      </c>
    </row>
    <row r="835" spans="1:9" hidden="1" x14ac:dyDescent="0.25">
      <c r="A835" s="1" t="s">
        <v>24</v>
      </c>
      <c r="B835" s="1" t="s">
        <v>20</v>
      </c>
      <c r="C835" s="1" t="s">
        <v>10</v>
      </c>
      <c r="D835" s="1">
        <v>0</v>
      </c>
      <c r="E835" s="1">
        <v>-406.89</v>
      </c>
      <c r="F835" s="1">
        <v>0</v>
      </c>
      <c r="G835" s="1">
        <v>6713.6530000000002</v>
      </c>
      <c r="H835" s="1">
        <v>0</v>
      </c>
      <c r="I835" s="1">
        <v>-3616.7829999999999</v>
      </c>
    </row>
    <row r="836" spans="1:9" hidden="1" x14ac:dyDescent="0.25">
      <c r="A836" s="1" t="s">
        <v>24</v>
      </c>
      <c r="B836" s="1" t="s">
        <v>21</v>
      </c>
      <c r="C836" s="1" t="s">
        <v>25</v>
      </c>
      <c r="D836" s="1">
        <v>0</v>
      </c>
      <c r="E836" s="1">
        <v>-406.89</v>
      </c>
      <c r="F836" s="1">
        <v>0</v>
      </c>
      <c r="G836" s="1">
        <v>5492.9889999999996</v>
      </c>
      <c r="H836" s="1">
        <v>0</v>
      </c>
      <c r="I836" s="1">
        <v>-1989.231</v>
      </c>
    </row>
    <row r="837" spans="1:9" hidden="1" x14ac:dyDescent="0.25">
      <c r="A837" s="1" t="s">
        <v>24</v>
      </c>
      <c r="B837" s="1" t="s">
        <v>21</v>
      </c>
      <c r="C837" s="1" t="s">
        <v>10</v>
      </c>
      <c r="D837" s="1">
        <v>0</v>
      </c>
      <c r="E837" s="1">
        <v>-406.89</v>
      </c>
      <c r="F837" s="1">
        <v>0</v>
      </c>
      <c r="G837" s="1">
        <v>5492.9889999999996</v>
      </c>
      <c r="H837" s="1">
        <v>0</v>
      </c>
      <c r="I837" s="1">
        <v>-3616.7829999999999</v>
      </c>
    </row>
    <row r="838" spans="1:9" hidden="1" x14ac:dyDescent="0.25">
      <c r="A838" s="1" t="s">
        <v>24</v>
      </c>
      <c r="B838" s="1" t="s">
        <v>22</v>
      </c>
      <c r="C838" s="1" t="s">
        <v>25</v>
      </c>
      <c r="D838" s="1">
        <v>0</v>
      </c>
      <c r="E838" s="1">
        <v>0</v>
      </c>
      <c r="F838" s="1">
        <v>-491.83</v>
      </c>
      <c r="G838" s="1">
        <v>-9738.2049999999999</v>
      </c>
      <c r="H838" s="1">
        <v>2404.4949999999999</v>
      </c>
      <c r="I838" s="1">
        <v>0</v>
      </c>
    </row>
    <row r="839" spans="1:9" hidden="1" x14ac:dyDescent="0.25">
      <c r="A839" s="1" t="s">
        <v>24</v>
      </c>
      <c r="B839" s="1" t="s">
        <v>22</v>
      </c>
      <c r="C839" s="1" t="s">
        <v>10</v>
      </c>
      <c r="D839" s="1">
        <v>0</v>
      </c>
      <c r="E839" s="1">
        <v>0</v>
      </c>
      <c r="F839" s="1">
        <v>-491.83</v>
      </c>
      <c r="G839" s="1">
        <v>-9738.2049999999999</v>
      </c>
      <c r="H839" s="1">
        <v>4371.8090000000002</v>
      </c>
      <c r="I839" s="1">
        <v>0</v>
      </c>
    </row>
    <row r="840" spans="1:9" hidden="1" x14ac:dyDescent="0.25">
      <c r="A840" s="1" t="s">
        <v>24</v>
      </c>
      <c r="B840" s="1" t="s">
        <v>23</v>
      </c>
      <c r="C840" s="1" t="s">
        <v>25</v>
      </c>
      <c r="D840" s="1">
        <v>0</v>
      </c>
      <c r="E840" s="1">
        <v>0</v>
      </c>
      <c r="F840" s="1">
        <v>-491.83</v>
      </c>
      <c r="G840" s="1">
        <v>-7967.6229999999996</v>
      </c>
      <c r="H840" s="1">
        <v>2404.4949999999999</v>
      </c>
      <c r="I840" s="1">
        <v>0</v>
      </c>
    </row>
    <row r="841" spans="1:9" hidden="1" x14ac:dyDescent="0.25">
      <c r="A841" s="1" t="s">
        <v>24</v>
      </c>
      <c r="B841" s="1" t="s">
        <v>23</v>
      </c>
      <c r="C841" s="1" t="s">
        <v>10</v>
      </c>
      <c r="D841" s="1">
        <v>0</v>
      </c>
      <c r="E841" s="1">
        <v>0</v>
      </c>
      <c r="F841" s="1">
        <v>-491.83</v>
      </c>
      <c r="G841" s="1">
        <v>-7967.6229999999996</v>
      </c>
      <c r="H841" s="1">
        <v>4371.8090000000002</v>
      </c>
      <c r="I841" s="1">
        <v>0</v>
      </c>
    </row>
    <row r="842" spans="1:9" hidden="1" x14ac:dyDescent="0.25">
      <c r="A842" s="1" t="s">
        <v>24</v>
      </c>
      <c r="B842" s="1" t="s">
        <v>321</v>
      </c>
      <c r="C842" s="1" t="s">
        <v>25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24</v>
      </c>
      <c r="B843" s="1" t="s">
        <v>321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24</v>
      </c>
      <c r="B844" s="1" t="s">
        <v>322</v>
      </c>
      <c r="C844" s="1" t="s">
        <v>25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24</v>
      </c>
      <c r="B845" s="1" t="s">
        <v>322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24</v>
      </c>
      <c r="B846" s="1" t="s">
        <v>323</v>
      </c>
      <c r="C846" s="1" t="s">
        <v>25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24</v>
      </c>
      <c r="B847" s="1" t="s">
        <v>323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24</v>
      </c>
      <c r="B848" s="1" t="s">
        <v>324</v>
      </c>
      <c r="C848" s="1" t="s">
        <v>25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24</v>
      </c>
      <c r="B849" s="1" t="s">
        <v>324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24</v>
      </c>
      <c r="B850" s="1" t="s">
        <v>325</v>
      </c>
      <c r="C850" s="1" t="s">
        <v>25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24</v>
      </c>
      <c r="B851" s="1" t="s">
        <v>325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24</v>
      </c>
      <c r="B852" s="1" t="s">
        <v>326</v>
      </c>
      <c r="C852" s="1" t="s">
        <v>25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24</v>
      </c>
      <c r="B853" s="1" t="s">
        <v>326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24</v>
      </c>
      <c r="B854" s="1" t="s">
        <v>27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27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28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28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29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29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30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30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11</v>
      </c>
      <c r="C862" s="1" t="s">
        <v>25</v>
      </c>
      <c r="D862" s="1">
        <v>0</v>
      </c>
      <c r="E862" s="1">
        <v>191.7</v>
      </c>
      <c r="F862" s="1">
        <v>0</v>
      </c>
      <c r="G862" s="1">
        <v>3312.6089999999999</v>
      </c>
      <c r="H862" s="1">
        <v>0</v>
      </c>
      <c r="I862" s="1">
        <v>1018.086</v>
      </c>
    </row>
    <row r="863" spans="1:9" hidden="1" x14ac:dyDescent="0.25">
      <c r="A863" s="1" t="s">
        <v>24</v>
      </c>
      <c r="B863" s="1" t="s">
        <v>11</v>
      </c>
      <c r="C863" s="1" t="s">
        <v>10</v>
      </c>
      <c r="D863" s="1">
        <v>0</v>
      </c>
      <c r="E863" s="1">
        <v>191.7</v>
      </c>
      <c r="F863" s="1">
        <v>0</v>
      </c>
      <c r="G863" s="1">
        <v>3312.6089999999999</v>
      </c>
      <c r="H863" s="1">
        <v>0</v>
      </c>
      <c r="I863" s="1">
        <v>1689.4649999999999</v>
      </c>
    </row>
    <row r="864" spans="1:9" hidden="1" x14ac:dyDescent="0.25">
      <c r="A864" s="1" t="s">
        <v>24</v>
      </c>
      <c r="B864" s="1" t="s">
        <v>12</v>
      </c>
      <c r="C864" s="1" t="s">
        <v>25</v>
      </c>
      <c r="D864" s="1">
        <v>0</v>
      </c>
      <c r="E864" s="1">
        <v>0</v>
      </c>
      <c r="F864" s="1">
        <v>503.47</v>
      </c>
      <c r="G864" s="1">
        <v>10086.433000000001</v>
      </c>
      <c r="H864" s="1">
        <v>2556.8760000000002</v>
      </c>
      <c r="I864" s="1">
        <v>0</v>
      </c>
    </row>
    <row r="865" spans="1:9" hidden="1" x14ac:dyDescent="0.25">
      <c r="A865" s="1" t="s">
        <v>24</v>
      </c>
      <c r="B865" s="1" t="s">
        <v>12</v>
      </c>
      <c r="C865" s="1" t="s">
        <v>10</v>
      </c>
      <c r="D865" s="1">
        <v>0</v>
      </c>
      <c r="E865" s="1">
        <v>0</v>
      </c>
      <c r="F865" s="1">
        <v>503.47</v>
      </c>
      <c r="G865" s="1">
        <v>10086.433000000001</v>
      </c>
      <c r="H865" s="1">
        <v>4515.5739999999996</v>
      </c>
      <c r="I865" s="1">
        <v>0</v>
      </c>
    </row>
    <row r="866" spans="1:9" hidden="1" x14ac:dyDescent="0.25">
      <c r="A866" s="1" t="s">
        <v>24</v>
      </c>
      <c r="B866" s="1" t="s">
        <v>13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13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31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31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32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32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33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33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34</v>
      </c>
      <c r="C874" s="1" t="s">
        <v>25</v>
      </c>
      <c r="D874" s="1">
        <v>0</v>
      </c>
      <c r="E874" s="1">
        <v>-406.89</v>
      </c>
      <c r="F874" s="1">
        <v>0</v>
      </c>
      <c r="G874" s="1">
        <v>6713.6530000000002</v>
      </c>
      <c r="H874" s="1">
        <v>0</v>
      </c>
      <c r="I874" s="1">
        <v>-1989.231</v>
      </c>
    </row>
    <row r="875" spans="1:9" hidden="1" x14ac:dyDescent="0.25">
      <c r="A875" s="1" t="s">
        <v>24</v>
      </c>
      <c r="B875" s="1" t="s">
        <v>34</v>
      </c>
      <c r="C875" s="1" t="s">
        <v>10</v>
      </c>
      <c r="D875" s="1">
        <v>0</v>
      </c>
      <c r="E875" s="1">
        <v>-406.89</v>
      </c>
      <c r="F875" s="1">
        <v>0</v>
      </c>
      <c r="G875" s="1">
        <v>6713.6530000000002</v>
      </c>
      <c r="H875" s="1">
        <v>0</v>
      </c>
      <c r="I875" s="1">
        <v>-3616.7829999999999</v>
      </c>
    </row>
    <row r="876" spans="1:9" hidden="1" x14ac:dyDescent="0.25">
      <c r="A876" s="1" t="s">
        <v>24</v>
      </c>
      <c r="B876" s="1" t="s">
        <v>35</v>
      </c>
      <c r="C876" s="1" t="s">
        <v>25</v>
      </c>
      <c r="D876" s="1">
        <v>0</v>
      </c>
      <c r="E876" s="1">
        <v>-406.89</v>
      </c>
      <c r="F876" s="1">
        <v>0</v>
      </c>
      <c r="G876" s="1">
        <v>5492.9889999999996</v>
      </c>
      <c r="H876" s="1">
        <v>0</v>
      </c>
      <c r="I876" s="1">
        <v>-1989.231</v>
      </c>
    </row>
    <row r="877" spans="1:9" hidden="1" x14ac:dyDescent="0.25">
      <c r="A877" s="1" t="s">
        <v>24</v>
      </c>
      <c r="B877" s="1" t="s">
        <v>35</v>
      </c>
      <c r="C877" s="1" t="s">
        <v>10</v>
      </c>
      <c r="D877" s="1">
        <v>0</v>
      </c>
      <c r="E877" s="1">
        <v>-406.89</v>
      </c>
      <c r="F877" s="1">
        <v>0</v>
      </c>
      <c r="G877" s="1">
        <v>5492.9889999999996</v>
      </c>
      <c r="H877" s="1">
        <v>0</v>
      </c>
      <c r="I877" s="1">
        <v>-3616.7829999999999</v>
      </c>
    </row>
    <row r="878" spans="1:9" hidden="1" x14ac:dyDescent="0.25">
      <c r="A878" s="1" t="s">
        <v>24</v>
      </c>
      <c r="B878" s="1" t="s">
        <v>36</v>
      </c>
      <c r="C878" s="1" t="s">
        <v>25</v>
      </c>
      <c r="D878" s="1">
        <v>0</v>
      </c>
      <c r="E878" s="1">
        <v>406.89</v>
      </c>
      <c r="F878" s="1">
        <v>0</v>
      </c>
      <c r="G878" s="1">
        <v>-6713.6530000000002</v>
      </c>
      <c r="H878" s="1">
        <v>0</v>
      </c>
      <c r="I878" s="1">
        <v>1989.231</v>
      </c>
    </row>
    <row r="879" spans="1:9" hidden="1" x14ac:dyDescent="0.25">
      <c r="A879" s="1" t="s">
        <v>24</v>
      </c>
      <c r="B879" s="1" t="s">
        <v>36</v>
      </c>
      <c r="C879" s="1" t="s">
        <v>10</v>
      </c>
      <c r="D879" s="1">
        <v>0</v>
      </c>
      <c r="E879" s="1">
        <v>406.89</v>
      </c>
      <c r="F879" s="1">
        <v>0</v>
      </c>
      <c r="G879" s="1">
        <v>-6713.6530000000002</v>
      </c>
      <c r="H879" s="1">
        <v>0</v>
      </c>
      <c r="I879" s="1">
        <v>3616.7829999999999</v>
      </c>
    </row>
    <row r="880" spans="1:9" hidden="1" x14ac:dyDescent="0.25">
      <c r="A880" s="1" t="s">
        <v>24</v>
      </c>
      <c r="B880" s="1" t="s">
        <v>37</v>
      </c>
      <c r="C880" s="1" t="s">
        <v>25</v>
      </c>
      <c r="D880" s="1">
        <v>0</v>
      </c>
      <c r="E880" s="1">
        <v>406.89</v>
      </c>
      <c r="F880" s="1">
        <v>0</v>
      </c>
      <c r="G880" s="1">
        <v>-5492.9889999999996</v>
      </c>
      <c r="H880" s="1">
        <v>0</v>
      </c>
      <c r="I880" s="1">
        <v>1989.231</v>
      </c>
    </row>
    <row r="881" spans="1:9" hidden="1" x14ac:dyDescent="0.25">
      <c r="A881" s="1" t="s">
        <v>24</v>
      </c>
      <c r="B881" s="1" t="s">
        <v>37</v>
      </c>
      <c r="C881" s="1" t="s">
        <v>10</v>
      </c>
      <c r="D881" s="1">
        <v>0</v>
      </c>
      <c r="E881" s="1">
        <v>406.89</v>
      </c>
      <c r="F881" s="1">
        <v>0</v>
      </c>
      <c r="G881" s="1">
        <v>-5492.9889999999996</v>
      </c>
      <c r="H881" s="1">
        <v>0</v>
      </c>
      <c r="I881" s="1">
        <v>3616.7829999999999</v>
      </c>
    </row>
    <row r="882" spans="1:9" hidden="1" x14ac:dyDescent="0.25">
      <c r="A882" s="1" t="s">
        <v>24</v>
      </c>
      <c r="B882" s="1" t="s">
        <v>38</v>
      </c>
      <c r="C882" s="1" t="s">
        <v>25</v>
      </c>
      <c r="D882" s="1">
        <v>0</v>
      </c>
      <c r="E882" s="1">
        <v>0</v>
      </c>
      <c r="F882" s="1">
        <v>-491.83</v>
      </c>
      <c r="G882" s="1">
        <v>-9738.2049999999999</v>
      </c>
      <c r="H882" s="1">
        <v>2404.4949999999999</v>
      </c>
      <c r="I882" s="1">
        <v>0</v>
      </c>
    </row>
    <row r="883" spans="1:9" hidden="1" x14ac:dyDescent="0.25">
      <c r="A883" s="1" t="s">
        <v>24</v>
      </c>
      <c r="B883" s="1" t="s">
        <v>38</v>
      </c>
      <c r="C883" s="1" t="s">
        <v>10</v>
      </c>
      <c r="D883" s="1">
        <v>0</v>
      </c>
      <c r="E883" s="1">
        <v>0</v>
      </c>
      <c r="F883" s="1">
        <v>-491.83</v>
      </c>
      <c r="G883" s="1">
        <v>-9738.2049999999999</v>
      </c>
      <c r="H883" s="1">
        <v>4371.8090000000002</v>
      </c>
      <c r="I883" s="1">
        <v>0</v>
      </c>
    </row>
    <row r="884" spans="1:9" hidden="1" x14ac:dyDescent="0.25">
      <c r="A884" s="1" t="s">
        <v>24</v>
      </c>
      <c r="B884" s="1" t="s">
        <v>39</v>
      </c>
      <c r="C884" s="1" t="s">
        <v>25</v>
      </c>
      <c r="D884" s="1">
        <v>0</v>
      </c>
      <c r="E884" s="1">
        <v>0</v>
      </c>
      <c r="F884" s="1">
        <v>-491.83</v>
      </c>
      <c r="G884" s="1">
        <v>-7967.6229999999996</v>
      </c>
      <c r="H884" s="1">
        <v>2404.4949999999999</v>
      </c>
      <c r="I884" s="1">
        <v>0</v>
      </c>
    </row>
    <row r="885" spans="1:9" hidden="1" x14ac:dyDescent="0.25">
      <c r="A885" s="1" t="s">
        <v>24</v>
      </c>
      <c r="B885" s="1" t="s">
        <v>39</v>
      </c>
      <c r="C885" s="1" t="s">
        <v>10</v>
      </c>
      <c r="D885" s="1">
        <v>0</v>
      </c>
      <c r="E885" s="1">
        <v>0</v>
      </c>
      <c r="F885" s="1">
        <v>-491.83</v>
      </c>
      <c r="G885" s="1">
        <v>-7967.6229999999996</v>
      </c>
      <c r="H885" s="1">
        <v>4371.8090000000002</v>
      </c>
      <c r="I885" s="1">
        <v>0</v>
      </c>
    </row>
    <row r="886" spans="1:9" hidden="1" x14ac:dyDescent="0.25">
      <c r="A886" s="1" t="s">
        <v>24</v>
      </c>
      <c r="B886" s="1" t="s">
        <v>40</v>
      </c>
      <c r="C886" s="1" t="s">
        <v>25</v>
      </c>
      <c r="D886" s="1">
        <v>0</v>
      </c>
      <c r="E886" s="1">
        <v>0</v>
      </c>
      <c r="F886" s="1">
        <v>491.83</v>
      </c>
      <c r="G886" s="1">
        <v>9738.2049999999999</v>
      </c>
      <c r="H886" s="1">
        <v>-2404.4949999999999</v>
      </c>
      <c r="I886" s="1">
        <v>0</v>
      </c>
    </row>
    <row r="887" spans="1:9" hidden="1" x14ac:dyDescent="0.25">
      <c r="A887" s="1" t="s">
        <v>24</v>
      </c>
      <c r="B887" s="1" t="s">
        <v>40</v>
      </c>
      <c r="C887" s="1" t="s">
        <v>10</v>
      </c>
      <c r="D887" s="1">
        <v>0</v>
      </c>
      <c r="E887" s="1">
        <v>0</v>
      </c>
      <c r="F887" s="1">
        <v>491.83</v>
      </c>
      <c r="G887" s="1">
        <v>9738.2049999999999</v>
      </c>
      <c r="H887" s="1">
        <v>-4371.8090000000002</v>
      </c>
      <c r="I887" s="1">
        <v>0</v>
      </c>
    </row>
    <row r="888" spans="1:9" hidden="1" x14ac:dyDescent="0.25">
      <c r="A888" s="1" t="s">
        <v>24</v>
      </c>
      <c r="B888" s="1" t="s">
        <v>41</v>
      </c>
      <c r="C888" s="1" t="s">
        <v>25</v>
      </c>
      <c r="D888" s="1">
        <v>0</v>
      </c>
      <c r="E888" s="1">
        <v>0</v>
      </c>
      <c r="F888" s="1">
        <v>491.83</v>
      </c>
      <c r="G888" s="1">
        <v>7967.6229999999996</v>
      </c>
      <c r="H888" s="1">
        <v>-2404.4949999999999</v>
      </c>
      <c r="I888" s="1">
        <v>0</v>
      </c>
    </row>
    <row r="889" spans="1:9" hidden="1" x14ac:dyDescent="0.25">
      <c r="A889" s="1" t="s">
        <v>24</v>
      </c>
      <c r="B889" s="1" t="s">
        <v>41</v>
      </c>
      <c r="C889" s="1" t="s">
        <v>10</v>
      </c>
      <c r="D889" s="1">
        <v>0</v>
      </c>
      <c r="E889" s="1">
        <v>0</v>
      </c>
      <c r="F889" s="1">
        <v>491.83</v>
      </c>
      <c r="G889" s="1">
        <v>7967.6229999999996</v>
      </c>
      <c r="H889" s="1">
        <v>-4371.8090000000002</v>
      </c>
      <c r="I889" s="1">
        <v>0</v>
      </c>
    </row>
    <row r="890" spans="1:9" hidden="1" x14ac:dyDescent="0.25">
      <c r="A890" s="1" t="s">
        <v>24</v>
      </c>
      <c r="B890" s="1" t="s">
        <v>42</v>
      </c>
      <c r="C890" s="1" t="s">
        <v>25</v>
      </c>
      <c r="D890" s="1">
        <v>0</v>
      </c>
      <c r="E890" s="1">
        <v>-406.89</v>
      </c>
      <c r="F890" s="1">
        <v>0</v>
      </c>
      <c r="G890" s="1">
        <v>6713.6530000000002</v>
      </c>
      <c r="H890" s="1">
        <v>0</v>
      </c>
      <c r="I890" s="1">
        <v>-1989.231</v>
      </c>
    </row>
    <row r="891" spans="1:9" hidden="1" x14ac:dyDescent="0.25">
      <c r="A891" s="1" t="s">
        <v>24</v>
      </c>
      <c r="B891" s="1" t="s">
        <v>42</v>
      </c>
      <c r="C891" s="1" t="s">
        <v>10</v>
      </c>
      <c r="D891" s="1">
        <v>0</v>
      </c>
      <c r="E891" s="1">
        <v>-406.89</v>
      </c>
      <c r="F891" s="1">
        <v>0</v>
      </c>
      <c r="G891" s="1">
        <v>6713.6530000000002</v>
      </c>
      <c r="H891" s="1">
        <v>0</v>
      </c>
      <c r="I891" s="1">
        <v>-3616.7829999999999</v>
      </c>
    </row>
    <row r="892" spans="1:9" hidden="1" x14ac:dyDescent="0.25">
      <c r="A892" s="1" t="s">
        <v>24</v>
      </c>
      <c r="B892" s="1" t="s">
        <v>43</v>
      </c>
      <c r="C892" s="1" t="s">
        <v>25</v>
      </c>
      <c r="D892" s="1">
        <v>0</v>
      </c>
      <c r="E892" s="1">
        <v>-406.89</v>
      </c>
      <c r="F892" s="1">
        <v>0</v>
      </c>
      <c r="G892" s="1">
        <v>5492.9889999999996</v>
      </c>
      <c r="H892" s="1">
        <v>0</v>
      </c>
      <c r="I892" s="1">
        <v>-1989.231</v>
      </c>
    </row>
    <row r="893" spans="1:9" hidden="1" x14ac:dyDescent="0.25">
      <c r="A893" s="1" t="s">
        <v>24</v>
      </c>
      <c r="B893" s="1" t="s">
        <v>43</v>
      </c>
      <c r="C893" s="1" t="s">
        <v>10</v>
      </c>
      <c r="D893" s="1">
        <v>0</v>
      </c>
      <c r="E893" s="1">
        <v>-406.89</v>
      </c>
      <c r="F893" s="1">
        <v>0</v>
      </c>
      <c r="G893" s="1">
        <v>5492.9889999999996</v>
      </c>
      <c r="H893" s="1">
        <v>0</v>
      </c>
      <c r="I893" s="1">
        <v>-3616.7829999999999</v>
      </c>
    </row>
    <row r="894" spans="1:9" hidden="1" x14ac:dyDescent="0.25">
      <c r="A894" s="1" t="s">
        <v>24</v>
      </c>
      <c r="B894" s="1" t="s">
        <v>44</v>
      </c>
      <c r="C894" s="1" t="s">
        <v>25</v>
      </c>
      <c r="D894" s="1">
        <v>0</v>
      </c>
      <c r="E894" s="1">
        <v>406.89</v>
      </c>
      <c r="F894" s="1">
        <v>0</v>
      </c>
      <c r="G894" s="1">
        <v>-6713.6530000000002</v>
      </c>
      <c r="H894" s="1">
        <v>0</v>
      </c>
      <c r="I894" s="1">
        <v>1989.231</v>
      </c>
    </row>
    <row r="895" spans="1:9" hidden="1" x14ac:dyDescent="0.25">
      <c r="A895" s="1" t="s">
        <v>24</v>
      </c>
      <c r="B895" s="1" t="s">
        <v>44</v>
      </c>
      <c r="C895" s="1" t="s">
        <v>10</v>
      </c>
      <c r="D895" s="1">
        <v>0</v>
      </c>
      <c r="E895" s="1">
        <v>406.89</v>
      </c>
      <c r="F895" s="1">
        <v>0</v>
      </c>
      <c r="G895" s="1">
        <v>-6713.6530000000002</v>
      </c>
      <c r="H895" s="1">
        <v>0</v>
      </c>
      <c r="I895" s="1">
        <v>3616.7829999999999</v>
      </c>
    </row>
    <row r="896" spans="1:9" hidden="1" x14ac:dyDescent="0.25">
      <c r="A896" s="1" t="s">
        <v>24</v>
      </c>
      <c r="B896" s="1" t="s">
        <v>45</v>
      </c>
      <c r="C896" s="1" t="s">
        <v>25</v>
      </c>
      <c r="D896" s="1">
        <v>0</v>
      </c>
      <c r="E896" s="1">
        <v>406.89</v>
      </c>
      <c r="F896" s="1">
        <v>0</v>
      </c>
      <c r="G896" s="1">
        <v>-5492.9889999999996</v>
      </c>
      <c r="H896" s="1">
        <v>0</v>
      </c>
      <c r="I896" s="1">
        <v>1989.231</v>
      </c>
    </row>
    <row r="897" spans="1:9" hidden="1" x14ac:dyDescent="0.25">
      <c r="A897" s="1" t="s">
        <v>24</v>
      </c>
      <c r="B897" s="1" t="s">
        <v>45</v>
      </c>
      <c r="C897" s="1" t="s">
        <v>10</v>
      </c>
      <c r="D897" s="1">
        <v>0</v>
      </c>
      <c r="E897" s="1">
        <v>406.89</v>
      </c>
      <c r="F897" s="1">
        <v>0</v>
      </c>
      <c r="G897" s="1">
        <v>-5492.9889999999996</v>
      </c>
      <c r="H897" s="1">
        <v>0</v>
      </c>
      <c r="I897" s="1">
        <v>3616.7829999999999</v>
      </c>
    </row>
    <row r="898" spans="1:9" hidden="1" x14ac:dyDescent="0.25">
      <c r="A898" s="1" t="s">
        <v>24</v>
      </c>
      <c r="B898" s="1" t="s">
        <v>46</v>
      </c>
      <c r="C898" s="1" t="s">
        <v>25</v>
      </c>
      <c r="D898" s="1">
        <v>0</v>
      </c>
      <c r="E898" s="1">
        <v>0</v>
      </c>
      <c r="F898" s="1">
        <v>-491.83</v>
      </c>
      <c r="G898" s="1">
        <v>-9738.2049999999999</v>
      </c>
      <c r="H898" s="1">
        <v>2404.4949999999999</v>
      </c>
      <c r="I898" s="1">
        <v>0</v>
      </c>
    </row>
    <row r="899" spans="1:9" hidden="1" x14ac:dyDescent="0.25">
      <c r="A899" s="1" t="s">
        <v>24</v>
      </c>
      <c r="B899" s="1" t="s">
        <v>46</v>
      </c>
      <c r="C899" s="1" t="s">
        <v>10</v>
      </c>
      <c r="D899" s="1">
        <v>0</v>
      </c>
      <c r="E899" s="1">
        <v>0</v>
      </c>
      <c r="F899" s="1">
        <v>-491.83</v>
      </c>
      <c r="G899" s="1">
        <v>-9738.2049999999999</v>
      </c>
      <c r="H899" s="1">
        <v>4371.8090000000002</v>
      </c>
      <c r="I899" s="1">
        <v>0</v>
      </c>
    </row>
    <row r="900" spans="1:9" hidden="1" x14ac:dyDescent="0.25">
      <c r="A900" s="1" t="s">
        <v>24</v>
      </c>
      <c r="B900" s="1" t="s">
        <v>47</v>
      </c>
      <c r="C900" s="1" t="s">
        <v>25</v>
      </c>
      <c r="D900" s="1">
        <v>0</v>
      </c>
      <c r="E900" s="1">
        <v>0</v>
      </c>
      <c r="F900" s="1">
        <v>-491.83</v>
      </c>
      <c r="G900" s="1">
        <v>-7967.6229999999996</v>
      </c>
      <c r="H900" s="1">
        <v>2404.4949999999999</v>
      </c>
      <c r="I900" s="1">
        <v>0</v>
      </c>
    </row>
    <row r="901" spans="1:9" hidden="1" x14ac:dyDescent="0.25">
      <c r="A901" s="1" t="s">
        <v>24</v>
      </c>
      <c r="B901" s="1" t="s">
        <v>47</v>
      </c>
      <c r="C901" s="1" t="s">
        <v>10</v>
      </c>
      <c r="D901" s="1">
        <v>0</v>
      </c>
      <c r="E901" s="1">
        <v>0</v>
      </c>
      <c r="F901" s="1">
        <v>-491.83</v>
      </c>
      <c r="G901" s="1">
        <v>-7967.6229999999996</v>
      </c>
      <c r="H901" s="1">
        <v>4371.8090000000002</v>
      </c>
      <c r="I901" s="1">
        <v>0</v>
      </c>
    </row>
    <row r="902" spans="1:9" hidden="1" x14ac:dyDescent="0.25">
      <c r="A902" s="1" t="s">
        <v>24</v>
      </c>
      <c r="B902" s="1" t="s">
        <v>48</v>
      </c>
      <c r="C902" s="1" t="s">
        <v>25</v>
      </c>
      <c r="D902" s="1">
        <v>0</v>
      </c>
      <c r="E902" s="1">
        <v>0</v>
      </c>
      <c r="F902" s="1">
        <v>491.83</v>
      </c>
      <c r="G902" s="1">
        <v>9738.2049999999999</v>
      </c>
      <c r="H902" s="1">
        <v>-2404.4949999999999</v>
      </c>
      <c r="I902" s="1">
        <v>0</v>
      </c>
    </row>
    <row r="903" spans="1:9" hidden="1" x14ac:dyDescent="0.25">
      <c r="A903" s="1" t="s">
        <v>24</v>
      </c>
      <c r="B903" s="1" t="s">
        <v>48</v>
      </c>
      <c r="C903" s="1" t="s">
        <v>10</v>
      </c>
      <c r="D903" s="1">
        <v>0</v>
      </c>
      <c r="E903" s="1">
        <v>0</v>
      </c>
      <c r="F903" s="1">
        <v>491.83</v>
      </c>
      <c r="G903" s="1">
        <v>9738.2049999999999</v>
      </c>
      <c r="H903" s="1">
        <v>-4371.8090000000002</v>
      </c>
      <c r="I903" s="1">
        <v>0</v>
      </c>
    </row>
    <row r="904" spans="1:9" hidden="1" x14ac:dyDescent="0.25">
      <c r="A904" s="1" t="s">
        <v>24</v>
      </c>
      <c r="B904" s="1" t="s">
        <v>49</v>
      </c>
      <c r="C904" s="1" t="s">
        <v>25</v>
      </c>
      <c r="D904" s="1">
        <v>0</v>
      </c>
      <c r="E904" s="1">
        <v>0</v>
      </c>
      <c r="F904" s="1">
        <v>491.83</v>
      </c>
      <c r="G904" s="1">
        <v>7967.6229999999996</v>
      </c>
      <c r="H904" s="1">
        <v>-2404.4949999999999</v>
      </c>
      <c r="I904" s="1">
        <v>0</v>
      </c>
    </row>
    <row r="905" spans="1:9" hidden="1" x14ac:dyDescent="0.25">
      <c r="A905" s="1" t="s">
        <v>24</v>
      </c>
      <c r="B905" s="1" t="s">
        <v>49</v>
      </c>
      <c r="C905" s="1" t="s">
        <v>10</v>
      </c>
      <c r="D905" s="1">
        <v>0</v>
      </c>
      <c r="E905" s="1">
        <v>0</v>
      </c>
      <c r="F905" s="1">
        <v>491.83</v>
      </c>
      <c r="G905" s="1">
        <v>7967.6229999999996</v>
      </c>
      <c r="H905" s="1">
        <v>-4371.8090000000002</v>
      </c>
      <c r="I905" s="1">
        <v>0</v>
      </c>
    </row>
    <row r="906" spans="1:9" hidden="1" x14ac:dyDescent="0.25">
      <c r="A906" s="1" t="s">
        <v>24</v>
      </c>
      <c r="B906" s="1" t="s">
        <v>50</v>
      </c>
      <c r="C906" s="1" t="s">
        <v>25</v>
      </c>
      <c r="D906" s="1">
        <v>0</v>
      </c>
      <c r="E906" s="1">
        <v>-122.07</v>
      </c>
      <c r="F906" s="1">
        <v>0</v>
      </c>
      <c r="G906" s="1">
        <v>2014.096</v>
      </c>
      <c r="H906" s="1">
        <v>0</v>
      </c>
      <c r="I906" s="1">
        <v>-596.76900000000001</v>
      </c>
    </row>
    <row r="907" spans="1:9" hidden="1" x14ac:dyDescent="0.25">
      <c r="A907" s="1" t="s">
        <v>24</v>
      </c>
      <c r="B907" s="1" t="s">
        <v>50</v>
      </c>
      <c r="C907" s="1" t="s">
        <v>10</v>
      </c>
      <c r="D907" s="1">
        <v>0</v>
      </c>
      <c r="E907" s="1">
        <v>-122.07</v>
      </c>
      <c r="F907" s="1">
        <v>0</v>
      </c>
      <c r="G907" s="1">
        <v>2014.096</v>
      </c>
      <c r="H907" s="1">
        <v>0</v>
      </c>
      <c r="I907" s="1">
        <v>-1085.0350000000001</v>
      </c>
    </row>
    <row r="908" spans="1:9" hidden="1" x14ac:dyDescent="0.25">
      <c r="A908" s="1" t="s">
        <v>24</v>
      </c>
      <c r="B908" s="1" t="s">
        <v>51</v>
      </c>
      <c r="C908" s="1" t="s">
        <v>25</v>
      </c>
      <c r="D908" s="1">
        <v>0</v>
      </c>
      <c r="E908" s="1">
        <v>-122.07</v>
      </c>
      <c r="F908" s="1">
        <v>0</v>
      </c>
      <c r="G908" s="1">
        <v>1647.8969999999999</v>
      </c>
      <c r="H908" s="1">
        <v>0</v>
      </c>
      <c r="I908" s="1">
        <v>-596.76900000000001</v>
      </c>
    </row>
    <row r="909" spans="1:9" hidden="1" x14ac:dyDescent="0.25">
      <c r="A909" s="1" t="s">
        <v>24</v>
      </c>
      <c r="B909" s="1" t="s">
        <v>51</v>
      </c>
      <c r="C909" s="1" t="s">
        <v>10</v>
      </c>
      <c r="D909" s="1">
        <v>0</v>
      </c>
      <c r="E909" s="1">
        <v>-122.07</v>
      </c>
      <c r="F909" s="1">
        <v>0</v>
      </c>
      <c r="G909" s="1">
        <v>1647.8969999999999</v>
      </c>
      <c r="H909" s="1">
        <v>0</v>
      </c>
      <c r="I909" s="1">
        <v>-1085.0350000000001</v>
      </c>
    </row>
    <row r="910" spans="1:9" hidden="1" x14ac:dyDescent="0.25">
      <c r="A910" s="1" t="s">
        <v>24</v>
      </c>
      <c r="B910" s="1" t="s">
        <v>52</v>
      </c>
      <c r="C910" s="1" t="s">
        <v>25</v>
      </c>
      <c r="D910" s="1">
        <v>0</v>
      </c>
      <c r="E910" s="1">
        <v>122.07</v>
      </c>
      <c r="F910" s="1">
        <v>0</v>
      </c>
      <c r="G910" s="1">
        <v>-2014.096</v>
      </c>
      <c r="H910" s="1">
        <v>0</v>
      </c>
      <c r="I910" s="1">
        <v>596.76900000000001</v>
      </c>
    </row>
    <row r="911" spans="1:9" hidden="1" x14ac:dyDescent="0.25">
      <c r="A911" s="1" t="s">
        <v>24</v>
      </c>
      <c r="B911" s="1" t="s">
        <v>52</v>
      </c>
      <c r="C911" s="1" t="s">
        <v>10</v>
      </c>
      <c r="D911" s="1">
        <v>0</v>
      </c>
      <c r="E911" s="1">
        <v>122.07</v>
      </c>
      <c r="F911" s="1">
        <v>0</v>
      </c>
      <c r="G911" s="1">
        <v>-2014.096</v>
      </c>
      <c r="H911" s="1">
        <v>0</v>
      </c>
      <c r="I911" s="1">
        <v>1085.0350000000001</v>
      </c>
    </row>
    <row r="912" spans="1:9" hidden="1" x14ac:dyDescent="0.25">
      <c r="A912" s="1" t="s">
        <v>24</v>
      </c>
      <c r="B912" s="1" t="s">
        <v>53</v>
      </c>
      <c r="C912" s="1" t="s">
        <v>25</v>
      </c>
      <c r="D912" s="1">
        <v>0</v>
      </c>
      <c r="E912" s="1">
        <v>122.07</v>
      </c>
      <c r="F912" s="1">
        <v>0</v>
      </c>
      <c r="G912" s="1">
        <v>-1647.8969999999999</v>
      </c>
      <c r="H912" s="1">
        <v>0</v>
      </c>
      <c r="I912" s="1">
        <v>596.76900000000001</v>
      </c>
    </row>
    <row r="913" spans="1:9" hidden="1" x14ac:dyDescent="0.25">
      <c r="A913" s="1" t="s">
        <v>24</v>
      </c>
      <c r="B913" s="1" t="s">
        <v>53</v>
      </c>
      <c r="C913" s="1" t="s">
        <v>10</v>
      </c>
      <c r="D913" s="1">
        <v>0</v>
      </c>
      <c r="E913" s="1">
        <v>122.07</v>
      </c>
      <c r="F913" s="1">
        <v>0</v>
      </c>
      <c r="G913" s="1">
        <v>-1647.8969999999999</v>
      </c>
      <c r="H913" s="1">
        <v>0</v>
      </c>
      <c r="I913" s="1">
        <v>1085.0350000000001</v>
      </c>
    </row>
    <row r="914" spans="1:9" hidden="1" x14ac:dyDescent="0.25">
      <c r="A914" s="1" t="s">
        <v>24</v>
      </c>
      <c r="B914" s="1" t="s">
        <v>54</v>
      </c>
      <c r="C914" s="1" t="s">
        <v>25</v>
      </c>
      <c r="D914" s="1">
        <v>0</v>
      </c>
      <c r="E914" s="1">
        <v>0</v>
      </c>
      <c r="F914" s="1">
        <v>-147.55000000000001</v>
      </c>
      <c r="G914" s="1">
        <v>-2921.462</v>
      </c>
      <c r="H914" s="1">
        <v>721.34900000000005</v>
      </c>
      <c r="I914" s="1">
        <v>0</v>
      </c>
    </row>
    <row r="915" spans="1:9" hidden="1" x14ac:dyDescent="0.25">
      <c r="A915" s="1" t="s">
        <v>24</v>
      </c>
      <c r="B915" s="1" t="s">
        <v>54</v>
      </c>
      <c r="C915" s="1" t="s">
        <v>10</v>
      </c>
      <c r="D915" s="1">
        <v>0</v>
      </c>
      <c r="E915" s="1">
        <v>0</v>
      </c>
      <c r="F915" s="1">
        <v>-147.55000000000001</v>
      </c>
      <c r="G915" s="1">
        <v>-2921.462</v>
      </c>
      <c r="H915" s="1">
        <v>1311.5429999999999</v>
      </c>
      <c r="I915" s="1">
        <v>0</v>
      </c>
    </row>
    <row r="916" spans="1:9" hidden="1" x14ac:dyDescent="0.25">
      <c r="A916" s="1" t="s">
        <v>24</v>
      </c>
      <c r="B916" s="1" t="s">
        <v>55</v>
      </c>
      <c r="C916" s="1" t="s">
        <v>25</v>
      </c>
      <c r="D916" s="1">
        <v>0</v>
      </c>
      <c r="E916" s="1">
        <v>0</v>
      </c>
      <c r="F916" s="1">
        <v>-147.55000000000001</v>
      </c>
      <c r="G916" s="1">
        <v>-2390.2869999999998</v>
      </c>
      <c r="H916" s="1">
        <v>721.34900000000005</v>
      </c>
      <c r="I916" s="1">
        <v>0</v>
      </c>
    </row>
    <row r="917" spans="1:9" hidden="1" x14ac:dyDescent="0.25">
      <c r="A917" s="1" t="s">
        <v>24</v>
      </c>
      <c r="B917" s="1" t="s">
        <v>55</v>
      </c>
      <c r="C917" s="1" t="s">
        <v>10</v>
      </c>
      <c r="D917" s="1">
        <v>0</v>
      </c>
      <c r="E917" s="1">
        <v>0</v>
      </c>
      <c r="F917" s="1">
        <v>-147.55000000000001</v>
      </c>
      <c r="G917" s="1">
        <v>-2390.2869999999998</v>
      </c>
      <c r="H917" s="1">
        <v>1311.5429999999999</v>
      </c>
      <c r="I917" s="1">
        <v>0</v>
      </c>
    </row>
    <row r="918" spans="1:9" hidden="1" x14ac:dyDescent="0.25">
      <c r="A918" s="1" t="s">
        <v>24</v>
      </c>
      <c r="B918" s="1" t="s">
        <v>56</v>
      </c>
      <c r="C918" s="1" t="s">
        <v>25</v>
      </c>
      <c r="D918" s="1">
        <v>0</v>
      </c>
      <c r="E918" s="1">
        <v>0</v>
      </c>
      <c r="F918" s="1">
        <v>147.55000000000001</v>
      </c>
      <c r="G918" s="1">
        <v>2921.462</v>
      </c>
      <c r="H918" s="1">
        <v>-721.34900000000005</v>
      </c>
      <c r="I918" s="1">
        <v>0</v>
      </c>
    </row>
    <row r="919" spans="1:9" hidden="1" x14ac:dyDescent="0.25">
      <c r="A919" s="1" t="s">
        <v>24</v>
      </c>
      <c r="B919" s="1" t="s">
        <v>56</v>
      </c>
      <c r="C919" s="1" t="s">
        <v>10</v>
      </c>
      <c r="D919" s="1">
        <v>0</v>
      </c>
      <c r="E919" s="1">
        <v>0</v>
      </c>
      <c r="F919" s="1">
        <v>147.55000000000001</v>
      </c>
      <c r="G919" s="1">
        <v>2921.462</v>
      </c>
      <c r="H919" s="1">
        <v>-1311.5429999999999</v>
      </c>
      <c r="I919" s="1">
        <v>0</v>
      </c>
    </row>
    <row r="920" spans="1:9" hidden="1" x14ac:dyDescent="0.25">
      <c r="A920" s="1" t="s">
        <v>24</v>
      </c>
      <c r="B920" s="1" t="s">
        <v>57</v>
      </c>
      <c r="C920" s="1" t="s">
        <v>25</v>
      </c>
      <c r="D920" s="1">
        <v>0</v>
      </c>
      <c r="E920" s="1">
        <v>0</v>
      </c>
      <c r="F920" s="1">
        <v>147.55000000000001</v>
      </c>
      <c r="G920" s="1">
        <v>2390.2869999999998</v>
      </c>
      <c r="H920" s="1">
        <v>-721.34900000000005</v>
      </c>
      <c r="I920" s="1">
        <v>0</v>
      </c>
    </row>
    <row r="921" spans="1:9" hidden="1" x14ac:dyDescent="0.25">
      <c r="A921" s="1" t="s">
        <v>24</v>
      </c>
      <c r="B921" s="1" t="s">
        <v>57</v>
      </c>
      <c r="C921" s="1" t="s">
        <v>10</v>
      </c>
      <c r="D921" s="1">
        <v>0</v>
      </c>
      <c r="E921" s="1">
        <v>0</v>
      </c>
      <c r="F921" s="1">
        <v>147.55000000000001</v>
      </c>
      <c r="G921" s="1">
        <v>2390.2869999999998</v>
      </c>
      <c r="H921" s="1">
        <v>-1311.5429999999999</v>
      </c>
      <c r="I921" s="1">
        <v>0</v>
      </c>
    </row>
    <row r="922" spans="1:9" hidden="1" x14ac:dyDescent="0.25">
      <c r="A922" s="1" t="s">
        <v>24</v>
      </c>
      <c r="B922" s="1" t="s">
        <v>58</v>
      </c>
      <c r="C922" s="1" t="s">
        <v>25</v>
      </c>
      <c r="D922" s="1">
        <v>0</v>
      </c>
      <c r="E922" s="1">
        <v>-122.07</v>
      </c>
      <c r="F922" s="1">
        <v>0</v>
      </c>
      <c r="G922" s="1">
        <v>2014.096</v>
      </c>
      <c r="H922" s="1">
        <v>0</v>
      </c>
      <c r="I922" s="1">
        <v>-596.76900000000001</v>
      </c>
    </row>
    <row r="923" spans="1:9" hidden="1" x14ac:dyDescent="0.25">
      <c r="A923" s="1" t="s">
        <v>24</v>
      </c>
      <c r="B923" s="1" t="s">
        <v>58</v>
      </c>
      <c r="C923" s="1" t="s">
        <v>10</v>
      </c>
      <c r="D923" s="1">
        <v>0</v>
      </c>
      <c r="E923" s="1">
        <v>-122.07</v>
      </c>
      <c r="F923" s="1">
        <v>0</v>
      </c>
      <c r="G923" s="1">
        <v>2014.096</v>
      </c>
      <c r="H923" s="1">
        <v>0</v>
      </c>
      <c r="I923" s="1">
        <v>-1085.0350000000001</v>
      </c>
    </row>
    <row r="924" spans="1:9" hidden="1" x14ac:dyDescent="0.25">
      <c r="A924" s="1" t="s">
        <v>24</v>
      </c>
      <c r="B924" s="1" t="s">
        <v>59</v>
      </c>
      <c r="C924" s="1" t="s">
        <v>25</v>
      </c>
      <c r="D924" s="1">
        <v>0</v>
      </c>
      <c r="E924" s="1">
        <v>-122.07</v>
      </c>
      <c r="F924" s="1">
        <v>0</v>
      </c>
      <c r="G924" s="1">
        <v>1647.8969999999999</v>
      </c>
      <c r="H924" s="1">
        <v>0</v>
      </c>
      <c r="I924" s="1">
        <v>-596.76900000000001</v>
      </c>
    </row>
    <row r="925" spans="1:9" hidden="1" x14ac:dyDescent="0.25">
      <c r="A925" s="1" t="s">
        <v>24</v>
      </c>
      <c r="B925" s="1" t="s">
        <v>59</v>
      </c>
      <c r="C925" s="1" t="s">
        <v>10</v>
      </c>
      <c r="D925" s="1">
        <v>0</v>
      </c>
      <c r="E925" s="1">
        <v>-122.07</v>
      </c>
      <c r="F925" s="1">
        <v>0</v>
      </c>
      <c r="G925" s="1">
        <v>1647.8969999999999</v>
      </c>
      <c r="H925" s="1">
        <v>0</v>
      </c>
      <c r="I925" s="1">
        <v>-1085.0350000000001</v>
      </c>
    </row>
    <row r="926" spans="1:9" hidden="1" x14ac:dyDescent="0.25">
      <c r="A926" s="1" t="s">
        <v>24</v>
      </c>
      <c r="B926" s="1" t="s">
        <v>60</v>
      </c>
      <c r="C926" s="1" t="s">
        <v>25</v>
      </c>
      <c r="D926" s="1">
        <v>0</v>
      </c>
      <c r="E926" s="1">
        <v>122.07</v>
      </c>
      <c r="F926" s="1">
        <v>0</v>
      </c>
      <c r="G926" s="1">
        <v>-2014.096</v>
      </c>
      <c r="H926" s="1">
        <v>0</v>
      </c>
      <c r="I926" s="1">
        <v>596.76900000000001</v>
      </c>
    </row>
    <row r="927" spans="1:9" hidden="1" x14ac:dyDescent="0.25">
      <c r="A927" s="1" t="s">
        <v>24</v>
      </c>
      <c r="B927" s="1" t="s">
        <v>60</v>
      </c>
      <c r="C927" s="1" t="s">
        <v>10</v>
      </c>
      <c r="D927" s="1">
        <v>0</v>
      </c>
      <c r="E927" s="1">
        <v>122.07</v>
      </c>
      <c r="F927" s="1">
        <v>0</v>
      </c>
      <c r="G927" s="1">
        <v>-2014.096</v>
      </c>
      <c r="H927" s="1">
        <v>0</v>
      </c>
      <c r="I927" s="1">
        <v>1085.0350000000001</v>
      </c>
    </row>
    <row r="928" spans="1:9" hidden="1" x14ac:dyDescent="0.25">
      <c r="A928" s="1" t="s">
        <v>24</v>
      </c>
      <c r="B928" s="1" t="s">
        <v>61</v>
      </c>
      <c r="C928" s="1" t="s">
        <v>25</v>
      </c>
      <c r="D928" s="1">
        <v>0</v>
      </c>
      <c r="E928" s="1">
        <v>122.07</v>
      </c>
      <c r="F928" s="1">
        <v>0</v>
      </c>
      <c r="G928" s="1">
        <v>-1647.8969999999999</v>
      </c>
      <c r="H928" s="1">
        <v>0</v>
      </c>
      <c r="I928" s="1">
        <v>596.76900000000001</v>
      </c>
    </row>
    <row r="929" spans="1:9" hidden="1" x14ac:dyDescent="0.25">
      <c r="A929" s="1" t="s">
        <v>24</v>
      </c>
      <c r="B929" s="1" t="s">
        <v>61</v>
      </c>
      <c r="C929" s="1" t="s">
        <v>10</v>
      </c>
      <c r="D929" s="1">
        <v>0</v>
      </c>
      <c r="E929" s="1">
        <v>122.07</v>
      </c>
      <c r="F929" s="1">
        <v>0</v>
      </c>
      <c r="G929" s="1">
        <v>-1647.8969999999999</v>
      </c>
      <c r="H929" s="1">
        <v>0</v>
      </c>
      <c r="I929" s="1">
        <v>1085.0350000000001</v>
      </c>
    </row>
    <row r="930" spans="1:9" hidden="1" x14ac:dyDescent="0.25">
      <c r="A930" s="1" t="s">
        <v>24</v>
      </c>
      <c r="B930" s="1" t="s">
        <v>62</v>
      </c>
      <c r="C930" s="1" t="s">
        <v>25</v>
      </c>
      <c r="D930" s="1">
        <v>0</v>
      </c>
      <c r="E930" s="1">
        <v>0</v>
      </c>
      <c r="F930" s="1">
        <v>-147.55000000000001</v>
      </c>
      <c r="G930" s="1">
        <v>-2921.462</v>
      </c>
      <c r="H930" s="1">
        <v>721.34900000000005</v>
      </c>
      <c r="I930" s="1">
        <v>0</v>
      </c>
    </row>
    <row r="931" spans="1:9" hidden="1" x14ac:dyDescent="0.25">
      <c r="A931" s="1" t="s">
        <v>24</v>
      </c>
      <c r="B931" s="1" t="s">
        <v>62</v>
      </c>
      <c r="C931" s="1" t="s">
        <v>10</v>
      </c>
      <c r="D931" s="1">
        <v>0</v>
      </c>
      <c r="E931" s="1">
        <v>0</v>
      </c>
      <c r="F931" s="1">
        <v>-147.55000000000001</v>
      </c>
      <c r="G931" s="1">
        <v>-2921.462</v>
      </c>
      <c r="H931" s="1">
        <v>1311.5429999999999</v>
      </c>
      <c r="I931" s="1">
        <v>0</v>
      </c>
    </row>
    <row r="932" spans="1:9" hidden="1" x14ac:dyDescent="0.25">
      <c r="A932" s="1" t="s">
        <v>24</v>
      </c>
      <c r="B932" s="1" t="s">
        <v>63</v>
      </c>
      <c r="C932" s="1" t="s">
        <v>25</v>
      </c>
      <c r="D932" s="1">
        <v>0</v>
      </c>
      <c r="E932" s="1">
        <v>0</v>
      </c>
      <c r="F932" s="1">
        <v>-147.55000000000001</v>
      </c>
      <c r="G932" s="1">
        <v>-2390.2869999999998</v>
      </c>
      <c r="H932" s="1">
        <v>721.34900000000005</v>
      </c>
      <c r="I932" s="1">
        <v>0</v>
      </c>
    </row>
    <row r="933" spans="1:9" hidden="1" x14ac:dyDescent="0.25">
      <c r="A933" s="1" t="s">
        <v>24</v>
      </c>
      <c r="B933" s="1" t="s">
        <v>63</v>
      </c>
      <c r="C933" s="1" t="s">
        <v>10</v>
      </c>
      <c r="D933" s="1">
        <v>0</v>
      </c>
      <c r="E933" s="1">
        <v>0</v>
      </c>
      <c r="F933" s="1">
        <v>-147.55000000000001</v>
      </c>
      <c r="G933" s="1">
        <v>-2390.2869999999998</v>
      </c>
      <c r="H933" s="1">
        <v>1311.5429999999999</v>
      </c>
      <c r="I933" s="1">
        <v>0</v>
      </c>
    </row>
    <row r="934" spans="1:9" hidden="1" x14ac:dyDescent="0.25">
      <c r="A934" s="1" t="s">
        <v>24</v>
      </c>
      <c r="B934" s="1" t="s">
        <v>64</v>
      </c>
      <c r="C934" s="1" t="s">
        <v>25</v>
      </c>
      <c r="D934" s="1">
        <v>0</v>
      </c>
      <c r="E934" s="1">
        <v>0</v>
      </c>
      <c r="F934" s="1">
        <v>147.55000000000001</v>
      </c>
      <c r="G934" s="1">
        <v>2921.462</v>
      </c>
      <c r="H934" s="1">
        <v>-721.34900000000005</v>
      </c>
      <c r="I934" s="1">
        <v>0</v>
      </c>
    </row>
    <row r="935" spans="1:9" hidden="1" x14ac:dyDescent="0.25">
      <c r="A935" s="1" t="s">
        <v>24</v>
      </c>
      <c r="B935" s="1" t="s">
        <v>64</v>
      </c>
      <c r="C935" s="1" t="s">
        <v>10</v>
      </c>
      <c r="D935" s="1">
        <v>0</v>
      </c>
      <c r="E935" s="1">
        <v>0</v>
      </c>
      <c r="F935" s="1">
        <v>147.55000000000001</v>
      </c>
      <c r="G935" s="1">
        <v>2921.462</v>
      </c>
      <c r="H935" s="1">
        <v>-1311.5429999999999</v>
      </c>
      <c r="I935" s="1">
        <v>0</v>
      </c>
    </row>
    <row r="936" spans="1:9" hidden="1" x14ac:dyDescent="0.25">
      <c r="A936" s="1" t="s">
        <v>24</v>
      </c>
      <c r="B936" s="1" t="s">
        <v>65</v>
      </c>
      <c r="C936" s="1" t="s">
        <v>25</v>
      </c>
      <c r="D936" s="1">
        <v>0</v>
      </c>
      <c r="E936" s="1">
        <v>0</v>
      </c>
      <c r="F936" s="1">
        <v>147.55000000000001</v>
      </c>
      <c r="G936" s="1">
        <v>2390.2869999999998</v>
      </c>
      <c r="H936" s="1">
        <v>-721.34900000000005</v>
      </c>
      <c r="I936" s="1">
        <v>0</v>
      </c>
    </row>
    <row r="937" spans="1:9" hidden="1" x14ac:dyDescent="0.25">
      <c r="A937" s="1" t="s">
        <v>24</v>
      </c>
      <c r="B937" s="1" t="s">
        <v>65</v>
      </c>
      <c r="C937" s="1" t="s">
        <v>10</v>
      </c>
      <c r="D937" s="1">
        <v>0</v>
      </c>
      <c r="E937" s="1">
        <v>0</v>
      </c>
      <c r="F937" s="1">
        <v>147.55000000000001</v>
      </c>
      <c r="G937" s="1">
        <v>2390.2869999999998</v>
      </c>
      <c r="H937" s="1">
        <v>-1311.5429999999999</v>
      </c>
      <c r="I937" s="1">
        <v>0</v>
      </c>
    </row>
    <row r="938" spans="1:9" hidden="1" x14ac:dyDescent="0.25">
      <c r="A938" s="1" t="s">
        <v>24</v>
      </c>
      <c r="B938" s="1" t="s">
        <v>66</v>
      </c>
      <c r="C938" s="1" t="s">
        <v>25</v>
      </c>
      <c r="D938" s="1">
        <v>0</v>
      </c>
      <c r="E938" s="1">
        <v>-406.89</v>
      </c>
      <c r="F938" s="1">
        <v>0</v>
      </c>
      <c r="G938" s="1">
        <v>6713.6530000000002</v>
      </c>
      <c r="H938" s="1">
        <v>0</v>
      </c>
      <c r="I938" s="1">
        <v>-1989.231</v>
      </c>
    </row>
    <row r="939" spans="1:9" hidden="1" x14ac:dyDescent="0.25">
      <c r="A939" s="1" t="s">
        <v>24</v>
      </c>
      <c r="B939" s="1" t="s">
        <v>66</v>
      </c>
      <c r="C939" s="1" t="s">
        <v>10</v>
      </c>
      <c r="D939" s="1">
        <v>0</v>
      </c>
      <c r="E939" s="1">
        <v>-406.89</v>
      </c>
      <c r="F939" s="1">
        <v>0</v>
      </c>
      <c r="G939" s="1">
        <v>6713.6530000000002</v>
      </c>
      <c r="H939" s="1">
        <v>0</v>
      </c>
      <c r="I939" s="1">
        <v>-3616.7829999999999</v>
      </c>
    </row>
    <row r="940" spans="1:9" hidden="1" x14ac:dyDescent="0.25">
      <c r="A940" s="1" t="s">
        <v>24</v>
      </c>
      <c r="B940" s="1" t="s">
        <v>67</v>
      </c>
      <c r="C940" s="1" t="s">
        <v>25</v>
      </c>
      <c r="D940" s="1">
        <v>0</v>
      </c>
      <c r="E940" s="1">
        <v>-406.89</v>
      </c>
      <c r="F940" s="1">
        <v>0</v>
      </c>
      <c r="G940" s="1">
        <v>5492.9889999999996</v>
      </c>
      <c r="H940" s="1">
        <v>0</v>
      </c>
      <c r="I940" s="1">
        <v>-1989.231</v>
      </c>
    </row>
    <row r="941" spans="1:9" hidden="1" x14ac:dyDescent="0.25">
      <c r="A941" s="1" t="s">
        <v>24</v>
      </c>
      <c r="B941" s="1" t="s">
        <v>67</v>
      </c>
      <c r="C941" s="1" t="s">
        <v>10</v>
      </c>
      <c r="D941" s="1">
        <v>0</v>
      </c>
      <c r="E941" s="1">
        <v>-406.89</v>
      </c>
      <c r="F941" s="1">
        <v>0</v>
      </c>
      <c r="G941" s="1">
        <v>5492.9889999999996</v>
      </c>
      <c r="H941" s="1">
        <v>0</v>
      </c>
      <c r="I941" s="1">
        <v>-3616.7829999999999</v>
      </c>
    </row>
    <row r="942" spans="1:9" hidden="1" x14ac:dyDescent="0.25">
      <c r="A942" s="1" t="s">
        <v>24</v>
      </c>
      <c r="B942" s="1" t="s">
        <v>68</v>
      </c>
      <c r="C942" s="1" t="s">
        <v>25</v>
      </c>
      <c r="D942" s="1">
        <v>0</v>
      </c>
      <c r="E942" s="1">
        <v>406.89</v>
      </c>
      <c r="F942" s="1">
        <v>0</v>
      </c>
      <c r="G942" s="1">
        <v>-6713.6530000000002</v>
      </c>
      <c r="H942" s="1">
        <v>0</v>
      </c>
      <c r="I942" s="1">
        <v>1989.231</v>
      </c>
    </row>
    <row r="943" spans="1:9" hidden="1" x14ac:dyDescent="0.25">
      <c r="A943" s="1" t="s">
        <v>24</v>
      </c>
      <c r="B943" s="1" t="s">
        <v>68</v>
      </c>
      <c r="C943" s="1" t="s">
        <v>10</v>
      </c>
      <c r="D943" s="1">
        <v>0</v>
      </c>
      <c r="E943" s="1">
        <v>406.89</v>
      </c>
      <c r="F943" s="1">
        <v>0</v>
      </c>
      <c r="G943" s="1">
        <v>-6713.6530000000002</v>
      </c>
      <c r="H943" s="1">
        <v>0</v>
      </c>
      <c r="I943" s="1">
        <v>3616.7829999999999</v>
      </c>
    </row>
    <row r="944" spans="1:9" hidden="1" x14ac:dyDescent="0.25">
      <c r="A944" s="1" t="s">
        <v>24</v>
      </c>
      <c r="B944" s="1" t="s">
        <v>69</v>
      </c>
      <c r="C944" s="1" t="s">
        <v>25</v>
      </c>
      <c r="D944" s="1">
        <v>0</v>
      </c>
      <c r="E944" s="1">
        <v>406.89</v>
      </c>
      <c r="F944" s="1">
        <v>0</v>
      </c>
      <c r="G944" s="1">
        <v>-5492.9889999999996</v>
      </c>
      <c r="H944" s="1">
        <v>0</v>
      </c>
      <c r="I944" s="1">
        <v>1989.231</v>
      </c>
    </row>
    <row r="945" spans="1:9" hidden="1" x14ac:dyDescent="0.25">
      <c r="A945" s="1" t="s">
        <v>24</v>
      </c>
      <c r="B945" s="1" t="s">
        <v>69</v>
      </c>
      <c r="C945" s="1" t="s">
        <v>10</v>
      </c>
      <c r="D945" s="1">
        <v>0</v>
      </c>
      <c r="E945" s="1">
        <v>406.89</v>
      </c>
      <c r="F945" s="1">
        <v>0</v>
      </c>
      <c r="G945" s="1">
        <v>-5492.9889999999996</v>
      </c>
      <c r="H945" s="1">
        <v>0</v>
      </c>
      <c r="I945" s="1">
        <v>3616.7829999999999</v>
      </c>
    </row>
    <row r="946" spans="1:9" hidden="1" x14ac:dyDescent="0.25">
      <c r="A946" s="1" t="s">
        <v>24</v>
      </c>
      <c r="B946" s="1" t="s">
        <v>70</v>
      </c>
      <c r="C946" s="1" t="s">
        <v>25</v>
      </c>
      <c r="D946" s="1">
        <v>0</v>
      </c>
      <c r="E946" s="1">
        <v>0</v>
      </c>
      <c r="F946" s="1">
        <v>-491.83</v>
      </c>
      <c r="G946" s="1">
        <v>-9738.2049999999999</v>
      </c>
      <c r="H946" s="1">
        <v>2404.4949999999999</v>
      </c>
      <c r="I946" s="1">
        <v>0</v>
      </c>
    </row>
    <row r="947" spans="1:9" hidden="1" x14ac:dyDescent="0.25">
      <c r="A947" s="1" t="s">
        <v>24</v>
      </c>
      <c r="B947" s="1" t="s">
        <v>70</v>
      </c>
      <c r="C947" s="1" t="s">
        <v>10</v>
      </c>
      <c r="D947" s="1">
        <v>0</v>
      </c>
      <c r="E947" s="1">
        <v>0</v>
      </c>
      <c r="F947" s="1">
        <v>-491.83</v>
      </c>
      <c r="G947" s="1">
        <v>-9738.2049999999999</v>
      </c>
      <c r="H947" s="1">
        <v>4371.8090000000002</v>
      </c>
      <c r="I947" s="1">
        <v>0</v>
      </c>
    </row>
    <row r="948" spans="1:9" hidden="1" x14ac:dyDescent="0.25">
      <c r="A948" s="1" t="s">
        <v>24</v>
      </c>
      <c r="B948" s="1" t="s">
        <v>71</v>
      </c>
      <c r="C948" s="1" t="s">
        <v>25</v>
      </c>
      <c r="D948" s="1">
        <v>0</v>
      </c>
      <c r="E948" s="1">
        <v>0</v>
      </c>
      <c r="F948" s="1">
        <v>-491.83</v>
      </c>
      <c r="G948" s="1">
        <v>-7967.6229999999996</v>
      </c>
      <c r="H948" s="1">
        <v>2404.4949999999999</v>
      </c>
      <c r="I948" s="1">
        <v>0</v>
      </c>
    </row>
    <row r="949" spans="1:9" hidden="1" x14ac:dyDescent="0.25">
      <c r="A949" s="1" t="s">
        <v>24</v>
      </c>
      <c r="B949" s="1" t="s">
        <v>71</v>
      </c>
      <c r="C949" s="1" t="s">
        <v>10</v>
      </c>
      <c r="D949" s="1">
        <v>0</v>
      </c>
      <c r="E949" s="1">
        <v>0</v>
      </c>
      <c r="F949" s="1">
        <v>-491.83</v>
      </c>
      <c r="G949" s="1">
        <v>-7967.6229999999996</v>
      </c>
      <c r="H949" s="1">
        <v>4371.8090000000002</v>
      </c>
      <c r="I949" s="1">
        <v>0</v>
      </c>
    </row>
    <row r="950" spans="1:9" hidden="1" x14ac:dyDescent="0.25">
      <c r="A950" s="1" t="s">
        <v>24</v>
      </c>
      <c r="B950" s="1" t="s">
        <v>72</v>
      </c>
      <c r="C950" s="1" t="s">
        <v>25</v>
      </c>
      <c r="D950" s="1">
        <v>0</v>
      </c>
      <c r="E950" s="1">
        <v>0</v>
      </c>
      <c r="F950" s="1">
        <v>491.83</v>
      </c>
      <c r="G950" s="1">
        <v>9738.2049999999999</v>
      </c>
      <c r="H950" s="1">
        <v>-2404.4949999999999</v>
      </c>
      <c r="I950" s="1">
        <v>0</v>
      </c>
    </row>
    <row r="951" spans="1:9" hidden="1" x14ac:dyDescent="0.25">
      <c r="A951" s="1" t="s">
        <v>24</v>
      </c>
      <c r="B951" s="1" t="s">
        <v>72</v>
      </c>
      <c r="C951" s="1" t="s">
        <v>10</v>
      </c>
      <c r="D951" s="1">
        <v>0</v>
      </c>
      <c r="E951" s="1">
        <v>0</v>
      </c>
      <c r="F951" s="1">
        <v>491.83</v>
      </c>
      <c r="G951" s="1">
        <v>9738.2049999999999</v>
      </c>
      <c r="H951" s="1">
        <v>-4371.8090000000002</v>
      </c>
      <c r="I951" s="1">
        <v>0</v>
      </c>
    </row>
    <row r="952" spans="1:9" hidden="1" x14ac:dyDescent="0.25">
      <c r="A952" s="1" t="s">
        <v>24</v>
      </c>
      <c r="B952" s="1" t="s">
        <v>73</v>
      </c>
      <c r="C952" s="1" t="s">
        <v>25</v>
      </c>
      <c r="D952" s="1">
        <v>0</v>
      </c>
      <c r="E952" s="1">
        <v>0</v>
      </c>
      <c r="F952" s="1">
        <v>491.83</v>
      </c>
      <c r="G952" s="1">
        <v>7967.6229999999996</v>
      </c>
      <c r="H952" s="1">
        <v>-2404.4949999999999</v>
      </c>
      <c r="I952" s="1">
        <v>0</v>
      </c>
    </row>
    <row r="953" spans="1:9" hidden="1" x14ac:dyDescent="0.25">
      <c r="A953" s="1" t="s">
        <v>24</v>
      </c>
      <c r="B953" s="1" t="s">
        <v>73</v>
      </c>
      <c r="C953" s="1" t="s">
        <v>10</v>
      </c>
      <c r="D953" s="1">
        <v>0</v>
      </c>
      <c r="E953" s="1">
        <v>0</v>
      </c>
      <c r="F953" s="1">
        <v>491.83</v>
      </c>
      <c r="G953" s="1">
        <v>7967.6229999999996</v>
      </c>
      <c r="H953" s="1">
        <v>-4371.8090000000002</v>
      </c>
      <c r="I953" s="1">
        <v>0</v>
      </c>
    </row>
    <row r="954" spans="1:9" hidden="1" x14ac:dyDescent="0.25">
      <c r="A954" s="1" t="s">
        <v>24</v>
      </c>
      <c r="B954" s="1" t="s">
        <v>74</v>
      </c>
      <c r="C954" s="1" t="s">
        <v>25</v>
      </c>
      <c r="D954" s="1">
        <v>0</v>
      </c>
      <c r="E954" s="1">
        <v>-406.89</v>
      </c>
      <c r="F954" s="1">
        <v>0</v>
      </c>
      <c r="G954" s="1">
        <v>6713.6530000000002</v>
      </c>
      <c r="H954" s="1">
        <v>0</v>
      </c>
      <c r="I954" s="1">
        <v>-1989.231</v>
      </c>
    </row>
    <row r="955" spans="1:9" hidden="1" x14ac:dyDescent="0.25">
      <c r="A955" s="1" t="s">
        <v>24</v>
      </c>
      <c r="B955" s="1" t="s">
        <v>74</v>
      </c>
      <c r="C955" s="1" t="s">
        <v>10</v>
      </c>
      <c r="D955" s="1">
        <v>0</v>
      </c>
      <c r="E955" s="1">
        <v>-406.89</v>
      </c>
      <c r="F955" s="1">
        <v>0</v>
      </c>
      <c r="G955" s="1">
        <v>6713.6530000000002</v>
      </c>
      <c r="H955" s="1">
        <v>0</v>
      </c>
      <c r="I955" s="1">
        <v>-3616.7829999999999</v>
      </c>
    </row>
    <row r="956" spans="1:9" hidden="1" x14ac:dyDescent="0.25">
      <c r="A956" s="1" t="s">
        <v>24</v>
      </c>
      <c r="B956" s="1" t="s">
        <v>75</v>
      </c>
      <c r="C956" s="1" t="s">
        <v>25</v>
      </c>
      <c r="D956" s="1">
        <v>0</v>
      </c>
      <c r="E956" s="1">
        <v>-406.89</v>
      </c>
      <c r="F956" s="1">
        <v>0</v>
      </c>
      <c r="G956" s="1">
        <v>5492.9889999999996</v>
      </c>
      <c r="H956" s="1">
        <v>0</v>
      </c>
      <c r="I956" s="1">
        <v>-1989.231</v>
      </c>
    </row>
    <row r="957" spans="1:9" hidden="1" x14ac:dyDescent="0.25">
      <c r="A957" s="1" t="s">
        <v>24</v>
      </c>
      <c r="B957" s="1" t="s">
        <v>75</v>
      </c>
      <c r="C957" s="1" t="s">
        <v>10</v>
      </c>
      <c r="D957" s="1">
        <v>0</v>
      </c>
      <c r="E957" s="1">
        <v>-406.89</v>
      </c>
      <c r="F957" s="1">
        <v>0</v>
      </c>
      <c r="G957" s="1">
        <v>5492.9889999999996</v>
      </c>
      <c r="H957" s="1">
        <v>0</v>
      </c>
      <c r="I957" s="1">
        <v>-3616.7829999999999</v>
      </c>
    </row>
    <row r="958" spans="1:9" hidden="1" x14ac:dyDescent="0.25">
      <c r="A958" s="1" t="s">
        <v>24</v>
      </c>
      <c r="B958" s="1" t="s">
        <v>76</v>
      </c>
      <c r="C958" s="1" t="s">
        <v>25</v>
      </c>
      <c r="D958" s="1">
        <v>0</v>
      </c>
      <c r="E958" s="1">
        <v>406.89</v>
      </c>
      <c r="F958" s="1">
        <v>0</v>
      </c>
      <c r="G958" s="1">
        <v>-6713.6530000000002</v>
      </c>
      <c r="H958" s="1">
        <v>0</v>
      </c>
      <c r="I958" s="1">
        <v>1989.231</v>
      </c>
    </row>
    <row r="959" spans="1:9" hidden="1" x14ac:dyDescent="0.25">
      <c r="A959" s="1" t="s">
        <v>24</v>
      </c>
      <c r="B959" s="1" t="s">
        <v>76</v>
      </c>
      <c r="C959" s="1" t="s">
        <v>10</v>
      </c>
      <c r="D959" s="1">
        <v>0</v>
      </c>
      <c r="E959" s="1">
        <v>406.89</v>
      </c>
      <c r="F959" s="1">
        <v>0</v>
      </c>
      <c r="G959" s="1">
        <v>-6713.6530000000002</v>
      </c>
      <c r="H959" s="1">
        <v>0</v>
      </c>
      <c r="I959" s="1">
        <v>3616.7829999999999</v>
      </c>
    </row>
    <row r="960" spans="1:9" hidden="1" x14ac:dyDescent="0.25">
      <c r="A960" s="1" t="s">
        <v>24</v>
      </c>
      <c r="B960" s="1" t="s">
        <v>77</v>
      </c>
      <c r="C960" s="1" t="s">
        <v>25</v>
      </c>
      <c r="D960" s="1">
        <v>0</v>
      </c>
      <c r="E960" s="1">
        <v>406.89</v>
      </c>
      <c r="F960" s="1">
        <v>0</v>
      </c>
      <c r="G960" s="1">
        <v>-5492.9889999999996</v>
      </c>
      <c r="H960" s="1">
        <v>0</v>
      </c>
      <c r="I960" s="1">
        <v>1989.231</v>
      </c>
    </row>
    <row r="961" spans="1:9" hidden="1" x14ac:dyDescent="0.25">
      <c r="A961" s="1" t="s">
        <v>24</v>
      </c>
      <c r="B961" s="1" t="s">
        <v>77</v>
      </c>
      <c r="C961" s="1" t="s">
        <v>10</v>
      </c>
      <c r="D961" s="1">
        <v>0</v>
      </c>
      <c r="E961" s="1">
        <v>406.89</v>
      </c>
      <c r="F961" s="1">
        <v>0</v>
      </c>
      <c r="G961" s="1">
        <v>-5492.9889999999996</v>
      </c>
      <c r="H961" s="1">
        <v>0</v>
      </c>
      <c r="I961" s="1">
        <v>3616.7829999999999</v>
      </c>
    </row>
    <row r="962" spans="1:9" hidden="1" x14ac:dyDescent="0.25">
      <c r="A962" s="1" t="s">
        <v>24</v>
      </c>
      <c r="B962" s="1" t="s">
        <v>78</v>
      </c>
      <c r="C962" s="1" t="s">
        <v>25</v>
      </c>
      <c r="D962" s="1">
        <v>0</v>
      </c>
      <c r="E962" s="1">
        <v>0</v>
      </c>
      <c r="F962" s="1">
        <v>-491.83</v>
      </c>
      <c r="G962" s="1">
        <v>-9738.2049999999999</v>
      </c>
      <c r="H962" s="1">
        <v>2404.4949999999999</v>
      </c>
      <c r="I962" s="1">
        <v>0</v>
      </c>
    </row>
    <row r="963" spans="1:9" hidden="1" x14ac:dyDescent="0.25">
      <c r="A963" s="1" t="s">
        <v>24</v>
      </c>
      <c r="B963" s="1" t="s">
        <v>78</v>
      </c>
      <c r="C963" s="1" t="s">
        <v>10</v>
      </c>
      <c r="D963" s="1">
        <v>0</v>
      </c>
      <c r="E963" s="1">
        <v>0</v>
      </c>
      <c r="F963" s="1">
        <v>-491.83</v>
      </c>
      <c r="G963" s="1">
        <v>-9738.2049999999999</v>
      </c>
      <c r="H963" s="1">
        <v>4371.8090000000002</v>
      </c>
      <c r="I963" s="1">
        <v>0</v>
      </c>
    </row>
    <row r="964" spans="1:9" hidden="1" x14ac:dyDescent="0.25">
      <c r="A964" s="1" t="s">
        <v>24</v>
      </c>
      <c r="B964" s="1" t="s">
        <v>79</v>
      </c>
      <c r="C964" s="1" t="s">
        <v>25</v>
      </c>
      <c r="D964" s="1">
        <v>0</v>
      </c>
      <c r="E964" s="1">
        <v>0</v>
      </c>
      <c r="F964" s="1">
        <v>-491.83</v>
      </c>
      <c r="G964" s="1">
        <v>-7967.6229999999996</v>
      </c>
      <c r="H964" s="1">
        <v>2404.4949999999999</v>
      </c>
      <c r="I964" s="1">
        <v>0</v>
      </c>
    </row>
    <row r="965" spans="1:9" hidden="1" x14ac:dyDescent="0.25">
      <c r="A965" s="1" t="s">
        <v>24</v>
      </c>
      <c r="B965" s="1" t="s">
        <v>79</v>
      </c>
      <c r="C965" s="1" t="s">
        <v>10</v>
      </c>
      <c r="D965" s="1">
        <v>0</v>
      </c>
      <c r="E965" s="1">
        <v>0</v>
      </c>
      <c r="F965" s="1">
        <v>-491.83</v>
      </c>
      <c r="G965" s="1">
        <v>-7967.6229999999996</v>
      </c>
      <c r="H965" s="1">
        <v>4371.8090000000002</v>
      </c>
      <c r="I965" s="1">
        <v>0</v>
      </c>
    </row>
    <row r="966" spans="1:9" hidden="1" x14ac:dyDescent="0.25">
      <c r="A966" s="1" t="s">
        <v>24</v>
      </c>
      <c r="B966" s="1" t="s">
        <v>80</v>
      </c>
      <c r="C966" s="1" t="s">
        <v>25</v>
      </c>
      <c r="D966" s="1">
        <v>0</v>
      </c>
      <c r="E966" s="1">
        <v>0</v>
      </c>
      <c r="F966" s="1">
        <v>491.83</v>
      </c>
      <c r="G966" s="1">
        <v>9738.2049999999999</v>
      </c>
      <c r="H966" s="1">
        <v>-2404.4949999999999</v>
      </c>
      <c r="I966" s="1">
        <v>0</v>
      </c>
    </row>
    <row r="967" spans="1:9" hidden="1" x14ac:dyDescent="0.25">
      <c r="A967" s="1" t="s">
        <v>24</v>
      </c>
      <c r="B967" s="1" t="s">
        <v>80</v>
      </c>
      <c r="C967" s="1" t="s">
        <v>10</v>
      </c>
      <c r="D967" s="1">
        <v>0</v>
      </c>
      <c r="E967" s="1">
        <v>0</v>
      </c>
      <c r="F967" s="1">
        <v>491.83</v>
      </c>
      <c r="G967" s="1">
        <v>9738.2049999999999</v>
      </c>
      <c r="H967" s="1">
        <v>-4371.8090000000002</v>
      </c>
      <c r="I967" s="1">
        <v>0</v>
      </c>
    </row>
    <row r="968" spans="1:9" hidden="1" x14ac:dyDescent="0.25">
      <c r="A968" s="1" t="s">
        <v>24</v>
      </c>
      <c r="B968" s="1" t="s">
        <v>81</v>
      </c>
      <c r="C968" s="1" t="s">
        <v>25</v>
      </c>
      <c r="D968" s="1">
        <v>0</v>
      </c>
      <c r="E968" s="1">
        <v>0</v>
      </c>
      <c r="F968" s="1">
        <v>491.83</v>
      </c>
      <c r="G968" s="1">
        <v>7967.6229999999996</v>
      </c>
      <c r="H968" s="1">
        <v>-2404.4949999999999</v>
      </c>
      <c r="I968" s="1">
        <v>0</v>
      </c>
    </row>
    <row r="969" spans="1:9" hidden="1" x14ac:dyDescent="0.25">
      <c r="A969" s="1" t="s">
        <v>24</v>
      </c>
      <c r="B969" s="1" t="s">
        <v>81</v>
      </c>
      <c r="C969" s="1" t="s">
        <v>10</v>
      </c>
      <c r="D969" s="1">
        <v>0</v>
      </c>
      <c r="E969" s="1">
        <v>0</v>
      </c>
      <c r="F969" s="1">
        <v>491.83</v>
      </c>
      <c r="G969" s="1">
        <v>7967.6229999999996</v>
      </c>
      <c r="H969" s="1">
        <v>-4371.8090000000002</v>
      </c>
      <c r="I969" s="1">
        <v>0</v>
      </c>
    </row>
    <row r="970" spans="1:9" hidden="1" x14ac:dyDescent="0.25">
      <c r="A970" s="1" t="s">
        <v>24</v>
      </c>
      <c r="B970" s="1" t="s">
        <v>82</v>
      </c>
      <c r="C970" s="1" t="s">
        <v>25</v>
      </c>
      <c r="D970" s="1">
        <v>0</v>
      </c>
      <c r="E970" s="1">
        <v>-122.07</v>
      </c>
      <c r="F970" s="1">
        <v>0</v>
      </c>
      <c r="G970" s="1">
        <v>2014.096</v>
      </c>
      <c r="H970" s="1">
        <v>0</v>
      </c>
      <c r="I970" s="1">
        <v>-596.76900000000001</v>
      </c>
    </row>
    <row r="971" spans="1:9" hidden="1" x14ac:dyDescent="0.25">
      <c r="A971" s="1" t="s">
        <v>24</v>
      </c>
      <c r="B971" s="1" t="s">
        <v>82</v>
      </c>
      <c r="C971" s="1" t="s">
        <v>10</v>
      </c>
      <c r="D971" s="1">
        <v>0</v>
      </c>
      <c r="E971" s="1">
        <v>-122.07</v>
      </c>
      <c r="F971" s="1">
        <v>0</v>
      </c>
      <c r="G971" s="1">
        <v>2014.096</v>
      </c>
      <c r="H971" s="1">
        <v>0</v>
      </c>
      <c r="I971" s="1">
        <v>-1085.0350000000001</v>
      </c>
    </row>
    <row r="972" spans="1:9" hidden="1" x14ac:dyDescent="0.25">
      <c r="A972" s="1" t="s">
        <v>24</v>
      </c>
      <c r="B972" s="1" t="s">
        <v>83</v>
      </c>
      <c r="C972" s="1" t="s">
        <v>25</v>
      </c>
      <c r="D972" s="1">
        <v>0</v>
      </c>
      <c r="E972" s="1">
        <v>-122.07</v>
      </c>
      <c r="F972" s="1">
        <v>0</v>
      </c>
      <c r="G972" s="1">
        <v>1647.8969999999999</v>
      </c>
      <c r="H972" s="1">
        <v>0</v>
      </c>
      <c r="I972" s="1">
        <v>-596.76900000000001</v>
      </c>
    </row>
    <row r="973" spans="1:9" hidden="1" x14ac:dyDescent="0.25">
      <c r="A973" s="1" t="s">
        <v>24</v>
      </c>
      <c r="B973" s="1" t="s">
        <v>83</v>
      </c>
      <c r="C973" s="1" t="s">
        <v>10</v>
      </c>
      <c r="D973" s="1">
        <v>0</v>
      </c>
      <c r="E973" s="1">
        <v>-122.07</v>
      </c>
      <c r="F973" s="1">
        <v>0</v>
      </c>
      <c r="G973" s="1">
        <v>1647.8969999999999</v>
      </c>
      <c r="H973" s="1">
        <v>0</v>
      </c>
      <c r="I973" s="1">
        <v>-1085.0350000000001</v>
      </c>
    </row>
    <row r="974" spans="1:9" hidden="1" x14ac:dyDescent="0.25">
      <c r="A974" s="1" t="s">
        <v>24</v>
      </c>
      <c r="B974" s="1" t="s">
        <v>84</v>
      </c>
      <c r="C974" s="1" t="s">
        <v>25</v>
      </c>
      <c r="D974" s="1">
        <v>0</v>
      </c>
      <c r="E974" s="1">
        <v>122.07</v>
      </c>
      <c r="F974" s="1">
        <v>0</v>
      </c>
      <c r="G974" s="1">
        <v>-2014.096</v>
      </c>
      <c r="H974" s="1">
        <v>0</v>
      </c>
      <c r="I974" s="1">
        <v>596.76900000000001</v>
      </c>
    </row>
    <row r="975" spans="1:9" hidden="1" x14ac:dyDescent="0.25">
      <c r="A975" s="1" t="s">
        <v>24</v>
      </c>
      <c r="B975" s="1" t="s">
        <v>84</v>
      </c>
      <c r="C975" s="1" t="s">
        <v>10</v>
      </c>
      <c r="D975" s="1">
        <v>0</v>
      </c>
      <c r="E975" s="1">
        <v>122.07</v>
      </c>
      <c r="F975" s="1">
        <v>0</v>
      </c>
      <c r="G975" s="1">
        <v>-2014.096</v>
      </c>
      <c r="H975" s="1">
        <v>0</v>
      </c>
      <c r="I975" s="1">
        <v>1085.0350000000001</v>
      </c>
    </row>
    <row r="976" spans="1:9" hidden="1" x14ac:dyDescent="0.25">
      <c r="A976" s="1" t="s">
        <v>24</v>
      </c>
      <c r="B976" s="1" t="s">
        <v>85</v>
      </c>
      <c r="C976" s="1" t="s">
        <v>25</v>
      </c>
      <c r="D976" s="1">
        <v>0</v>
      </c>
      <c r="E976" s="1">
        <v>122.07</v>
      </c>
      <c r="F976" s="1">
        <v>0</v>
      </c>
      <c r="G976" s="1">
        <v>-1647.8969999999999</v>
      </c>
      <c r="H976" s="1">
        <v>0</v>
      </c>
      <c r="I976" s="1">
        <v>596.76900000000001</v>
      </c>
    </row>
    <row r="977" spans="1:9" hidden="1" x14ac:dyDescent="0.25">
      <c r="A977" s="1" t="s">
        <v>24</v>
      </c>
      <c r="B977" s="1" t="s">
        <v>85</v>
      </c>
      <c r="C977" s="1" t="s">
        <v>10</v>
      </c>
      <c r="D977" s="1">
        <v>0</v>
      </c>
      <c r="E977" s="1">
        <v>122.07</v>
      </c>
      <c r="F977" s="1">
        <v>0</v>
      </c>
      <c r="G977" s="1">
        <v>-1647.8969999999999</v>
      </c>
      <c r="H977" s="1">
        <v>0</v>
      </c>
      <c r="I977" s="1">
        <v>1085.0350000000001</v>
      </c>
    </row>
    <row r="978" spans="1:9" hidden="1" x14ac:dyDescent="0.25">
      <c r="A978" s="1" t="s">
        <v>24</v>
      </c>
      <c r="B978" s="1" t="s">
        <v>86</v>
      </c>
      <c r="C978" s="1" t="s">
        <v>25</v>
      </c>
      <c r="D978" s="1">
        <v>0</v>
      </c>
      <c r="E978" s="1">
        <v>0</v>
      </c>
      <c r="F978" s="1">
        <v>-147.55000000000001</v>
      </c>
      <c r="G978" s="1">
        <v>-2921.462</v>
      </c>
      <c r="H978" s="1">
        <v>721.34900000000005</v>
      </c>
      <c r="I978" s="1">
        <v>0</v>
      </c>
    </row>
    <row r="979" spans="1:9" hidden="1" x14ac:dyDescent="0.25">
      <c r="A979" s="1" t="s">
        <v>24</v>
      </c>
      <c r="B979" s="1" t="s">
        <v>86</v>
      </c>
      <c r="C979" s="1" t="s">
        <v>10</v>
      </c>
      <c r="D979" s="1">
        <v>0</v>
      </c>
      <c r="E979" s="1">
        <v>0</v>
      </c>
      <c r="F979" s="1">
        <v>-147.55000000000001</v>
      </c>
      <c r="G979" s="1">
        <v>-2921.462</v>
      </c>
      <c r="H979" s="1">
        <v>1311.5429999999999</v>
      </c>
      <c r="I979" s="1">
        <v>0</v>
      </c>
    </row>
    <row r="980" spans="1:9" hidden="1" x14ac:dyDescent="0.25">
      <c r="A980" s="1" t="s">
        <v>24</v>
      </c>
      <c r="B980" s="1" t="s">
        <v>87</v>
      </c>
      <c r="C980" s="1" t="s">
        <v>25</v>
      </c>
      <c r="D980" s="1">
        <v>0</v>
      </c>
      <c r="E980" s="1">
        <v>0</v>
      </c>
      <c r="F980" s="1">
        <v>-147.55000000000001</v>
      </c>
      <c r="G980" s="1">
        <v>-2390.2869999999998</v>
      </c>
      <c r="H980" s="1">
        <v>721.34900000000005</v>
      </c>
      <c r="I980" s="1">
        <v>0</v>
      </c>
    </row>
    <row r="981" spans="1:9" hidden="1" x14ac:dyDescent="0.25">
      <c r="A981" s="1" t="s">
        <v>24</v>
      </c>
      <c r="B981" s="1" t="s">
        <v>87</v>
      </c>
      <c r="C981" s="1" t="s">
        <v>10</v>
      </c>
      <c r="D981" s="1">
        <v>0</v>
      </c>
      <c r="E981" s="1">
        <v>0</v>
      </c>
      <c r="F981" s="1">
        <v>-147.55000000000001</v>
      </c>
      <c r="G981" s="1">
        <v>-2390.2869999999998</v>
      </c>
      <c r="H981" s="1">
        <v>1311.5429999999999</v>
      </c>
      <c r="I981" s="1">
        <v>0</v>
      </c>
    </row>
    <row r="982" spans="1:9" hidden="1" x14ac:dyDescent="0.25">
      <c r="A982" s="1" t="s">
        <v>24</v>
      </c>
      <c r="B982" s="1" t="s">
        <v>88</v>
      </c>
      <c r="C982" s="1" t="s">
        <v>25</v>
      </c>
      <c r="D982" s="1">
        <v>0</v>
      </c>
      <c r="E982" s="1">
        <v>0</v>
      </c>
      <c r="F982" s="1">
        <v>147.55000000000001</v>
      </c>
      <c r="G982" s="1">
        <v>2921.462</v>
      </c>
      <c r="H982" s="1">
        <v>-721.34900000000005</v>
      </c>
      <c r="I982" s="1">
        <v>0</v>
      </c>
    </row>
    <row r="983" spans="1:9" hidden="1" x14ac:dyDescent="0.25">
      <c r="A983" s="1" t="s">
        <v>24</v>
      </c>
      <c r="B983" s="1" t="s">
        <v>88</v>
      </c>
      <c r="C983" s="1" t="s">
        <v>10</v>
      </c>
      <c r="D983" s="1">
        <v>0</v>
      </c>
      <c r="E983" s="1">
        <v>0</v>
      </c>
      <c r="F983" s="1">
        <v>147.55000000000001</v>
      </c>
      <c r="G983" s="1">
        <v>2921.462</v>
      </c>
      <c r="H983" s="1">
        <v>-1311.5429999999999</v>
      </c>
      <c r="I983" s="1">
        <v>0</v>
      </c>
    </row>
    <row r="984" spans="1:9" hidden="1" x14ac:dyDescent="0.25">
      <c r="A984" s="1" t="s">
        <v>24</v>
      </c>
      <c r="B984" s="1" t="s">
        <v>89</v>
      </c>
      <c r="C984" s="1" t="s">
        <v>25</v>
      </c>
      <c r="D984" s="1">
        <v>0</v>
      </c>
      <c r="E984" s="1">
        <v>0</v>
      </c>
      <c r="F984" s="1">
        <v>147.55000000000001</v>
      </c>
      <c r="G984" s="1">
        <v>2390.2869999999998</v>
      </c>
      <c r="H984" s="1">
        <v>-721.34900000000005</v>
      </c>
      <c r="I984" s="1">
        <v>0</v>
      </c>
    </row>
    <row r="985" spans="1:9" hidden="1" x14ac:dyDescent="0.25">
      <c r="A985" s="1" t="s">
        <v>24</v>
      </c>
      <c r="B985" s="1" t="s">
        <v>89</v>
      </c>
      <c r="C985" s="1" t="s">
        <v>10</v>
      </c>
      <c r="D985" s="1">
        <v>0</v>
      </c>
      <c r="E985" s="1">
        <v>0</v>
      </c>
      <c r="F985" s="1">
        <v>147.55000000000001</v>
      </c>
      <c r="G985" s="1">
        <v>2390.2869999999998</v>
      </c>
      <c r="H985" s="1">
        <v>-1311.5429999999999</v>
      </c>
      <c r="I985" s="1">
        <v>0</v>
      </c>
    </row>
    <row r="986" spans="1:9" hidden="1" x14ac:dyDescent="0.25">
      <c r="A986" s="1" t="s">
        <v>24</v>
      </c>
      <c r="B986" s="1" t="s">
        <v>90</v>
      </c>
      <c r="C986" s="1" t="s">
        <v>25</v>
      </c>
      <c r="D986" s="1">
        <v>0</v>
      </c>
      <c r="E986" s="1">
        <v>-122.07</v>
      </c>
      <c r="F986" s="1">
        <v>0</v>
      </c>
      <c r="G986" s="1">
        <v>2014.096</v>
      </c>
      <c r="H986" s="1">
        <v>0</v>
      </c>
      <c r="I986" s="1">
        <v>-596.76900000000001</v>
      </c>
    </row>
    <row r="987" spans="1:9" hidden="1" x14ac:dyDescent="0.25">
      <c r="A987" s="1" t="s">
        <v>24</v>
      </c>
      <c r="B987" s="1" t="s">
        <v>90</v>
      </c>
      <c r="C987" s="1" t="s">
        <v>10</v>
      </c>
      <c r="D987" s="1">
        <v>0</v>
      </c>
      <c r="E987" s="1">
        <v>-122.07</v>
      </c>
      <c r="F987" s="1">
        <v>0</v>
      </c>
      <c r="G987" s="1">
        <v>2014.096</v>
      </c>
      <c r="H987" s="1">
        <v>0</v>
      </c>
      <c r="I987" s="1">
        <v>-1085.0350000000001</v>
      </c>
    </row>
    <row r="988" spans="1:9" hidden="1" x14ac:dyDescent="0.25">
      <c r="A988" s="1" t="s">
        <v>24</v>
      </c>
      <c r="B988" s="1" t="s">
        <v>91</v>
      </c>
      <c r="C988" s="1" t="s">
        <v>25</v>
      </c>
      <c r="D988" s="1">
        <v>0</v>
      </c>
      <c r="E988" s="1">
        <v>-122.07</v>
      </c>
      <c r="F988" s="1">
        <v>0</v>
      </c>
      <c r="G988" s="1">
        <v>1647.8969999999999</v>
      </c>
      <c r="H988" s="1">
        <v>0</v>
      </c>
      <c r="I988" s="1">
        <v>-596.76900000000001</v>
      </c>
    </row>
    <row r="989" spans="1:9" hidden="1" x14ac:dyDescent="0.25">
      <c r="A989" s="1" t="s">
        <v>24</v>
      </c>
      <c r="B989" s="1" t="s">
        <v>91</v>
      </c>
      <c r="C989" s="1" t="s">
        <v>10</v>
      </c>
      <c r="D989" s="1">
        <v>0</v>
      </c>
      <c r="E989" s="1">
        <v>-122.07</v>
      </c>
      <c r="F989" s="1">
        <v>0</v>
      </c>
      <c r="G989" s="1">
        <v>1647.8969999999999</v>
      </c>
      <c r="H989" s="1">
        <v>0</v>
      </c>
      <c r="I989" s="1">
        <v>-1085.0350000000001</v>
      </c>
    </row>
    <row r="990" spans="1:9" hidden="1" x14ac:dyDescent="0.25">
      <c r="A990" s="1" t="s">
        <v>24</v>
      </c>
      <c r="B990" s="1" t="s">
        <v>92</v>
      </c>
      <c r="C990" s="1" t="s">
        <v>25</v>
      </c>
      <c r="D990" s="1">
        <v>0</v>
      </c>
      <c r="E990" s="1">
        <v>122.07</v>
      </c>
      <c r="F990" s="1">
        <v>0</v>
      </c>
      <c r="G990" s="1">
        <v>-2014.096</v>
      </c>
      <c r="H990" s="1">
        <v>0</v>
      </c>
      <c r="I990" s="1">
        <v>596.76900000000001</v>
      </c>
    </row>
    <row r="991" spans="1:9" hidden="1" x14ac:dyDescent="0.25">
      <c r="A991" s="1" t="s">
        <v>24</v>
      </c>
      <c r="B991" s="1" t="s">
        <v>92</v>
      </c>
      <c r="C991" s="1" t="s">
        <v>10</v>
      </c>
      <c r="D991" s="1">
        <v>0</v>
      </c>
      <c r="E991" s="1">
        <v>122.07</v>
      </c>
      <c r="F991" s="1">
        <v>0</v>
      </c>
      <c r="G991" s="1">
        <v>-2014.096</v>
      </c>
      <c r="H991" s="1">
        <v>0</v>
      </c>
      <c r="I991" s="1">
        <v>1085.0350000000001</v>
      </c>
    </row>
    <row r="992" spans="1:9" hidden="1" x14ac:dyDescent="0.25">
      <c r="A992" s="1" t="s">
        <v>24</v>
      </c>
      <c r="B992" s="1" t="s">
        <v>93</v>
      </c>
      <c r="C992" s="1" t="s">
        <v>25</v>
      </c>
      <c r="D992" s="1">
        <v>0</v>
      </c>
      <c r="E992" s="1">
        <v>122.07</v>
      </c>
      <c r="F992" s="1">
        <v>0</v>
      </c>
      <c r="G992" s="1">
        <v>-1647.8969999999999</v>
      </c>
      <c r="H992" s="1">
        <v>0</v>
      </c>
      <c r="I992" s="1">
        <v>596.76900000000001</v>
      </c>
    </row>
    <row r="993" spans="1:9" hidden="1" x14ac:dyDescent="0.25">
      <c r="A993" s="1" t="s">
        <v>24</v>
      </c>
      <c r="B993" s="1" t="s">
        <v>93</v>
      </c>
      <c r="C993" s="1" t="s">
        <v>10</v>
      </c>
      <c r="D993" s="1">
        <v>0</v>
      </c>
      <c r="E993" s="1">
        <v>122.07</v>
      </c>
      <c r="F993" s="1">
        <v>0</v>
      </c>
      <c r="G993" s="1">
        <v>-1647.8969999999999</v>
      </c>
      <c r="H993" s="1">
        <v>0</v>
      </c>
      <c r="I993" s="1">
        <v>1085.0350000000001</v>
      </c>
    </row>
    <row r="994" spans="1:9" hidden="1" x14ac:dyDescent="0.25">
      <c r="A994" s="1" t="s">
        <v>24</v>
      </c>
      <c r="B994" s="1" t="s">
        <v>94</v>
      </c>
      <c r="C994" s="1" t="s">
        <v>25</v>
      </c>
      <c r="D994" s="1">
        <v>0</v>
      </c>
      <c r="E994" s="1">
        <v>0</v>
      </c>
      <c r="F994" s="1">
        <v>-147.55000000000001</v>
      </c>
      <c r="G994" s="1">
        <v>-2921.462</v>
      </c>
      <c r="H994" s="1">
        <v>721.34900000000005</v>
      </c>
      <c r="I994" s="1">
        <v>0</v>
      </c>
    </row>
    <row r="995" spans="1:9" hidden="1" x14ac:dyDescent="0.25">
      <c r="A995" s="1" t="s">
        <v>24</v>
      </c>
      <c r="B995" s="1" t="s">
        <v>94</v>
      </c>
      <c r="C995" s="1" t="s">
        <v>10</v>
      </c>
      <c r="D995" s="1">
        <v>0</v>
      </c>
      <c r="E995" s="1">
        <v>0</v>
      </c>
      <c r="F995" s="1">
        <v>-147.55000000000001</v>
      </c>
      <c r="G995" s="1">
        <v>-2921.462</v>
      </c>
      <c r="H995" s="1">
        <v>1311.5429999999999</v>
      </c>
      <c r="I995" s="1">
        <v>0</v>
      </c>
    </row>
    <row r="996" spans="1:9" hidden="1" x14ac:dyDescent="0.25">
      <c r="A996" s="1" t="s">
        <v>24</v>
      </c>
      <c r="B996" s="1" t="s">
        <v>95</v>
      </c>
      <c r="C996" s="1" t="s">
        <v>25</v>
      </c>
      <c r="D996" s="1">
        <v>0</v>
      </c>
      <c r="E996" s="1">
        <v>0</v>
      </c>
      <c r="F996" s="1">
        <v>-147.55000000000001</v>
      </c>
      <c r="G996" s="1">
        <v>-2390.2869999999998</v>
      </c>
      <c r="H996" s="1">
        <v>721.34900000000005</v>
      </c>
      <c r="I996" s="1">
        <v>0</v>
      </c>
    </row>
    <row r="997" spans="1:9" hidden="1" x14ac:dyDescent="0.25">
      <c r="A997" s="1" t="s">
        <v>24</v>
      </c>
      <c r="B997" s="1" t="s">
        <v>95</v>
      </c>
      <c r="C997" s="1" t="s">
        <v>10</v>
      </c>
      <c r="D997" s="1">
        <v>0</v>
      </c>
      <c r="E997" s="1">
        <v>0</v>
      </c>
      <c r="F997" s="1">
        <v>-147.55000000000001</v>
      </c>
      <c r="G997" s="1">
        <v>-2390.2869999999998</v>
      </c>
      <c r="H997" s="1">
        <v>1311.5429999999999</v>
      </c>
      <c r="I997" s="1">
        <v>0</v>
      </c>
    </row>
    <row r="998" spans="1:9" hidden="1" x14ac:dyDescent="0.25">
      <c r="A998" s="1" t="s">
        <v>24</v>
      </c>
      <c r="B998" s="1" t="s">
        <v>96</v>
      </c>
      <c r="C998" s="1" t="s">
        <v>25</v>
      </c>
      <c r="D998" s="1">
        <v>0</v>
      </c>
      <c r="E998" s="1">
        <v>0</v>
      </c>
      <c r="F998" s="1">
        <v>147.55000000000001</v>
      </c>
      <c r="G998" s="1">
        <v>2921.462</v>
      </c>
      <c r="H998" s="1">
        <v>-721.34900000000005</v>
      </c>
      <c r="I998" s="1">
        <v>0</v>
      </c>
    </row>
    <row r="999" spans="1:9" hidden="1" x14ac:dyDescent="0.25">
      <c r="A999" s="1" t="s">
        <v>24</v>
      </c>
      <c r="B999" s="1" t="s">
        <v>96</v>
      </c>
      <c r="C999" s="1" t="s">
        <v>10</v>
      </c>
      <c r="D999" s="1">
        <v>0</v>
      </c>
      <c r="E999" s="1">
        <v>0</v>
      </c>
      <c r="F999" s="1">
        <v>147.55000000000001</v>
      </c>
      <c r="G999" s="1">
        <v>2921.462</v>
      </c>
      <c r="H999" s="1">
        <v>-1311.5429999999999</v>
      </c>
      <c r="I999" s="1">
        <v>0</v>
      </c>
    </row>
    <row r="1000" spans="1:9" hidden="1" x14ac:dyDescent="0.25">
      <c r="A1000" s="1" t="s">
        <v>24</v>
      </c>
      <c r="B1000" s="1" t="s">
        <v>97</v>
      </c>
      <c r="C1000" s="1" t="s">
        <v>25</v>
      </c>
      <c r="D1000" s="1">
        <v>0</v>
      </c>
      <c r="E1000" s="1">
        <v>0</v>
      </c>
      <c r="F1000" s="1">
        <v>147.55000000000001</v>
      </c>
      <c r="G1000" s="1">
        <v>2390.2869999999998</v>
      </c>
      <c r="H1000" s="1">
        <v>-721.34900000000005</v>
      </c>
      <c r="I1000" s="1">
        <v>0</v>
      </c>
    </row>
    <row r="1001" spans="1:9" hidden="1" x14ac:dyDescent="0.25">
      <c r="A1001" s="1" t="s">
        <v>24</v>
      </c>
      <c r="B1001" s="1" t="s">
        <v>97</v>
      </c>
      <c r="C1001" s="1" t="s">
        <v>10</v>
      </c>
      <c r="D1001" s="1">
        <v>0</v>
      </c>
      <c r="E1001" s="1">
        <v>0</v>
      </c>
      <c r="F1001" s="1">
        <v>147.55000000000001</v>
      </c>
      <c r="G1001" s="1">
        <v>2390.2869999999998</v>
      </c>
      <c r="H1001" s="1">
        <v>-1311.5429999999999</v>
      </c>
      <c r="I1001" s="1">
        <v>0</v>
      </c>
    </row>
    <row r="1002" spans="1:9" hidden="1" x14ac:dyDescent="0.25">
      <c r="A1002" s="1" t="s">
        <v>24</v>
      </c>
      <c r="B1002" s="1" t="s">
        <v>14</v>
      </c>
      <c r="C1002" s="1" t="s">
        <v>25</v>
      </c>
      <c r="D1002" s="1">
        <v>0</v>
      </c>
      <c r="E1002" s="1">
        <v>239.45</v>
      </c>
      <c r="F1002" s="1">
        <v>0</v>
      </c>
      <c r="G1002" s="1">
        <v>4137.8370000000004</v>
      </c>
      <c r="H1002" s="1">
        <v>0</v>
      </c>
      <c r="I1002" s="1">
        <v>1271.7080000000001</v>
      </c>
    </row>
    <row r="1003" spans="1:9" hidden="1" x14ac:dyDescent="0.25">
      <c r="A1003" s="1" t="s">
        <v>24</v>
      </c>
      <c r="B1003" s="1" t="s">
        <v>14</v>
      </c>
      <c r="C1003" s="1" t="s">
        <v>10</v>
      </c>
      <c r="D1003" s="1">
        <v>0</v>
      </c>
      <c r="E1003" s="1">
        <v>239.45</v>
      </c>
      <c r="F1003" s="1">
        <v>0</v>
      </c>
      <c r="G1003" s="1">
        <v>4137.8370000000004</v>
      </c>
      <c r="H1003" s="1">
        <v>0</v>
      </c>
      <c r="I1003" s="1">
        <v>2110.34</v>
      </c>
    </row>
    <row r="1004" spans="1:9" hidden="1" x14ac:dyDescent="0.25">
      <c r="A1004" s="1" t="s">
        <v>24</v>
      </c>
      <c r="B1004" s="1" t="s">
        <v>98</v>
      </c>
      <c r="C1004" s="1" t="s">
        <v>25</v>
      </c>
      <c r="D1004" s="1">
        <v>0</v>
      </c>
      <c r="E1004" s="1">
        <v>-239.45</v>
      </c>
      <c r="F1004" s="1">
        <v>0</v>
      </c>
      <c r="G1004" s="1">
        <v>-4137.8370000000004</v>
      </c>
      <c r="H1004" s="1">
        <v>0</v>
      </c>
      <c r="I1004" s="1">
        <v>-1271.7080000000001</v>
      </c>
    </row>
    <row r="1005" spans="1:9" hidden="1" x14ac:dyDescent="0.25">
      <c r="A1005" s="1" t="s">
        <v>24</v>
      </c>
      <c r="B1005" s="1" t="s">
        <v>98</v>
      </c>
      <c r="C1005" s="1" t="s">
        <v>10</v>
      </c>
      <c r="D1005" s="1">
        <v>0</v>
      </c>
      <c r="E1005" s="1">
        <v>-239.45</v>
      </c>
      <c r="F1005" s="1">
        <v>0</v>
      </c>
      <c r="G1005" s="1">
        <v>-4137.8370000000004</v>
      </c>
      <c r="H1005" s="1">
        <v>0</v>
      </c>
      <c r="I1005" s="1">
        <v>-2110.34</v>
      </c>
    </row>
    <row r="1006" spans="1:9" hidden="1" x14ac:dyDescent="0.25">
      <c r="A1006" s="1" t="s">
        <v>24</v>
      </c>
      <c r="B1006" s="1" t="s">
        <v>15</v>
      </c>
      <c r="C1006" s="1" t="s">
        <v>25</v>
      </c>
      <c r="D1006" s="1">
        <v>0</v>
      </c>
      <c r="E1006" s="1">
        <v>0</v>
      </c>
      <c r="F1006" s="1">
        <v>604.76</v>
      </c>
      <c r="G1006" s="1">
        <v>12115.743</v>
      </c>
      <c r="H1006" s="1">
        <v>3071.299</v>
      </c>
      <c r="I1006" s="1">
        <v>0</v>
      </c>
    </row>
    <row r="1007" spans="1:9" hidden="1" x14ac:dyDescent="0.25">
      <c r="A1007" s="1" t="s">
        <v>24</v>
      </c>
      <c r="B1007" s="1" t="s">
        <v>15</v>
      </c>
      <c r="C1007" s="1" t="s">
        <v>10</v>
      </c>
      <c r="D1007" s="1">
        <v>0</v>
      </c>
      <c r="E1007" s="1">
        <v>0</v>
      </c>
      <c r="F1007" s="1">
        <v>604.76</v>
      </c>
      <c r="G1007" s="1">
        <v>12115.743</v>
      </c>
      <c r="H1007" s="1">
        <v>5424.0720000000001</v>
      </c>
      <c r="I1007" s="1">
        <v>0</v>
      </c>
    </row>
    <row r="1008" spans="1:9" hidden="1" x14ac:dyDescent="0.25">
      <c r="A1008" s="1" t="s">
        <v>24</v>
      </c>
      <c r="B1008" s="1" t="s">
        <v>99</v>
      </c>
      <c r="C1008" s="1" t="s">
        <v>25</v>
      </c>
      <c r="D1008" s="1">
        <v>0</v>
      </c>
      <c r="E1008" s="1">
        <v>0</v>
      </c>
      <c r="F1008" s="1">
        <v>-604.76</v>
      </c>
      <c r="G1008" s="1">
        <v>-12115.743</v>
      </c>
      <c r="H1008" s="1">
        <v>-3071.299</v>
      </c>
      <c r="I1008" s="1">
        <v>0</v>
      </c>
    </row>
    <row r="1009" spans="1:9" hidden="1" x14ac:dyDescent="0.25">
      <c r="A1009" s="1" t="s">
        <v>24</v>
      </c>
      <c r="B1009" s="1" t="s">
        <v>99</v>
      </c>
      <c r="C1009" s="1" t="s">
        <v>10</v>
      </c>
      <c r="D1009" s="1">
        <v>0</v>
      </c>
      <c r="E1009" s="1">
        <v>0</v>
      </c>
      <c r="F1009" s="1">
        <v>-604.76</v>
      </c>
      <c r="G1009" s="1">
        <v>-12115.743</v>
      </c>
      <c r="H1009" s="1">
        <v>-5424.0720000000001</v>
      </c>
      <c r="I1009" s="1">
        <v>0</v>
      </c>
    </row>
    <row r="1010" spans="1:9" hidden="1" x14ac:dyDescent="0.25">
      <c r="A1010" s="1" t="s">
        <v>24</v>
      </c>
      <c r="B1010" s="1" t="s">
        <v>100</v>
      </c>
      <c r="C1010" s="1" t="s">
        <v>25</v>
      </c>
      <c r="D1010" s="1">
        <v>0</v>
      </c>
      <c r="E1010" s="1">
        <v>239.45</v>
      </c>
      <c r="F1010" s="1">
        <v>0</v>
      </c>
      <c r="G1010" s="1">
        <v>4137.8370000000004</v>
      </c>
      <c r="H1010" s="1">
        <v>0</v>
      </c>
      <c r="I1010" s="1">
        <v>1271.7080000000001</v>
      </c>
    </row>
    <row r="1011" spans="1:9" hidden="1" x14ac:dyDescent="0.25">
      <c r="A1011" s="1" t="s">
        <v>24</v>
      </c>
      <c r="B1011" s="1" t="s">
        <v>100</v>
      </c>
      <c r="C1011" s="1" t="s">
        <v>10</v>
      </c>
      <c r="D1011" s="1">
        <v>0</v>
      </c>
      <c r="E1011" s="1">
        <v>239.45</v>
      </c>
      <c r="F1011" s="1">
        <v>0</v>
      </c>
      <c r="G1011" s="1">
        <v>4137.8370000000004</v>
      </c>
      <c r="H1011" s="1">
        <v>0</v>
      </c>
      <c r="I1011" s="1">
        <v>2110.34</v>
      </c>
    </row>
    <row r="1012" spans="1:9" hidden="1" x14ac:dyDescent="0.25">
      <c r="A1012" s="1" t="s">
        <v>24</v>
      </c>
      <c r="B1012" s="1" t="s">
        <v>101</v>
      </c>
      <c r="C1012" s="1" t="s">
        <v>25</v>
      </c>
      <c r="D1012" s="1">
        <v>0</v>
      </c>
      <c r="E1012" s="1">
        <v>-239.45</v>
      </c>
      <c r="F1012" s="1">
        <v>0</v>
      </c>
      <c r="G1012" s="1">
        <v>-4137.8370000000004</v>
      </c>
      <c r="H1012" s="1">
        <v>0</v>
      </c>
      <c r="I1012" s="1">
        <v>-1271.7080000000001</v>
      </c>
    </row>
    <row r="1013" spans="1:9" hidden="1" x14ac:dyDescent="0.25">
      <c r="A1013" s="1" t="s">
        <v>24</v>
      </c>
      <c r="B1013" s="1" t="s">
        <v>101</v>
      </c>
      <c r="C1013" s="1" t="s">
        <v>10</v>
      </c>
      <c r="D1013" s="1">
        <v>0</v>
      </c>
      <c r="E1013" s="1">
        <v>-239.45</v>
      </c>
      <c r="F1013" s="1">
        <v>0</v>
      </c>
      <c r="G1013" s="1">
        <v>-4137.8370000000004</v>
      </c>
      <c r="H1013" s="1">
        <v>0</v>
      </c>
      <c r="I1013" s="1">
        <v>-2110.34</v>
      </c>
    </row>
    <row r="1014" spans="1:9" hidden="1" x14ac:dyDescent="0.25">
      <c r="A1014" s="1" t="s">
        <v>24</v>
      </c>
      <c r="B1014" s="1" t="s">
        <v>102</v>
      </c>
      <c r="C1014" s="1" t="s">
        <v>25</v>
      </c>
      <c r="D1014" s="1">
        <v>0</v>
      </c>
      <c r="E1014" s="1">
        <v>239.45</v>
      </c>
      <c r="F1014" s="1">
        <v>0</v>
      </c>
      <c r="G1014" s="1">
        <v>4137.8370000000004</v>
      </c>
      <c r="H1014" s="1">
        <v>0</v>
      </c>
      <c r="I1014" s="1">
        <v>1271.7080000000001</v>
      </c>
    </row>
    <row r="1015" spans="1:9" hidden="1" x14ac:dyDescent="0.25">
      <c r="A1015" s="1" t="s">
        <v>24</v>
      </c>
      <c r="B1015" s="1" t="s">
        <v>102</v>
      </c>
      <c r="C1015" s="1" t="s">
        <v>10</v>
      </c>
      <c r="D1015" s="1">
        <v>0</v>
      </c>
      <c r="E1015" s="1">
        <v>239.45</v>
      </c>
      <c r="F1015" s="1">
        <v>0</v>
      </c>
      <c r="G1015" s="1">
        <v>4137.8370000000004</v>
      </c>
      <c r="H1015" s="1">
        <v>0</v>
      </c>
      <c r="I1015" s="1">
        <v>2110.34</v>
      </c>
    </row>
    <row r="1016" spans="1:9" hidden="1" x14ac:dyDescent="0.25">
      <c r="A1016" s="1" t="s">
        <v>24</v>
      </c>
      <c r="B1016" s="1" t="s">
        <v>103</v>
      </c>
      <c r="C1016" s="1" t="s">
        <v>25</v>
      </c>
      <c r="D1016" s="1">
        <v>0</v>
      </c>
      <c r="E1016" s="1">
        <v>-239.45</v>
      </c>
      <c r="F1016" s="1">
        <v>0</v>
      </c>
      <c r="G1016" s="1">
        <v>-4137.8370000000004</v>
      </c>
      <c r="H1016" s="1">
        <v>0</v>
      </c>
      <c r="I1016" s="1">
        <v>-1271.7080000000001</v>
      </c>
    </row>
    <row r="1017" spans="1:9" hidden="1" x14ac:dyDescent="0.25">
      <c r="A1017" s="1" t="s">
        <v>24</v>
      </c>
      <c r="B1017" s="1" t="s">
        <v>103</v>
      </c>
      <c r="C1017" s="1" t="s">
        <v>10</v>
      </c>
      <c r="D1017" s="1">
        <v>0</v>
      </c>
      <c r="E1017" s="1">
        <v>-239.45</v>
      </c>
      <c r="F1017" s="1">
        <v>0</v>
      </c>
      <c r="G1017" s="1">
        <v>-4137.8370000000004</v>
      </c>
      <c r="H1017" s="1">
        <v>0</v>
      </c>
      <c r="I1017" s="1">
        <v>-2110.34</v>
      </c>
    </row>
    <row r="1018" spans="1:9" hidden="1" x14ac:dyDescent="0.25">
      <c r="A1018" s="1" t="s">
        <v>24</v>
      </c>
      <c r="B1018" s="1" t="s">
        <v>104</v>
      </c>
      <c r="C1018" s="1" t="s">
        <v>25</v>
      </c>
      <c r="D1018" s="1">
        <v>0</v>
      </c>
      <c r="E1018" s="1">
        <v>0</v>
      </c>
      <c r="F1018" s="1">
        <v>604.76</v>
      </c>
      <c r="G1018" s="1">
        <v>12115.743</v>
      </c>
      <c r="H1018" s="1">
        <v>3071.299</v>
      </c>
      <c r="I1018" s="1">
        <v>0</v>
      </c>
    </row>
    <row r="1019" spans="1:9" hidden="1" x14ac:dyDescent="0.25">
      <c r="A1019" s="1" t="s">
        <v>24</v>
      </c>
      <c r="B1019" s="1" t="s">
        <v>104</v>
      </c>
      <c r="C1019" s="1" t="s">
        <v>10</v>
      </c>
      <c r="D1019" s="1">
        <v>0</v>
      </c>
      <c r="E1019" s="1">
        <v>0</v>
      </c>
      <c r="F1019" s="1">
        <v>604.76</v>
      </c>
      <c r="G1019" s="1">
        <v>12115.743</v>
      </c>
      <c r="H1019" s="1">
        <v>5424.0720000000001</v>
      </c>
      <c r="I1019" s="1">
        <v>0</v>
      </c>
    </row>
    <row r="1020" spans="1:9" hidden="1" x14ac:dyDescent="0.25">
      <c r="A1020" s="1" t="s">
        <v>24</v>
      </c>
      <c r="B1020" s="1" t="s">
        <v>105</v>
      </c>
      <c r="C1020" s="1" t="s">
        <v>25</v>
      </c>
      <c r="D1020" s="1">
        <v>0</v>
      </c>
      <c r="E1020" s="1">
        <v>0</v>
      </c>
      <c r="F1020" s="1">
        <v>-604.76</v>
      </c>
      <c r="G1020" s="1">
        <v>-12115.743</v>
      </c>
      <c r="H1020" s="1">
        <v>-3071.299</v>
      </c>
      <c r="I1020" s="1">
        <v>0</v>
      </c>
    </row>
    <row r="1021" spans="1:9" hidden="1" x14ac:dyDescent="0.25">
      <c r="A1021" s="1" t="s">
        <v>24</v>
      </c>
      <c r="B1021" s="1" t="s">
        <v>105</v>
      </c>
      <c r="C1021" s="1" t="s">
        <v>10</v>
      </c>
      <c r="D1021" s="1">
        <v>0</v>
      </c>
      <c r="E1021" s="1">
        <v>0</v>
      </c>
      <c r="F1021" s="1">
        <v>-604.76</v>
      </c>
      <c r="G1021" s="1">
        <v>-12115.743</v>
      </c>
      <c r="H1021" s="1">
        <v>-5424.0720000000001</v>
      </c>
      <c r="I1021" s="1">
        <v>0</v>
      </c>
    </row>
    <row r="1022" spans="1:9" hidden="1" x14ac:dyDescent="0.25">
      <c r="A1022" s="1" t="s">
        <v>24</v>
      </c>
      <c r="B1022" s="1" t="s">
        <v>106</v>
      </c>
      <c r="C1022" s="1" t="s">
        <v>25</v>
      </c>
      <c r="D1022" s="1">
        <v>0</v>
      </c>
      <c r="E1022" s="1">
        <v>0</v>
      </c>
      <c r="F1022" s="1">
        <v>604.76</v>
      </c>
      <c r="G1022" s="1">
        <v>12115.743</v>
      </c>
      <c r="H1022" s="1">
        <v>3071.299</v>
      </c>
      <c r="I1022" s="1">
        <v>0</v>
      </c>
    </row>
    <row r="1023" spans="1:9" hidden="1" x14ac:dyDescent="0.25">
      <c r="A1023" s="1" t="s">
        <v>24</v>
      </c>
      <c r="B1023" s="1" t="s">
        <v>106</v>
      </c>
      <c r="C1023" s="1" t="s">
        <v>10</v>
      </c>
      <c r="D1023" s="1">
        <v>0</v>
      </c>
      <c r="E1023" s="1">
        <v>0</v>
      </c>
      <c r="F1023" s="1">
        <v>604.76</v>
      </c>
      <c r="G1023" s="1">
        <v>12115.743</v>
      </c>
      <c r="H1023" s="1">
        <v>5424.0720000000001</v>
      </c>
      <c r="I1023" s="1">
        <v>0</v>
      </c>
    </row>
    <row r="1024" spans="1:9" hidden="1" x14ac:dyDescent="0.25">
      <c r="A1024" s="1" t="s">
        <v>24</v>
      </c>
      <c r="B1024" s="1" t="s">
        <v>107</v>
      </c>
      <c r="C1024" s="1" t="s">
        <v>25</v>
      </c>
      <c r="D1024" s="1">
        <v>0</v>
      </c>
      <c r="E1024" s="1">
        <v>0</v>
      </c>
      <c r="F1024" s="1">
        <v>-604.76</v>
      </c>
      <c r="G1024" s="1">
        <v>-12115.743</v>
      </c>
      <c r="H1024" s="1">
        <v>-3071.299</v>
      </c>
      <c r="I1024" s="1">
        <v>0</v>
      </c>
    </row>
    <row r="1025" spans="1:9" hidden="1" x14ac:dyDescent="0.25">
      <c r="A1025" s="1" t="s">
        <v>24</v>
      </c>
      <c r="B1025" s="1" t="s">
        <v>107</v>
      </c>
      <c r="C1025" s="1" t="s">
        <v>10</v>
      </c>
      <c r="D1025" s="1">
        <v>0</v>
      </c>
      <c r="E1025" s="1">
        <v>0</v>
      </c>
      <c r="F1025" s="1">
        <v>-604.76</v>
      </c>
      <c r="G1025" s="1">
        <v>-12115.743</v>
      </c>
      <c r="H1025" s="1">
        <v>-5424.0720000000001</v>
      </c>
      <c r="I1025" s="1">
        <v>0</v>
      </c>
    </row>
    <row r="1026" spans="1:9" hidden="1" x14ac:dyDescent="0.25">
      <c r="A1026" s="1" t="s">
        <v>24</v>
      </c>
      <c r="B1026" s="1" t="s">
        <v>108</v>
      </c>
      <c r="C1026" s="1" t="s">
        <v>25</v>
      </c>
      <c r="D1026" s="1">
        <v>0</v>
      </c>
      <c r="E1026" s="1">
        <v>71.84</v>
      </c>
      <c r="F1026" s="1">
        <v>0</v>
      </c>
      <c r="G1026" s="1">
        <v>1241.3510000000001</v>
      </c>
      <c r="H1026" s="1">
        <v>0</v>
      </c>
      <c r="I1026" s="1">
        <v>381.512</v>
      </c>
    </row>
    <row r="1027" spans="1:9" hidden="1" x14ac:dyDescent="0.25">
      <c r="A1027" s="1" t="s">
        <v>24</v>
      </c>
      <c r="B1027" s="1" t="s">
        <v>108</v>
      </c>
      <c r="C1027" s="1" t="s">
        <v>10</v>
      </c>
      <c r="D1027" s="1">
        <v>0</v>
      </c>
      <c r="E1027" s="1">
        <v>71.84</v>
      </c>
      <c r="F1027" s="1">
        <v>0</v>
      </c>
      <c r="G1027" s="1">
        <v>1241.3510000000001</v>
      </c>
      <c r="H1027" s="1">
        <v>0</v>
      </c>
      <c r="I1027" s="1">
        <v>633.10199999999998</v>
      </c>
    </row>
    <row r="1028" spans="1:9" hidden="1" x14ac:dyDescent="0.25">
      <c r="A1028" s="1" t="s">
        <v>24</v>
      </c>
      <c r="B1028" s="1" t="s">
        <v>109</v>
      </c>
      <c r="C1028" s="1" t="s">
        <v>25</v>
      </c>
      <c r="D1028" s="1">
        <v>0</v>
      </c>
      <c r="E1028" s="1">
        <v>-71.84</v>
      </c>
      <c r="F1028" s="1">
        <v>0</v>
      </c>
      <c r="G1028" s="1">
        <v>-1241.3510000000001</v>
      </c>
      <c r="H1028" s="1">
        <v>0</v>
      </c>
      <c r="I1028" s="1">
        <v>-381.512</v>
      </c>
    </row>
    <row r="1029" spans="1:9" hidden="1" x14ac:dyDescent="0.25">
      <c r="A1029" s="1" t="s">
        <v>24</v>
      </c>
      <c r="B1029" s="1" t="s">
        <v>109</v>
      </c>
      <c r="C1029" s="1" t="s">
        <v>10</v>
      </c>
      <c r="D1029" s="1">
        <v>0</v>
      </c>
      <c r="E1029" s="1">
        <v>-71.84</v>
      </c>
      <c r="F1029" s="1">
        <v>0</v>
      </c>
      <c r="G1029" s="1">
        <v>-1241.3510000000001</v>
      </c>
      <c r="H1029" s="1">
        <v>0</v>
      </c>
      <c r="I1029" s="1">
        <v>-633.10199999999998</v>
      </c>
    </row>
    <row r="1030" spans="1:9" hidden="1" x14ac:dyDescent="0.25">
      <c r="A1030" s="1" t="s">
        <v>24</v>
      </c>
      <c r="B1030" s="1" t="s">
        <v>110</v>
      </c>
      <c r="C1030" s="1" t="s">
        <v>25</v>
      </c>
      <c r="D1030" s="1">
        <v>0</v>
      </c>
      <c r="E1030" s="1">
        <v>71.84</v>
      </c>
      <c r="F1030" s="1">
        <v>0</v>
      </c>
      <c r="G1030" s="1">
        <v>1241.3510000000001</v>
      </c>
      <c r="H1030" s="1">
        <v>0</v>
      </c>
      <c r="I1030" s="1">
        <v>381.512</v>
      </c>
    </row>
    <row r="1031" spans="1:9" hidden="1" x14ac:dyDescent="0.25">
      <c r="A1031" s="1" t="s">
        <v>24</v>
      </c>
      <c r="B1031" s="1" t="s">
        <v>110</v>
      </c>
      <c r="C1031" s="1" t="s">
        <v>10</v>
      </c>
      <c r="D1031" s="1">
        <v>0</v>
      </c>
      <c r="E1031" s="1">
        <v>71.84</v>
      </c>
      <c r="F1031" s="1">
        <v>0</v>
      </c>
      <c r="G1031" s="1">
        <v>1241.3510000000001</v>
      </c>
      <c r="H1031" s="1">
        <v>0</v>
      </c>
      <c r="I1031" s="1">
        <v>633.10199999999998</v>
      </c>
    </row>
    <row r="1032" spans="1:9" hidden="1" x14ac:dyDescent="0.25">
      <c r="A1032" s="1" t="s">
        <v>24</v>
      </c>
      <c r="B1032" s="1" t="s">
        <v>111</v>
      </c>
      <c r="C1032" s="1" t="s">
        <v>25</v>
      </c>
      <c r="D1032" s="1">
        <v>0</v>
      </c>
      <c r="E1032" s="1">
        <v>-71.84</v>
      </c>
      <c r="F1032" s="1">
        <v>0</v>
      </c>
      <c r="G1032" s="1">
        <v>-1241.3510000000001</v>
      </c>
      <c r="H1032" s="1">
        <v>0</v>
      </c>
      <c r="I1032" s="1">
        <v>-381.512</v>
      </c>
    </row>
    <row r="1033" spans="1:9" hidden="1" x14ac:dyDescent="0.25">
      <c r="A1033" s="1" t="s">
        <v>24</v>
      </c>
      <c r="B1033" s="1" t="s">
        <v>111</v>
      </c>
      <c r="C1033" s="1" t="s">
        <v>10</v>
      </c>
      <c r="D1033" s="1">
        <v>0</v>
      </c>
      <c r="E1033" s="1">
        <v>-71.84</v>
      </c>
      <c r="F1033" s="1">
        <v>0</v>
      </c>
      <c r="G1033" s="1">
        <v>-1241.3510000000001</v>
      </c>
      <c r="H1033" s="1">
        <v>0</v>
      </c>
      <c r="I1033" s="1">
        <v>-633.10199999999998</v>
      </c>
    </row>
    <row r="1034" spans="1:9" hidden="1" x14ac:dyDescent="0.25">
      <c r="A1034" s="1" t="s">
        <v>24</v>
      </c>
      <c r="B1034" s="1" t="s">
        <v>112</v>
      </c>
      <c r="C1034" s="1" t="s">
        <v>25</v>
      </c>
      <c r="D1034" s="1">
        <v>0</v>
      </c>
      <c r="E1034" s="1">
        <v>0</v>
      </c>
      <c r="F1034" s="1">
        <v>181.43</v>
      </c>
      <c r="G1034" s="1">
        <v>3634.723</v>
      </c>
      <c r="H1034" s="1">
        <v>921.39</v>
      </c>
      <c r="I1034" s="1">
        <v>0</v>
      </c>
    </row>
    <row r="1035" spans="1:9" hidden="1" x14ac:dyDescent="0.25">
      <c r="A1035" s="1" t="s">
        <v>24</v>
      </c>
      <c r="B1035" s="1" t="s">
        <v>112</v>
      </c>
      <c r="C1035" s="1" t="s">
        <v>10</v>
      </c>
      <c r="D1035" s="1">
        <v>0</v>
      </c>
      <c r="E1035" s="1">
        <v>0</v>
      </c>
      <c r="F1035" s="1">
        <v>181.43</v>
      </c>
      <c r="G1035" s="1">
        <v>3634.723</v>
      </c>
      <c r="H1035" s="1">
        <v>1627.222</v>
      </c>
      <c r="I1035" s="1">
        <v>0</v>
      </c>
    </row>
    <row r="1036" spans="1:9" hidden="1" x14ac:dyDescent="0.25">
      <c r="A1036" s="1" t="s">
        <v>24</v>
      </c>
      <c r="B1036" s="1" t="s">
        <v>113</v>
      </c>
      <c r="C1036" s="1" t="s">
        <v>25</v>
      </c>
      <c r="D1036" s="1">
        <v>0</v>
      </c>
      <c r="E1036" s="1">
        <v>0</v>
      </c>
      <c r="F1036" s="1">
        <v>-181.43</v>
      </c>
      <c r="G1036" s="1">
        <v>-3634.723</v>
      </c>
      <c r="H1036" s="1">
        <v>-921.39</v>
      </c>
      <c r="I1036" s="1">
        <v>0</v>
      </c>
    </row>
    <row r="1037" spans="1:9" hidden="1" x14ac:dyDescent="0.25">
      <c r="A1037" s="1" t="s">
        <v>24</v>
      </c>
      <c r="B1037" s="1" t="s">
        <v>113</v>
      </c>
      <c r="C1037" s="1" t="s">
        <v>10</v>
      </c>
      <c r="D1037" s="1">
        <v>0</v>
      </c>
      <c r="E1037" s="1">
        <v>0</v>
      </c>
      <c r="F1037" s="1">
        <v>-181.43</v>
      </c>
      <c r="G1037" s="1">
        <v>-3634.723</v>
      </c>
      <c r="H1037" s="1">
        <v>-1627.222</v>
      </c>
      <c r="I1037" s="1">
        <v>0</v>
      </c>
    </row>
    <row r="1038" spans="1:9" hidden="1" x14ac:dyDescent="0.25">
      <c r="A1038" s="1" t="s">
        <v>24</v>
      </c>
      <c r="B1038" s="1" t="s">
        <v>114</v>
      </c>
      <c r="C1038" s="1" t="s">
        <v>25</v>
      </c>
      <c r="D1038" s="1">
        <v>0</v>
      </c>
      <c r="E1038" s="1">
        <v>0</v>
      </c>
      <c r="F1038" s="1">
        <v>181.43</v>
      </c>
      <c r="G1038" s="1">
        <v>3634.723</v>
      </c>
      <c r="H1038" s="1">
        <v>921.39</v>
      </c>
      <c r="I1038" s="1">
        <v>0</v>
      </c>
    </row>
    <row r="1039" spans="1:9" hidden="1" x14ac:dyDescent="0.25">
      <c r="A1039" s="1" t="s">
        <v>24</v>
      </c>
      <c r="B1039" s="1" t="s">
        <v>114</v>
      </c>
      <c r="C1039" s="1" t="s">
        <v>10</v>
      </c>
      <c r="D1039" s="1">
        <v>0</v>
      </c>
      <c r="E1039" s="1">
        <v>0</v>
      </c>
      <c r="F1039" s="1">
        <v>181.43</v>
      </c>
      <c r="G1039" s="1">
        <v>3634.723</v>
      </c>
      <c r="H1039" s="1">
        <v>1627.222</v>
      </c>
      <c r="I1039" s="1">
        <v>0</v>
      </c>
    </row>
    <row r="1040" spans="1:9" hidden="1" x14ac:dyDescent="0.25">
      <c r="A1040" s="1" t="s">
        <v>24</v>
      </c>
      <c r="B1040" s="1" t="s">
        <v>115</v>
      </c>
      <c r="C1040" s="1" t="s">
        <v>25</v>
      </c>
      <c r="D1040" s="1">
        <v>0</v>
      </c>
      <c r="E1040" s="1">
        <v>0</v>
      </c>
      <c r="F1040" s="1">
        <v>-181.43</v>
      </c>
      <c r="G1040" s="1">
        <v>-3634.723</v>
      </c>
      <c r="H1040" s="1">
        <v>-921.39</v>
      </c>
      <c r="I1040" s="1">
        <v>0</v>
      </c>
    </row>
    <row r="1041" spans="1:9" hidden="1" x14ac:dyDescent="0.25">
      <c r="A1041" s="1" t="s">
        <v>24</v>
      </c>
      <c r="B1041" s="1" t="s">
        <v>115</v>
      </c>
      <c r="C1041" s="1" t="s">
        <v>10</v>
      </c>
      <c r="D1041" s="1">
        <v>0</v>
      </c>
      <c r="E1041" s="1">
        <v>0</v>
      </c>
      <c r="F1041" s="1">
        <v>-181.43</v>
      </c>
      <c r="G1041" s="1">
        <v>-3634.723</v>
      </c>
      <c r="H1041" s="1">
        <v>-1627.222</v>
      </c>
      <c r="I1041" s="1">
        <v>0</v>
      </c>
    </row>
    <row r="1042" spans="1:9" hidden="1" x14ac:dyDescent="0.25">
      <c r="A1042" s="1" t="s">
        <v>24</v>
      </c>
      <c r="B1042" s="1" t="s">
        <v>116</v>
      </c>
      <c r="C1042" s="1" t="s">
        <v>25</v>
      </c>
      <c r="D1042" s="1">
        <v>0</v>
      </c>
      <c r="E1042" s="1">
        <v>239.45</v>
      </c>
      <c r="F1042" s="1">
        <v>0</v>
      </c>
      <c r="G1042" s="1">
        <v>4137.8370000000004</v>
      </c>
      <c r="H1042" s="1">
        <v>0</v>
      </c>
      <c r="I1042" s="1">
        <v>1271.7080000000001</v>
      </c>
    </row>
    <row r="1043" spans="1:9" hidden="1" x14ac:dyDescent="0.25">
      <c r="A1043" s="1" t="s">
        <v>24</v>
      </c>
      <c r="B1043" s="1" t="s">
        <v>116</v>
      </c>
      <c r="C1043" s="1" t="s">
        <v>10</v>
      </c>
      <c r="D1043" s="1">
        <v>0</v>
      </c>
      <c r="E1043" s="1">
        <v>239.45</v>
      </c>
      <c r="F1043" s="1">
        <v>0</v>
      </c>
      <c r="G1043" s="1">
        <v>4137.8370000000004</v>
      </c>
      <c r="H1043" s="1">
        <v>0</v>
      </c>
      <c r="I1043" s="1">
        <v>2110.34</v>
      </c>
    </row>
    <row r="1044" spans="1:9" hidden="1" x14ac:dyDescent="0.25">
      <c r="A1044" s="1" t="s">
        <v>24</v>
      </c>
      <c r="B1044" s="1" t="s">
        <v>117</v>
      </c>
      <c r="C1044" s="1" t="s">
        <v>25</v>
      </c>
      <c r="D1044" s="1">
        <v>0</v>
      </c>
      <c r="E1044" s="1">
        <v>-239.45</v>
      </c>
      <c r="F1044" s="1">
        <v>0</v>
      </c>
      <c r="G1044" s="1">
        <v>-4137.8370000000004</v>
      </c>
      <c r="H1044" s="1">
        <v>0</v>
      </c>
      <c r="I1044" s="1">
        <v>-1271.7080000000001</v>
      </c>
    </row>
    <row r="1045" spans="1:9" hidden="1" x14ac:dyDescent="0.25">
      <c r="A1045" s="1" t="s">
        <v>24</v>
      </c>
      <c r="B1045" s="1" t="s">
        <v>117</v>
      </c>
      <c r="C1045" s="1" t="s">
        <v>10</v>
      </c>
      <c r="D1045" s="1">
        <v>0</v>
      </c>
      <c r="E1045" s="1">
        <v>-239.45</v>
      </c>
      <c r="F1045" s="1">
        <v>0</v>
      </c>
      <c r="G1045" s="1">
        <v>-4137.8370000000004</v>
      </c>
      <c r="H1045" s="1">
        <v>0</v>
      </c>
      <c r="I1045" s="1">
        <v>-2110.34</v>
      </c>
    </row>
    <row r="1046" spans="1:9" hidden="1" x14ac:dyDescent="0.25">
      <c r="A1046" s="1" t="s">
        <v>24</v>
      </c>
      <c r="B1046" s="1" t="s">
        <v>118</v>
      </c>
      <c r="C1046" s="1" t="s">
        <v>25</v>
      </c>
      <c r="D1046" s="1">
        <v>0</v>
      </c>
      <c r="E1046" s="1">
        <v>239.45</v>
      </c>
      <c r="F1046" s="1">
        <v>0</v>
      </c>
      <c r="G1046" s="1">
        <v>4137.8370000000004</v>
      </c>
      <c r="H1046" s="1">
        <v>0</v>
      </c>
      <c r="I1046" s="1">
        <v>1271.7080000000001</v>
      </c>
    </row>
    <row r="1047" spans="1:9" hidden="1" x14ac:dyDescent="0.25">
      <c r="A1047" s="1" t="s">
        <v>24</v>
      </c>
      <c r="B1047" s="1" t="s">
        <v>118</v>
      </c>
      <c r="C1047" s="1" t="s">
        <v>10</v>
      </c>
      <c r="D1047" s="1">
        <v>0</v>
      </c>
      <c r="E1047" s="1">
        <v>239.45</v>
      </c>
      <c r="F1047" s="1">
        <v>0</v>
      </c>
      <c r="G1047" s="1">
        <v>4137.8370000000004</v>
      </c>
      <c r="H1047" s="1">
        <v>0</v>
      </c>
      <c r="I1047" s="1">
        <v>2110.34</v>
      </c>
    </row>
    <row r="1048" spans="1:9" hidden="1" x14ac:dyDescent="0.25">
      <c r="A1048" s="1" t="s">
        <v>24</v>
      </c>
      <c r="B1048" s="1" t="s">
        <v>119</v>
      </c>
      <c r="C1048" s="1" t="s">
        <v>25</v>
      </c>
      <c r="D1048" s="1">
        <v>0</v>
      </c>
      <c r="E1048" s="1">
        <v>-239.45</v>
      </c>
      <c r="F1048" s="1">
        <v>0</v>
      </c>
      <c r="G1048" s="1">
        <v>-4137.8370000000004</v>
      </c>
      <c r="H1048" s="1">
        <v>0</v>
      </c>
      <c r="I1048" s="1">
        <v>-1271.7080000000001</v>
      </c>
    </row>
    <row r="1049" spans="1:9" hidden="1" x14ac:dyDescent="0.25">
      <c r="A1049" s="1" t="s">
        <v>24</v>
      </c>
      <c r="B1049" s="1" t="s">
        <v>119</v>
      </c>
      <c r="C1049" s="1" t="s">
        <v>10</v>
      </c>
      <c r="D1049" s="1">
        <v>0</v>
      </c>
      <c r="E1049" s="1">
        <v>-239.45</v>
      </c>
      <c r="F1049" s="1">
        <v>0</v>
      </c>
      <c r="G1049" s="1">
        <v>-4137.8370000000004</v>
      </c>
      <c r="H1049" s="1">
        <v>0</v>
      </c>
      <c r="I1049" s="1">
        <v>-2110.34</v>
      </c>
    </row>
    <row r="1050" spans="1:9" hidden="1" x14ac:dyDescent="0.25">
      <c r="A1050" s="1" t="s">
        <v>24</v>
      </c>
      <c r="B1050" s="1" t="s">
        <v>120</v>
      </c>
      <c r="C1050" s="1" t="s">
        <v>25</v>
      </c>
      <c r="D1050" s="1">
        <v>0</v>
      </c>
      <c r="E1050" s="1">
        <v>0</v>
      </c>
      <c r="F1050" s="1">
        <v>604.76</v>
      </c>
      <c r="G1050" s="1">
        <v>12115.743</v>
      </c>
      <c r="H1050" s="1">
        <v>3071.299</v>
      </c>
      <c r="I1050" s="1">
        <v>0</v>
      </c>
    </row>
    <row r="1051" spans="1:9" hidden="1" x14ac:dyDescent="0.25">
      <c r="A1051" s="1" t="s">
        <v>24</v>
      </c>
      <c r="B1051" s="1" t="s">
        <v>120</v>
      </c>
      <c r="C1051" s="1" t="s">
        <v>10</v>
      </c>
      <c r="D1051" s="1">
        <v>0</v>
      </c>
      <c r="E1051" s="1">
        <v>0</v>
      </c>
      <c r="F1051" s="1">
        <v>604.76</v>
      </c>
      <c r="G1051" s="1">
        <v>12115.743</v>
      </c>
      <c r="H1051" s="1">
        <v>5424.0720000000001</v>
      </c>
      <c r="I1051" s="1">
        <v>0</v>
      </c>
    </row>
    <row r="1052" spans="1:9" hidden="1" x14ac:dyDescent="0.25">
      <c r="A1052" s="1" t="s">
        <v>24</v>
      </c>
      <c r="B1052" s="1" t="s">
        <v>121</v>
      </c>
      <c r="C1052" s="1" t="s">
        <v>25</v>
      </c>
      <c r="D1052" s="1">
        <v>0</v>
      </c>
      <c r="E1052" s="1">
        <v>0</v>
      </c>
      <c r="F1052" s="1">
        <v>-604.76</v>
      </c>
      <c r="G1052" s="1">
        <v>-12115.743</v>
      </c>
      <c r="H1052" s="1">
        <v>-3071.299</v>
      </c>
      <c r="I1052" s="1">
        <v>0</v>
      </c>
    </row>
    <row r="1053" spans="1:9" hidden="1" x14ac:dyDescent="0.25">
      <c r="A1053" s="1" t="s">
        <v>24</v>
      </c>
      <c r="B1053" s="1" t="s">
        <v>121</v>
      </c>
      <c r="C1053" s="1" t="s">
        <v>10</v>
      </c>
      <c r="D1053" s="1">
        <v>0</v>
      </c>
      <c r="E1053" s="1">
        <v>0</v>
      </c>
      <c r="F1053" s="1">
        <v>-604.76</v>
      </c>
      <c r="G1053" s="1">
        <v>-12115.743</v>
      </c>
      <c r="H1053" s="1">
        <v>-5424.0720000000001</v>
      </c>
      <c r="I1053" s="1">
        <v>0</v>
      </c>
    </row>
    <row r="1054" spans="1:9" hidden="1" x14ac:dyDescent="0.25">
      <c r="A1054" s="1" t="s">
        <v>24</v>
      </c>
      <c r="B1054" s="1" t="s">
        <v>122</v>
      </c>
      <c r="C1054" s="1" t="s">
        <v>25</v>
      </c>
      <c r="D1054" s="1">
        <v>0</v>
      </c>
      <c r="E1054" s="1">
        <v>0</v>
      </c>
      <c r="F1054" s="1">
        <v>604.76</v>
      </c>
      <c r="G1054" s="1">
        <v>12115.743</v>
      </c>
      <c r="H1054" s="1">
        <v>3071.299</v>
      </c>
      <c r="I1054" s="1">
        <v>0</v>
      </c>
    </row>
    <row r="1055" spans="1:9" hidden="1" x14ac:dyDescent="0.25">
      <c r="A1055" s="1" t="s">
        <v>24</v>
      </c>
      <c r="B1055" s="1" t="s">
        <v>122</v>
      </c>
      <c r="C1055" s="1" t="s">
        <v>10</v>
      </c>
      <c r="D1055" s="1">
        <v>0</v>
      </c>
      <c r="E1055" s="1">
        <v>0</v>
      </c>
      <c r="F1055" s="1">
        <v>604.76</v>
      </c>
      <c r="G1055" s="1">
        <v>12115.743</v>
      </c>
      <c r="H1055" s="1">
        <v>5424.0720000000001</v>
      </c>
      <c r="I1055" s="1">
        <v>0</v>
      </c>
    </row>
    <row r="1056" spans="1:9" hidden="1" x14ac:dyDescent="0.25">
      <c r="A1056" s="1" t="s">
        <v>24</v>
      </c>
      <c r="B1056" s="1" t="s">
        <v>123</v>
      </c>
      <c r="C1056" s="1" t="s">
        <v>25</v>
      </c>
      <c r="D1056" s="1">
        <v>0</v>
      </c>
      <c r="E1056" s="1">
        <v>0</v>
      </c>
      <c r="F1056" s="1">
        <v>-604.76</v>
      </c>
      <c r="G1056" s="1">
        <v>-12115.743</v>
      </c>
      <c r="H1056" s="1">
        <v>-3071.299</v>
      </c>
      <c r="I1056" s="1">
        <v>0</v>
      </c>
    </row>
    <row r="1057" spans="1:9" hidden="1" x14ac:dyDescent="0.25">
      <c r="A1057" s="1" t="s">
        <v>24</v>
      </c>
      <c r="B1057" s="1" t="s">
        <v>123</v>
      </c>
      <c r="C1057" s="1" t="s">
        <v>10</v>
      </c>
      <c r="D1057" s="1">
        <v>0</v>
      </c>
      <c r="E1057" s="1">
        <v>0</v>
      </c>
      <c r="F1057" s="1">
        <v>-604.76</v>
      </c>
      <c r="G1057" s="1">
        <v>-12115.743</v>
      </c>
      <c r="H1057" s="1">
        <v>-5424.0720000000001</v>
      </c>
      <c r="I1057" s="1">
        <v>0</v>
      </c>
    </row>
    <row r="1058" spans="1:9" hidden="1" x14ac:dyDescent="0.25">
      <c r="A1058" s="1" t="s">
        <v>24</v>
      </c>
      <c r="B1058" s="1" t="s">
        <v>124</v>
      </c>
      <c r="C1058" s="1" t="s">
        <v>25</v>
      </c>
      <c r="D1058" s="1">
        <v>0</v>
      </c>
      <c r="E1058" s="1">
        <v>71.84</v>
      </c>
      <c r="F1058" s="1">
        <v>0</v>
      </c>
      <c r="G1058" s="1">
        <v>1241.3510000000001</v>
      </c>
      <c r="H1058" s="1">
        <v>0</v>
      </c>
      <c r="I1058" s="1">
        <v>381.512</v>
      </c>
    </row>
    <row r="1059" spans="1:9" hidden="1" x14ac:dyDescent="0.25">
      <c r="A1059" s="1" t="s">
        <v>24</v>
      </c>
      <c r="B1059" s="1" t="s">
        <v>124</v>
      </c>
      <c r="C1059" s="1" t="s">
        <v>10</v>
      </c>
      <c r="D1059" s="1">
        <v>0</v>
      </c>
      <c r="E1059" s="1">
        <v>71.84</v>
      </c>
      <c r="F1059" s="1">
        <v>0</v>
      </c>
      <c r="G1059" s="1">
        <v>1241.3510000000001</v>
      </c>
      <c r="H1059" s="1">
        <v>0</v>
      </c>
      <c r="I1059" s="1">
        <v>633.10199999999998</v>
      </c>
    </row>
    <row r="1060" spans="1:9" hidden="1" x14ac:dyDescent="0.25">
      <c r="A1060" s="1" t="s">
        <v>24</v>
      </c>
      <c r="B1060" s="1" t="s">
        <v>125</v>
      </c>
      <c r="C1060" s="1" t="s">
        <v>25</v>
      </c>
      <c r="D1060" s="1">
        <v>0</v>
      </c>
      <c r="E1060" s="1">
        <v>-71.84</v>
      </c>
      <c r="F1060" s="1">
        <v>0</v>
      </c>
      <c r="G1060" s="1">
        <v>-1241.3510000000001</v>
      </c>
      <c r="H1060" s="1">
        <v>0</v>
      </c>
      <c r="I1060" s="1">
        <v>-381.512</v>
      </c>
    </row>
    <row r="1061" spans="1:9" hidden="1" x14ac:dyDescent="0.25">
      <c r="A1061" s="1" t="s">
        <v>24</v>
      </c>
      <c r="B1061" s="1" t="s">
        <v>125</v>
      </c>
      <c r="C1061" s="1" t="s">
        <v>10</v>
      </c>
      <c r="D1061" s="1">
        <v>0</v>
      </c>
      <c r="E1061" s="1">
        <v>-71.84</v>
      </c>
      <c r="F1061" s="1">
        <v>0</v>
      </c>
      <c r="G1061" s="1">
        <v>-1241.3510000000001</v>
      </c>
      <c r="H1061" s="1">
        <v>0</v>
      </c>
      <c r="I1061" s="1">
        <v>-633.10199999999998</v>
      </c>
    </row>
    <row r="1062" spans="1:9" hidden="1" x14ac:dyDescent="0.25">
      <c r="A1062" s="1" t="s">
        <v>24</v>
      </c>
      <c r="B1062" s="1" t="s">
        <v>126</v>
      </c>
      <c r="C1062" s="1" t="s">
        <v>25</v>
      </c>
      <c r="D1062" s="1">
        <v>0</v>
      </c>
      <c r="E1062" s="1">
        <v>71.84</v>
      </c>
      <c r="F1062" s="1">
        <v>0</v>
      </c>
      <c r="G1062" s="1">
        <v>1241.3510000000001</v>
      </c>
      <c r="H1062" s="1">
        <v>0</v>
      </c>
      <c r="I1062" s="1">
        <v>381.512</v>
      </c>
    </row>
    <row r="1063" spans="1:9" hidden="1" x14ac:dyDescent="0.25">
      <c r="A1063" s="1" t="s">
        <v>24</v>
      </c>
      <c r="B1063" s="1" t="s">
        <v>126</v>
      </c>
      <c r="C1063" s="1" t="s">
        <v>10</v>
      </c>
      <c r="D1063" s="1">
        <v>0</v>
      </c>
      <c r="E1063" s="1">
        <v>71.84</v>
      </c>
      <c r="F1063" s="1">
        <v>0</v>
      </c>
      <c r="G1063" s="1">
        <v>1241.3510000000001</v>
      </c>
      <c r="H1063" s="1">
        <v>0</v>
      </c>
      <c r="I1063" s="1">
        <v>633.10199999999998</v>
      </c>
    </row>
    <row r="1064" spans="1:9" hidden="1" x14ac:dyDescent="0.25">
      <c r="A1064" s="1" t="s">
        <v>24</v>
      </c>
      <c r="B1064" s="1" t="s">
        <v>127</v>
      </c>
      <c r="C1064" s="1" t="s">
        <v>25</v>
      </c>
      <c r="D1064" s="1">
        <v>0</v>
      </c>
      <c r="E1064" s="1">
        <v>-71.84</v>
      </c>
      <c r="F1064" s="1">
        <v>0</v>
      </c>
      <c r="G1064" s="1">
        <v>-1241.3510000000001</v>
      </c>
      <c r="H1064" s="1">
        <v>0</v>
      </c>
      <c r="I1064" s="1">
        <v>-381.512</v>
      </c>
    </row>
    <row r="1065" spans="1:9" hidden="1" x14ac:dyDescent="0.25">
      <c r="A1065" s="1" t="s">
        <v>24</v>
      </c>
      <c r="B1065" s="1" t="s">
        <v>127</v>
      </c>
      <c r="C1065" s="1" t="s">
        <v>10</v>
      </c>
      <c r="D1065" s="1">
        <v>0</v>
      </c>
      <c r="E1065" s="1">
        <v>-71.84</v>
      </c>
      <c r="F1065" s="1">
        <v>0</v>
      </c>
      <c r="G1065" s="1">
        <v>-1241.3510000000001</v>
      </c>
      <c r="H1065" s="1">
        <v>0</v>
      </c>
      <c r="I1065" s="1">
        <v>-633.10199999999998</v>
      </c>
    </row>
    <row r="1066" spans="1:9" hidden="1" x14ac:dyDescent="0.25">
      <c r="A1066" s="1" t="s">
        <v>24</v>
      </c>
      <c r="B1066" s="1" t="s">
        <v>128</v>
      </c>
      <c r="C1066" s="1" t="s">
        <v>25</v>
      </c>
      <c r="D1066" s="1">
        <v>0</v>
      </c>
      <c r="E1066" s="1">
        <v>0</v>
      </c>
      <c r="F1066" s="1">
        <v>181.43</v>
      </c>
      <c r="G1066" s="1">
        <v>3634.723</v>
      </c>
      <c r="H1066" s="1">
        <v>921.39</v>
      </c>
      <c r="I1066" s="1">
        <v>0</v>
      </c>
    </row>
    <row r="1067" spans="1:9" hidden="1" x14ac:dyDescent="0.25">
      <c r="A1067" s="1" t="s">
        <v>24</v>
      </c>
      <c r="B1067" s="1" t="s">
        <v>128</v>
      </c>
      <c r="C1067" s="1" t="s">
        <v>10</v>
      </c>
      <c r="D1067" s="1">
        <v>0</v>
      </c>
      <c r="E1067" s="1">
        <v>0</v>
      </c>
      <c r="F1067" s="1">
        <v>181.43</v>
      </c>
      <c r="G1067" s="1">
        <v>3634.723</v>
      </c>
      <c r="H1067" s="1">
        <v>1627.222</v>
      </c>
      <c r="I1067" s="1">
        <v>0</v>
      </c>
    </row>
    <row r="1068" spans="1:9" hidden="1" x14ac:dyDescent="0.25">
      <c r="A1068" s="1" t="s">
        <v>24</v>
      </c>
      <c r="B1068" s="1" t="s">
        <v>129</v>
      </c>
      <c r="C1068" s="1" t="s">
        <v>25</v>
      </c>
      <c r="D1068" s="1">
        <v>0</v>
      </c>
      <c r="E1068" s="1">
        <v>0</v>
      </c>
      <c r="F1068" s="1">
        <v>-181.43</v>
      </c>
      <c r="G1068" s="1">
        <v>-3634.723</v>
      </c>
      <c r="H1068" s="1">
        <v>-921.39</v>
      </c>
      <c r="I1068" s="1">
        <v>0</v>
      </c>
    </row>
    <row r="1069" spans="1:9" hidden="1" x14ac:dyDescent="0.25">
      <c r="A1069" s="1" t="s">
        <v>24</v>
      </c>
      <c r="B1069" s="1" t="s">
        <v>129</v>
      </c>
      <c r="C1069" s="1" t="s">
        <v>10</v>
      </c>
      <c r="D1069" s="1">
        <v>0</v>
      </c>
      <c r="E1069" s="1">
        <v>0</v>
      </c>
      <c r="F1069" s="1">
        <v>-181.43</v>
      </c>
      <c r="G1069" s="1">
        <v>-3634.723</v>
      </c>
      <c r="H1069" s="1">
        <v>-1627.222</v>
      </c>
      <c r="I1069" s="1">
        <v>0</v>
      </c>
    </row>
    <row r="1070" spans="1:9" hidden="1" x14ac:dyDescent="0.25">
      <c r="A1070" s="1" t="s">
        <v>24</v>
      </c>
      <c r="B1070" s="1" t="s">
        <v>130</v>
      </c>
      <c r="C1070" s="1" t="s">
        <v>25</v>
      </c>
      <c r="D1070" s="1">
        <v>0</v>
      </c>
      <c r="E1070" s="1">
        <v>0</v>
      </c>
      <c r="F1070" s="1">
        <v>181.43</v>
      </c>
      <c r="G1070" s="1">
        <v>3634.723</v>
      </c>
      <c r="H1070" s="1">
        <v>921.39</v>
      </c>
      <c r="I1070" s="1">
        <v>0</v>
      </c>
    </row>
    <row r="1071" spans="1:9" hidden="1" x14ac:dyDescent="0.25">
      <c r="A1071" s="1" t="s">
        <v>24</v>
      </c>
      <c r="B1071" s="1" t="s">
        <v>130</v>
      </c>
      <c r="C1071" s="1" t="s">
        <v>10</v>
      </c>
      <c r="D1071" s="1">
        <v>0</v>
      </c>
      <c r="E1071" s="1">
        <v>0</v>
      </c>
      <c r="F1071" s="1">
        <v>181.43</v>
      </c>
      <c r="G1071" s="1">
        <v>3634.723</v>
      </c>
      <c r="H1071" s="1">
        <v>1627.222</v>
      </c>
      <c r="I1071" s="1">
        <v>0</v>
      </c>
    </row>
    <row r="1072" spans="1:9" hidden="1" x14ac:dyDescent="0.25">
      <c r="A1072" s="1" t="s">
        <v>24</v>
      </c>
      <c r="B1072" s="1" t="s">
        <v>131</v>
      </c>
      <c r="C1072" s="1" t="s">
        <v>25</v>
      </c>
      <c r="D1072" s="1">
        <v>0</v>
      </c>
      <c r="E1072" s="1">
        <v>0</v>
      </c>
      <c r="F1072" s="1">
        <v>-181.43</v>
      </c>
      <c r="G1072" s="1">
        <v>-3634.723</v>
      </c>
      <c r="H1072" s="1">
        <v>-921.39</v>
      </c>
      <c r="I1072" s="1">
        <v>0</v>
      </c>
    </row>
    <row r="1073" spans="1:9" hidden="1" x14ac:dyDescent="0.25">
      <c r="A1073" s="1" t="s">
        <v>24</v>
      </c>
      <c r="B1073" s="1" t="s">
        <v>131</v>
      </c>
      <c r="C1073" s="1" t="s">
        <v>10</v>
      </c>
      <c r="D1073" s="1">
        <v>0</v>
      </c>
      <c r="E1073" s="1">
        <v>0</v>
      </c>
      <c r="F1073" s="1">
        <v>-181.43</v>
      </c>
      <c r="G1073" s="1">
        <v>-3634.723</v>
      </c>
      <c r="H1073" s="1">
        <v>-1627.222</v>
      </c>
      <c r="I1073" s="1">
        <v>0</v>
      </c>
    </row>
    <row r="1074" spans="1:9" hidden="1" x14ac:dyDescent="0.25">
      <c r="A1074" s="1" t="s">
        <v>24</v>
      </c>
      <c r="B1074" s="1" t="s">
        <v>132</v>
      </c>
      <c r="C1074" s="1" t="s">
        <v>25</v>
      </c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</row>
    <row r="1075" spans="1:9" hidden="1" x14ac:dyDescent="0.25">
      <c r="A1075" s="1" t="s">
        <v>24</v>
      </c>
      <c r="B1075" s="1" t="s">
        <v>132</v>
      </c>
      <c r="C1075" s="1" t="s">
        <v>10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</row>
    <row r="1076" spans="1:9" hidden="1" x14ac:dyDescent="0.25">
      <c r="A1076" s="1" t="s">
        <v>24</v>
      </c>
      <c r="B1076" s="1" t="s">
        <v>133</v>
      </c>
      <c r="C1076" s="1" t="s">
        <v>25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</row>
    <row r="1077" spans="1:9" hidden="1" x14ac:dyDescent="0.25">
      <c r="A1077" s="1" t="s">
        <v>24</v>
      </c>
      <c r="B1077" s="1" t="s">
        <v>133</v>
      </c>
      <c r="C1077" s="1" t="s">
        <v>10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</row>
    <row r="1078" spans="1:9" hidden="1" x14ac:dyDescent="0.25">
      <c r="A1078" s="1" t="s">
        <v>24</v>
      </c>
      <c r="B1078" s="1" t="s">
        <v>134</v>
      </c>
      <c r="C1078" s="1" t="s">
        <v>25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</row>
    <row r="1079" spans="1:9" hidden="1" x14ac:dyDescent="0.25">
      <c r="A1079" s="1" t="s">
        <v>24</v>
      </c>
      <c r="B1079" s="1" t="s">
        <v>134</v>
      </c>
      <c r="C1079" s="1" t="s">
        <v>10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</row>
    <row r="1080" spans="1:9" hidden="1" x14ac:dyDescent="0.25">
      <c r="A1080" s="1" t="s">
        <v>24</v>
      </c>
      <c r="B1080" s="1" t="s">
        <v>135</v>
      </c>
      <c r="C1080" s="1" t="s">
        <v>25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24</v>
      </c>
      <c r="B1081" s="1" t="s">
        <v>135</v>
      </c>
      <c r="C1081" s="1" t="s">
        <v>10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24</v>
      </c>
      <c r="B1082" s="1" t="s">
        <v>136</v>
      </c>
      <c r="C1082" s="1" t="s">
        <v>25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</row>
    <row r="1083" spans="1:9" hidden="1" x14ac:dyDescent="0.25">
      <c r="A1083" s="1" t="s">
        <v>24</v>
      </c>
      <c r="B1083" s="1" t="s">
        <v>136</v>
      </c>
      <c r="C1083" s="1" t="s">
        <v>10</v>
      </c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</row>
    <row r="1084" spans="1:9" hidden="1" x14ac:dyDescent="0.25">
      <c r="A1084" s="1" t="s">
        <v>24</v>
      </c>
      <c r="B1084" s="1" t="s">
        <v>137</v>
      </c>
      <c r="C1084" s="1" t="s">
        <v>25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</row>
    <row r="1085" spans="1:9" hidden="1" x14ac:dyDescent="0.25">
      <c r="A1085" s="1" t="s">
        <v>24</v>
      </c>
      <c r="B1085" s="1" t="s">
        <v>137</v>
      </c>
      <c r="C1085" s="1" t="s">
        <v>10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</row>
    <row r="1086" spans="1:9" hidden="1" x14ac:dyDescent="0.25">
      <c r="A1086" s="1" t="s">
        <v>24</v>
      </c>
      <c r="B1086" s="1" t="s">
        <v>138</v>
      </c>
      <c r="C1086" s="1" t="s">
        <v>25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</row>
    <row r="1087" spans="1:9" hidden="1" x14ac:dyDescent="0.25">
      <c r="A1087" s="1" t="s">
        <v>24</v>
      </c>
      <c r="B1087" s="1" t="s">
        <v>138</v>
      </c>
      <c r="C1087" s="1" t="s">
        <v>10</v>
      </c>
      <c r="D1087" s="1">
        <v>0</v>
      </c>
      <c r="E1087" s="1">
        <v>0</v>
      </c>
      <c r="F1087" s="1">
        <v>0</v>
      </c>
      <c r="G1087" s="1">
        <v>0</v>
      </c>
      <c r="H1087" s="1">
        <v>0</v>
      </c>
      <c r="I1087" s="1">
        <v>0</v>
      </c>
    </row>
    <row r="1088" spans="1:9" hidden="1" x14ac:dyDescent="0.25">
      <c r="A1088" s="1" t="s">
        <v>24</v>
      </c>
      <c r="B1088" s="1" t="s">
        <v>139</v>
      </c>
      <c r="C1088" s="1" t="s">
        <v>25</v>
      </c>
      <c r="D1088" s="1">
        <v>0</v>
      </c>
      <c r="E1088" s="1">
        <v>0</v>
      </c>
      <c r="F1088" s="1">
        <v>0</v>
      </c>
      <c r="G1088" s="1">
        <v>0</v>
      </c>
      <c r="H1088" s="1">
        <v>0</v>
      </c>
      <c r="I1088" s="1">
        <v>0</v>
      </c>
    </row>
    <row r="1089" spans="1:9" hidden="1" x14ac:dyDescent="0.25">
      <c r="A1089" s="1" t="s">
        <v>24</v>
      </c>
      <c r="B1089" s="1" t="s">
        <v>139</v>
      </c>
      <c r="C1089" s="1" t="s">
        <v>10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</row>
    <row r="1090" spans="1:9" hidden="1" x14ac:dyDescent="0.25">
      <c r="A1090" s="1" t="s">
        <v>24</v>
      </c>
      <c r="B1090" s="1" t="s">
        <v>140</v>
      </c>
      <c r="C1090" s="1" t="s">
        <v>25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24</v>
      </c>
      <c r="B1091" s="1" t="s">
        <v>140</v>
      </c>
      <c r="C1091" s="1" t="s">
        <v>10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24</v>
      </c>
      <c r="B1092" s="1" t="s">
        <v>141</v>
      </c>
      <c r="C1092" s="1" t="s">
        <v>25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</row>
    <row r="1093" spans="1:9" hidden="1" x14ac:dyDescent="0.25">
      <c r="A1093" s="1" t="s">
        <v>24</v>
      </c>
      <c r="B1093" s="1" t="s">
        <v>141</v>
      </c>
      <c r="C1093" s="1" t="s">
        <v>10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0</v>
      </c>
    </row>
    <row r="1094" spans="1:9" hidden="1" x14ac:dyDescent="0.25">
      <c r="A1094" s="1" t="s">
        <v>24</v>
      </c>
      <c r="B1094" s="1" t="s">
        <v>142</v>
      </c>
      <c r="C1094" s="1" t="s">
        <v>25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0</v>
      </c>
    </row>
    <row r="1095" spans="1:9" hidden="1" x14ac:dyDescent="0.25">
      <c r="A1095" s="1" t="s">
        <v>24</v>
      </c>
      <c r="B1095" s="1" t="s">
        <v>142</v>
      </c>
      <c r="C1095" s="1" t="s">
        <v>10</v>
      </c>
      <c r="D1095" s="1">
        <v>0</v>
      </c>
      <c r="E1095" s="1">
        <v>0</v>
      </c>
      <c r="F1095" s="1">
        <v>0</v>
      </c>
      <c r="G1095" s="1">
        <v>0</v>
      </c>
      <c r="H1095" s="1">
        <v>0</v>
      </c>
      <c r="I1095" s="1">
        <v>0</v>
      </c>
    </row>
    <row r="1096" spans="1:9" hidden="1" x14ac:dyDescent="0.25">
      <c r="A1096" s="1" t="s">
        <v>24</v>
      </c>
      <c r="B1096" s="1" t="s">
        <v>143</v>
      </c>
      <c r="C1096" s="1" t="s">
        <v>25</v>
      </c>
      <c r="D1096" s="1">
        <v>0</v>
      </c>
      <c r="E1096" s="1">
        <v>0</v>
      </c>
      <c r="F1096" s="1">
        <v>0</v>
      </c>
      <c r="G1096" s="1">
        <v>0</v>
      </c>
      <c r="H1096" s="1">
        <v>0</v>
      </c>
      <c r="I1096" s="1">
        <v>0</v>
      </c>
    </row>
    <row r="1097" spans="1:9" hidden="1" x14ac:dyDescent="0.25">
      <c r="A1097" s="1" t="s">
        <v>24</v>
      </c>
      <c r="B1097" s="1" t="s">
        <v>143</v>
      </c>
      <c r="C1097" s="1" t="s">
        <v>10</v>
      </c>
      <c r="D1097" s="1">
        <v>0</v>
      </c>
      <c r="E1097" s="1">
        <v>0</v>
      </c>
      <c r="F1097" s="1">
        <v>0</v>
      </c>
      <c r="G1097" s="1">
        <v>0</v>
      </c>
      <c r="H1097" s="1">
        <v>0</v>
      </c>
      <c r="I1097" s="1">
        <v>0</v>
      </c>
    </row>
    <row r="1098" spans="1:9" hidden="1" x14ac:dyDescent="0.25">
      <c r="A1098" s="1" t="s">
        <v>24</v>
      </c>
      <c r="B1098" s="1" t="s">
        <v>144</v>
      </c>
      <c r="C1098" s="1" t="s">
        <v>25</v>
      </c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</row>
    <row r="1099" spans="1:9" hidden="1" x14ac:dyDescent="0.25">
      <c r="A1099" s="1" t="s">
        <v>24</v>
      </c>
      <c r="B1099" s="1" t="s">
        <v>144</v>
      </c>
      <c r="C1099" s="1" t="s">
        <v>10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</row>
    <row r="1100" spans="1:9" hidden="1" x14ac:dyDescent="0.25">
      <c r="A1100" s="1" t="s">
        <v>24</v>
      </c>
      <c r="B1100" s="1" t="s">
        <v>145</v>
      </c>
      <c r="C1100" s="1" t="s">
        <v>25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24</v>
      </c>
      <c r="B1101" s="1" t="s">
        <v>145</v>
      </c>
      <c r="C1101" s="1" t="s">
        <v>10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24</v>
      </c>
      <c r="B1102" s="1" t="s">
        <v>146</v>
      </c>
      <c r="C1102" s="1" t="s">
        <v>25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</row>
    <row r="1103" spans="1:9" hidden="1" x14ac:dyDescent="0.25">
      <c r="A1103" s="1" t="s">
        <v>24</v>
      </c>
      <c r="B1103" s="1" t="s">
        <v>146</v>
      </c>
      <c r="C1103" s="1" t="s">
        <v>10</v>
      </c>
      <c r="D1103" s="1">
        <v>0</v>
      </c>
      <c r="E1103" s="1">
        <v>0</v>
      </c>
      <c r="F1103" s="1">
        <v>0</v>
      </c>
      <c r="G1103" s="1">
        <v>0</v>
      </c>
      <c r="H1103" s="1">
        <v>0</v>
      </c>
      <c r="I1103" s="1">
        <v>0</v>
      </c>
    </row>
    <row r="1104" spans="1:9" hidden="1" x14ac:dyDescent="0.25">
      <c r="A1104" s="1" t="s">
        <v>24</v>
      </c>
      <c r="B1104" s="1" t="s">
        <v>147</v>
      </c>
      <c r="C1104" s="1" t="s">
        <v>25</v>
      </c>
      <c r="D1104" s="1">
        <v>0</v>
      </c>
      <c r="E1104" s="1">
        <v>0</v>
      </c>
      <c r="F1104" s="1">
        <v>0</v>
      </c>
      <c r="G1104" s="1">
        <v>0</v>
      </c>
      <c r="H1104" s="1">
        <v>0</v>
      </c>
      <c r="I1104" s="1">
        <v>0</v>
      </c>
    </row>
    <row r="1105" spans="1:9" hidden="1" x14ac:dyDescent="0.25">
      <c r="A1105" s="1" t="s">
        <v>24</v>
      </c>
      <c r="B1105" s="1" t="s">
        <v>147</v>
      </c>
      <c r="C1105" s="1" t="s">
        <v>10</v>
      </c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</row>
    <row r="1106" spans="1:9" hidden="1" x14ac:dyDescent="0.25">
      <c r="A1106" s="1" t="s">
        <v>24</v>
      </c>
      <c r="B1106" s="1" t="s">
        <v>159</v>
      </c>
      <c r="C1106" s="1" t="s">
        <v>25</v>
      </c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</row>
    <row r="1107" spans="1:9" hidden="1" x14ac:dyDescent="0.25">
      <c r="A1107" s="1" t="s">
        <v>24</v>
      </c>
      <c r="B1107" s="1" t="s">
        <v>159</v>
      </c>
      <c r="C1107" s="1" t="s">
        <v>10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</row>
    <row r="1108" spans="1:9" hidden="1" x14ac:dyDescent="0.25">
      <c r="A1108" s="1" t="s">
        <v>24</v>
      </c>
      <c r="B1108" s="1" t="s">
        <v>160</v>
      </c>
      <c r="C1108" s="1" t="s">
        <v>25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</row>
    <row r="1109" spans="1:9" hidden="1" x14ac:dyDescent="0.25">
      <c r="A1109" s="1" t="s">
        <v>24</v>
      </c>
      <c r="B1109" s="1" t="s">
        <v>160</v>
      </c>
      <c r="C1109" s="1" t="s">
        <v>10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</row>
    <row r="1110" spans="1:9" hidden="1" x14ac:dyDescent="0.25">
      <c r="A1110" s="1" t="s">
        <v>24</v>
      </c>
      <c r="B1110" s="1" t="s">
        <v>161</v>
      </c>
      <c r="C1110" s="1" t="s">
        <v>25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24</v>
      </c>
      <c r="B1111" s="1" t="s">
        <v>161</v>
      </c>
      <c r="C1111" s="1" t="s">
        <v>10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24</v>
      </c>
      <c r="B1112" s="1" t="s">
        <v>162</v>
      </c>
      <c r="C1112" s="1" t="s">
        <v>25</v>
      </c>
      <c r="D1112" s="1">
        <v>0</v>
      </c>
      <c r="E1112" s="1">
        <v>-569.64</v>
      </c>
      <c r="F1112" s="1">
        <v>0</v>
      </c>
      <c r="G1112" s="1">
        <v>9399.1149999999998</v>
      </c>
      <c r="H1112" s="1">
        <v>0</v>
      </c>
      <c r="I1112" s="1">
        <v>-2784.9229999999998</v>
      </c>
    </row>
    <row r="1113" spans="1:9" hidden="1" x14ac:dyDescent="0.25">
      <c r="A1113" s="1" t="s">
        <v>24</v>
      </c>
      <c r="B1113" s="1" t="s">
        <v>162</v>
      </c>
      <c r="C1113" s="1" t="s">
        <v>10</v>
      </c>
      <c r="D1113" s="1">
        <v>0</v>
      </c>
      <c r="E1113" s="1">
        <v>-569.64</v>
      </c>
      <c r="F1113" s="1">
        <v>0</v>
      </c>
      <c r="G1113" s="1">
        <v>9399.1149999999998</v>
      </c>
      <c r="H1113" s="1">
        <v>0</v>
      </c>
      <c r="I1113" s="1">
        <v>-5063.4960000000001</v>
      </c>
    </row>
    <row r="1114" spans="1:9" hidden="1" x14ac:dyDescent="0.25">
      <c r="A1114" s="1" t="s">
        <v>24</v>
      </c>
      <c r="B1114" s="1" t="s">
        <v>163</v>
      </c>
      <c r="C1114" s="1" t="s">
        <v>25</v>
      </c>
      <c r="D1114" s="1">
        <v>0</v>
      </c>
      <c r="E1114" s="1">
        <v>-569.64</v>
      </c>
      <c r="F1114" s="1">
        <v>0</v>
      </c>
      <c r="G1114" s="1">
        <v>7690.1850000000004</v>
      </c>
      <c r="H1114" s="1">
        <v>0</v>
      </c>
      <c r="I1114" s="1">
        <v>-2784.9229999999998</v>
      </c>
    </row>
    <row r="1115" spans="1:9" hidden="1" x14ac:dyDescent="0.25">
      <c r="A1115" s="1" t="s">
        <v>24</v>
      </c>
      <c r="B1115" s="1" t="s">
        <v>163</v>
      </c>
      <c r="C1115" s="1" t="s">
        <v>10</v>
      </c>
      <c r="D1115" s="1">
        <v>0</v>
      </c>
      <c r="E1115" s="1">
        <v>-569.64</v>
      </c>
      <c r="F1115" s="1">
        <v>0</v>
      </c>
      <c r="G1115" s="1">
        <v>7690.1850000000004</v>
      </c>
      <c r="H1115" s="1">
        <v>0</v>
      </c>
      <c r="I1115" s="1">
        <v>-5063.4960000000001</v>
      </c>
    </row>
    <row r="1116" spans="1:9" hidden="1" x14ac:dyDescent="0.25">
      <c r="A1116" s="1" t="s">
        <v>24</v>
      </c>
      <c r="B1116" s="1" t="s">
        <v>164</v>
      </c>
      <c r="C1116" s="1" t="s">
        <v>25</v>
      </c>
      <c r="D1116" s="1">
        <v>0</v>
      </c>
      <c r="E1116" s="1">
        <v>569.64</v>
      </c>
      <c r="F1116" s="1">
        <v>0</v>
      </c>
      <c r="G1116" s="1">
        <v>-9399.1149999999998</v>
      </c>
      <c r="H1116" s="1">
        <v>0</v>
      </c>
      <c r="I1116" s="1">
        <v>2784.9229999999998</v>
      </c>
    </row>
    <row r="1117" spans="1:9" hidden="1" x14ac:dyDescent="0.25">
      <c r="A1117" s="1" t="s">
        <v>24</v>
      </c>
      <c r="B1117" s="1" t="s">
        <v>164</v>
      </c>
      <c r="C1117" s="1" t="s">
        <v>10</v>
      </c>
      <c r="D1117" s="1">
        <v>0</v>
      </c>
      <c r="E1117" s="1">
        <v>569.64</v>
      </c>
      <c r="F1117" s="1">
        <v>0</v>
      </c>
      <c r="G1117" s="1">
        <v>-9399.1149999999998</v>
      </c>
      <c r="H1117" s="1">
        <v>0</v>
      </c>
      <c r="I1117" s="1">
        <v>5063.4960000000001</v>
      </c>
    </row>
    <row r="1118" spans="1:9" hidden="1" x14ac:dyDescent="0.25">
      <c r="A1118" s="1" t="s">
        <v>24</v>
      </c>
      <c r="B1118" s="1" t="s">
        <v>165</v>
      </c>
      <c r="C1118" s="1" t="s">
        <v>25</v>
      </c>
      <c r="D1118" s="1">
        <v>0</v>
      </c>
      <c r="E1118" s="1">
        <v>569.64</v>
      </c>
      <c r="F1118" s="1">
        <v>0</v>
      </c>
      <c r="G1118" s="1">
        <v>-7690.1850000000004</v>
      </c>
      <c r="H1118" s="1">
        <v>0</v>
      </c>
      <c r="I1118" s="1">
        <v>2784.9229999999998</v>
      </c>
    </row>
    <row r="1119" spans="1:9" hidden="1" x14ac:dyDescent="0.25">
      <c r="A1119" s="1" t="s">
        <v>24</v>
      </c>
      <c r="B1119" s="1" t="s">
        <v>165</v>
      </c>
      <c r="C1119" s="1" t="s">
        <v>10</v>
      </c>
      <c r="D1119" s="1">
        <v>0</v>
      </c>
      <c r="E1119" s="1">
        <v>569.64</v>
      </c>
      <c r="F1119" s="1">
        <v>0</v>
      </c>
      <c r="G1119" s="1">
        <v>-7690.1850000000004</v>
      </c>
      <c r="H1119" s="1">
        <v>0</v>
      </c>
      <c r="I1119" s="1">
        <v>5063.4960000000001</v>
      </c>
    </row>
    <row r="1120" spans="1:9" hidden="1" x14ac:dyDescent="0.25">
      <c r="A1120" s="1" t="s">
        <v>24</v>
      </c>
      <c r="B1120" s="1" t="s">
        <v>166</v>
      </c>
      <c r="C1120" s="1" t="s">
        <v>25</v>
      </c>
      <c r="D1120" s="1">
        <v>0</v>
      </c>
      <c r="E1120" s="1">
        <v>0</v>
      </c>
      <c r="F1120" s="1">
        <v>-688.56</v>
      </c>
      <c r="G1120" s="1">
        <v>-13633.487999999999</v>
      </c>
      <c r="H1120" s="1">
        <v>3366.2930000000001</v>
      </c>
      <c r="I1120" s="1">
        <v>0</v>
      </c>
    </row>
    <row r="1121" spans="1:9" hidden="1" x14ac:dyDescent="0.25">
      <c r="A1121" s="1" t="s">
        <v>24</v>
      </c>
      <c r="B1121" s="1" t="s">
        <v>166</v>
      </c>
      <c r="C1121" s="1" t="s">
        <v>10</v>
      </c>
      <c r="D1121" s="1">
        <v>0</v>
      </c>
      <c r="E1121" s="1">
        <v>0</v>
      </c>
      <c r="F1121" s="1">
        <v>-688.56</v>
      </c>
      <c r="G1121" s="1">
        <v>-13633.487999999999</v>
      </c>
      <c r="H1121" s="1">
        <v>6120.5330000000004</v>
      </c>
      <c r="I1121" s="1">
        <v>0</v>
      </c>
    </row>
    <row r="1122" spans="1:9" hidden="1" x14ac:dyDescent="0.25">
      <c r="A1122" s="1" t="s">
        <v>24</v>
      </c>
      <c r="B1122" s="1" t="s">
        <v>167</v>
      </c>
      <c r="C1122" s="1" t="s">
        <v>25</v>
      </c>
      <c r="D1122" s="1">
        <v>0</v>
      </c>
      <c r="E1122" s="1">
        <v>0</v>
      </c>
      <c r="F1122" s="1">
        <v>-688.56</v>
      </c>
      <c r="G1122" s="1">
        <v>-11154.672</v>
      </c>
      <c r="H1122" s="1">
        <v>3366.2930000000001</v>
      </c>
      <c r="I1122" s="1">
        <v>0</v>
      </c>
    </row>
    <row r="1123" spans="1:9" hidden="1" x14ac:dyDescent="0.25">
      <c r="A1123" s="1" t="s">
        <v>24</v>
      </c>
      <c r="B1123" s="1" t="s">
        <v>167</v>
      </c>
      <c r="C1123" s="1" t="s">
        <v>10</v>
      </c>
      <c r="D1123" s="1">
        <v>0</v>
      </c>
      <c r="E1123" s="1">
        <v>0</v>
      </c>
      <c r="F1123" s="1">
        <v>-688.56</v>
      </c>
      <c r="G1123" s="1">
        <v>-11154.672</v>
      </c>
      <c r="H1123" s="1">
        <v>6120.5330000000004</v>
      </c>
      <c r="I1123" s="1">
        <v>0</v>
      </c>
    </row>
    <row r="1124" spans="1:9" hidden="1" x14ac:dyDescent="0.25">
      <c r="A1124" s="1" t="s">
        <v>24</v>
      </c>
      <c r="B1124" s="1" t="s">
        <v>168</v>
      </c>
      <c r="C1124" s="1" t="s">
        <v>25</v>
      </c>
      <c r="D1124" s="1">
        <v>0</v>
      </c>
      <c r="E1124" s="1">
        <v>0</v>
      </c>
      <c r="F1124" s="1">
        <v>688.56</v>
      </c>
      <c r="G1124" s="1">
        <v>13633.487999999999</v>
      </c>
      <c r="H1124" s="1">
        <v>-3366.2930000000001</v>
      </c>
      <c r="I1124" s="1">
        <v>0</v>
      </c>
    </row>
    <row r="1125" spans="1:9" hidden="1" x14ac:dyDescent="0.25">
      <c r="A1125" s="1" t="s">
        <v>24</v>
      </c>
      <c r="B1125" s="1" t="s">
        <v>168</v>
      </c>
      <c r="C1125" s="1" t="s">
        <v>10</v>
      </c>
      <c r="D1125" s="1">
        <v>0</v>
      </c>
      <c r="E1125" s="1">
        <v>0</v>
      </c>
      <c r="F1125" s="1">
        <v>688.56</v>
      </c>
      <c r="G1125" s="1">
        <v>13633.487999999999</v>
      </c>
      <c r="H1125" s="1">
        <v>-6120.5330000000004</v>
      </c>
      <c r="I1125" s="1">
        <v>0</v>
      </c>
    </row>
    <row r="1126" spans="1:9" hidden="1" x14ac:dyDescent="0.25">
      <c r="A1126" s="1" t="s">
        <v>24</v>
      </c>
      <c r="B1126" s="1" t="s">
        <v>169</v>
      </c>
      <c r="C1126" s="1" t="s">
        <v>25</v>
      </c>
      <c r="D1126" s="1">
        <v>0</v>
      </c>
      <c r="E1126" s="1">
        <v>0</v>
      </c>
      <c r="F1126" s="1">
        <v>688.56</v>
      </c>
      <c r="G1126" s="1">
        <v>11154.672</v>
      </c>
      <c r="H1126" s="1">
        <v>-3366.2930000000001</v>
      </c>
      <c r="I1126" s="1">
        <v>0</v>
      </c>
    </row>
    <row r="1127" spans="1:9" hidden="1" x14ac:dyDescent="0.25">
      <c r="A1127" s="1" t="s">
        <v>24</v>
      </c>
      <c r="B1127" s="1" t="s">
        <v>169</v>
      </c>
      <c r="C1127" s="1" t="s">
        <v>10</v>
      </c>
      <c r="D1127" s="1">
        <v>0</v>
      </c>
      <c r="E1127" s="1">
        <v>0</v>
      </c>
      <c r="F1127" s="1">
        <v>688.56</v>
      </c>
      <c r="G1127" s="1">
        <v>11154.672</v>
      </c>
      <c r="H1127" s="1">
        <v>-6120.5330000000004</v>
      </c>
      <c r="I1127" s="1">
        <v>0</v>
      </c>
    </row>
    <row r="1128" spans="1:9" hidden="1" x14ac:dyDescent="0.25">
      <c r="A1128" s="1" t="s">
        <v>24</v>
      </c>
      <c r="B1128" s="1" t="s">
        <v>170</v>
      </c>
      <c r="C1128" s="1" t="s">
        <v>25</v>
      </c>
      <c r="D1128" s="1">
        <v>0</v>
      </c>
      <c r="E1128" s="1">
        <v>-569.64</v>
      </c>
      <c r="F1128" s="1">
        <v>0</v>
      </c>
      <c r="G1128" s="1">
        <v>9399.1149999999998</v>
      </c>
      <c r="H1128" s="1">
        <v>0</v>
      </c>
      <c r="I1128" s="1">
        <v>-2784.9229999999998</v>
      </c>
    </row>
    <row r="1129" spans="1:9" hidden="1" x14ac:dyDescent="0.25">
      <c r="A1129" s="1" t="s">
        <v>24</v>
      </c>
      <c r="B1129" s="1" t="s">
        <v>170</v>
      </c>
      <c r="C1129" s="1" t="s">
        <v>10</v>
      </c>
      <c r="D1129" s="1">
        <v>0</v>
      </c>
      <c r="E1129" s="1">
        <v>-569.64</v>
      </c>
      <c r="F1129" s="1">
        <v>0</v>
      </c>
      <c r="G1129" s="1">
        <v>9399.1149999999998</v>
      </c>
      <c r="H1129" s="1">
        <v>0</v>
      </c>
      <c r="I1129" s="1">
        <v>-5063.4960000000001</v>
      </c>
    </row>
    <row r="1130" spans="1:9" hidden="1" x14ac:dyDescent="0.25">
      <c r="A1130" s="1" t="s">
        <v>24</v>
      </c>
      <c r="B1130" s="1" t="s">
        <v>171</v>
      </c>
      <c r="C1130" s="1" t="s">
        <v>25</v>
      </c>
      <c r="D1130" s="1">
        <v>0</v>
      </c>
      <c r="E1130" s="1">
        <v>-569.64</v>
      </c>
      <c r="F1130" s="1">
        <v>0</v>
      </c>
      <c r="G1130" s="1">
        <v>7690.1850000000004</v>
      </c>
      <c r="H1130" s="1">
        <v>0</v>
      </c>
      <c r="I1130" s="1">
        <v>-2784.9229999999998</v>
      </c>
    </row>
    <row r="1131" spans="1:9" hidden="1" x14ac:dyDescent="0.25">
      <c r="A1131" s="1" t="s">
        <v>24</v>
      </c>
      <c r="B1131" s="1" t="s">
        <v>171</v>
      </c>
      <c r="C1131" s="1" t="s">
        <v>10</v>
      </c>
      <c r="D1131" s="1">
        <v>0</v>
      </c>
      <c r="E1131" s="1">
        <v>-569.64</v>
      </c>
      <c r="F1131" s="1">
        <v>0</v>
      </c>
      <c r="G1131" s="1">
        <v>7690.1850000000004</v>
      </c>
      <c r="H1131" s="1">
        <v>0</v>
      </c>
      <c r="I1131" s="1">
        <v>-5063.4960000000001</v>
      </c>
    </row>
    <row r="1132" spans="1:9" hidden="1" x14ac:dyDescent="0.25">
      <c r="A1132" s="1" t="s">
        <v>24</v>
      </c>
      <c r="B1132" s="1" t="s">
        <v>172</v>
      </c>
      <c r="C1132" s="1" t="s">
        <v>25</v>
      </c>
      <c r="D1132" s="1">
        <v>0</v>
      </c>
      <c r="E1132" s="1">
        <v>569.64</v>
      </c>
      <c r="F1132" s="1">
        <v>0</v>
      </c>
      <c r="G1132" s="1">
        <v>-9399.1149999999998</v>
      </c>
      <c r="H1132" s="1">
        <v>0</v>
      </c>
      <c r="I1132" s="1">
        <v>2784.9229999999998</v>
      </c>
    </row>
    <row r="1133" spans="1:9" hidden="1" x14ac:dyDescent="0.25">
      <c r="A1133" s="1" t="s">
        <v>24</v>
      </c>
      <c r="B1133" s="1" t="s">
        <v>172</v>
      </c>
      <c r="C1133" s="1" t="s">
        <v>10</v>
      </c>
      <c r="D1133" s="1">
        <v>0</v>
      </c>
      <c r="E1133" s="1">
        <v>569.64</v>
      </c>
      <c r="F1133" s="1">
        <v>0</v>
      </c>
      <c r="G1133" s="1">
        <v>-9399.1149999999998</v>
      </c>
      <c r="H1133" s="1">
        <v>0</v>
      </c>
      <c r="I1133" s="1">
        <v>5063.4960000000001</v>
      </c>
    </row>
    <row r="1134" spans="1:9" hidden="1" x14ac:dyDescent="0.25">
      <c r="A1134" s="1" t="s">
        <v>24</v>
      </c>
      <c r="B1134" s="1" t="s">
        <v>173</v>
      </c>
      <c r="C1134" s="1" t="s">
        <v>25</v>
      </c>
      <c r="D1134" s="1">
        <v>0</v>
      </c>
      <c r="E1134" s="1">
        <v>569.64</v>
      </c>
      <c r="F1134" s="1">
        <v>0</v>
      </c>
      <c r="G1134" s="1">
        <v>-7690.1850000000004</v>
      </c>
      <c r="H1134" s="1">
        <v>0</v>
      </c>
      <c r="I1134" s="1">
        <v>2784.9229999999998</v>
      </c>
    </row>
    <row r="1135" spans="1:9" hidden="1" x14ac:dyDescent="0.25">
      <c r="A1135" s="1" t="s">
        <v>24</v>
      </c>
      <c r="B1135" s="1" t="s">
        <v>173</v>
      </c>
      <c r="C1135" s="1" t="s">
        <v>10</v>
      </c>
      <c r="D1135" s="1">
        <v>0</v>
      </c>
      <c r="E1135" s="1">
        <v>569.64</v>
      </c>
      <c r="F1135" s="1">
        <v>0</v>
      </c>
      <c r="G1135" s="1">
        <v>-7690.1850000000004</v>
      </c>
      <c r="H1135" s="1">
        <v>0</v>
      </c>
      <c r="I1135" s="1">
        <v>5063.4960000000001</v>
      </c>
    </row>
    <row r="1136" spans="1:9" hidden="1" x14ac:dyDescent="0.25">
      <c r="A1136" s="1" t="s">
        <v>24</v>
      </c>
      <c r="B1136" s="1" t="s">
        <v>174</v>
      </c>
      <c r="C1136" s="1" t="s">
        <v>25</v>
      </c>
      <c r="D1136" s="1">
        <v>0</v>
      </c>
      <c r="E1136" s="1">
        <v>0</v>
      </c>
      <c r="F1136" s="1">
        <v>-688.56</v>
      </c>
      <c r="G1136" s="1">
        <v>-13633.487999999999</v>
      </c>
      <c r="H1136" s="1">
        <v>3366.2930000000001</v>
      </c>
      <c r="I1136" s="1">
        <v>0</v>
      </c>
    </row>
    <row r="1137" spans="1:9" hidden="1" x14ac:dyDescent="0.25">
      <c r="A1137" s="1" t="s">
        <v>24</v>
      </c>
      <c r="B1137" s="1" t="s">
        <v>174</v>
      </c>
      <c r="C1137" s="1" t="s">
        <v>10</v>
      </c>
      <c r="D1137" s="1">
        <v>0</v>
      </c>
      <c r="E1137" s="1">
        <v>0</v>
      </c>
      <c r="F1137" s="1">
        <v>-688.56</v>
      </c>
      <c r="G1137" s="1">
        <v>-13633.487999999999</v>
      </c>
      <c r="H1137" s="1">
        <v>6120.5330000000004</v>
      </c>
      <c r="I1137" s="1">
        <v>0</v>
      </c>
    </row>
    <row r="1138" spans="1:9" hidden="1" x14ac:dyDescent="0.25">
      <c r="A1138" s="1" t="s">
        <v>24</v>
      </c>
      <c r="B1138" s="1" t="s">
        <v>175</v>
      </c>
      <c r="C1138" s="1" t="s">
        <v>25</v>
      </c>
      <c r="D1138" s="1">
        <v>0</v>
      </c>
      <c r="E1138" s="1">
        <v>0</v>
      </c>
      <c r="F1138" s="1">
        <v>-688.56</v>
      </c>
      <c r="G1138" s="1">
        <v>-11154.672</v>
      </c>
      <c r="H1138" s="1">
        <v>3366.2930000000001</v>
      </c>
      <c r="I1138" s="1">
        <v>0</v>
      </c>
    </row>
    <row r="1139" spans="1:9" hidden="1" x14ac:dyDescent="0.25">
      <c r="A1139" s="1" t="s">
        <v>24</v>
      </c>
      <c r="B1139" s="1" t="s">
        <v>175</v>
      </c>
      <c r="C1139" s="1" t="s">
        <v>10</v>
      </c>
      <c r="D1139" s="1">
        <v>0</v>
      </c>
      <c r="E1139" s="1">
        <v>0</v>
      </c>
      <c r="F1139" s="1">
        <v>-688.56</v>
      </c>
      <c r="G1139" s="1">
        <v>-11154.672</v>
      </c>
      <c r="H1139" s="1">
        <v>6120.5330000000004</v>
      </c>
      <c r="I1139" s="1">
        <v>0</v>
      </c>
    </row>
    <row r="1140" spans="1:9" hidden="1" x14ac:dyDescent="0.25">
      <c r="A1140" s="1" t="s">
        <v>24</v>
      </c>
      <c r="B1140" s="1" t="s">
        <v>176</v>
      </c>
      <c r="C1140" s="1" t="s">
        <v>25</v>
      </c>
      <c r="D1140" s="1">
        <v>0</v>
      </c>
      <c r="E1140" s="1">
        <v>0</v>
      </c>
      <c r="F1140" s="1">
        <v>688.56</v>
      </c>
      <c r="G1140" s="1">
        <v>13633.487999999999</v>
      </c>
      <c r="H1140" s="1">
        <v>-3366.2930000000001</v>
      </c>
      <c r="I1140" s="1">
        <v>0</v>
      </c>
    </row>
    <row r="1141" spans="1:9" hidden="1" x14ac:dyDescent="0.25">
      <c r="A1141" s="1" t="s">
        <v>24</v>
      </c>
      <c r="B1141" s="1" t="s">
        <v>176</v>
      </c>
      <c r="C1141" s="1" t="s">
        <v>10</v>
      </c>
      <c r="D1141" s="1">
        <v>0</v>
      </c>
      <c r="E1141" s="1">
        <v>0</v>
      </c>
      <c r="F1141" s="1">
        <v>688.56</v>
      </c>
      <c r="G1141" s="1">
        <v>13633.487999999999</v>
      </c>
      <c r="H1141" s="1">
        <v>-6120.5330000000004</v>
      </c>
      <c r="I1141" s="1">
        <v>0</v>
      </c>
    </row>
    <row r="1142" spans="1:9" hidden="1" x14ac:dyDescent="0.25">
      <c r="A1142" s="1" t="s">
        <v>24</v>
      </c>
      <c r="B1142" s="1" t="s">
        <v>177</v>
      </c>
      <c r="C1142" s="1" t="s">
        <v>25</v>
      </c>
      <c r="D1142" s="1">
        <v>0</v>
      </c>
      <c r="E1142" s="1">
        <v>0</v>
      </c>
      <c r="F1142" s="1">
        <v>688.56</v>
      </c>
      <c r="G1142" s="1">
        <v>11154.672</v>
      </c>
      <c r="H1142" s="1">
        <v>-3366.2930000000001</v>
      </c>
      <c r="I1142" s="1">
        <v>0</v>
      </c>
    </row>
    <row r="1143" spans="1:9" hidden="1" x14ac:dyDescent="0.25">
      <c r="A1143" s="1" t="s">
        <v>24</v>
      </c>
      <c r="B1143" s="1" t="s">
        <v>177</v>
      </c>
      <c r="C1143" s="1" t="s">
        <v>10</v>
      </c>
      <c r="D1143" s="1">
        <v>0</v>
      </c>
      <c r="E1143" s="1">
        <v>0</v>
      </c>
      <c r="F1143" s="1">
        <v>688.56</v>
      </c>
      <c r="G1143" s="1">
        <v>11154.672</v>
      </c>
      <c r="H1143" s="1">
        <v>-6120.5330000000004</v>
      </c>
      <c r="I1143" s="1">
        <v>0</v>
      </c>
    </row>
    <row r="1144" spans="1:9" hidden="1" x14ac:dyDescent="0.25">
      <c r="A1144" s="1" t="s">
        <v>24</v>
      </c>
      <c r="B1144" s="1" t="s">
        <v>178</v>
      </c>
      <c r="C1144" s="1" t="s">
        <v>25</v>
      </c>
      <c r="D1144" s="1">
        <v>0</v>
      </c>
      <c r="E1144" s="1">
        <v>-170.89</v>
      </c>
      <c r="F1144" s="1">
        <v>0</v>
      </c>
      <c r="G1144" s="1">
        <v>2819.7339999999999</v>
      </c>
      <c r="H1144" s="1">
        <v>0</v>
      </c>
      <c r="I1144" s="1">
        <v>-835.47699999999998</v>
      </c>
    </row>
    <row r="1145" spans="1:9" hidden="1" x14ac:dyDescent="0.25">
      <c r="A1145" s="1" t="s">
        <v>24</v>
      </c>
      <c r="B1145" s="1" t="s">
        <v>178</v>
      </c>
      <c r="C1145" s="1" t="s">
        <v>10</v>
      </c>
      <c r="D1145" s="1">
        <v>0</v>
      </c>
      <c r="E1145" s="1">
        <v>-170.89</v>
      </c>
      <c r="F1145" s="1">
        <v>0</v>
      </c>
      <c r="G1145" s="1">
        <v>2819.7339999999999</v>
      </c>
      <c r="H1145" s="1">
        <v>0</v>
      </c>
      <c r="I1145" s="1">
        <v>-1519.049</v>
      </c>
    </row>
    <row r="1146" spans="1:9" hidden="1" x14ac:dyDescent="0.25">
      <c r="A1146" s="1" t="s">
        <v>24</v>
      </c>
      <c r="B1146" s="1" t="s">
        <v>179</v>
      </c>
      <c r="C1146" s="1" t="s">
        <v>25</v>
      </c>
      <c r="D1146" s="1">
        <v>0</v>
      </c>
      <c r="E1146" s="1">
        <v>-170.89</v>
      </c>
      <c r="F1146" s="1">
        <v>0</v>
      </c>
      <c r="G1146" s="1">
        <v>2307.0549999999998</v>
      </c>
      <c r="H1146" s="1">
        <v>0</v>
      </c>
      <c r="I1146" s="1">
        <v>-835.47699999999998</v>
      </c>
    </row>
    <row r="1147" spans="1:9" hidden="1" x14ac:dyDescent="0.25">
      <c r="A1147" s="1" t="s">
        <v>24</v>
      </c>
      <c r="B1147" s="1" t="s">
        <v>179</v>
      </c>
      <c r="C1147" s="1" t="s">
        <v>10</v>
      </c>
      <c r="D1147" s="1">
        <v>0</v>
      </c>
      <c r="E1147" s="1">
        <v>-170.89</v>
      </c>
      <c r="F1147" s="1">
        <v>0</v>
      </c>
      <c r="G1147" s="1">
        <v>2307.0549999999998</v>
      </c>
      <c r="H1147" s="1">
        <v>0</v>
      </c>
      <c r="I1147" s="1">
        <v>-1519.049</v>
      </c>
    </row>
    <row r="1148" spans="1:9" hidden="1" x14ac:dyDescent="0.25">
      <c r="A1148" s="1" t="s">
        <v>24</v>
      </c>
      <c r="B1148" s="1" t="s">
        <v>180</v>
      </c>
      <c r="C1148" s="1" t="s">
        <v>25</v>
      </c>
      <c r="D1148" s="1">
        <v>0</v>
      </c>
      <c r="E1148" s="1">
        <v>170.89</v>
      </c>
      <c r="F1148" s="1">
        <v>0</v>
      </c>
      <c r="G1148" s="1">
        <v>-2819.7339999999999</v>
      </c>
      <c r="H1148" s="1">
        <v>0</v>
      </c>
      <c r="I1148" s="1">
        <v>835.47699999999998</v>
      </c>
    </row>
    <row r="1149" spans="1:9" hidden="1" x14ac:dyDescent="0.25">
      <c r="A1149" s="1" t="s">
        <v>24</v>
      </c>
      <c r="B1149" s="1" t="s">
        <v>180</v>
      </c>
      <c r="C1149" s="1" t="s">
        <v>10</v>
      </c>
      <c r="D1149" s="1">
        <v>0</v>
      </c>
      <c r="E1149" s="1">
        <v>170.89</v>
      </c>
      <c r="F1149" s="1">
        <v>0</v>
      </c>
      <c r="G1149" s="1">
        <v>-2819.7339999999999</v>
      </c>
      <c r="H1149" s="1">
        <v>0</v>
      </c>
      <c r="I1149" s="1">
        <v>1519.049</v>
      </c>
    </row>
    <row r="1150" spans="1:9" hidden="1" x14ac:dyDescent="0.25">
      <c r="A1150" s="1" t="s">
        <v>24</v>
      </c>
      <c r="B1150" s="1" t="s">
        <v>181</v>
      </c>
      <c r="C1150" s="1" t="s">
        <v>25</v>
      </c>
      <c r="D1150" s="1">
        <v>0</v>
      </c>
      <c r="E1150" s="1">
        <v>170.89</v>
      </c>
      <c r="F1150" s="1">
        <v>0</v>
      </c>
      <c r="G1150" s="1">
        <v>-2307.0549999999998</v>
      </c>
      <c r="H1150" s="1">
        <v>0</v>
      </c>
      <c r="I1150" s="1">
        <v>835.47699999999998</v>
      </c>
    </row>
    <row r="1151" spans="1:9" hidden="1" x14ac:dyDescent="0.25">
      <c r="A1151" s="1" t="s">
        <v>24</v>
      </c>
      <c r="B1151" s="1" t="s">
        <v>181</v>
      </c>
      <c r="C1151" s="1" t="s">
        <v>10</v>
      </c>
      <c r="D1151" s="1">
        <v>0</v>
      </c>
      <c r="E1151" s="1">
        <v>170.89</v>
      </c>
      <c r="F1151" s="1">
        <v>0</v>
      </c>
      <c r="G1151" s="1">
        <v>-2307.0549999999998</v>
      </c>
      <c r="H1151" s="1">
        <v>0</v>
      </c>
      <c r="I1151" s="1">
        <v>1519.049</v>
      </c>
    </row>
    <row r="1152" spans="1:9" hidden="1" x14ac:dyDescent="0.25">
      <c r="A1152" s="1" t="s">
        <v>24</v>
      </c>
      <c r="B1152" s="1" t="s">
        <v>182</v>
      </c>
      <c r="C1152" s="1" t="s">
        <v>25</v>
      </c>
      <c r="D1152" s="1">
        <v>0</v>
      </c>
      <c r="E1152" s="1">
        <v>0</v>
      </c>
      <c r="F1152" s="1">
        <v>-206.57</v>
      </c>
      <c r="G1152" s="1">
        <v>-4090.0459999999998</v>
      </c>
      <c r="H1152" s="1">
        <v>1009.888</v>
      </c>
      <c r="I1152" s="1">
        <v>0</v>
      </c>
    </row>
    <row r="1153" spans="1:9" hidden="1" x14ac:dyDescent="0.25">
      <c r="A1153" s="1" t="s">
        <v>24</v>
      </c>
      <c r="B1153" s="1" t="s">
        <v>182</v>
      </c>
      <c r="C1153" s="1" t="s">
        <v>10</v>
      </c>
      <c r="D1153" s="1">
        <v>0</v>
      </c>
      <c r="E1153" s="1">
        <v>0</v>
      </c>
      <c r="F1153" s="1">
        <v>-206.57</v>
      </c>
      <c r="G1153" s="1">
        <v>-4090.0459999999998</v>
      </c>
      <c r="H1153" s="1">
        <v>1836.16</v>
      </c>
      <c r="I1153" s="1">
        <v>0</v>
      </c>
    </row>
    <row r="1154" spans="1:9" hidden="1" x14ac:dyDescent="0.25">
      <c r="A1154" s="1" t="s">
        <v>24</v>
      </c>
      <c r="B1154" s="1" t="s">
        <v>183</v>
      </c>
      <c r="C1154" s="1" t="s">
        <v>25</v>
      </c>
      <c r="D1154" s="1">
        <v>0</v>
      </c>
      <c r="E1154" s="1">
        <v>0</v>
      </c>
      <c r="F1154" s="1">
        <v>-206.57</v>
      </c>
      <c r="G1154" s="1">
        <v>-3346.4009999999998</v>
      </c>
      <c r="H1154" s="1">
        <v>1009.888</v>
      </c>
      <c r="I1154" s="1">
        <v>0</v>
      </c>
    </row>
    <row r="1155" spans="1:9" hidden="1" x14ac:dyDescent="0.25">
      <c r="A1155" s="1" t="s">
        <v>24</v>
      </c>
      <c r="B1155" s="1" t="s">
        <v>183</v>
      </c>
      <c r="C1155" s="1" t="s">
        <v>10</v>
      </c>
      <c r="D1155" s="1">
        <v>0</v>
      </c>
      <c r="E1155" s="1">
        <v>0</v>
      </c>
      <c r="F1155" s="1">
        <v>-206.57</v>
      </c>
      <c r="G1155" s="1">
        <v>-3346.4009999999998</v>
      </c>
      <c r="H1155" s="1">
        <v>1836.16</v>
      </c>
      <c r="I1155" s="1">
        <v>0</v>
      </c>
    </row>
    <row r="1156" spans="1:9" hidden="1" x14ac:dyDescent="0.25">
      <c r="A1156" s="1" t="s">
        <v>24</v>
      </c>
      <c r="B1156" s="1" t="s">
        <v>184</v>
      </c>
      <c r="C1156" s="1" t="s">
        <v>25</v>
      </c>
      <c r="D1156" s="1">
        <v>0</v>
      </c>
      <c r="E1156" s="1">
        <v>0</v>
      </c>
      <c r="F1156" s="1">
        <v>206.57</v>
      </c>
      <c r="G1156" s="1">
        <v>4090.0459999999998</v>
      </c>
      <c r="H1156" s="1">
        <v>-1009.888</v>
      </c>
      <c r="I1156" s="1">
        <v>0</v>
      </c>
    </row>
    <row r="1157" spans="1:9" hidden="1" x14ac:dyDescent="0.25">
      <c r="A1157" s="1" t="s">
        <v>24</v>
      </c>
      <c r="B1157" s="1" t="s">
        <v>184</v>
      </c>
      <c r="C1157" s="1" t="s">
        <v>10</v>
      </c>
      <c r="D1157" s="1">
        <v>0</v>
      </c>
      <c r="E1157" s="1">
        <v>0</v>
      </c>
      <c r="F1157" s="1">
        <v>206.57</v>
      </c>
      <c r="G1157" s="1">
        <v>4090.0459999999998</v>
      </c>
      <c r="H1157" s="1">
        <v>-1836.16</v>
      </c>
      <c r="I1157" s="1">
        <v>0</v>
      </c>
    </row>
    <row r="1158" spans="1:9" hidden="1" x14ac:dyDescent="0.25">
      <c r="A1158" s="1" t="s">
        <v>24</v>
      </c>
      <c r="B1158" s="1" t="s">
        <v>185</v>
      </c>
      <c r="C1158" s="1" t="s">
        <v>25</v>
      </c>
      <c r="D1158" s="1">
        <v>0</v>
      </c>
      <c r="E1158" s="1">
        <v>0</v>
      </c>
      <c r="F1158" s="1">
        <v>206.57</v>
      </c>
      <c r="G1158" s="1">
        <v>3346.4009999999998</v>
      </c>
      <c r="H1158" s="1">
        <v>-1009.888</v>
      </c>
      <c r="I1158" s="1">
        <v>0</v>
      </c>
    </row>
    <row r="1159" spans="1:9" hidden="1" x14ac:dyDescent="0.25">
      <c r="A1159" s="1" t="s">
        <v>24</v>
      </c>
      <c r="B1159" s="1" t="s">
        <v>185</v>
      </c>
      <c r="C1159" s="1" t="s">
        <v>10</v>
      </c>
      <c r="D1159" s="1">
        <v>0</v>
      </c>
      <c r="E1159" s="1">
        <v>0</v>
      </c>
      <c r="F1159" s="1">
        <v>206.57</v>
      </c>
      <c r="G1159" s="1">
        <v>3346.4009999999998</v>
      </c>
      <c r="H1159" s="1">
        <v>-1836.16</v>
      </c>
      <c r="I1159" s="1">
        <v>0</v>
      </c>
    </row>
    <row r="1160" spans="1:9" hidden="1" x14ac:dyDescent="0.25">
      <c r="A1160" s="1" t="s">
        <v>24</v>
      </c>
      <c r="B1160" s="1" t="s">
        <v>186</v>
      </c>
      <c r="C1160" s="1" t="s">
        <v>25</v>
      </c>
      <c r="D1160" s="1">
        <v>0</v>
      </c>
      <c r="E1160" s="1">
        <v>-170.89</v>
      </c>
      <c r="F1160" s="1">
        <v>0</v>
      </c>
      <c r="G1160" s="1">
        <v>2819.7339999999999</v>
      </c>
      <c r="H1160" s="1">
        <v>0</v>
      </c>
      <c r="I1160" s="1">
        <v>-835.47699999999998</v>
      </c>
    </row>
    <row r="1161" spans="1:9" hidden="1" x14ac:dyDescent="0.25">
      <c r="A1161" s="1" t="s">
        <v>24</v>
      </c>
      <c r="B1161" s="1" t="s">
        <v>186</v>
      </c>
      <c r="C1161" s="1" t="s">
        <v>10</v>
      </c>
      <c r="D1161" s="1">
        <v>0</v>
      </c>
      <c r="E1161" s="1">
        <v>-170.89</v>
      </c>
      <c r="F1161" s="1">
        <v>0</v>
      </c>
      <c r="G1161" s="1">
        <v>2819.7339999999999</v>
      </c>
      <c r="H1161" s="1">
        <v>0</v>
      </c>
      <c r="I1161" s="1">
        <v>-1519.049</v>
      </c>
    </row>
    <row r="1162" spans="1:9" hidden="1" x14ac:dyDescent="0.25">
      <c r="A1162" s="1" t="s">
        <v>24</v>
      </c>
      <c r="B1162" s="1" t="s">
        <v>187</v>
      </c>
      <c r="C1162" s="1" t="s">
        <v>25</v>
      </c>
      <c r="D1162" s="1">
        <v>0</v>
      </c>
      <c r="E1162" s="1">
        <v>-170.89</v>
      </c>
      <c r="F1162" s="1">
        <v>0</v>
      </c>
      <c r="G1162" s="1">
        <v>2307.0549999999998</v>
      </c>
      <c r="H1162" s="1">
        <v>0</v>
      </c>
      <c r="I1162" s="1">
        <v>-835.47699999999998</v>
      </c>
    </row>
    <row r="1163" spans="1:9" hidden="1" x14ac:dyDescent="0.25">
      <c r="A1163" s="1" t="s">
        <v>24</v>
      </c>
      <c r="B1163" s="1" t="s">
        <v>187</v>
      </c>
      <c r="C1163" s="1" t="s">
        <v>10</v>
      </c>
      <c r="D1163" s="1">
        <v>0</v>
      </c>
      <c r="E1163" s="1">
        <v>-170.89</v>
      </c>
      <c r="F1163" s="1">
        <v>0</v>
      </c>
      <c r="G1163" s="1">
        <v>2307.0549999999998</v>
      </c>
      <c r="H1163" s="1">
        <v>0</v>
      </c>
      <c r="I1163" s="1">
        <v>-1519.049</v>
      </c>
    </row>
    <row r="1164" spans="1:9" hidden="1" x14ac:dyDescent="0.25">
      <c r="A1164" s="1" t="s">
        <v>24</v>
      </c>
      <c r="B1164" s="1" t="s">
        <v>188</v>
      </c>
      <c r="C1164" s="1" t="s">
        <v>25</v>
      </c>
      <c r="D1164" s="1">
        <v>0</v>
      </c>
      <c r="E1164" s="1">
        <v>170.89</v>
      </c>
      <c r="F1164" s="1">
        <v>0</v>
      </c>
      <c r="G1164" s="1">
        <v>-2819.7339999999999</v>
      </c>
      <c r="H1164" s="1">
        <v>0</v>
      </c>
      <c r="I1164" s="1">
        <v>835.47699999999998</v>
      </c>
    </row>
    <row r="1165" spans="1:9" hidden="1" x14ac:dyDescent="0.25">
      <c r="A1165" s="1" t="s">
        <v>24</v>
      </c>
      <c r="B1165" s="1" t="s">
        <v>188</v>
      </c>
      <c r="C1165" s="1" t="s">
        <v>10</v>
      </c>
      <c r="D1165" s="1">
        <v>0</v>
      </c>
      <c r="E1165" s="1">
        <v>170.89</v>
      </c>
      <c r="F1165" s="1">
        <v>0</v>
      </c>
      <c r="G1165" s="1">
        <v>-2819.7339999999999</v>
      </c>
      <c r="H1165" s="1">
        <v>0</v>
      </c>
      <c r="I1165" s="1">
        <v>1519.049</v>
      </c>
    </row>
    <row r="1166" spans="1:9" hidden="1" x14ac:dyDescent="0.25">
      <c r="A1166" s="1" t="s">
        <v>24</v>
      </c>
      <c r="B1166" s="1" t="s">
        <v>189</v>
      </c>
      <c r="C1166" s="1" t="s">
        <v>25</v>
      </c>
      <c r="D1166" s="1">
        <v>0</v>
      </c>
      <c r="E1166" s="1">
        <v>170.89</v>
      </c>
      <c r="F1166" s="1">
        <v>0</v>
      </c>
      <c r="G1166" s="1">
        <v>-2307.0549999999998</v>
      </c>
      <c r="H1166" s="1">
        <v>0</v>
      </c>
      <c r="I1166" s="1">
        <v>835.47699999999998</v>
      </c>
    </row>
    <row r="1167" spans="1:9" hidden="1" x14ac:dyDescent="0.25">
      <c r="A1167" s="1" t="s">
        <v>24</v>
      </c>
      <c r="B1167" s="1" t="s">
        <v>189</v>
      </c>
      <c r="C1167" s="1" t="s">
        <v>10</v>
      </c>
      <c r="D1167" s="1">
        <v>0</v>
      </c>
      <c r="E1167" s="1">
        <v>170.89</v>
      </c>
      <c r="F1167" s="1">
        <v>0</v>
      </c>
      <c r="G1167" s="1">
        <v>-2307.0549999999998</v>
      </c>
      <c r="H1167" s="1">
        <v>0</v>
      </c>
      <c r="I1167" s="1">
        <v>1519.049</v>
      </c>
    </row>
    <row r="1168" spans="1:9" hidden="1" x14ac:dyDescent="0.25">
      <c r="A1168" s="1" t="s">
        <v>24</v>
      </c>
      <c r="B1168" s="1" t="s">
        <v>190</v>
      </c>
      <c r="C1168" s="1" t="s">
        <v>25</v>
      </c>
      <c r="D1168" s="1">
        <v>0</v>
      </c>
      <c r="E1168" s="1">
        <v>0</v>
      </c>
      <c r="F1168" s="1">
        <v>-206.57</v>
      </c>
      <c r="G1168" s="1">
        <v>-4090.0459999999998</v>
      </c>
      <c r="H1168" s="1">
        <v>1009.888</v>
      </c>
      <c r="I1168" s="1">
        <v>0</v>
      </c>
    </row>
    <row r="1169" spans="1:9" hidden="1" x14ac:dyDescent="0.25">
      <c r="A1169" s="1" t="s">
        <v>24</v>
      </c>
      <c r="B1169" s="1" t="s">
        <v>190</v>
      </c>
      <c r="C1169" s="1" t="s">
        <v>10</v>
      </c>
      <c r="D1169" s="1">
        <v>0</v>
      </c>
      <c r="E1169" s="1">
        <v>0</v>
      </c>
      <c r="F1169" s="1">
        <v>-206.57</v>
      </c>
      <c r="G1169" s="1">
        <v>-4090.0459999999998</v>
      </c>
      <c r="H1169" s="1">
        <v>1836.16</v>
      </c>
      <c r="I1169" s="1">
        <v>0</v>
      </c>
    </row>
    <row r="1170" spans="1:9" hidden="1" x14ac:dyDescent="0.25">
      <c r="A1170" s="1" t="s">
        <v>24</v>
      </c>
      <c r="B1170" s="1" t="s">
        <v>191</v>
      </c>
      <c r="C1170" s="1" t="s">
        <v>25</v>
      </c>
      <c r="D1170" s="1">
        <v>0</v>
      </c>
      <c r="E1170" s="1">
        <v>0</v>
      </c>
      <c r="F1170" s="1">
        <v>-206.57</v>
      </c>
      <c r="G1170" s="1">
        <v>-3346.4009999999998</v>
      </c>
      <c r="H1170" s="1">
        <v>1009.888</v>
      </c>
      <c r="I1170" s="1">
        <v>0</v>
      </c>
    </row>
    <row r="1171" spans="1:9" hidden="1" x14ac:dyDescent="0.25">
      <c r="A1171" s="1" t="s">
        <v>24</v>
      </c>
      <c r="B1171" s="1" t="s">
        <v>191</v>
      </c>
      <c r="C1171" s="1" t="s">
        <v>10</v>
      </c>
      <c r="D1171" s="1">
        <v>0</v>
      </c>
      <c r="E1171" s="1">
        <v>0</v>
      </c>
      <c r="F1171" s="1">
        <v>-206.57</v>
      </c>
      <c r="G1171" s="1">
        <v>-3346.4009999999998</v>
      </c>
      <c r="H1171" s="1">
        <v>1836.16</v>
      </c>
      <c r="I1171" s="1">
        <v>0</v>
      </c>
    </row>
    <row r="1172" spans="1:9" hidden="1" x14ac:dyDescent="0.25">
      <c r="A1172" s="1" t="s">
        <v>24</v>
      </c>
      <c r="B1172" s="1" t="s">
        <v>192</v>
      </c>
      <c r="C1172" s="1" t="s">
        <v>25</v>
      </c>
      <c r="D1172" s="1">
        <v>0</v>
      </c>
      <c r="E1172" s="1">
        <v>0</v>
      </c>
      <c r="F1172" s="1">
        <v>206.57</v>
      </c>
      <c r="G1172" s="1">
        <v>4090.0459999999998</v>
      </c>
      <c r="H1172" s="1">
        <v>-1009.888</v>
      </c>
      <c r="I1172" s="1">
        <v>0</v>
      </c>
    </row>
    <row r="1173" spans="1:9" hidden="1" x14ac:dyDescent="0.25">
      <c r="A1173" s="1" t="s">
        <v>24</v>
      </c>
      <c r="B1173" s="1" t="s">
        <v>192</v>
      </c>
      <c r="C1173" s="1" t="s">
        <v>10</v>
      </c>
      <c r="D1173" s="1">
        <v>0</v>
      </c>
      <c r="E1173" s="1">
        <v>0</v>
      </c>
      <c r="F1173" s="1">
        <v>206.57</v>
      </c>
      <c r="G1173" s="1">
        <v>4090.0459999999998</v>
      </c>
      <c r="H1173" s="1">
        <v>-1836.16</v>
      </c>
      <c r="I1173" s="1">
        <v>0</v>
      </c>
    </row>
    <row r="1174" spans="1:9" hidden="1" x14ac:dyDescent="0.25">
      <c r="A1174" s="1" t="s">
        <v>24</v>
      </c>
      <c r="B1174" s="1" t="s">
        <v>193</v>
      </c>
      <c r="C1174" s="1" t="s">
        <v>25</v>
      </c>
      <c r="D1174" s="1">
        <v>0</v>
      </c>
      <c r="E1174" s="1">
        <v>0</v>
      </c>
      <c r="F1174" s="1">
        <v>206.57</v>
      </c>
      <c r="G1174" s="1">
        <v>3346.4009999999998</v>
      </c>
      <c r="H1174" s="1">
        <v>-1009.888</v>
      </c>
      <c r="I1174" s="1">
        <v>0</v>
      </c>
    </row>
    <row r="1175" spans="1:9" hidden="1" x14ac:dyDescent="0.25">
      <c r="A1175" s="1" t="s">
        <v>24</v>
      </c>
      <c r="B1175" s="1" t="s">
        <v>193</v>
      </c>
      <c r="C1175" s="1" t="s">
        <v>10</v>
      </c>
      <c r="D1175" s="1">
        <v>0</v>
      </c>
      <c r="E1175" s="1">
        <v>0</v>
      </c>
      <c r="F1175" s="1">
        <v>206.57</v>
      </c>
      <c r="G1175" s="1">
        <v>3346.4009999999998</v>
      </c>
      <c r="H1175" s="1">
        <v>-1836.16</v>
      </c>
      <c r="I1175" s="1">
        <v>0</v>
      </c>
    </row>
    <row r="1176" spans="1:9" hidden="1" x14ac:dyDescent="0.25">
      <c r="A1176" s="1" t="s">
        <v>24</v>
      </c>
      <c r="B1176" s="1" t="s">
        <v>194</v>
      </c>
      <c r="C1176" s="1" t="s">
        <v>25</v>
      </c>
      <c r="D1176" s="1">
        <v>0</v>
      </c>
      <c r="E1176" s="1">
        <v>-569.64</v>
      </c>
      <c r="F1176" s="1">
        <v>0</v>
      </c>
      <c r="G1176" s="1">
        <v>9399.1149999999998</v>
      </c>
      <c r="H1176" s="1">
        <v>0</v>
      </c>
      <c r="I1176" s="1">
        <v>-2784.9229999999998</v>
      </c>
    </row>
    <row r="1177" spans="1:9" hidden="1" x14ac:dyDescent="0.25">
      <c r="A1177" s="1" t="s">
        <v>24</v>
      </c>
      <c r="B1177" s="1" t="s">
        <v>194</v>
      </c>
      <c r="C1177" s="1" t="s">
        <v>10</v>
      </c>
      <c r="D1177" s="1">
        <v>0</v>
      </c>
      <c r="E1177" s="1">
        <v>-569.64</v>
      </c>
      <c r="F1177" s="1">
        <v>0</v>
      </c>
      <c r="G1177" s="1">
        <v>9399.1149999999998</v>
      </c>
      <c r="H1177" s="1">
        <v>0</v>
      </c>
      <c r="I1177" s="1">
        <v>-5063.4960000000001</v>
      </c>
    </row>
    <row r="1178" spans="1:9" hidden="1" x14ac:dyDescent="0.25">
      <c r="A1178" s="1" t="s">
        <v>24</v>
      </c>
      <c r="B1178" s="1" t="s">
        <v>195</v>
      </c>
      <c r="C1178" s="1" t="s">
        <v>25</v>
      </c>
      <c r="D1178" s="1">
        <v>0</v>
      </c>
      <c r="E1178" s="1">
        <v>-569.64</v>
      </c>
      <c r="F1178" s="1">
        <v>0</v>
      </c>
      <c r="G1178" s="1">
        <v>7690.1850000000004</v>
      </c>
      <c r="H1178" s="1">
        <v>0</v>
      </c>
      <c r="I1178" s="1">
        <v>-2784.9229999999998</v>
      </c>
    </row>
    <row r="1179" spans="1:9" hidden="1" x14ac:dyDescent="0.25">
      <c r="A1179" s="1" t="s">
        <v>24</v>
      </c>
      <c r="B1179" s="1" t="s">
        <v>195</v>
      </c>
      <c r="C1179" s="1" t="s">
        <v>10</v>
      </c>
      <c r="D1179" s="1">
        <v>0</v>
      </c>
      <c r="E1179" s="1">
        <v>-569.64</v>
      </c>
      <c r="F1179" s="1">
        <v>0</v>
      </c>
      <c r="G1179" s="1">
        <v>7690.1850000000004</v>
      </c>
      <c r="H1179" s="1">
        <v>0</v>
      </c>
      <c r="I1179" s="1">
        <v>-5063.4960000000001</v>
      </c>
    </row>
    <row r="1180" spans="1:9" hidden="1" x14ac:dyDescent="0.25">
      <c r="A1180" s="1" t="s">
        <v>24</v>
      </c>
      <c r="B1180" s="1" t="s">
        <v>196</v>
      </c>
      <c r="C1180" s="1" t="s">
        <v>25</v>
      </c>
      <c r="D1180" s="1">
        <v>0</v>
      </c>
      <c r="E1180" s="1">
        <v>569.64</v>
      </c>
      <c r="F1180" s="1">
        <v>0</v>
      </c>
      <c r="G1180" s="1">
        <v>-9399.1149999999998</v>
      </c>
      <c r="H1180" s="1">
        <v>0</v>
      </c>
      <c r="I1180" s="1">
        <v>2784.9229999999998</v>
      </c>
    </row>
    <row r="1181" spans="1:9" hidden="1" x14ac:dyDescent="0.25">
      <c r="A1181" s="1" t="s">
        <v>24</v>
      </c>
      <c r="B1181" s="1" t="s">
        <v>196</v>
      </c>
      <c r="C1181" s="1" t="s">
        <v>10</v>
      </c>
      <c r="D1181" s="1">
        <v>0</v>
      </c>
      <c r="E1181" s="1">
        <v>569.64</v>
      </c>
      <c r="F1181" s="1">
        <v>0</v>
      </c>
      <c r="G1181" s="1">
        <v>-9399.1149999999998</v>
      </c>
      <c r="H1181" s="1">
        <v>0</v>
      </c>
      <c r="I1181" s="1">
        <v>5063.4960000000001</v>
      </c>
    </row>
    <row r="1182" spans="1:9" hidden="1" x14ac:dyDescent="0.25">
      <c r="A1182" s="1" t="s">
        <v>24</v>
      </c>
      <c r="B1182" s="1" t="s">
        <v>197</v>
      </c>
      <c r="C1182" s="1" t="s">
        <v>25</v>
      </c>
      <c r="D1182" s="1">
        <v>0</v>
      </c>
      <c r="E1182" s="1">
        <v>569.64</v>
      </c>
      <c r="F1182" s="1">
        <v>0</v>
      </c>
      <c r="G1182" s="1">
        <v>-7690.1850000000004</v>
      </c>
      <c r="H1182" s="1">
        <v>0</v>
      </c>
      <c r="I1182" s="1">
        <v>2784.9229999999998</v>
      </c>
    </row>
    <row r="1183" spans="1:9" hidden="1" x14ac:dyDescent="0.25">
      <c r="A1183" s="1" t="s">
        <v>24</v>
      </c>
      <c r="B1183" s="1" t="s">
        <v>197</v>
      </c>
      <c r="C1183" s="1" t="s">
        <v>10</v>
      </c>
      <c r="D1183" s="1">
        <v>0</v>
      </c>
      <c r="E1183" s="1">
        <v>569.64</v>
      </c>
      <c r="F1183" s="1">
        <v>0</v>
      </c>
      <c r="G1183" s="1">
        <v>-7690.1850000000004</v>
      </c>
      <c r="H1183" s="1">
        <v>0</v>
      </c>
      <c r="I1183" s="1">
        <v>5063.4960000000001</v>
      </c>
    </row>
    <row r="1184" spans="1:9" hidden="1" x14ac:dyDescent="0.25">
      <c r="A1184" s="1" t="s">
        <v>24</v>
      </c>
      <c r="B1184" s="1" t="s">
        <v>198</v>
      </c>
      <c r="C1184" s="1" t="s">
        <v>25</v>
      </c>
      <c r="D1184" s="1">
        <v>0</v>
      </c>
      <c r="E1184" s="1">
        <v>0</v>
      </c>
      <c r="F1184" s="1">
        <v>-688.56</v>
      </c>
      <c r="G1184" s="1">
        <v>-13633.487999999999</v>
      </c>
      <c r="H1184" s="1">
        <v>3366.2930000000001</v>
      </c>
      <c r="I1184" s="1">
        <v>0</v>
      </c>
    </row>
    <row r="1185" spans="1:9" hidden="1" x14ac:dyDescent="0.25">
      <c r="A1185" s="1" t="s">
        <v>24</v>
      </c>
      <c r="B1185" s="1" t="s">
        <v>198</v>
      </c>
      <c r="C1185" s="1" t="s">
        <v>10</v>
      </c>
      <c r="D1185" s="1">
        <v>0</v>
      </c>
      <c r="E1185" s="1">
        <v>0</v>
      </c>
      <c r="F1185" s="1">
        <v>-688.56</v>
      </c>
      <c r="G1185" s="1">
        <v>-13633.487999999999</v>
      </c>
      <c r="H1185" s="1">
        <v>6120.5330000000004</v>
      </c>
      <c r="I1185" s="1">
        <v>0</v>
      </c>
    </row>
    <row r="1186" spans="1:9" hidden="1" x14ac:dyDescent="0.25">
      <c r="A1186" s="1" t="s">
        <v>24</v>
      </c>
      <c r="B1186" s="1" t="s">
        <v>199</v>
      </c>
      <c r="C1186" s="1" t="s">
        <v>25</v>
      </c>
      <c r="D1186" s="1">
        <v>0</v>
      </c>
      <c r="E1186" s="1">
        <v>0</v>
      </c>
      <c r="F1186" s="1">
        <v>-688.56</v>
      </c>
      <c r="G1186" s="1">
        <v>-11154.672</v>
      </c>
      <c r="H1186" s="1">
        <v>3366.2930000000001</v>
      </c>
      <c r="I1186" s="1">
        <v>0</v>
      </c>
    </row>
    <row r="1187" spans="1:9" hidden="1" x14ac:dyDescent="0.25">
      <c r="A1187" s="1" t="s">
        <v>24</v>
      </c>
      <c r="B1187" s="1" t="s">
        <v>199</v>
      </c>
      <c r="C1187" s="1" t="s">
        <v>10</v>
      </c>
      <c r="D1187" s="1">
        <v>0</v>
      </c>
      <c r="E1187" s="1">
        <v>0</v>
      </c>
      <c r="F1187" s="1">
        <v>-688.56</v>
      </c>
      <c r="G1187" s="1">
        <v>-11154.672</v>
      </c>
      <c r="H1187" s="1">
        <v>6120.5330000000004</v>
      </c>
      <c r="I1187" s="1">
        <v>0</v>
      </c>
    </row>
    <row r="1188" spans="1:9" hidden="1" x14ac:dyDescent="0.25">
      <c r="A1188" s="1" t="s">
        <v>24</v>
      </c>
      <c r="B1188" s="1" t="s">
        <v>200</v>
      </c>
      <c r="C1188" s="1" t="s">
        <v>25</v>
      </c>
      <c r="D1188" s="1">
        <v>0</v>
      </c>
      <c r="E1188" s="1">
        <v>0</v>
      </c>
      <c r="F1188" s="1">
        <v>688.56</v>
      </c>
      <c r="G1188" s="1">
        <v>13633.487999999999</v>
      </c>
      <c r="H1188" s="1">
        <v>-3366.2930000000001</v>
      </c>
      <c r="I1188" s="1">
        <v>0</v>
      </c>
    </row>
    <row r="1189" spans="1:9" hidden="1" x14ac:dyDescent="0.25">
      <c r="A1189" s="1" t="s">
        <v>24</v>
      </c>
      <c r="B1189" s="1" t="s">
        <v>200</v>
      </c>
      <c r="C1189" s="1" t="s">
        <v>10</v>
      </c>
      <c r="D1189" s="1">
        <v>0</v>
      </c>
      <c r="E1189" s="1">
        <v>0</v>
      </c>
      <c r="F1189" s="1">
        <v>688.56</v>
      </c>
      <c r="G1189" s="1">
        <v>13633.487999999999</v>
      </c>
      <c r="H1189" s="1">
        <v>-6120.5330000000004</v>
      </c>
      <c r="I1189" s="1">
        <v>0</v>
      </c>
    </row>
    <row r="1190" spans="1:9" hidden="1" x14ac:dyDescent="0.25">
      <c r="A1190" s="1" t="s">
        <v>24</v>
      </c>
      <c r="B1190" s="1" t="s">
        <v>201</v>
      </c>
      <c r="C1190" s="1" t="s">
        <v>25</v>
      </c>
      <c r="D1190" s="1">
        <v>0</v>
      </c>
      <c r="E1190" s="1">
        <v>0</v>
      </c>
      <c r="F1190" s="1">
        <v>688.56</v>
      </c>
      <c r="G1190" s="1">
        <v>11154.672</v>
      </c>
      <c r="H1190" s="1">
        <v>-3366.2930000000001</v>
      </c>
      <c r="I1190" s="1">
        <v>0</v>
      </c>
    </row>
    <row r="1191" spans="1:9" hidden="1" x14ac:dyDescent="0.25">
      <c r="A1191" s="1" t="s">
        <v>24</v>
      </c>
      <c r="B1191" s="1" t="s">
        <v>201</v>
      </c>
      <c r="C1191" s="1" t="s">
        <v>10</v>
      </c>
      <c r="D1191" s="1">
        <v>0</v>
      </c>
      <c r="E1191" s="1">
        <v>0</v>
      </c>
      <c r="F1191" s="1">
        <v>688.56</v>
      </c>
      <c r="G1191" s="1">
        <v>11154.672</v>
      </c>
      <c r="H1191" s="1">
        <v>-6120.5330000000004</v>
      </c>
      <c r="I1191" s="1">
        <v>0</v>
      </c>
    </row>
    <row r="1192" spans="1:9" hidden="1" x14ac:dyDescent="0.25">
      <c r="A1192" s="1" t="s">
        <v>24</v>
      </c>
      <c r="B1192" s="1" t="s">
        <v>202</v>
      </c>
      <c r="C1192" s="1" t="s">
        <v>25</v>
      </c>
      <c r="D1192" s="1">
        <v>0</v>
      </c>
      <c r="E1192" s="1">
        <v>-569.64</v>
      </c>
      <c r="F1192" s="1">
        <v>0</v>
      </c>
      <c r="G1192" s="1">
        <v>9399.1149999999998</v>
      </c>
      <c r="H1192" s="1">
        <v>0</v>
      </c>
      <c r="I1192" s="1">
        <v>-2784.9229999999998</v>
      </c>
    </row>
    <row r="1193" spans="1:9" hidden="1" x14ac:dyDescent="0.25">
      <c r="A1193" s="1" t="s">
        <v>24</v>
      </c>
      <c r="B1193" s="1" t="s">
        <v>202</v>
      </c>
      <c r="C1193" s="1" t="s">
        <v>10</v>
      </c>
      <c r="D1193" s="1">
        <v>0</v>
      </c>
      <c r="E1193" s="1">
        <v>-569.64</v>
      </c>
      <c r="F1193" s="1">
        <v>0</v>
      </c>
      <c r="G1193" s="1">
        <v>9399.1149999999998</v>
      </c>
      <c r="H1193" s="1">
        <v>0</v>
      </c>
      <c r="I1193" s="1">
        <v>-5063.4960000000001</v>
      </c>
    </row>
    <row r="1194" spans="1:9" hidden="1" x14ac:dyDescent="0.25">
      <c r="A1194" s="1" t="s">
        <v>24</v>
      </c>
      <c r="B1194" s="1" t="s">
        <v>203</v>
      </c>
      <c r="C1194" s="1" t="s">
        <v>25</v>
      </c>
      <c r="D1194" s="1">
        <v>0</v>
      </c>
      <c r="E1194" s="1">
        <v>-569.64</v>
      </c>
      <c r="F1194" s="1">
        <v>0</v>
      </c>
      <c r="G1194" s="1">
        <v>7690.1850000000004</v>
      </c>
      <c r="H1194" s="1">
        <v>0</v>
      </c>
      <c r="I1194" s="1">
        <v>-2784.9229999999998</v>
      </c>
    </row>
    <row r="1195" spans="1:9" hidden="1" x14ac:dyDescent="0.25">
      <c r="A1195" s="1" t="s">
        <v>24</v>
      </c>
      <c r="B1195" s="1" t="s">
        <v>203</v>
      </c>
      <c r="C1195" s="1" t="s">
        <v>10</v>
      </c>
      <c r="D1195" s="1">
        <v>0</v>
      </c>
      <c r="E1195" s="1">
        <v>-569.64</v>
      </c>
      <c r="F1195" s="1">
        <v>0</v>
      </c>
      <c r="G1195" s="1">
        <v>7690.1850000000004</v>
      </c>
      <c r="H1195" s="1">
        <v>0</v>
      </c>
      <c r="I1195" s="1">
        <v>-5063.4960000000001</v>
      </c>
    </row>
    <row r="1196" spans="1:9" hidden="1" x14ac:dyDescent="0.25">
      <c r="A1196" s="1" t="s">
        <v>24</v>
      </c>
      <c r="B1196" s="1" t="s">
        <v>204</v>
      </c>
      <c r="C1196" s="1" t="s">
        <v>25</v>
      </c>
      <c r="D1196" s="1">
        <v>0</v>
      </c>
      <c r="E1196" s="1">
        <v>569.64</v>
      </c>
      <c r="F1196" s="1">
        <v>0</v>
      </c>
      <c r="G1196" s="1">
        <v>-9399.1149999999998</v>
      </c>
      <c r="H1196" s="1">
        <v>0</v>
      </c>
      <c r="I1196" s="1">
        <v>2784.9229999999998</v>
      </c>
    </row>
    <row r="1197" spans="1:9" hidden="1" x14ac:dyDescent="0.25">
      <c r="A1197" s="1" t="s">
        <v>24</v>
      </c>
      <c r="B1197" s="1" t="s">
        <v>204</v>
      </c>
      <c r="C1197" s="1" t="s">
        <v>10</v>
      </c>
      <c r="D1197" s="1">
        <v>0</v>
      </c>
      <c r="E1197" s="1">
        <v>569.64</v>
      </c>
      <c r="F1197" s="1">
        <v>0</v>
      </c>
      <c r="G1197" s="1">
        <v>-9399.1149999999998</v>
      </c>
      <c r="H1197" s="1">
        <v>0</v>
      </c>
      <c r="I1197" s="1">
        <v>5063.4960000000001</v>
      </c>
    </row>
    <row r="1198" spans="1:9" hidden="1" x14ac:dyDescent="0.25">
      <c r="A1198" s="1" t="s">
        <v>24</v>
      </c>
      <c r="B1198" s="1" t="s">
        <v>205</v>
      </c>
      <c r="C1198" s="1" t="s">
        <v>25</v>
      </c>
      <c r="D1198" s="1">
        <v>0</v>
      </c>
      <c r="E1198" s="1">
        <v>569.64</v>
      </c>
      <c r="F1198" s="1">
        <v>0</v>
      </c>
      <c r="G1198" s="1">
        <v>-7690.1850000000004</v>
      </c>
      <c r="H1198" s="1">
        <v>0</v>
      </c>
      <c r="I1198" s="1">
        <v>2784.9229999999998</v>
      </c>
    </row>
    <row r="1199" spans="1:9" hidden="1" x14ac:dyDescent="0.25">
      <c r="A1199" s="1" t="s">
        <v>24</v>
      </c>
      <c r="B1199" s="1" t="s">
        <v>205</v>
      </c>
      <c r="C1199" s="1" t="s">
        <v>10</v>
      </c>
      <c r="D1199" s="1">
        <v>0</v>
      </c>
      <c r="E1199" s="1">
        <v>569.64</v>
      </c>
      <c r="F1199" s="1">
        <v>0</v>
      </c>
      <c r="G1199" s="1">
        <v>-7690.1850000000004</v>
      </c>
      <c r="H1199" s="1">
        <v>0</v>
      </c>
      <c r="I1199" s="1">
        <v>5063.4960000000001</v>
      </c>
    </row>
    <row r="1200" spans="1:9" hidden="1" x14ac:dyDescent="0.25">
      <c r="A1200" s="1" t="s">
        <v>24</v>
      </c>
      <c r="B1200" s="1" t="s">
        <v>206</v>
      </c>
      <c r="C1200" s="1" t="s">
        <v>25</v>
      </c>
      <c r="D1200" s="1">
        <v>0</v>
      </c>
      <c r="E1200" s="1">
        <v>0</v>
      </c>
      <c r="F1200" s="1">
        <v>-688.56</v>
      </c>
      <c r="G1200" s="1">
        <v>-13633.487999999999</v>
      </c>
      <c r="H1200" s="1">
        <v>3366.2930000000001</v>
      </c>
      <c r="I1200" s="1">
        <v>0</v>
      </c>
    </row>
    <row r="1201" spans="1:9" hidden="1" x14ac:dyDescent="0.25">
      <c r="A1201" s="1" t="s">
        <v>24</v>
      </c>
      <c r="B1201" s="1" t="s">
        <v>206</v>
      </c>
      <c r="C1201" s="1" t="s">
        <v>10</v>
      </c>
      <c r="D1201" s="1">
        <v>0</v>
      </c>
      <c r="E1201" s="1">
        <v>0</v>
      </c>
      <c r="F1201" s="1">
        <v>-688.56</v>
      </c>
      <c r="G1201" s="1">
        <v>-13633.487999999999</v>
      </c>
      <c r="H1201" s="1">
        <v>6120.5330000000004</v>
      </c>
      <c r="I1201" s="1">
        <v>0</v>
      </c>
    </row>
    <row r="1202" spans="1:9" hidden="1" x14ac:dyDescent="0.25">
      <c r="A1202" s="1" t="s">
        <v>24</v>
      </c>
      <c r="B1202" s="1" t="s">
        <v>207</v>
      </c>
      <c r="C1202" s="1" t="s">
        <v>25</v>
      </c>
      <c r="D1202" s="1">
        <v>0</v>
      </c>
      <c r="E1202" s="1">
        <v>0</v>
      </c>
      <c r="F1202" s="1">
        <v>-688.56</v>
      </c>
      <c r="G1202" s="1">
        <v>-11154.672</v>
      </c>
      <c r="H1202" s="1">
        <v>3366.2930000000001</v>
      </c>
      <c r="I1202" s="1">
        <v>0</v>
      </c>
    </row>
    <row r="1203" spans="1:9" hidden="1" x14ac:dyDescent="0.25">
      <c r="A1203" s="1" t="s">
        <v>24</v>
      </c>
      <c r="B1203" s="1" t="s">
        <v>207</v>
      </c>
      <c r="C1203" s="1" t="s">
        <v>10</v>
      </c>
      <c r="D1203" s="1">
        <v>0</v>
      </c>
      <c r="E1203" s="1">
        <v>0</v>
      </c>
      <c r="F1203" s="1">
        <v>-688.56</v>
      </c>
      <c r="G1203" s="1">
        <v>-11154.672</v>
      </c>
      <c r="H1203" s="1">
        <v>6120.5330000000004</v>
      </c>
      <c r="I1203" s="1">
        <v>0</v>
      </c>
    </row>
    <row r="1204" spans="1:9" hidden="1" x14ac:dyDescent="0.25">
      <c r="A1204" s="1" t="s">
        <v>24</v>
      </c>
      <c r="B1204" s="1" t="s">
        <v>208</v>
      </c>
      <c r="C1204" s="1" t="s">
        <v>25</v>
      </c>
      <c r="D1204" s="1">
        <v>0</v>
      </c>
      <c r="E1204" s="1">
        <v>0</v>
      </c>
      <c r="F1204" s="1">
        <v>688.56</v>
      </c>
      <c r="G1204" s="1">
        <v>13633.487999999999</v>
      </c>
      <c r="H1204" s="1">
        <v>-3366.2930000000001</v>
      </c>
      <c r="I1204" s="1">
        <v>0</v>
      </c>
    </row>
    <row r="1205" spans="1:9" hidden="1" x14ac:dyDescent="0.25">
      <c r="A1205" s="1" t="s">
        <v>24</v>
      </c>
      <c r="B1205" s="1" t="s">
        <v>208</v>
      </c>
      <c r="C1205" s="1" t="s">
        <v>10</v>
      </c>
      <c r="D1205" s="1">
        <v>0</v>
      </c>
      <c r="E1205" s="1">
        <v>0</v>
      </c>
      <c r="F1205" s="1">
        <v>688.56</v>
      </c>
      <c r="G1205" s="1">
        <v>13633.487999999999</v>
      </c>
      <c r="H1205" s="1">
        <v>-6120.5330000000004</v>
      </c>
      <c r="I1205" s="1">
        <v>0</v>
      </c>
    </row>
    <row r="1206" spans="1:9" hidden="1" x14ac:dyDescent="0.25">
      <c r="A1206" s="1" t="s">
        <v>24</v>
      </c>
      <c r="B1206" s="1" t="s">
        <v>209</v>
      </c>
      <c r="C1206" s="1" t="s">
        <v>25</v>
      </c>
      <c r="D1206" s="1">
        <v>0</v>
      </c>
      <c r="E1206" s="1">
        <v>0</v>
      </c>
      <c r="F1206" s="1">
        <v>688.56</v>
      </c>
      <c r="G1206" s="1">
        <v>11154.672</v>
      </c>
      <c r="H1206" s="1">
        <v>-3366.2930000000001</v>
      </c>
      <c r="I1206" s="1">
        <v>0</v>
      </c>
    </row>
    <row r="1207" spans="1:9" hidden="1" x14ac:dyDescent="0.25">
      <c r="A1207" s="1" t="s">
        <v>24</v>
      </c>
      <c r="B1207" s="1" t="s">
        <v>209</v>
      </c>
      <c r="C1207" s="1" t="s">
        <v>10</v>
      </c>
      <c r="D1207" s="1">
        <v>0</v>
      </c>
      <c r="E1207" s="1">
        <v>0</v>
      </c>
      <c r="F1207" s="1">
        <v>688.56</v>
      </c>
      <c r="G1207" s="1">
        <v>11154.672</v>
      </c>
      <c r="H1207" s="1">
        <v>-6120.5330000000004</v>
      </c>
      <c r="I1207" s="1">
        <v>0</v>
      </c>
    </row>
    <row r="1208" spans="1:9" hidden="1" x14ac:dyDescent="0.25">
      <c r="A1208" s="1" t="s">
        <v>24</v>
      </c>
      <c r="B1208" s="1" t="s">
        <v>210</v>
      </c>
      <c r="C1208" s="1" t="s">
        <v>25</v>
      </c>
      <c r="D1208" s="1">
        <v>0</v>
      </c>
      <c r="E1208" s="1">
        <v>-170.89</v>
      </c>
      <c r="F1208" s="1">
        <v>0</v>
      </c>
      <c r="G1208" s="1">
        <v>2819.7339999999999</v>
      </c>
      <c r="H1208" s="1">
        <v>0</v>
      </c>
      <c r="I1208" s="1">
        <v>-835.47699999999998</v>
      </c>
    </row>
    <row r="1209" spans="1:9" hidden="1" x14ac:dyDescent="0.25">
      <c r="A1209" s="1" t="s">
        <v>24</v>
      </c>
      <c r="B1209" s="1" t="s">
        <v>210</v>
      </c>
      <c r="C1209" s="1" t="s">
        <v>10</v>
      </c>
      <c r="D1209" s="1">
        <v>0</v>
      </c>
      <c r="E1209" s="1">
        <v>-170.89</v>
      </c>
      <c r="F1209" s="1">
        <v>0</v>
      </c>
      <c r="G1209" s="1">
        <v>2819.7339999999999</v>
      </c>
      <c r="H1209" s="1">
        <v>0</v>
      </c>
      <c r="I1209" s="1">
        <v>-1519.049</v>
      </c>
    </row>
    <row r="1210" spans="1:9" hidden="1" x14ac:dyDescent="0.25">
      <c r="A1210" s="1" t="s">
        <v>24</v>
      </c>
      <c r="B1210" s="1" t="s">
        <v>211</v>
      </c>
      <c r="C1210" s="1" t="s">
        <v>25</v>
      </c>
      <c r="D1210" s="1">
        <v>0</v>
      </c>
      <c r="E1210" s="1">
        <v>-170.89</v>
      </c>
      <c r="F1210" s="1">
        <v>0</v>
      </c>
      <c r="G1210" s="1">
        <v>2307.0549999999998</v>
      </c>
      <c r="H1210" s="1">
        <v>0</v>
      </c>
      <c r="I1210" s="1">
        <v>-835.47699999999998</v>
      </c>
    </row>
    <row r="1211" spans="1:9" hidden="1" x14ac:dyDescent="0.25">
      <c r="A1211" s="1" t="s">
        <v>24</v>
      </c>
      <c r="B1211" s="1" t="s">
        <v>211</v>
      </c>
      <c r="C1211" s="1" t="s">
        <v>10</v>
      </c>
      <c r="D1211" s="1">
        <v>0</v>
      </c>
      <c r="E1211" s="1">
        <v>-170.89</v>
      </c>
      <c r="F1211" s="1">
        <v>0</v>
      </c>
      <c r="G1211" s="1">
        <v>2307.0549999999998</v>
      </c>
      <c r="H1211" s="1">
        <v>0</v>
      </c>
      <c r="I1211" s="1">
        <v>-1519.049</v>
      </c>
    </row>
    <row r="1212" spans="1:9" hidden="1" x14ac:dyDescent="0.25">
      <c r="A1212" s="1" t="s">
        <v>24</v>
      </c>
      <c r="B1212" s="1" t="s">
        <v>212</v>
      </c>
      <c r="C1212" s="1" t="s">
        <v>25</v>
      </c>
      <c r="D1212" s="1">
        <v>0</v>
      </c>
      <c r="E1212" s="1">
        <v>170.89</v>
      </c>
      <c r="F1212" s="1">
        <v>0</v>
      </c>
      <c r="G1212" s="1">
        <v>-2819.7339999999999</v>
      </c>
      <c r="H1212" s="1">
        <v>0</v>
      </c>
      <c r="I1212" s="1">
        <v>835.47699999999998</v>
      </c>
    </row>
    <row r="1213" spans="1:9" hidden="1" x14ac:dyDescent="0.25">
      <c r="A1213" s="1" t="s">
        <v>24</v>
      </c>
      <c r="B1213" s="1" t="s">
        <v>212</v>
      </c>
      <c r="C1213" s="1" t="s">
        <v>10</v>
      </c>
      <c r="D1213" s="1">
        <v>0</v>
      </c>
      <c r="E1213" s="1">
        <v>170.89</v>
      </c>
      <c r="F1213" s="1">
        <v>0</v>
      </c>
      <c r="G1213" s="1">
        <v>-2819.7339999999999</v>
      </c>
      <c r="H1213" s="1">
        <v>0</v>
      </c>
      <c r="I1213" s="1">
        <v>1519.049</v>
      </c>
    </row>
    <row r="1214" spans="1:9" hidden="1" x14ac:dyDescent="0.25">
      <c r="A1214" s="1" t="s">
        <v>24</v>
      </c>
      <c r="B1214" s="1" t="s">
        <v>213</v>
      </c>
      <c r="C1214" s="1" t="s">
        <v>25</v>
      </c>
      <c r="D1214" s="1">
        <v>0</v>
      </c>
      <c r="E1214" s="1">
        <v>170.89</v>
      </c>
      <c r="F1214" s="1">
        <v>0</v>
      </c>
      <c r="G1214" s="1">
        <v>-2307.0549999999998</v>
      </c>
      <c r="H1214" s="1">
        <v>0</v>
      </c>
      <c r="I1214" s="1">
        <v>835.47699999999998</v>
      </c>
    </row>
    <row r="1215" spans="1:9" hidden="1" x14ac:dyDescent="0.25">
      <c r="A1215" s="1" t="s">
        <v>24</v>
      </c>
      <c r="B1215" s="1" t="s">
        <v>213</v>
      </c>
      <c r="C1215" s="1" t="s">
        <v>10</v>
      </c>
      <c r="D1215" s="1">
        <v>0</v>
      </c>
      <c r="E1215" s="1">
        <v>170.89</v>
      </c>
      <c r="F1215" s="1">
        <v>0</v>
      </c>
      <c r="G1215" s="1">
        <v>-2307.0549999999998</v>
      </c>
      <c r="H1215" s="1">
        <v>0</v>
      </c>
      <c r="I1215" s="1">
        <v>1519.049</v>
      </c>
    </row>
    <row r="1216" spans="1:9" hidden="1" x14ac:dyDescent="0.25">
      <c r="A1216" s="1" t="s">
        <v>24</v>
      </c>
      <c r="B1216" s="1" t="s">
        <v>214</v>
      </c>
      <c r="C1216" s="1" t="s">
        <v>25</v>
      </c>
      <c r="D1216" s="1">
        <v>0</v>
      </c>
      <c r="E1216" s="1">
        <v>0</v>
      </c>
      <c r="F1216" s="1">
        <v>-206.57</v>
      </c>
      <c r="G1216" s="1">
        <v>-4090.0459999999998</v>
      </c>
      <c r="H1216" s="1">
        <v>1009.888</v>
      </c>
      <c r="I1216" s="1">
        <v>0</v>
      </c>
    </row>
    <row r="1217" spans="1:9" hidden="1" x14ac:dyDescent="0.25">
      <c r="A1217" s="1" t="s">
        <v>24</v>
      </c>
      <c r="B1217" s="1" t="s">
        <v>214</v>
      </c>
      <c r="C1217" s="1" t="s">
        <v>10</v>
      </c>
      <c r="D1217" s="1">
        <v>0</v>
      </c>
      <c r="E1217" s="1">
        <v>0</v>
      </c>
      <c r="F1217" s="1">
        <v>-206.57</v>
      </c>
      <c r="G1217" s="1">
        <v>-4090.0459999999998</v>
      </c>
      <c r="H1217" s="1">
        <v>1836.16</v>
      </c>
      <c r="I1217" s="1">
        <v>0</v>
      </c>
    </row>
    <row r="1218" spans="1:9" hidden="1" x14ac:dyDescent="0.25">
      <c r="A1218" s="1" t="s">
        <v>24</v>
      </c>
      <c r="B1218" s="1" t="s">
        <v>215</v>
      </c>
      <c r="C1218" s="1" t="s">
        <v>25</v>
      </c>
      <c r="D1218" s="1">
        <v>0</v>
      </c>
      <c r="E1218" s="1">
        <v>0</v>
      </c>
      <c r="F1218" s="1">
        <v>-206.57</v>
      </c>
      <c r="G1218" s="1">
        <v>-3346.4009999999998</v>
      </c>
      <c r="H1218" s="1">
        <v>1009.888</v>
      </c>
      <c r="I1218" s="1">
        <v>0</v>
      </c>
    </row>
    <row r="1219" spans="1:9" hidden="1" x14ac:dyDescent="0.25">
      <c r="A1219" s="1" t="s">
        <v>24</v>
      </c>
      <c r="B1219" s="1" t="s">
        <v>215</v>
      </c>
      <c r="C1219" s="1" t="s">
        <v>10</v>
      </c>
      <c r="D1219" s="1">
        <v>0</v>
      </c>
      <c r="E1219" s="1">
        <v>0</v>
      </c>
      <c r="F1219" s="1">
        <v>-206.57</v>
      </c>
      <c r="G1219" s="1">
        <v>-3346.4009999999998</v>
      </c>
      <c r="H1219" s="1">
        <v>1836.16</v>
      </c>
      <c r="I1219" s="1">
        <v>0</v>
      </c>
    </row>
    <row r="1220" spans="1:9" hidden="1" x14ac:dyDescent="0.25">
      <c r="A1220" s="1" t="s">
        <v>24</v>
      </c>
      <c r="B1220" s="1" t="s">
        <v>216</v>
      </c>
      <c r="C1220" s="1" t="s">
        <v>25</v>
      </c>
      <c r="D1220" s="1">
        <v>0</v>
      </c>
      <c r="E1220" s="1">
        <v>0</v>
      </c>
      <c r="F1220" s="1">
        <v>206.57</v>
      </c>
      <c r="G1220" s="1">
        <v>4090.0459999999998</v>
      </c>
      <c r="H1220" s="1">
        <v>-1009.888</v>
      </c>
      <c r="I1220" s="1">
        <v>0</v>
      </c>
    </row>
    <row r="1221" spans="1:9" hidden="1" x14ac:dyDescent="0.25">
      <c r="A1221" s="1" t="s">
        <v>24</v>
      </c>
      <c r="B1221" s="1" t="s">
        <v>216</v>
      </c>
      <c r="C1221" s="1" t="s">
        <v>10</v>
      </c>
      <c r="D1221" s="1">
        <v>0</v>
      </c>
      <c r="E1221" s="1">
        <v>0</v>
      </c>
      <c r="F1221" s="1">
        <v>206.57</v>
      </c>
      <c r="G1221" s="1">
        <v>4090.0459999999998</v>
      </c>
      <c r="H1221" s="1">
        <v>-1836.16</v>
      </c>
      <c r="I1221" s="1">
        <v>0</v>
      </c>
    </row>
    <row r="1222" spans="1:9" hidden="1" x14ac:dyDescent="0.25">
      <c r="A1222" s="1" t="s">
        <v>24</v>
      </c>
      <c r="B1222" s="1" t="s">
        <v>217</v>
      </c>
      <c r="C1222" s="1" t="s">
        <v>25</v>
      </c>
      <c r="D1222" s="1">
        <v>0</v>
      </c>
      <c r="E1222" s="1">
        <v>0</v>
      </c>
      <c r="F1222" s="1">
        <v>206.57</v>
      </c>
      <c r="G1222" s="1">
        <v>3346.4009999999998</v>
      </c>
      <c r="H1222" s="1">
        <v>-1009.888</v>
      </c>
      <c r="I1222" s="1">
        <v>0</v>
      </c>
    </row>
    <row r="1223" spans="1:9" hidden="1" x14ac:dyDescent="0.25">
      <c r="A1223" s="1" t="s">
        <v>24</v>
      </c>
      <c r="B1223" s="1" t="s">
        <v>217</v>
      </c>
      <c r="C1223" s="1" t="s">
        <v>10</v>
      </c>
      <c r="D1223" s="1">
        <v>0</v>
      </c>
      <c r="E1223" s="1">
        <v>0</v>
      </c>
      <c r="F1223" s="1">
        <v>206.57</v>
      </c>
      <c r="G1223" s="1">
        <v>3346.4009999999998</v>
      </c>
      <c r="H1223" s="1">
        <v>-1836.16</v>
      </c>
      <c r="I1223" s="1">
        <v>0</v>
      </c>
    </row>
    <row r="1224" spans="1:9" hidden="1" x14ac:dyDescent="0.25">
      <c r="A1224" s="1" t="s">
        <v>24</v>
      </c>
      <c r="B1224" s="1" t="s">
        <v>218</v>
      </c>
      <c r="C1224" s="1" t="s">
        <v>25</v>
      </c>
      <c r="D1224" s="1">
        <v>0</v>
      </c>
      <c r="E1224" s="1">
        <v>-170.89</v>
      </c>
      <c r="F1224" s="1">
        <v>0</v>
      </c>
      <c r="G1224" s="1">
        <v>2819.7339999999999</v>
      </c>
      <c r="H1224" s="1">
        <v>0</v>
      </c>
      <c r="I1224" s="1">
        <v>-835.47699999999998</v>
      </c>
    </row>
    <row r="1225" spans="1:9" hidden="1" x14ac:dyDescent="0.25">
      <c r="A1225" s="1" t="s">
        <v>24</v>
      </c>
      <c r="B1225" s="1" t="s">
        <v>218</v>
      </c>
      <c r="C1225" s="1" t="s">
        <v>10</v>
      </c>
      <c r="D1225" s="1">
        <v>0</v>
      </c>
      <c r="E1225" s="1">
        <v>-170.89</v>
      </c>
      <c r="F1225" s="1">
        <v>0</v>
      </c>
      <c r="G1225" s="1">
        <v>2819.7339999999999</v>
      </c>
      <c r="H1225" s="1">
        <v>0</v>
      </c>
      <c r="I1225" s="1">
        <v>-1519.049</v>
      </c>
    </row>
    <row r="1226" spans="1:9" hidden="1" x14ac:dyDescent="0.25">
      <c r="A1226" s="1" t="s">
        <v>24</v>
      </c>
      <c r="B1226" s="1" t="s">
        <v>219</v>
      </c>
      <c r="C1226" s="1" t="s">
        <v>25</v>
      </c>
      <c r="D1226" s="1">
        <v>0</v>
      </c>
      <c r="E1226" s="1">
        <v>-170.89</v>
      </c>
      <c r="F1226" s="1">
        <v>0</v>
      </c>
      <c r="G1226" s="1">
        <v>2307.0549999999998</v>
      </c>
      <c r="H1226" s="1">
        <v>0</v>
      </c>
      <c r="I1226" s="1">
        <v>-835.47699999999998</v>
      </c>
    </row>
    <row r="1227" spans="1:9" hidden="1" x14ac:dyDescent="0.25">
      <c r="A1227" s="1" t="s">
        <v>24</v>
      </c>
      <c r="B1227" s="1" t="s">
        <v>219</v>
      </c>
      <c r="C1227" s="1" t="s">
        <v>10</v>
      </c>
      <c r="D1227" s="1">
        <v>0</v>
      </c>
      <c r="E1227" s="1">
        <v>-170.89</v>
      </c>
      <c r="F1227" s="1">
        <v>0</v>
      </c>
      <c r="G1227" s="1">
        <v>2307.0549999999998</v>
      </c>
      <c r="H1227" s="1">
        <v>0</v>
      </c>
      <c r="I1227" s="1">
        <v>-1519.049</v>
      </c>
    </row>
    <row r="1228" spans="1:9" hidden="1" x14ac:dyDescent="0.25">
      <c r="A1228" s="1" t="s">
        <v>24</v>
      </c>
      <c r="B1228" s="1" t="s">
        <v>220</v>
      </c>
      <c r="C1228" s="1" t="s">
        <v>25</v>
      </c>
      <c r="D1228" s="1">
        <v>0</v>
      </c>
      <c r="E1228" s="1">
        <v>170.89</v>
      </c>
      <c r="F1228" s="1">
        <v>0</v>
      </c>
      <c r="G1228" s="1">
        <v>-2819.7339999999999</v>
      </c>
      <c r="H1228" s="1">
        <v>0</v>
      </c>
      <c r="I1228" s="1">
        <v>835.47699999999998</v>
      </c>
    </row>
    <row r="1229" spans="1:9" hidden="1" x14ac:dyDescent="0.25">
      <c r="A1229" s="1" t="s">
        <v>24</v>
      </c>
      <c r="B1229" s="1" t="s">
        <v>220</v>
      </c>
      <c r="C1229" s="1" t="s">
        <v>10</v>
      </c>
      <c r="D1229" s="1">
        <v>0</v>
      </c>
      <c r="E1229" s="1">
        <v>170.89</v>
      </c>
      <c r="F1229" s="1">
        <v>0</v>
      </c>
      <c r="G1229" s="1">
        <v>-2819.7339999999999</v>
      </c>
      <c r="H1229" s="1">
        <v>0</v>
      </c>
      <c r="I1229" s="1">
        <v>1519.049</v>
      </c>
    </row>
    <row r="1230" spans="1:9" hidden="1" x14ac:dyDescent="0.25">
      <c r="A1230" s="1" t="s">
        <v>24</v>
      </c>
      <c r="B1230" s="1" t="s">
        <v>221</v>
      </c>
      <c r="C1230" s="1" t="s">
        <v>25</v>
      </c>
      <c r="D1230" s="1">
        <v>0</v>
      </c>
      <c r="E1230" s="1">
        <v>170.89</v>
      </c>
      <c r="F1230" s="1">
        <v>0</v>
      </c>
      <c r="G1230" s="1">
        <v>-2307.0549999999998</v>
      </c>
      <c r="H1230" s="1">
        <v>0</v>
      </c>
      <c r="I1230" s="1">
        <v>835.47699999999998</v>
      </c>
    </row>
    <row r="1231" spans="1:9" hidden="1" x14ac:dyDescent="0.25">
      <c r="A1231" s="1" t="s">
        <v>24</v>
      </c>
      <c r="B1231" s="1" t="s">
        <v>221</v>
      </c>
      <c r="C1231" s="1" t="s">
        <v>10</v>
      </c>
      <c r="D1231" s="1">
        <v>0</v>
      </c>
      <c r="E1231" s="1">
        <v>170.89</v>
      </c>
      <c r="F1231" s="1">
        <v>0</v>
      </c>
      <c r="G1231" s="1">
        <v>-2307.0549999999998</v>
      </c>
      <c r="H1231" s="1">
        <v>0</v>
      </c>
      <c r="I1231" s="1">
        <v>1519.049</v>
      </c>
    </row>
    <row r="1232" spans="1:9" hidden="1" x14ac:dyDescent="0.25">
      <c r="A1232" s="1" t="s">
        <v>24</v>
      </c>
      <c r="B1232" s="1" t="s">
        <v>222</v>
      </c>
      <c r="C1232" s="1" t="s">
        <v>25</v>
      </c>
      <c r="D1232" s="1">
        <v>0</v>
      </c>
      <c r="E1232" s="1">
        <v>0</v>
      </c>
      <c r="F1232" s="1">
        <v>-206.57</v>
      </c>
      <c r="G1232" s="1">
        <v>-4090.0459999999998</v>
      </c>
      <c r="H1232" s="1">
        <v>1009.888</v>
      </c>
      <c r="I1232" s="1">
        <v>0</v>
      </c>
    </row>
    <row r="1233" spans="1:9" hidden="1" x14ac:dyDescent="0.25">
      <c r="A1233" s="1" t="s">
        <v>24</v>
      </c>
      <c r="B1233" s="1" t="s">
        <v>222</v>
      </c>
      <c r="C1233" s="1" t="s">
        <v>10</v>
      </c>
      <c r="D1233" s="1">
        <v>0</v>
      </c>
      <c r="E1233" s="1">
        <v>0</v>
      </c>
      <c r="F1233" s="1">
        <v>-206.57</v>
      </c>
      <c r="G1233" s="1">
        <v>-4090.0459999999998</v>
      </c>
      <c r="H1233" s="1">
        <v>1836.16</v>
      </c>
      <c r="I1233" s="1">
        <v>0</v>
      </c>
    </row>
    <row r="1234" spans="1:9" hidden="1" x14ac:dyDescent="0.25">
      <c r="A1234" s="1" t="s">
        <v>24</v>
      </c>
      <c r="B1234" s="1" t="s">
        <v>223</v>
      </c>
      <c r="C1234" s="1" t="s">
        <v>25</v>
      </c>
      <c r="D1234" s="1">
        <v>0</v>
      </c>
      <c r="E1234" s="1">
        <v>0</v>
      </c>
      <c r="F1234" s="1">
        <v>-206.57</v>
      </c>
      <c r="G1234" s="1">
        <v>-3346.4009999999998</v>
      </c>
      <c r="H1234" s="1">
        <v>1009.888</v>
      </c>
      <c r="I1234" s="1">
        <v>0</v>
      </c>
    </row>
    <row r="1235" spans="1:9" hidden="1" x14ac:dyDescent="0.25">
      <c r="A1235" s="1" t="s">
        <v>24</v>
      </c>
      <c r="B1235" s="1" t="s">
        <v>223</v>
      </c>
      <c r="C1235" s="1" t="s">
        <v>10</v>
      </c>
      <c r="D1235" s="1">
        <v>0</v>
      </c>
      <c r="E1235" s="1">
        <v>0</v>
      </c>
      <c r="F1235" s="1">
        <v>-206.57</v>
      </c>
      <c r="G1235" s="1">
        <v>-3346.4009999999998</v>
      </c>
      <c r="H1235" s="1">
        <v>1836.16</v>
      </c>
      <c r="I1235" s="1">
        <v>0</v>
      </c>
    </row>
    <row r="1236" spans="1:9" hidden="1" x14ac:dyDescent="0.25">
      <c r="A1236" s="1" t="s">
        <v>24</v>
      </c>
      <c r="B1236" s="1" t="s">
        <v>224</v>
      </c>
      <c r="C1236" s="1" t="s">
        <v>25</v>
      </c>
      <c r="D1236" s="1">
        <v>0</v>
      </c>
      <c r="E1236" s="1">
        <v>0</v>
      </c>
      <c r="F1236" s="1">
        <v>206.57</v>
      </c>
      <c r="G1236" s="1">
        <v>4090.0459999999998</v>
      </c>
      <c r="H1236" s="1">
        <v>-1009.888</v>
      </c>
      <c r="I1236" s="1">
        <v>0</v>
      </c>
    </row>
    <row r="1237" spans="1:9" hidden="1" x14ac:dyDescent="0.25">
      <c r="A1237" s="1" t="s">
        <v>24</v>
      </c>
      <c r="B1237" s="1" t="s">
        <v>224</v>
      </c>
      <c r="C1237" s="1" t="s">
        <v>10</v>
      </c>
      <c r="D1237" s="1">
        <v>0</v>
      </c>
      <c r="E1237" s="1">
        <v>0</v>
      </c>
      <c r="F1237" s="1">
        <v>206.57</v>
      </c>
      <c r="G1237" s="1">
        <v>4090.0459999999998</v>
      </c>
      <c r="H1237" s="1">
        <v>-1836.16</v>
      </c>
      <c r="I1237" s="1">
        <v>0</v>
      </c>
    </row>
    <row r="1238" spans="1:9" hidden="1" x14ac:dyDescent="0.25">
      <c r="A1238" s="1" t="s">
        <v>24</v>
      </c>
      <c r="B1238" s="1" t="s">
        <v>225</v>
      </c>
      <c r="C1238" s="1" t="s">
        <v>25</v>
      </c>
      <c r="D1238" s="1">
        <v>0</v>
      </c>
      <c r="E1238" s="1">
        <v>0</v>
      </c>
      <c r="F1238" s="1">
        <v>206.57</v>
      </c>
      <c r="G1238" s="1">
        <v>3346.4009999999998</v>
      </c>
      <c r="H1238" s="1">
        <v>-1009.888</v>
      </c>
      <c r="I1238" s="1">
        <v>0</v>
      </c>
    </row>
    <row r="1239" spans="1:9" hidden="1" x14ac:dyDescent="0.25">
      <c r="A1239" s="1" t="s">
        <v>24</v>
      </c>
      <c r="B1239" s="1" t="s">
        <v>225</v>
      </c>
      <c r="C1239" s="1" t="s">
        <v>10</v>
      </c>
      <c r="D1239" s="1">
        <v>0</v>
      </c>
      <c r="E1239" s="1">
        <v>0</v>
      </c>
      <c r="F1239" s="1">
        <v>206.57</v>
      </c>
      <c r="G1239" s="1">
        <v>3346.4009999999998</v>
      </c>
      <c r="H1239" s="1">
        <v>-1836.16</v>
      </c>
      <c r="I1239" s="1">
        <v>0</v>
      </c>
    </row>
    <row r="1240" spans="1:9" hidden="1" x14ac:dyDescent="0.25">
      <c r="A1240" s="1" t="s">
        <v>24</v>
      </c>
      <c r="B1240" s="1" t="s">
        <v>327</v>
      </c>
      <c r="C1240" s="1" t="s">
        <v>25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24</v>
      </c>
      <c r="B1241" s="1" t="s">
        <v>327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24</v>
      </c>
      <c r="B1242" s="1" t="s">
        <v>328</v>
      </c>
      <c r="C1242" s="1" t="s">
        <v>25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24</v>
      </c>
      <c r="B1243" s="1" t="s">
        <v>328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16</v>
      </c>
      <c r="B1244" s="1" t="s">
        <v>9</v>
      </c>
      <c r="C1244" s="1" t="s">
        <v>25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16</v>
      </c>
      <c r="B1245" s="1" t="s">
        <v>9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16</v>
      </c>
      <c r="B1246" s="1" t="s">
        <v>26</v>
      </c>
      <c r="C1246" s="1" t="s">
        <v>25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x14ac:dyDescent="0.25">
      <c r="A1247" s="1" t="s">
        <v>16</v>
      </c>
      <c r="B1247" s="1" t="s">
        <v>26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16</v>
      </c>
      <c r="B1248" s="1" t="s">
        <v>20</v>
      </c>
      <c r="C1248" s="1" t="s">
        <v>25</v>
      </c>
      <c r="D1248" s="1">
        <v>0</v>
      </c>
      <c r="E1248" s="1">
        <v>-452.1</v>
      </c>
      <c r="F1248" s="1">
        <v>0</v>
      </c>
      <c r="G1248" s="1">
        <v>7459.6149999999998</v>
      </c>
      <c r="H1248" s="1">
        <v>0</v>
      </c>
      <c r="I1248" s="1">
        <v>-3616.7829999999999</v>
      </c>
    </row>
    <row r="1249" spans="1:9" hidden="1" x14ac:dyDescent="0.25">
      <c r="A1249" s="1" t="s">
        <v>16</v>
      </c>
      <c r="B1249" s="1" t="s">
        <v>20</v>
      </c>
      <c r="C1249" s="1" t="s">
        <v>10</v>
      </c>
      <c r="D1249" s="1">
        <v>0</v>
      </c>
      <c r="E1249" s="1">
        <v>-452.1</v>
      </c>
      <c r="F1249" s="1">
        <v>0</v>
      </c>
      <c r="G1249" s="1">
        <v>7459.6149999999998</v>
      </c>
      <c r="H1249" s="1">
        <v>0</v>
      </c>
      <c r="I1249" s="1">
        <v>-5425.174</v>
      </c>
    </row>
    <row r="1250" spans="1:9" hidden="1" x14ac:dyDescent="0.25">
      <c r="A1250" s="1" t="s">
        <v>16</v>
      </c>
      <c r="B1250" s="1" t="s">
        <v>21</v>
      </c>
      <c r="C1250" s="1" t="s">
        <v>25</v>
      </c>
      <c r="D1250" s="1">
        <v>0</v>
      </c>
      <c r="E1250" s="1">
        <v>-452.1</v>
      </c>
      <c r="F1250" s="1">
        <v>0</v>
      </c>
      <c r="G1250" s="1">
        <v>6103.3209999999999</v>
      </c>
      <c r="H1250" s="1">
        <v>0</v>
      </c>
      <c r="I1250" s="1">
        <v>-3616.7829999999999</v>
      </c>
    </row>
    <row r="1251" spans="1:9" hidden="1" x14ac:dyDescent="0.25">
      <c r="A1251" s="1" t="s">
        <v>16</v>
      </c>
      <c r="B1251" s="1" t="s">
        <v>21</v>
      </c>
      <c r="C1251" s="1" t="s">
        <v>10</v>
      </c>
      <c r="D1251" s="1">
        <v>0</v>
      </c>
      <c r="E1251" s="1">
        <v>-452.1</v>
      </c>
      <c r="F1251" s="1">
        <v>0</v>
      </c>
      <c r="G1251" s="1">
        <v>6103.3209999999999</v>
      </c>
      <c r="H1251" s="1">
        <v>0</v>
      </c>
      <c r="I1251" s="1">
        <v>-5425.174</v>
      </c>
    </row>
    <row r="1252" spans="1:9" hidden="1" x14ac:dyDescent="0.25">
      <c r="A1252" s="1" t="s">
        <v>16</v>
      </c>
      <c r="B1252" s="1" t="s">
        <v>22</v>
      </c>
      <c r="C1252" s="1" t="s">
        <v>25</v>
      </c>
      <c r="D1252" s="1">
        <v>0</v>
      </c>
      <c r="E1252" s="1">
        <v>0</v>
      </c>
      <c r="F1252" s="1">
        <v>-546.48</v>
      </c>
      <c r="G1252" s="1">
        <v>-10820.227999999999</v>
      </c>
      <c r="H1252" s="1">
        <v>4371.8090000000002</v>
      </c>
      <c r="I1252" s="1">
        <v>0</v>
      </c>
    </row>
    <row r="1253" spans="1:9" hidden="1" x14ac:dyDescent="0.25">
      <c r="A1253" s="1" t="s">
        <v>16</v>
      </c>
      <c r="B1253" s="1" t="s">
        <v>22</v>
      </c>
      <c r="C1253" s="1" t="s">
        <v>10</v>
      </c>
      <c r="D1253" s="1">
        <v>0</v>
      </c>
      <c r="E1253" s="1">
        <v>0</v>
      </c>
      <c r="F1253" s="1">
        <v>-546.48</v>
      </c>
      <c r="G1253" s="1">
        <v>-10820.227999999999</v>
      </c>
      <c r="H1253" s="1">
        <v>6557.7139999999999</v>
      </c>
      <c r="I1253" s="1">
        <v>0</v>
      </c>
    </row>
    <row r="1254" spans="1:9" hidden="1" x14ac:dyDescent="0.25">
      <c r="A1254" s="1" t="s">
        <v>16</v>
      </c>
      <c r="B1254" s="1" t="s">
        <v>23</v>
      </c>
      <c r="C1254" s="1" t="s">
        <v>25</v>
      </c>
      <c r="D1254" s="1">
        <v>0</v>
      </c>
      <c r="E1254" s="1">
        <v>0</v>
      </c>
      <c r="F1254" s="1">
        <v>-546.48</v>
      </c>
      <c r="G1254" s="1">
        <v>-8852.9140000000007</v>
      </c>
      <c r="H1254" s="1">
        <v>4371.8090000000002</v>
      </c>
      <c r="I1254" s="1">
        <v>0</v>
      </c>
    </row>
    <row r="1255" spans="1:9" hidden="1" x14ac:dyDescent="0.25">
      <c r="A1255" s="1" t="s">
        <v>16</v>
      </c>
      <c r="B1255" s="1" t="s">
        <v>23</v>
      </c>
      <c r="C1255" s="1" t="s">
        <v>10</v>
      </c>
      <c r="D1255" s="1">
        <v>0</v>
      </c>
      <c r="E1255" s="1">
        <v>0</v>
      </c>
      <c r="F1255" s="1">
        <v>-546.48</v>
      </c>
      <c r="G1255" s="1">
        <v>-8852.9140000000007</v>
      </c>
      <c r="H1255" s="1">
        <v>6557.7139999999999</v>
      </c>
      <c r="I1255" s="1">
        <v>0</v>
      </c>
    </row>
    <row r="1256" spans="1:9" hidden="1" x14ac:dyDescent="0.25">
      <c r="A1256" s="1" t="s">
        <v>16</v>
      </c>
      <c r="B1256" s="1" t="s">
        <v>321</v>
      </c>
      <c r="C1256" s="1" t="s">
        <v>25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16</v>
      </c>
      <c r="B1257" s="1" t="s">
        <v>321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16</v>
      </c>
      <c r="B1258" s="1" t="s">
        <v>322</v>
      </c>
      <c r="C1258" s="1" t="s">
        <v>25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16</v>
      </c>
      <c r="B1259" s="1" t="s">
        <v>322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16</v>
      </c>
      <c r="B1260" s="1" t="s">
        <v>323</v>
      </c>
      <c r="C1260" s="1" t="s">
        <v>25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16</v>
      </c>
      <c r="B1261" s="1" t="s">
        <v>323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16</v>
      </c>
      <c r="B1262" s="1" t="s">
        <v>324</v>
      </c>
      <c r="C1262" s="1" t="s">
        <v>25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16</v>
      </c>
      <c r="B1263" s="1" t="s">
        <v>324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16</v>
      </c>
      <c r="B1264" s="1" t="s">
        <v>325</v>
      </c>
      <c r="C1264" s="1" t="s">
        <v>25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16</v>
      </c>
      <c r="B1265" s="1" t="s">
        <v>325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16</v>
      </c>
      <c r="B1266" s="1" t="s">
        <v>326</v>
      </c>
      <c r="C1266" s="1" t="s">
        <v>25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16</v>
      </c>
      <c r="B1267" s="1" t="s">
        <v>326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16</v>
      </c>
      <c r="B1268" s="1" t="s">
        <v>27</v>
      </c>
      <c r="C1268" s="1" t="s">
        <v>25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16</v>
      </c>
      <c r="B1269" s="1" t="s">
        <v>27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16</v>
      </c>
      <c r="B1270" s="1" t="s">
        <v>28</v>
      </c>
      <c r="C1270" s="1" t="s">
        <v>25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16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16</v>
      </c>
      <c r="B1272" s="1" t="s">
        <v>29</v>
      </c>
      <c r="C1272" s="1" t="s">
        <v>25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16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16</v>
      </c>
      <c r="B1274" s="1" t="s">
        <v>30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11</v>
      </c>
      <c r="C1276" s="1" t="s">
        <v>25</v>
      </c>
      <c r="D1276" s="1">
        <v>0</v>
      </c>
      <c r="E1276" s="1">
        <v>224.31</v>
      </c>
      <c r="F1276" s="1">
        <v>0</v>
      </c>
      <c r="G1276" s="1">
        <v>3927.569</v>
      </c>
      <c r="H1276" s="1">
        <v>0</v>
      </c>
      <c r="I1276" s="1">
        <v>1689.4649999999999</v>
      </c>
    </row>
    <row r="1277" spans="1:9" hidden="1" x14ac:dyDescent="0.25">
      <c r="A1277" s="1" t="s">
        <v>16</v>
      </c>
      <c r="B1277" s="1" t="s">
        <v>11</v>
      </c>
      <c r="C1277" s="1" t="s">
        <v>10</v>
      </c>
      <c r="D1277" s="1">
        <v>0</v>
      </c>
      <c r="E1277" s="1">
        <v>224.31</v>
      </c>
      <c r="F1277" s="1">
        <v>0</v>
      </c>
      <c r="G1277" s="1">
        <v>3927.569</v>
      </c>
      <c r="H1277" s="1">
        <v>0</v>
      </c>
      <c r="I1277" s="1">
        <v>2469.7930000000001</v>
      </c>
    </row>
    <row r="1278" spans="1:9" hidden="1" x14ac:dyDescent="0.25">
      <c r="A1278" s="1" t="s">
        <v>16</v>
      </c>
      <c r="B1278" s="1" t="s">
        <v>12</v>
      </c>
      <c r="C1278" s="1" t="s">
        <v>25</v>
      </c>
      <c r="D1278" s="1">
        <v>0</v>
      </c>
      <c r="E1278" s="1">
        <v>0</v>
      </c>
      <c r="F1278" s="1">
        <v>558.86</v>
      </c>
      <c r="G1278" s="1">
        <v>11266.933000000001</v>
      </c>
      <c r="H1278" s="1">
        <v>4515.5739999999996</v>
      </c>
      <c r="I1278" s="1">
        <v>0</v>
      </c>
    </row>
    <row r="1279" spans="1:9" hidden="1" x14ac:dyDescent="0.25">
      <c r="A1279" s="1" t="s">
        <v>16</v>
      </c>
      <c r="B1279" s="1" t="s">
        <v>12</v>
      </c>
      <c r="C1279" s="1" t="s">
        <v>10</v>
      </c>
      <c r="D1279" s="1">
        <v>0</v>
      </c>
      <c r="E1279" s="1">
        <v>0</v>
      </c>
      <c r="F1279" s="1">
        <v>558.86</v>
      </c>
      <c r="G1279" s="1">
        <v>11266.933000000001</v>
      </c>
      <c r="H1279" s="1">
        <v>6679.3779999999997</v>
      </c>
      <c r="I1279" s="1">
        <v>0</v>
      </c>
    </row>
    <row r="1280" spans="1:9" hidden="1" x14ac:dyDescent="0.25">
      <c r="A1280" s="1" t="s">
        <v>16</v>
      </c>
      <c r="B1280" s="1" t="s">
        <v>13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16</v>
      </c>
      <c r="B1281" s="1" t="s">
        <v>13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31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31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33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33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34</v>
      </c>
      <c r="C1288" s="1" t="s">
        <v>25</v>
      </c>
      <c r="D1288" s="1">
        <v>0</v>
      </c>
      <c r="E1288" s="1">
        <v>-452.1</v>
      </c>
      <c r="F1288" s="1">
        <v>0</v>
      </c>
      <c r="G1288" s="1">
        <v>7459.6149999999998</v>
      </c>
      <c r="H1288" s="1">
        <v>0</v>
      </c>
      <c r="I1288" s="1">
        <v>-3616.7829999999999</v>
      </c>
    </row>
    <row r="1289" spans="1:9" hidden="1" x14ac:dyDescent="0.25">
      <c r="A1289" s="1" t="s">
        <v>16</v>
      </c>
      <c r="B1289" s="1" t="s">
        <v>34</v>
      </c>
      <c r="C1289" s="1" t="s">
        <v>10</v>
      </c>
      <c r="D1289" s="1">
        <v>0</v>
      </c>
      <c r="E1289" s="1">
        <v>-452.1</v>
      </c>
      <c r="F1289" s="1">
        <v>0</v>
      </c>
      <c r="G1289" s="1">
        <v>7459.6149999999998</v>
      </c>
      <c r="H1289" s="1">
        <v>0</v>
      </c>
      <c r="I1289" s="1">
        <v>-5425.174</v>
      </c>
    </row>
    <row r="1290" spans="1:9" hidden="1" x14ac:dyDescent="0.25">
      <c r="A1290" s="1" t="s">
        <v>16</v>
      </c>
      <c r="B1290" s="1" t="s">
        <v>35</v>
      </c>
      <c r="C1290" s="1" t="s">
        <v>25</v>
      </c>
      <c r="D1290" s="1">
        <v>0</v>
      </c>
      <c r="E1290" s="1">
        <v>-452.1</v>
      </c>
      <c r="F1290" s="1">
        <v>0</v>
      </c>
      <c r="G1290" s="1">
        <v>6103.3209999999999</v>
      </c>
      <c r="H1290" s="1">
        <v>0</v>
      </c>
      <c r="I1290" s="1">
        <v>-3616.7829999999999</v>
      </c>
    </row>
    <row r="1291" spans="1:9" hidden="1" x14ac:dyDescent="0.25">
      <c r="A1291" s="1" t="s">
        <v>16</v>
      </c>
      <c r="B1291" s="1" t="s">
        <v>35</v>
      </c>
      <c r="C1291" s="1" t="s">
        <v>10</v>
      </c>
      <c r="D1291" s="1">
        <v>0</v>
      </c>
      <c r="E1291" s="1">
        <v>-452.1</v>
      </c>
      <c r="F1291" s="1">
        <v>0</v>
      </c>
      <c r="G1291" s="1">
        <v>6103.3209999999999</v>
      </c>
      <c r="H1291" s="1">
        <v>0</v>
      </c>
      <c r="I1291" s="1">
        <v>-5425.174</v>
      </c>
    </row>
    <row r="1292" spans="1:9" hidden="1" x14ac:dyDescent="0.25">
      <c r="A1292" s="1" t="s">
        <v>16</v>
      </c>
      <c r="B1292" s="1" t="s">
        <v>36</v>
      </c>
      <c r="C1292" s="1" t="s">
        <v>25</v>
      </c>
      <c r="D1292" s="1">
        <v>0</v>
      </c>
      <c r="E1292" s="1">
        <v>452.1</v>
      </c>
      <c r="F1292" s="1">
        <v>0</v>
      </c>
      <c r="G1292" s="1">
        <v>-7459.6149999999998</v>
      </c>
      <c r="H1292" s="1">
        <v>0</v>
      </c>
      <c r="I1292" s="1">
        <v>3616.7829999999999</v>
      </c>
    </row>
    <row r="1293" spans="1:9" hidden="1" x14ac:dyDescent="0.25">
      <c r="A1293" s="1" t="s">
        <v>16</v>
      </c>
      <c r="B1293" s="1" t="s">
        <v>36</v>
      </c>
      <c r="C1293" s="1" t="s">
        <v>10</v>
      </c>
      <c r="D1293" s="1">
        <v>0</v>
      </c>
      <c r="E1293" s="1">
        <v>452.1</v>
      </c>
      <c r="F1293" s="1">
        <v>0</v>
      </c>
      <c r="G1293" s="1">
        <v>-7459.6149999999998</v>
      </c>
      <c r="H1293" s="1">
        <v>0</v>
      </c>
      <c r="I1293" s="1">
        <v>5425.174</v>
      </c>
    </row>
    <row r="1294" spans="1:9" hidden="1" x14ac:dyDescent="0.25">
      <c r="A1294" s="1" t="s">
        <v>16</v>
      </c>
      <c r="B1294" s="1" t="s">
        <v>37</v>
      </c>
      <c r="C1294" s="1" t="s">
        <v>25</v>
      </c>
      <c r="D1294" s="1">
        <v>0</v>
      </c>
      <c r="E1294" s="1">
        <v>452.1</v>
      </c>
      <c r="F1294" s="1">
        <v>0</v>
      </c>
      <c r="G1294" s="1">
        <v>-6103.3209999999999</v>
      </c>
      <c r="H1294" s="1">
        <v>0</v>
      </c>
      <c r="I1294" s="1">
        <v>3616.7829999999999</v>
      </c>
    </row>
    <row r="1295" spans="1:9" hidden="1" x14ac:dyDescent="0.25">
      <c r="A1295" s="1" t="s">
        <v>16</v>
      </c>
      <c r="B1295" s="1" t="s">
        <v>37</v>
      </c>
      <c r="C1295" s="1" t="s">
        <v>10</v>
      </c>
      <c r="D1295" s="1">
        <v>0</v>
      </c>
      <c r="E1295" s="1">
        <v>452.1</v>
      </c>
      <c r="F1295" s="1">
        <v>0</v>
      </c>
      <c r="G1295" s="1">
        <v>-6103.3209999999999</v>
      </c>
      <c r="H1295" s="1">
        <v>0</v>
      </c>
      <c r="I1295" s="1">
        <v>5425.174</v>
      </c>
    </row>
    <row r="1296" spans="1:9" hidden="1" x14ac:dyDescent="0.25">
      <c r="A1296" s="1" t="s">
        <v>16</v>
      </c>
      <c r="B1296" s="1" t="s">
        <v>38</v>
      </c>
      <c r="C1296" s="1" t="s">
        <v>25</v>
      </c>
      <c r="D1296" s="1">
        <v>0</v>
      </c>
      <c r="E1296" s="1">
        <v>0</v>
      </c>
      <c r="F1296" s="1">
        <v>-546.48</v>
      </c>
      <c r="G1296" s="1">
        <v>-10820.227999999999</v>
      </c>
      <c r="H1296" s="1">
        <v>4371.8090000000002</v>
      </c>
      <c r="I1296" s="1">
        <v>0</v>
      </c>
    </row>
    <row r="1297" spans="1:9" hidden="1" x14ac:dyDescent="0.25">
      <c r="A1297" s="1" t="s">
        <v>16</v>
      </c>
      <c r="B1297" s="1" t="s">
        <v>38</v>
      </c>
      <c r="C1297" s="1" t="s">
        <v>10</v>
      </c>
      <c r="D1297" s="1">
        <v>0</v>
      </c>
      <c r="E1297" s="1">
        <v>0</v>
      </c>
      <c r="F1297" s="1">
        <v>-546.48</v>
      </c>
      <c r="G1297" s="1">
        <v>-10820.227999999999</v>
      </c>
      <c r="H1297" s="1">
        <v>6557.7139999999999</v>
      </c>
      <c r="I1297" s="1">
        <v>0</v>
      </c>
    </row>
    <row r="1298" spans="1:9" hidden="1" x14ac:dyDescent="0.25">
      <c r="A1298" s="1" t="s">
        <v>16</v>
      </c>
      <c r="B1298" s="1" t="s">
        <v>39</v>
      </c>
      <c r="C1298" s="1" t="s">
        <v>25</v>
      </c>
      <c r="D1298" s="1">
        <v>0</v>
      </c>
      <c r="E1298" s="1">
        <v>0</v>
      </c>
      <c r="F1298" s="1">
        <v>-546.48</v>
      </c>
      <c r="G1298" s="1">
        <v>-8852.9140000000007</v>
      </c>
      <c r="H1298" s="1">
        <v>4371.8090000000002</v>
      </c>
      <c r="I1298" s="1">
        <v>0</v>
      </c>
    </row>
    <row r="1299" spans="1:9" hidden="1" x14ac:dyDescent="0.25">
      <c r="A1299" s="1" t="s">
        <v>16</v>
      </c>
      <c r="B1299" s="1" t="s">
        <v>39</v>
      </c>
      <c r="C1299" s="1" t="s">
        <v>10</v>
      </c>
      <c r="D1299" s="1">
        <v>0</v>
      </c>
      <c r="E1299" s="1">
        <v>0</v>
      </c>
      <c r="F1299" s="1">
        <v>-546.48</v>
      </c>
      <c r="G1299" s="1">
        <v>-8852.9140000000007</v>
      </c>
      <c r="H1299" s="1">
        <v>6557.7139999999999</v>
      </c>
      <c r="I1299" s="1">
        <v>0</v>
      </c>
    </row>
    <row r="1300" spans="1:9" hidden="1" x14ac:dyDescent="0.25">
      <c r="A1300" s="1" t="s">
        <v>16</v>
      </c>
      <c r="B1300" s="1" t="s">
        <v>40</v>
      </c>
      <c r="C1300" s="1" t="s">
        <v>25</v>
      </c>
      <c r="D1300" s="1">
        <v>0</v>
      </c>
      <c r="E1300" s="1">
        <v>0</v>
      </c>
      <c r="F1300" s="1">
        <v>546.48</v>
      </c>
      <c r="G1300" s="1">
        <v>10820.227999999999</v>
      </c>
      <c r="H1300" s="1">
        <v>-4371.8090000000002</v>
      </c>
      <c r="I1300" s="1">
        <v>0</v>
      </c>
    </row>
    <row r="1301" spans="1:9" hidden="1" x14ac:dyDescent="0.25">
      <c r="A1301" s="1" t="s">
        <v>16</v>
      </c>
      <c r="B1301" s="1" t="s">
        <v>40</v>
      </c>
      <c r="C1301" s="1" t="s">
        <v>10</v>
      </c>
      <c r="D1301" s="1">
        <v>0</v>
      </c>
      <c r="E1301" s="1">
        <v>0</v>
      </c>
      <c r="F1301" s="1">
        <v>546.48</v>
      </c>
      <c r="G1301" s="1">
        <v>10820.227999999999</v>
      </c>
      <c r="H1301" s="1">
        <v>-6557.7139999999999</v>
      </c>
      <c r="I1301" s="1">
        <v>0</v>
      </c>
    </row>
    <row r="1302" spans="1:9" hidden="1" x14ac:dyDescent="0.25">
      <c r="A1302" s="1" t="s">
        <v>16</v>
      </c>
      <c r="B1302" s="1" t="s">
        <v>41</v>
      </c>
      <c r="C1302" s="1" t="s">
        <v>25</v>
      </c>
      <c r="D1302" s="1">
        <v>0</v>
      </c>
      <c r="E1302" s="1">
        <v>0</v>
      </c>
      <c r="F1302" s="1">
        <v>546.48</v>
      </c>
      <c r="G1302" s="1">
        <v>8852.9140000000007</v>
      </c>
      <c r="H1302" s="1">
        <v>-4371.8090000000002</v>
      </c>
      <c r="I1302" s="1">
        <v>0</v>
      </c>
    </row>
    <row r="1303" spans="1:9" hidden="1" x14ac:dyDescent="0.25">
      <c r="A1303" s="1" t="s">
        <v>16</v>
      </c>
      <c r="B1303" s="1" t="s">
        <v>41</v>
      </c>
      <c r="C1303" s="1" t="s">
        <v>10</v>
      </c>
      <c r="D1303" s="1">
        <v>0</v>
      </c>
      <c r="E1303" s="1">
        <v>0</v>
      </c>
      <c r="F1303" s="1">
        <v>546.48</v>
      </c>
      <c r="G1303" s="1">
        <v>8852.9140000000007</v>
      </c>
      <c r="H1303" s="1">
        <v>-6557.7139999999999</v>
      </c>
      <c r="I1303" s="1">
        <v>0</v>
      </c>
    </row>
    <row r="1304" spans="1:9" hidden="1" x14ac:dyDescent="0.25">
      <c r="A1304" s="1" t="s">
        <v>16</v>
      </c>
      <c r="B1304" s="1" t="s">
        <v>42</v>
      </c>
      <c r="C1304" s="1" t="s">
        <v>25</v>
      </c>
      <c r="D1304" s="1">
        <v>0</v>
      </c>
      <c r="E1304" s="1">
        <v>-452.1</v>
      </c>
      <c r="F1304" s="1">
        <v>0</v>
      </c>
      <c r="G1304" s="1">
        <v>7459.6149999999998</v>
      </c>
      <c r="H1304" s="1">
        <v>0</v>
      </c>
      <c r="I1304" s="1">
        <v>-3616.7829999999999</v>
      </c>
    </row>
    <row r="1305" spans="1:9" hidden="1" x14ac:dyDescent="0.25">
      <c r="A1305" s="1" t="s">
        <v>16</v>
      </c>
      <c r="B1305" s="1" t="s">
        <v>42</v>
      </c>
      <c r="C1305" s="1" t="s">
        <v>10</v>
      </c>
      <c r="D1305" s="1">
        <v>0</v>
      </c>
      <c r="E1305" s="1">
        <v>-452.1</v>
      </c>
      <c r="F1305" s="1">
        <v>0</v>
      </c>
      <c r="G1305" s="1">
        <v>7459.6149999999998</v>
      </c>
      <c r="H1305" s="1">
        <v>0</v>
      </c>
      <c r="I1305" s="1">
        <v>-5425.174</v>
      </c>
    </row>
    <row r="1306" spans="1:9" hidden="1" x14ac:dyDescent="0.25">
      <c r="A1306" s="1" t="s">
        <v>16</v>
      </c>
      <c r="B1306" s="1" t="s">
        <v>43</v>
      </c>
      <c r="C1306" s="1" t="s">
        <v>25</v>
      </c>
      <c r="D1306" s="1">
        <v>0</v>
      </c>
      <c r="E1306" s="1">
        <v>-452.1</v>
      </c>
      <c r="F1306" s="1">
        <v>0</v>
      </c>
      <c r="G1306" s="1">
        <v>6103.3209999999999</v>
      </c>
      <c r="H1306" s="1">
        <v>0</v>
      </c>
      <c r="I1306" s="1">
        <v>-3616.7829999999999</v>
      </c>
    </row>
    <row r="1307" spans="1:9" hidden="1" x14ac:dyDescent="0.25">
      <c r="A1307" s="1" t="s">
        <v>16</v>
      </c>
      <c r="B1307" s="1" t="s">
        <v>43</v>
      </c>
      <c r="C1307" s="1" t="s">
        <v>10</v>
      </c>
      <c r="D1307" s="1">
        <v>0</v>
      </c>
      <c r="E1307" s="1">
        <v>-452.1</v>
      </c>
      <c r="F1307" s="1">
        <v>0</v>
      </c>
      <c r="G1307" s="1">
        <v>6103.3209999999999</v>
      </c>
      <c r="H1307" s="1">
        <v>0</v>
      </c>
      <c r="I1307" s="1">
        <v>-5425.174</v>
      </c>
    </row>
    <row r="1308" spans="1:9" hidden="1" x14ac:dyDescent="0.25">
      <c r="A1308" s="1" t="s">
        <v>16</v>
      </c>
      <c r="B1308" s="1" t="s">
        <v>44</v>
      </c>
      <c r="C1308" s="1" t="s">
        <v>25</v>
      </c>
      <c r="D1308" s="1">
        <v>0</v>
      </c>
      <c r="E1308" s="1">
        <v>452.1</v>
      </c>
      <c r="F1308" s="1">
        <v>0</v>
      </c>
      <c r="G1308" s="1">
        <v>-7459.6149999999998</v>
      </c>
      <c r="H1308" s="1">
        <v>0</v>
      </c>
      <c r="I1308" s="1">
        <v>3616.7829999999999</v>
      </c>
    </row>
    <row r="1309" spans="1:9" hidden="1" x14ac:dyDescent="0.25">
      <c r="A1309" s="1" t="s">
        <v>16</v>
      </c>
      <c r="B1309" s="1" t="s">
        <v>44</v>
      </c>
      <c r="C1309" s="1" t="s">
        <v>10</v>
      </c>
      <c r="D1309" s="1">
        <v>0</v>
      </c>
      <c r="E1309" s="1">
        <v>452.1</v>
      </c>
      <c r="F1309" s="1">
        <v>0</v>
      </c>
      <c r="G1309" s="1">
        <v>-7459.6149999999998</v>
      </c>
      <c r="H1309" s="1">
        <v>0</v>
      </c>
      <c r="I1309" s="1">
        <v>5425.174</v>
      </c>
    </row>
    <row r="1310" spans="1:9" hidden="1" x14ac:dyDescent="0.25">
      <c r="A1310" s="1" t="s">
        <v>16</v>
      </c>
      <c r="B1310" s="1" t="s">
        <v>45</v>
      </c>
      <c r="C1310" s="1" t="s">
        <v>25</v>
      </c>
      <c r="D1310" s="1">
        <v>0</v>
      </c>
      <c r="E1310" s="1">
        <v>452.1</v>
      </c>
      <c r="F1310" s="1">
        <v>0</v>
      </c>
      <c r="G1310" s="1">
        <v>-6103.3209999999999</v>
      </c>
      <c r="H1310" s="1">
        <v>0</v>
      </c>
      <c r="I1310" s="1">
        <v>3616.7829999999999</v>
      </c>
    </row>
    <row r="1311" spans="1:9" hidden="1" x14ac:dyDescent="0.25">
      <c r="A1311" s="1" t="s">
        <v>16</v>
      </c>
      <c r="B1311" s="1" t="s">
        <v>45</v>
      </c>
      <c r="C1311" s="1" t="s">
        <v>10</v>
      </c>
      <c r="D1311" s="1">
        <v>0</v>
      </c>
      <c r="E1311" s="1">
        <v>452.1</v>
      </c>
      <c r="F1311" s="1">
        <v>0</v>
      </c>
      <c r="G1311" s="1">
        <v>-6103.3209999999999</v>
      </c>
      <c r="H1311" s="1">
        <v>0</v>
      </c>
      <c r="I1311" s="1">
        <v>5425.174</v>
      </c>
    </row>
    <row r="1312" spans="1:9" hidden="1" x14ac:dyDescent="0.25">
      <c r="A1312" s="1" t="s">
        <v>16</v>
      </c>
      <c r="B1312" s="1" t="s">
        <v>46</v>
      </c>
      <c r="C1312" s="1" t="s">
        <v>25</v>
      </c>
      <c r="D1312" s="1">
        <v>0</v>
      </c>
      <c r="E1312" s="1">
        <v>0</v>
      </c>
      <c r="F1312" s="1">
        <v>-546.48</v>
      </c>
      <c r="G1312" s="1">
        <v>-10820.227999999999</v>
      </c>
      <c r="H1312" s="1">
        <v>4371.8090000000002</v>
      </c>
      <c r="I1312" s="1">
        <v>0</v>
      </c>
    </row>
    <row r="1313" spans="1:9" hidden="1" x14ac:dyDescent="0.25">
      <c r="A1313" s="1" t="s">
        <v>16</v>
      </c>
      <c r="B1313" s="1" t="s">
        <v>46</v>
      </c>
      <c r="C1313" s="1" t="s">
        <v>10</v>
      </c>
      <c r="D1313" s="1">
        <v>0</v>
      </c>
      <c r="E1313" s="1">
        <v>0</v>
      </c>
      <c r="F1313" s="1">
        <v>-546.48</v>
      </c>
      <c r="G1313" s="1">
        <v>-10820.227999999999</v>
      </c>
      <c r="H1313" s="1">
        <v>6557.7139999999999</v>
      </c>
      <c r="I1313" s="1">
        <v>0</v>
      </c>
    </row>
    <row r="1314" spans="1:9" hidden="1" x14ac:dyDescent="0.25">
      <c r="A1314" s="1" t="s">
        <v>16</v>
      </c>
      <c r="B1314" s="1" t="s">
        <v>47</v>
      </c>
      <c r="C1314" s="1" t="s">
        <v>25</v>
      </c>
      <c r="D1314" s="1">
        <v>0</v>
      </c>
      <c r="E1314" s="1">
        <v>0</v>
      </c>
      <c r="F1314" s="1">
        <v>-546.48</v>
      </c>
      <c r="G1314" s="1">
        <v>-8852.9140000000007</v>
      </c>
      <c r="H1314" s="1">
        <v>4371.8090000000002</v>
      </c>
      <c r="I1314" s="1">
        <v>0</v>
      </c>
    </row>
    <row r="1315" spans="1:9" hidden="1" x14ac:dyDescent="0.25">
      <c r="A1315" s="1" t="s">
        <v>16</v>
      </c>
      <c r="B1315" s="1" t="s">
        <v>47</v>
      </c>
      <c r="C1315" s="1" t="s">
        <v>10</v>
      </c>
      <c r="D1315" s="1">
        <v>0</v>
      </c>
      <c r="E1315" s="1">
        <v>0</v>
      </c>
      <c r="F1315" s="1">
        <v>-546.48</v>
      </c>
      <c r="G1315" s="1">
        <v>-8852.9140000000007</v>
      </c>
      <c r="H1315" s="1">
        <v>6557.7139999999999</v>
      </c>
      <c r="I1315" s="1">
        <v>0</v>
      </c>
    </row>
    <row r="1316" spans="1:9" hidden="1" x14ac:dyDescent="0.25">
      <c r="A1316" s="1" t="s">
        <v>16</v>
      </c>
      <c r="B1316" s="1" t="s">
        <v>48</v>
      </c>
      <c r="C1316" s="1" t="s">
        <v>25</v>
      </c>
      <c r="D1316" s="1">
        <v>0</v>
      </c>
      <c r="E1316" s="1">
        <v>0</v>
      </c>
      <c r="F1316" s="1">
        <v>546.48</v>
      </c>
      <c r="G1316" s="1">
        <v>10820.227999999999</v>
      </c>
      <c r="H1316" s="1">
        <v>-4371.8090000000002</v>
      </c>
      <c r="I1316" s="1">
        <v>0</v>
      </c>
    </row>
    <row r="1317" spans="1:9" hidden="1" x14ac:dyDescent="0.25">
      <c r="A1317" s="1" t="s">
        <v>16</v>
      </c>
      <c r="B1317" s="1" t="s">
        <v>48</v>
      </c>
      <c r="C1317" s="1" t="s">
        <v>10</v>
      </c>
      <c r="D1317" s="1">
        <v>0</v>
      </c>
      <c r="E1317" s="1">
        <v>0</v>
      </c>
      <c r="F1317" s="1">
        <v>546.48</v>
      </c>
      <c r="G1317" s="1">
        <v>10820.227999999999</v>
      </c>
      <c r="H1317" s="1">
        <v>-6557.7139999999999</v>
      </c>
      <c r="I1317" s="1">
        <v>0</v>
      </c>
    </row>
    <row r="1318" spans="1:9" hidden="1" x14ac:dyDescent="0.25">
      <c r="A1318" s="1" t="s">
        <v>16</v>
      </c>
      <c r="B1318" s="1" t="s">
        <v>49</v>
      </c>
      <c r="C1318" s="1" t="s">
        <v>25</v>
      </c>
      <c r="D1318" s="1">
        <v>0</v>
      </c>
      <c r="E1318" s="1">
        <v>0</v>
      </c>
      <c r="F1318" s="1">
        <v>546.48</v>
      </c>
      <c r="G1318" s="1">
        <v>8852.9140000000007</v>
      </c>
      <c r="H1318" s="1">
        <v>-4371.8090000000002</v>
      </c>
      <c r="I1318" s="1">
        <v>0</v>
      </c>
    </row>
    <row r="1319" spans="1:9" hidden="1" x14ac:dyDescent="0.25">
      <c r="A1319" s="1" t="s">
        <v>16</v>
      </c>
      <c r="B1319" s="1" t="s">
        <v>49</v>
      </c>
      <c r="C1319" s="1" t="s">
        <v>10</v>
      </c>
      <c r="D1319" s="1">
        <v>0</v>
      </c>
      <c r="E1319" s="1">
        <v>0</v>
      </c>
      <c r="F1319" s="1">
        <v>546.48</v>
      </c>
      <c r="G1319" s="1">
        <v>8852.9140000000007</v>
      </c>
      <c r="H1319" s="1">
        <v>-6557.7139999999999</v>
      </c>
      <c r="I1319" s="1">
        <v>0</v>
      </c>
    </row>
    <row r="1320" spans="1:9" hidden="1" x14ac:dyDescent="0.25">
      <c r="A1320" s="1" t="s">
        <v>16</v>
      </c>
      <c r="B1320" s="1" t="s">
        <v>50</v>
      </c>
      <c r="C1320" s="1" t="s">
        <v>25</v>
      </c>
      <c r="D1320" s="1">
        <v>0</v>
      </c>
      <c r="E1320" s="1">
        <v>-135.63</v>
      </c>
      <c r="F1320" s="1">
        <v>0</v>
      </c>
      <c r="G1320" s="1">
        <v>2237.884</v>
      </c>
      <c r="H1320" s="1">
        <v>0</v>
      </c>
      <c r="I1320" s="1">
        <v>-1085.0350000000001</v>
      </c>
    </row>
    <row r="1321" spans="1:9" hidden="1" x14ac:dyDescent="0.25">
      <c r="A1321" s="1" t="s">
        <v>16</v>
      </c>
      <c r="B1321" s="1" t="s">
        <v>50</v>
      </c>
      <c r="C1321" s="1" t="s">
        <v>10</v>
      </c>
      <c r="D1321" s="1">
        <v>0</v>
      </c>
      <c r="E1321" s="1">
        <v>-135.63</v>
      </c>
      <c r="F1321" s="1">
        <v>0</v>
      </c>
      <c r="G1321" s="1">
        <v>2237.884</v>
      </c>
      <c r="H1321" s="1">
        <v>0</v>
      </c>
      <c r="I1321" s="1">
        <v>-1627.5519999999999</v>
      </c>
    </row>
    <row r="1322" spans="1:9" hidden="1" x14ac:dyDescent="0.25">
      <c r="A1322" s="1" t="s">
        <v>16</v>
      </c>
      <c r="B1322" s="1" t="s">
        <v>51</v>
      </c>
      <c r="C1322" s="1" t="s">
        <v>25</v>
      </c>
      <c r="D1322" s="1">
        <v>0</v>
      </c>
      <c r="E1322" s="1">
        <v>-135.63</v>
      </c>
      <c r="F1322" s="1">
        <v>0</v>
      </c>
      <c r="G1322" s="1">
        <v>1830.9960000000001</v>
      </c>
      <c r="H1322" s="1">
        <v>0</v>
      </c>
      <c r="I1322" s="1">
        <v>-1085.0350000000001</v>
      </c>
    </row>
    <row r="1323" spans="1:9" hidden="1" x14ac:dyDescent="0.25">
      <c r="A1323" s="1" t="s">
        <v>16</v>
      </c>
      <c r="B1323" s="1" t="s">
        <v>51</v>
      </c>
      <c r="C1323" s="1" t="s">
        <v>10</v>
      </c>
      <c r="D1323" s="1">
        <v>0</v>
      </c>
      <c r="E1323" s="1">
        <v>-135.63</v>
      </c>
      <c r="F1323" s="1">
        <v>0</v>
      </c>
      <c r="G1323" s="1">
        <v>1830.9960000000001</v>
      </c>
      <c r="H1323" s="1">
        <v>0</v>
      </c>
      <c r="I1323" s="1">
        <v>-1627.5519999999999</v>
      </c>
    </row>
    <row r="1324" spans="1:9" hidden="1" x14ac:dyDescent="0.25">
      <c r="A1324" s="1" t="s">
        <v>16</v>
      </c>
      <c r="B1324" s="1" t="s">
        <v>52</v>
      </c>
      <c r="C1324" s="1" t="s">
        <v>25</v>
      </c>
      <c r="D1324" s="1">
        <v>0</v>
      </c>
      <c r="E1324" s="1">
        <v>135.63</v>
      </c>
      <c r="F1324" s="1">
        <v>0</v>
      </c>
      <c r="G1324" s="1">
        <v>-2237.884</v>
      </c>
      <c r="H1324" s="1">
        <v>0</v>
      </c>
      <c r="I1324" s="1">
        <v>1085.0350000000001</v>
      </c>
    </row>
    <row r="1325" spans="1:9" hidden="1" x14ac:dyDescent="0.25">
      <c r="A1325" s="1" t="s">
        <v>16</v>
      </c>
      <c r="B1325" s="1" t="s">
        <v>52</v>
      </c>
      <c r="C1325" s="1" t="s">
        <v>10</v>
      </c>
      <c r="D1325" s="1">
        <v>0</v>
      </c>
      <c r="E1325" s="1">
        <v>135.63</v>
      </c>
      <c r="F1325" s="1">
        <v>0</v>
      </c>
      <c r="G1325" s="1">
        <v>-2237.884</v>
      </c>
      <c r="H1325" s="1">
        <v>0</v>
      </c>
      <c r="I1325" s="1">
        <v>1627.5519999999999</v>
      </c>
    </row>
    <row r="1326" spans="1:9" hidden="1" x14ac:dyDescent="0.25">
      <c r="A1326" s="1" t="s">
        <v>16</v>
      </c>
      <c r="B1326" s="1" t="s">
        <v>53</v>
      </c>
      <c r="C1326" s="1" t="s">
        <v>25</v>
      </c>
      <c r="D1326" s="1">
        <v>0</v>
      </c>
      <c r="E1326" s="1">
        <v>135.63</v>
      </c>
      <c r="F1326" s="1">
        <v>0</v>
      </c>
      <c r="G1326" s="1">
        <v>-1830.9960000000001</v>
      </c>
      <c r="H1326" s="1">
        <v>0</v>
      </c>
      <c r="I1326" s="1">
        <v>1085.0350000000001</v>
      </c>
    </row>
    <row r="1327" spans="1:9" hidden="1" x14ac:dyDescent="0.25">
      <c r="A1327" s="1" t="s">
        <v>16</v>
      </c>
      <c r="B1327" s="1" t="s">
        <v>53</v>
      </c>
      <c r="C1327" s="1" t="s">
        <v>10</v>
      </c>
      <c r="D1327" s="1">
        <v>0</v>
      </c>
      <c r="E1327" s="1">
        <v>135.63</v>
      </c>
      <c r="F1327" s="1">
        <v>0</v>
      </c>
      <c r="G1327" s="1">
        <v>-1830.9960000000001</v>
      </c>
      <c r="H1327" s="1">
        <v>0</v>
      </c>
      <c r="I1327" s="1">
        <v>1627.5519999999999</v>
      </c>
    </row>
    <row r="1328" spans="1:9" hidden="1" x14ac:dyDescent="0.25">
      <c r="A1328" s="1" t="s">
        <v>16</v>
      </c>
      <c r="B1328" s="1" t="s">
        <v>54</v>
      </c>
      <c r="C1328" s="1" t="s">
        <v>25</v>
      </c>
      <c r="D1328" s="1">
        <v>0</v>
      </c>
      <c r="E1328" s="1">
        <v>0</v>
      </c>
      <c r="F1328" s="1">
        <v>-163.94</v>
      </c>
      <c r="G1328" s="1">
        <v>-3246.0680000000002</v>
      </c>
      <c r="H1328" s="1">
        <v>1311.5429999999999</v>
      </c>
      <c r="I1328" s="1">
        <v>0</v>
      </c>
    </row>
    <row r="1329" spans="1:9" hidden="1" x14ac:dyDescent="0.25">
      <c r="A1329" s="1" t="s">
        <v>16</v>
      </c>
      <c r="B1329" s="1" t="s">
        <v>54</v>
      </c>
      <c r="C1329" s="1" t="s">
        <v>10</v>
      </c>
      <c r="D1329" s="1">
        <v>0</v>
      </c>
      <c r="E1329" s="1">
        <v>0</v>
      </c>
      <c r="F1329" s="1">
        <v>-163.94</v>
      </c>
      <c r="G1329" s="1">
        <v>-3246.0680000000002</v>
      </c>
      <c r="H1329" s="1">
        <v>1967.3140000000001</v>
      </c>
      <c r="I1329" s="1">
        <v>0</v>
      </c>
    </row>
    <row r="1330" spans="1:9" hidden="1" x14ac:dyDescent="0.25">
      <c r="A1330" s="1" t="s">
        <v>16</v>
      </c>
      <c r="B1330" s="1" t="s">
        <v>55</v>
      </c>
      <c r="C1330" s="1" t="s">
        <v>25</v>
      </c>
      <c r="D1330" s="1">
        <v>0</v>
      </c>
      <c r="E1330" s="1">
        <v>0</v>
      </c>
      <c r="F1330" s="1">
        <v>-163.94</v>
      </c>
      <c r="G1330" s="1">
        <v>-2655.8739999999998</v>
      </c>
      <c r="H1330" s="1">
        <v>1311.5429999999999</v>
      </c>
      <c r="I1330" s="1">
        <v>0</v>
      </c>
    </row>
    <row r="1331" spans="1:9" hidden="1" x14ac:dyDescent="0.25">
      <c r="A1331" s="1" t="s">
        <v>16</v>
      </c>
      <c r="B1331" s="1" t="s">
        <v>55</v>
      </c>
      <c r="C1331" s="1" t="s">
        <v>10</v>
      </c>
      <c r="D1331" s="1">
        <v>0</v>
      </c>
      <c r="E1331" s="1">
        <v>0</v>
      </c>
      <c r="F1331" s="1">
        <v>-163.94</v>
      </c>
      <c r="G1331" s="1">
        <v>-2655.8739999999998</v>
      </c>
      <c r="H1331" s="1">
        <v>1967.3140000000001</v>
      </c>
      <c r="I1331" s="1">
        <v>0</v>
      </c>
    </row>
    <row r="1332" spans="1:9" hidden="1" x14ac:dyDescent="0.25">
      <c r="A1332" s="1" t="s">
        <v>16</v>
      </c>
      <c r="B1332" s="1" t="s">
        <v>56</v>
      </c>
      <c r="C1332" s="1" t="s">
        <v>25</v>
      </c>
      <c r="D1332" s="1">
        <v>0</v>
      </c>
      <c r="E1332" s="1">
        <v>0</v>
      </c>
      <c r="F1332" s="1">
        <v>163.94</v>
      </c>
      <c r="G1332" s="1">
        <v>3246.0680000000002</v>
      </c>
      <c r="H1332" s="1">
        <v>-1311.5429999999999</v>
      </c>
      <c r="I1332" s="1">
        <v>0</v>
      </c>
    </row>
    <row r="1333" spans="1:9" hidden="1" x14ac:dyDescent="0.25">
      <c r="A1333" s="1" t="s">
        <v>16</v>
      </c>
      <c r="B1333" s="1" t="s">
        <v>56</v>
      </c>
      <c r="C1333" s="1" t="s">
        <v>10</v>
      </c>
      <c r="D1333" s="1">
        <v>0</v>
      </c>
      <c r="E1333" s="1">
        <v>0</v>
      </c>
      <c r="F1333" s="1">
        <v>163.94</v>
      </c>
      <c r="G1333" s="1">
        <v>3246.0680000000002</v>
      </c>
      <c r="H1333" s="1">
        <v>-1967.3140000000001</v>
      </c>
      <c r="I1333" s="1">
        <v>0</v>
      </c>
    </row>
    <row r="1334" spans="1:9" hidden="1" x14ac:dyDescent="0.25">
      <c r="A1334" s="1" t="s">
        <v>16</v>
      </c>
      <c r="B1334" s="1" t="s">
        <v>57</v>
      </c>
      <c r="C1334" s="1" t="s">
        <v>25</v>
      </c>
      <c r="D1334" s="1">
        <v>0</v>
      </c>
      <c r="E1334" s="1">
        <v>0</v>
      </c>
      <c r="F1334" s="1">
        <v>163.94</v>
      </c>
      <c r="G1334" s="1">
        <v>2655.8739999999998</v>
      </c>
      <c r="H1334" s="1">
        <v>-1311.5429999999999</v>
      </c>
      <c r="I1334" s="1">
        <v>0</v>
      </c>
    </row>
    <row r="1335" spans="1:9" hidden="1" x14ac:dyDescent="0.25">
      <c r="A1335" s="1" t="s">
        <v>16</v>
      </c>
      <c r="B1335" s="1" t="s">
        <v>57</v>
      </c>
      <c r="C1335" s="1" t="s">
        <v>10</v>
      </c>
      <c r="D1335" s="1">
        <v>0</v>
      </c>
      <c r="E1335" s="1">
        <v>0</v>
      </c>
      <c r="F1335" s="1">
        <v>163.94</v>
      </c>
      <c r="G1335" s="1">
        <v>2655.8739999999998</v>
      </c>
      <c r="H1335" s="1">
        <v>-1967.3140000000001</v>
      </c>
      <c r="I1335" s="1">
        <v>0</v>
      </c>
    </row>
    <row r="1336" spans="1:9" hidden="1" x14ac:dyDescent="0.25">
      <c r="A1336" s="1" t="s">
        <v>16</v>
      </c>
      <c r="B1336" s="1" t="s">
        <v>58</v>
      </c>
      <c r="C1336" s="1" t="s">
        <v>25</v>
      </c>
      <c r="D1336" s="1">
        <v>0</v>
      </c>
      <c r="E1336" s="1">
        <v>-135.63</v>
      </c>
      <c r="F1336" s="1">
        <v>0</v>
      </c>
      <c r="G1336" s="1">
        <v>2237.884</v>
      </c>
      <c r="H1336" s="1">
        <v>0</v>
      </c>
      <c r="I1336" s="1">
        <v>-1085.0350000000001</v>
      </c>
    </row>
    <row r="1337" spans="1:9" hidden="1" x14ac:dyDescent="0.25">
      <c r="A1337" s="1" t="s">
        <v>16</v>
      </c>
      <c r="B1337" s="1" t="s">
        <v>58</v>
      </c>
      <c r="C1337" s="1" t="s">
        <v>10</v>
      </c>
      <c r="D1337" s="1">
        <v>0</v>
      </c>
      <c r="E1337" s="1">
        <v>-135.63</v>
      </c>
      <c r="F1337" s="1">
        <v>0</v>
      </c>
      <c r="G1337" s="1">
        <v>2237.884</v>
      </c>
      <c r="H1337" s="1">
        <v>0</v>
      </c>
      <c r="I1337" s="1">
        <v>-1627.5519999999999</v>
      </c>
    </row>
    <row r="1338" spans="1:9" hidden="1" x14ac:dyDescent="0.25">
      <c r="A1338" s="1" t="s">
        <v>16</v>
      </c>
      <c r="B1338" s="1" t="s">
        <v>59</v>
      </c>
      <c r="C1338" s="1" t="s">
        <v>25</v>
      </c>
      <c r="D1338" s="1">
        <v>0</v>
      </c>
      <c r="E1338" s="1">
        <v>-135.63</v>
      </c>
      <c r="F1338" s="1">
        <v>0</v>
      </c>
      <c r="G1338" s="1">
        <v>1830.9960000000001</v>
      </c>
      <c r="H1338" s="1">
        <v>0</v>
      </c>
      <c r="I1338" s="1">
        <v>-1085.0350000000001</v>
      </c>
    </row>
    <row r="1339" spans="1:9" hidden="1" x14ac:dyDescent="0.25">
      <c r="A1339" s="1" t="s">
        <v>16</v>
      </c>
      <c r="B1339" s="1" t="s">
        <v>59</v>
      </c>
      <c r="C1339" s="1" t="s">
        <v>10</v>
      </c>
      <c r="D1339" s="1">
        <v>0</v>
      </c>
      <c r="E1339" s="1">
        <v>-135.63</v>
      </c>
      <c r="F1339" s="1">
        <v>0</v>
      </c>
      <c r="G1339" s="1">
        <v>1830.9960000000001</v>
      </c>
      <c r="H1339" s="1">
        <v>0</v>
      </c>
      <c r="I1339" s="1">
        <v>-1627.5519999999999</v>
      </c>
    </row>
    <row r="1340" spans="1:9" hidden="1" x14ac:dyDescent="0.25">
      <c r="A1340" s="1" t="s">
        <v>16</v>
      </c>
      <c r="B1340" s="1" t="s">
        <v>60</v>
      </c>
      <c r="C1340" s="1" t="s">
        <v>25</v>
      </c>
      <c r="D1340" s="1">
        <v>0</v>
      </c>
      <c r="E1340" s="1">
        <v>135.63</v>
      </c>
      <c r="F1340" s="1">
        <v>0</v>
      </c>
      <c r="G1340" s="1">
        <v>-2237.884</v>
      </c>
      <c r="H1340" s="1">
        <v>0</v>
      </c>
      <c r="I1340" s="1">
        <v>1085.0350000000001</v>
      </c>
    </row>
    <row r="1341" spans="1:9" hidden="1" x14ac:dyDescent="0.25">
      <c r="A1341" s="1" t="s">
        <v>16</v>
      </c>
      <c r="B1341" s="1" t="s">
        <v>60</v>
      </c>
      <c r="C1341" s="1" t="s">
        <v>10</v>
      </c>
      <c r="D1341" s="1">
        <v>0</v>
      </c>
      <c r="E1341" s="1">
        <v>135.63</v>
      </c>
      <c r="F1341" s="1">
        <v>0</v>
      </c>
      <c r="G1341" s="1">
        <v>-2237.884</v>
      </c>
      <c r="H1341" s="1">
        <v>0</v>
      </c>
      <c r="I1341" s="1">
        <v>1627.5519999999999</v>
      </c>
    </row>
    <row r="1342" spans="1:9" hidden="1" x14ac:dyDescent="0.25">
      <c r="A1342" s="1" t="s">
        <v>16</v>
      </c>
      <c r="B1342" s="1" t="s">
        <v>61</v>
      </c>
      <c r="C1342" s="1" t="s">
        <v>25</v>
      </c>
      <c r="D1342" s="1">
        <v>0</v>
      </c>
      <c r="E1342" s="1">
        <v>135.63</v>
      </c>
      <c r="F1342" s="1">
        <v>0</v>
      </c>
      <c r="G1342" s="1">
        <v>-1830.9960000000001</v>
      </c>
      <c r="H1342" s="1">
        <v>0</v>
      </c>
      <c r="I1342" s="1">
        <v>1085.0350000000001</v>
      </c>
    </row>
    <row r="1343" spans="1:9" hidden="1" x14ac:dyDescent="0.25">
      <c r="A1343" s="1" t="s">
        <v>16</v>
      </c>
      <c r="B1343" s="1" t="s">
        <v>61</v>
      </c>
      <c r="C1343" s="1" t="s">
        <v>10</v>
      </c>
      <c r="D1343" s="1">
        <v>0</v>
      </c>
      <c r="E1343" s="1">
        <v>135.63</v>
      </c>
      <c r="F1343" s="1">
        <v>0</v>
      </c>
      <c r="G1343" s="1">
        <v>-1830.9960000000001</v>
      </c>
      <c r="H1343" s="1">
        <v>0</v>
      </c>
      <c r="I1343" s="1">
        <v>1627.5519999999999</v>
      </c>
    </row>
    <row r="1344" spans="1:9" hidden="1" x14ac:dyDescent="0.25">
      <c r="A1344" s="1" t="s">
        <v>16</v>
      </c>
      <c r="B1344" s="1" t="s">
        <v>62</v>
      </c>
      <c r="C1344" s="1" t="s">
        <v>25</v>
      </c>
      <c r="D1344" s="1">
        <v>0</v>
      </c>
      <c r="E1344" s="1">
        <v>0</v>
      </c>
      <c r="F1344" s="1">
        <v>-163.94</v>
      </c>
      <c r="G1344" s="1">
        <v>-3246.0680000000002</v>
      </c>
      <c r="H1344" s="1">
        <v>1311.5429999999999</v>
      </c>
      <c r="I1344" s="1">
        <v>0</v>
      </c>
    </row>
    <row r="1345" spans="1:9" hidden="1" x14ac:dyDescent="0.25">
      <c r="A1345" s="1" t="s">
        <v>16</v>
      </c>
      <c r="B1345" s="1" t="s">
        <v>62</v>
      </c>
      <c r="C1345" s="1" t="s">
        <v>10</v>
      </c>
      <c r="D1345" s="1">
        <v>0</v>
      </c>
      <c r="E1345" s="1">
        <v>0</v>
      </c>
      <c r="F1345" s="1">
        <v>-163.94</v>
      </c>
      <c r="G1345" s="1">
        <v>-3246.0680000000002</v>
      </c>
      <c r="H1345" s="1">
        <v>1967.3140000000001</v>
      </c>
      <c r="I1345" s="1">
        <v>0</v>
      </c>
    </row>
    <row r="1346" spans="1:9" hidden="1" x14ac:dyDescent="0.25">
      <c r="A1346" s="1" t="s">
        <v>16</v>
      </c>
      <c r="B1346" s="1" t="s">
        <v>63</v>
      </c>
      <c r="C1346" s="1" t="s">
        <v>25</v>
      </c>
      <c r="D1346" s="1">
        <v>0</v>
      </c>
      <c r="E1346" s="1">
        <v>0</v>
      </c>
      <c r="F1346" s="1">
        <v>-163.94</v>
      </c>
      <c r="G1346" s="1">
        <v>-2655.8739999999998</v>
      </c>
      <c r="H1346" s="1">
        <v>1311.5429999999999</v>
      </c>
      <c r="I1346" s="1">
        <v>0</v>
      </c>
    </row>
    <row r="1347" spans="1:9" hidden="1" x14ac:dyDescent="0.25">
      <c r="A1347" s="1" t="s">
        <v>16</v>
      </c>
      <c r="B1347" s="1" t="s">
        <v>63</v>
      </c>
      <c r="C1347" s="1" t="s">
        <v>10</v>
      </c>
      <c r="D1347" s="1">
        <v>0</v>
      </c>
      <c r="E1347" s="1">
        <v>0</v>
      </c>
      <c r="F1347" s="1">
        <v>-163.94</v>
      </c>
      <c r="G1347" s="1">
        <v>-2655.8739999999998</v>
      </c>
      <c r="H1347" s="1">
        <v>1967.3140000000001</v>
      </c>
      <c r="I1347" s="1">
        <v>0</v>
      </c>
    </row>
    <row r="1348" spans="1:9" hidden="1" x14ac:dyDescent="0.25">
      <c r="A1348" s="1" t="s">
        <v>16</v>
      </c>
      <c r="B1348" s="1" t="s">
        <v>64</v>
      </c>
      <c r="C1348" s="1" t="s">
        <v>25</v>
      </c>
      <c r="D1348" s="1">
        <v>0</v>
      </c>
      <c r="E1348" s="1">
        <v>0</v>
      </c>
      <c r="F1348" s="1">
        <v>163.94</v>
      </c>
      <c r="G1348" s="1">
        <v>3246.0680000000002</v>
      </c>
      <c r="H1348" s="1">
        <v>-1311.5429999999999</v>
      </c>
      <c r="I1348" s="1">
        <v>0</v>
      </c>
    </row>
    <row r="1349" spans="1:9" hidden="1" x14ac:dyDescent="0.25">
      <c r="A1349" s="1" t="s">
        <v>16</v>
      </c>
      <c r="B1349" s="1" t="s">
        <v>64</v>
      </c>
      <c r="C1349" s="1" t="s">
        <v>10</v>
      </c>
      <c r="D1349" s="1">
        <v>0</v>
      </c>
      <c r="E1349" s="1">
        <v>0</v>
      </c>
      <c r="F1349" s="1">
        <v>163.94</v>
      </c>
      <c r="G1349" s="1">
        <v>3246.0680000000002</v>
      </c>
      <c r="H1349" s="1">
        <v>-1967.3140000000001</v>
      </c>
      <c r="I1349" s="1">
        <v>0</v>
      </c>
    </row>
    <row r="1350" spans="1:9" hidden="1" x14ac:dyDescent="0.25">
      <c r="A1350" s="1" t="s">
        <v>16</v>
      </c>
      <c r="B1350" s="1" t="s">
        <v>65</v>
      </c>
      <c r="C1350" s="1" t="s">
        <v>25</v>
      </c>
      <c r="D1350" s="1">
        <v>0</v>
      </c>
      <c r="E1350" s="1">
        <v>0</v>
      </c>
      <c r="F1350" s="1">
        <v>163.94</v>
      </c>
      <c r="G1350" s="1">
        <v>2655.8739999999998</v>
      </c>
      <c r="H1350" s="1">
        <v>-1311.5429999999999</v>
      </c>
      <c r="I1350" s="1">
        <v>0</v>
      </c>
    </row>
    <row r="1351" spans="1:9" hidden="1" x14ac:dyDescent="0.25">
      <c r="A1351" s="1" t="s">
        <v>16</v>
      </c>
      <c r="B1351" s="1" t="s">
        <v>65</v>
      </c>
      <c r="C1351" s="1" t="s">
        <v>10</v>
      </c>
      <c r="D1351" s="1">
        <v>0</v>
      </c>
      <c r="E1351" s="1">
        <v>0</v>
      </c>
      <c r="F1351" s="1">
        <v>163.94</v>
      </c>
      <c r="G1351" s="1">
        <v>2655.8739999999998</v>
      </c>
      <c r="H1351" s="1">
        <v>-1967.3140000000001</v>
      </c>
      <c r="I1351" s="1">
        <v>0</v>
      </c>
    </row>
    <row r="1352" spans="1:9" hidden="1" x14ac:dyDescent="0.25">
      <c r="A1352" s="1" t="s">
        <v>16</v>
      </c>
      <c r="B1352" s="1" t="s">
        <v>66</v>
      </c>
      <c r="C1352" s="1" t="s">
        <v>25</v>
      </c>
      <c r="D1352" s="1">
        <v>0</v>
      </c>
      <c r="E1352" s="1">
        <v>-452.1</v>
      </c>
      <c r="F1352" s="1">
        <v>0</v>
      </c>
      <c r="G1352" s="1">
        <v>7459.6149999999998</v>
      </c>
      <c r="H1352" s="1">
        <v>0</v>
      </c>
      <c r="I1352" s="1">
        <v>-3616.7829999999999</v>
      </c>
    </row>
    <row r="1353" spans="1:9" hidden="1" x14ac:dyDescent="0.25">
      <c r="A1353" s="1" t="s">
        <v>16</v>
      </c>
      <c r="B1353" s="1" t="s">
        <v>66</v>
      </c>
      <c r="C1353" s="1" t="s">
        <v>10</v>
      </c>
      <c r="D1353" s="1">
        <v>0</v>
      </c>
      <c r="E1353" s="1">
        <v>-452.1</v>
      </c>
      <c r="F1353" s="1">
        <v>0</v>
      </c>
      <c r="G1353" s="1">
        <v>7459.6149999999998</v>
      </c>
      <c r="H1353" s="1">
        <v>0</v>
      </c>
      <c r="I1353" s="1">
        <v>-5425.174</v>
      </c>
    </row>
    <row r="1354" spans="1:9" hidden="1" x14ac:dyDescent="0.25">
      <c r="A1354" s="1" t="s">
        <v>16</v>
      </c>
      <c r="B1354" s="1" t="s">
        <v>67</v>
      </c>
      <c r="C1354" s="1" t="s">
        <v>25</v>
      </c>
      <c r="D1354" s="1">
        <v>0</v>
      </c>
      <c r="E1354" s="1">
        <v>-452.1</v>
      </c>
      <c r="F1354" s="1">
        <v>0</v>
      </c>
      <c r="G1354" s="1">
        <v>6103.3209999999999</v>
      </c>
      <c r="H1354" s="1">
        <v>0</v>
      </c>
      <c r="I1354" s="1">
        <v>-3616.7829999999999</v>
      </c>
    </row>
    <row r="1355" spans="1:9" hidden="1" x14ac:dyDescent="0.25">
      <c r="A1355" s="1" t="s">
        <v>16</v>
      </c>
      <c r="B1355" s="1" t="s">
        <v>67</v>
      </c>
      <c r="C1355" s="1" t="s">
        <v>10</v>
      </c>
      <c r="D1355" s="1">
        <v>0</v>
      </c>
      <c r="E1355" s="1">
        <v>-452.1</v>
      </c>
      <c r="F1355" s="1">
        <v>0</v>
      </c>
      <c r="G1355" s="1">
        <v>6103.3209999999999</v>
      </c>
      <c r="H1355" s="1">
        <v>0</v>
      </c>
      <c r="I1355" s="1">
        <v>-5425.174</v>
      </c>
    </row>
    <row r="1356" spans="1:9" hidden="1" x14ac:dyDescent="0.25">
      <c r="A1356" s="1" t="s">
        <v>16</v>
      </c>
      <c r="B1356" s="1" t="s">
        <v>68</v>
      </c>
      <c r="C1356" s="1" t="s">
        <v>25</v>
      </c>
      <c r="D1356" s="1">
        <v>0</v>
      </c>
      <c r="E1356" s="1">
        <v>452.1</v>
      </c>
      <c r="F1356" s="1">
        <v>0</v>
      </c>
      <c r="G1356" s="1">
        <v>-7459.6149999999998</v>
      </c>
      <c r="H1356" s="1">
        <v>0</v>
      </c>
      <c r="I1356" s="1">
        <v>3616.7829999999999</v>
      </c>
    </row>
    <row r="1357" spans="1:9" hidden="1" x14ac:dyDescent="0.25">
      <c r="A1357" s="1" t="s">
        <v>16</v>
      </c>
      <c r="B1357" s="1" t="s">
        <v>68</v>
      </c>
      <c r="C1357" s="1" t="s">
        <v>10</v>
      </c>
      <c r="D1357" s="1">
        <v>0</v>
      </c>
      <c r="E1357" s="1">
        <v>452.1</v>
      </c>
      <c r="F1357" s="1">
        <v>0</v>
      </c>
      <c r="G1357" s="1">
        <v>-7459.6149999999998</v>
      </c>
      <c r="H1357" s="1">
        <v>0</v>
      </c>
      <c r="I1357" s="1">
        <v>5425.174</v>
      </c>
    </row>
    <row r="1358" spans="1:9" hidden="1" x14ac:dyDescent="0.25">
      <c r="A1358" s="1" t="s">
        <v>16</v>
      </c>
      <c r="B1358" s="1" t="s">
        <v>69</v>
      </c>
      <c r="C1358" s="1" t="s">
        <v>25</v>
      </c>
      <c r="D1358" s="1">
        <v>0</v>
      </c>
      <c r="E1358" s="1">
        <v>452.1</v>
      </c>
      <c r="F1358" s="1">
        <v>0</v>
      </c>
      <c r="G1358" s="1">
        <v>-6103.3209999999999</v>
      </c>
      <c r="H1358" s="1">
        <v>0</v>
      </c>
      <c r="I1358" s="1">
        <v>3616.7829999999999</v>
      </c>
    </row>
    <row r="1359" spans="1:9" hidden="1" x14ac:dyDescent="0.25">
      <c r="A1359" s="1" t="s">
        <v>16</v>
      </c>
      <c r="B1359" s="1" t="s">
        <v>69</v>
      </c>
      <c r="C1359" s="1" t="s">
        <v>10</v>
      </c>
      <c r="D1359" s="1">
        <v>0</v>
      </c>
      <c r="E1359" s="1">
        <v>452.1</v>
      </c>
      <c r="F1359" s="1">
        <v>0</v>
      </c>
      <c r="G1359" s="1">
        <v>-6103.3209999999999</v>
      </c>
      <c r="H1359" s="1">
        <v>0</v>
      </c>
      <c r="I1359" s="1">
        <v>5425.174</v>
      </c>
    </row>
    <row r="1360" spans="1:9" hidden="1" x14ac:dyDescent="0.25">
      <c r="A1360" s="1" t="s">
        <v>16</v>
      </c>
      <c r="B1360" s="1" t="s">
        <v>70</v>
      </c>
      <c r="C1360" s="1" t="s">
        <v>25</v>
      </c>
      <c r="D1360" s="1">
        <v>0</v>
      </c>
      <c r="E1360" s="1">
        <v>0</v>
      </c>
      <c r="F1360" s="1">
        <v>-546.48</v>
      </c>
      <c r="G1360" s="1">
        <v>-10820.227999999999</v>
      </c>
      <c r="H1360" s="1">
        <v>4371.8090000000002</v>
      </c>
      <c r="I1360" s="1">
        <v>0</v>
      </c>
    </row>
    <row r="1361" spans="1:9" hidden="1" x14ac:dyDescent="0.25">
      <c r="A1361" s="1" t="s">
        <v>16</v>
      </c>
      <c r="B1361" s="1" t="s">
        <v>70</v>
      </c>
      <c r="C1361" s="1" t="s">
        <v>10</v>
      </c>
      <c r="D1361" s="1">
        <v>0</v>
      </c>
      <c r="E1361" s="1">
        <v>0</v>
      </c>
      <c r="F1361" s="1">
        <v>-546.48</v>
      </c>
      <c r="G1361" s="1">
        <v>-10820.227999999999</v>
      </c>
      <c r="H1361" s="1">
        <v>6557.7139999999999</v>
      </c>
      <c r="I1361" s="1">
        <v>0</v>
      </c>
    </row>
    <row r="1362" spans="1:9" hidden="1" x14ac:dyDescent="0.25">
      <c r="A1362" s="1" t="s">
        <v>16</v>
      </c>
      <c r="B1362" s="1" t="s">
        <v>71</v>
      </c>
      <c r="C1362" s="1" t="s">
        <v>25</v>
      </c>
      <c r="D1362" s="1">
        <v>0</v>
      </c>
      <c r="E1362" s="1">
        <v>0</v>
      </c>
      <c r="F1362" s="1">
        <v>-546.48</v>
      </c>
      <c r="G1362" s="1">
        <v>-8852.9140000000007</v>
      </c>
      <c r="H1362" s="1">
        <v>4371.8090000000002</v>
      </c>
      <c r="I1362" s="1">
        <v>0</v>
      </c>
    </row>
    <row r="1363" spans="1:9" hidden="1" x14ac:dyDescent="0.25">
      <c r="A1363" s="1" t="s">
        <v>16</v>
      </c>
      <c r="B1363" s="1" t="s">
        <v>71</v>
      </c>
      <c r="C1363" s="1" t="s">
        <v>10</v>
      </c>
      <c r="D1363" s="1">
        <v>0</v>
      </c>
      <c r="E1363" s="1">
        <v>0</v>
      </c>
      <c r="F1363" s="1">
        <v>-546.48</v>
      </c>
      <c r="G1363" s="1">
        <v>-8852.9140000000007</v>
      </c>
      <c r="H1363" s="1">
        <v>6557.7139999999999</v>
      </c>
      <c r="I1363" s="1">
        <v>0</v>
      </c>
    </row>
    <row r="1364" spans="1:9" hidden="1" x14ac:dyDescent="0.25">
      <c r="A1364" s="1" t="s">
        <v>16</v>
      </c>
      <c r="B1364" s="1" t="s">
        <v>72</v>
      </c>
      <c r="C1364" s="1" t="s">
        <v>25</v>
      </c>
      <c r="D1364" s="1">
        <v>0</v>
      </c>
      <c r="E1364" s="1">
        <v>0</v>
      </c>
      <c r="F1364" s="1">
        <v>546.48</v>
      </c>
      <c r="G1364" s="1">
        <v>10820.227999999999</v>
      </c>
      <c r="H1364" s="1">
        <v>-4371.8090000000002</v>
      </c>
      <c r="I1364" s="1">
        <v>0</v>
      </c>
    </row>
    <row r="1365" spans="1:9" hidden="1" x14ac:dyDescent="0.25">
      <c r="A1365" s="1" t="s">
        <v>16</v>
      </c>
      <c r="B1365" s="1" t="s">
        <v>72</v>
      </c>
      <c r="C1365" s="1" t="s">
        <v>10</v>
      </c>
      <c r="D1365" s="1">
        <v>0</v>
      </c>
      <c r="E1365" s="1">
        <v>0</v>
      </c>
      <c r="F1365" s="1">
        <v>546.48</v>
      </c>
      <c r="G1365" s="1">
        <v>10820.227999999999</v>
      </c>
      <c r="H1365" s="1">
        <v>-6557.7139999999999</v>
      </c>
      <c r="I1365" s="1">
        <v>0</v>
      </c>
    </row>
    <row r="1366" spans="1:9" hidden="1" x14ac:dyDescent="0.25">
      <c r="A1366" s="1" t="s">
        <v>16</v>
      </c>
      <c r="B1366" s="1" t="s">
        <v>73</v>
      </c>
      <c r="C1366" s="1" t="s">
        <v>25</v>
      </c>
      <c r="D1366" s="1">
        <v>0</v>
      </c>
      <c r="E1366" s="1">
        <v>0</v>
      </c>
      <c r="F1366" s="1">
        <v>546.48</v>
      </c>
      <c r="G1366" s="1">
        <v>8852.9140000000007</v>
      </c>
      <c r="H1366" s="1">
        <v>-4371.8090000000002</v>
      </c>
      <c r="I1366" s="1">
        <v>0</v>
      </c>
    </row>
    <row r="1367" spans="1:9" hidden="1" x14ac:dyDescent="0.25">
      <c r="A1367" s="1" t="s">
        <v>16</v>
      </c>
      <c r="B1367" s="1" t="s">
        <v>73</v>
      </c>
      <c r="C1367" s="1" t="s">
        <v>10</v>
      </c>
      <c r="D1367" s="1">
        <v>0</v>
      </c>
      <c r="E1367" s="1">
        <v>0</v>
      </c>
      <c r="F1367" s="1">
        <v>546.48</v>
      </c>
      <c r="G1367" s="1">
        <v>8852.9140000000007</v>
      </c>
      <c r="H1367" s="1">
        <v>-6557.7139999999999</v>
      </c>
      <c r="I1367" s="1">
        <v>0</v>
      </c>
    </row>
    <row r="1368" spans="1:9" hidden="1" x14ac:dyDescent="0.25">
      <c r="A1368" s="1" t="s">
        <v>16</v>
      </c>
      <c r="B1368" s="1" t="s">
        <v>74</v>
      </c>
      <c r="C1368" s="1" t="s">
        <v>25</v>
      </c>
      <c r="D1368" s="1">
        <v>0</v>
      </c>
      <c r="E1368" s="1">
        <v>-452.1</v>
      </c>
      <c r="F1368" s="1">
        <v>0</v>
      </c>
      <c r="G1368" s="1">
        <v>7459.6149999999998</v>
      </c>
      <c r="H1368" s="1">
        <v>0</v>
      </c>
      <c r="I1368" s="1">
        <v>-3616.7829999999999</v>
      </c>
    </row>
    <row r="1369" spans="1:9" hidden="1" x14ac:dyDescent="0.25">
      <c r="A1369" s="1" t="s">
        <v>16</v>
      </c>
      <c r="B1369" s="1" t="s">
        <v>74</v>
      </c>
      <c r="C1369" s="1" t="s">
        <v>10</v>
      </c>
      <c r="D1369" s="1">
        <v>0</v>
      </c>
      <c r="E1369" s="1">
        <v>-452.1</v>
      </c>
      <c r="F1369" s="1">
        <v>0</v>
      </c>
      <c r="G1369" s="1">
        <v>7459.6149999999998</v>
      </c>
      <c r="H1369" s="1">
        <v>0</v>
      </c>
      <c r="I1369" s="1">
        <v>-5425.174</v>
      </c>
    </row>
    <row r="1370" spans="1:9" hidden="1" x14ac:dyDescent="0.25">
      <c r="A1370" s="1" t="s">
        <v>16</v>
      </c>
      <c r="B1370" s="1" t="s">
        <v>75</v>
      </c>
      <c r="C1370" s="1" t="s">
        <v>25</v>
      </c>
      <c r="D1370" s="1">
        <v>0</v>
      </c>
      <c r="E1370" s="1">
        <v>-452.1</v>
      </c>
      <c r="F1370" s="1">
        <v>0</v>
      </c>
      <c r="G1370" s="1">
        <v>6103.3209999999999</v>
      </c>
      <c r="H1370" s="1">
        <v>0</v>
      </c>
      <c r="I1370" s="1">
        <v>-3616.7829999999999</v>
      </c>
    </row>
    <row r="1371" spans="1:9" hidden="1" x14ac:dyDescent="0.25">
      <c r="A1371" s="1" t="s">
        <v>16</v>
      </c>
      <c r="B1371" s="1" t="s">
        <v>75</v>
      </c>
      <c r="C1371" s="1" t="s">
        <v>10</v>
      </c>
      <c r="D1371" s="1">
        <v>0</v>
      </c>
      <c r="E1371" s="1">
        <v>-452.1</v>
      </c>
      <c r="F1371" s="1">
        <v>0</v>
      </c>
      <c r="G1371" s="1">
        <v>6103.3209999999999</v>
      </c>
      <c r="H1371" s="1">
        <v>0</v>
      </c>
      <c r="I1371" s="1">
        <v>-5425.174</v>
      </c>
    </row>
    <row r="1372" spans="1:9" hidden="1" x14ac:dyDescent="0.25">
      <c r="A1372" s="1" t="s">
        <v>16</v>
      </c>
      <c r="B1372" s="1" t="s">
        <v>76</v>
      </c>
      <c r="C1372" s="1" t="s">
        <v>25</v>
      </c>
      <c r="D1372" s="1">
        <v>0</v>
      </c>
      <c r="E1372" s="1">
        <v>452.1</v>
      </c>
      <c r="F1372" s="1">
        <v>0</v>
      </c>
      <c r="G1372" s="1">
        <v>-7459.6149999999998</v>
      </c>
      <c r="H1372" s="1">
        <v>0</v>
      </c>
      <c r="I1372" s="1">
        <v>3616.7829999999999</v>
      </c>
    </row>
    <row r="1373" spans="1:9" hidden="1" x14ac:dyDescent="0.25">
      <c r="A1373" s="1" t="s">
        <v>16</v>
      </c>
      <c r="B1373" s="1" t="s">
        <v>76</v>
      </c>
      <c r="C1373" s="1" t="s">
        <v>10</v>
      </c>
      <c r="D1373" s="1">
        <v>0</v>
      </c>
      <c r="E1373" s="1">
        <v>452.1</v>
      </c>
      <c r="F1373" s="1">
        <v>0</v>
      </c>
      <c r="G1373" s="1">
        <v>-7459.6149999999998</v>
      </c>
      <c r="H1373" s="1">
        <v>0</v>
      </c>
      <c r="I1373" s="1">
        <v>5425.174</v>
      </c>
    </row>
    <row r="1374" spans="1:9" hidden="1" x14ac:dyDescent="0.25">
      <c r="A1374" s="1" t="s">
        <v>16</v>
      </c>
      <c r="B1374" s="1" t="s">
        <v>77</v>
      </c>
      <c r="C1374" s="1" t="s">
        <v>25</v>
      </c>
      <c r="D1374" s="1">
        <v>0</v>
      </c>
      <c r="E1374" s="1">
        <v>452.1</v>
      </c>
      <c r="F1374" s="1">
        <v>0</v>
      </c>
      <c r="G1374" s="1">
        <v>-6103.3209999999999</v>
      </c>
      <c r="H1374" s="1">
        <v>0</v>
      </c>
      <c r="I1374" s="1">
        <v>3616.7829999999999</v>
      </c>
    </row>
    <row r="1375" spans="1:9" hidden="1" x14ac:dyDescent="0.25">
      <c r="A1375" s="1" t="s">
        <v>16</v>
      </c>
      <c r="B1375" s="1" t="s">
        <v>77</v>
      </c>
      <c r="C1375" s="1" t="s">
        <v>10</v>
      </c>
      <c r="D1375" s="1">
        <v>0</v>
      </c>
      <c r="E1375" s="1">
        <v>452.1</v>
      </c>
      <c r="F1375" s="1">
        <v>0</v>
      </c>
      <c r="G1375" s="1">
        <v>-6103.3209999999999</v>
      </c>
      <c r="H1375" s="1">
        <v>0</v>
      </c>
      <c r="I1375" s="1">
        <v>5425.174</v>
      </c>
    </row>
    <row r="1376" spans="1:9" hidden="1" x14ac:dyDescent="0.25">
      <c r="A1376" s="1" t="s">
        <v>16</v>
      </c>
      <c r="B1376" s="1" t="s">
        <v>78</v>
      </c>
      <c r="C1376" s="1" t="s">
        <v>25</v>
      </c>
      <c r="D1376" s="1">
        <v>0</v>
      </c>
      <c r="E1376" s="1">
        <v>0</v>
      </c>
      <c r="F1376" s="1">
        <v>-546.48</v>
      </c>
      <c r="G1376" s="1">
        <v>-10820.227999999999</v>
      </c>
      <c r="H1376" s="1">
        <v>4371.8090000000002</v>
      </c>
      <c r="I1376" s="1">
        <v>0</v>
      </c>
    </row>
    <row r="1377" spans="1:9" hidden="1" x14ac:dyDescent="0.25">
      <c r="A1377" s="1" t="s">
        <v>16</v>
      </c>
      <c r="B1377" s="1" t="s">
        <v>78</v>
      </c>
      <c r="C1377" s="1" t="s">
        <v>10</v>
      </c>
      <c r="D1377" s="1">
        <v>0</v>
      </c>
      <c r="E1377" s="1">
        <v>0</v>
      </c>
      <c r="F1377" s="1">
        <v>-546.48</v>
      </c>
      <c r="G1377" s="1">
        <v>-10820.227999999999</v>
      </c>
      <c r="H1377" s="1">
        <v>6557.7139999999999</v>
      </c>
      <c r="I1377" s="1">
        <v>0</v>
      </c>
    </row>
    <row r="1378" spans="1:9" hidden="1" x14ac:dyDescent="0.25">
      <c r="A1378" s="1" t="s">
        <v>16</v>
      </c>
      <c r="B1378" s="1" t="s">
        <v>79</v>
      </c>
      <c r="C1378" s="1" t="s">
        <v>25</v>
      </c>
      <c r="D1378" s="1">
        <v>0</v>
      </c>
      <c r="E1378" s="1">
        <v>0</v>
      </c>
      <c r="F1378" s="1">
        <v>-546.48</v>
      </c>
      <c r="G1378" s="1">
        <v>-8852.9140000000007</v>
      </c>
      <c r="H1378" s="1">
        <v>4371.8090000000002</v>
      </c>
      <c r="I1378" s="1">
        <v>0</v>
      </c>
    </row>
    <row r="1379" spans="1:9" hidden="1" x14ac:dyDescent="0.25">
      <c r="A1379" s="1" t="s">
        <v>16</v>
      </c>
      <c r="B1379" s="1" t="s">
        <v>79</v>
      </c>
      <c r="C1379" s="1" t="s">
        <v>10</v>
      </c>
      <c r="D1379" s="1">
        <v>0</v>
      </c>
      <c r="E1379" s="1">
        <v>0</v>
      </c>
      <c r="F1379" s="1">
        <v>-546.48</v>
      </c>
      <c r="G1379" s="1">
        <v>-8852.9140000000007</v>
      </c>
      <c r="H1379" s="1">
        <v>6557.7139999999999</v>
      </c>
      <c r="I1379" s="1">
        <v>0</v>
      </c>
    </row>
    <row r="1380" spans="1:9" hidden="1" x14ac:dyDescent="0.25">
      <c r="A1380" s="1" t="s">
        <v>16</v>
      </c>
      <c r="B1380" s="1" t="s">
        <v>80</v>
      </c>
      <c r="C1380" s="1" t="s">
        <v>25</v>
      </c>
      <c r="D1380" s="1">
        <v>0</v>
      </c>
      <c r="E1380" s="1">
        <v>0</v>
      </c>
      <c r="F1380" s="1">
        <v>546.48</v>
      </c>
      <c r="G1380" s="1">
        <v>10820.227999999999</v>
      </c>
      <c r="H1380" s="1">
        <v>-4371.8090000000002</v>
      </c>
      <c r="I1380" s="1">
        <v>0</v>
      </c>
    </row>
    <row r="1381" spans="1:9" hidden="1" x14ac:dyDescent="0.25">
      <c r="A1381" s="1" t="s">
        <v>16</v>
      </c>
      <c r="B1381" s="1" t="s">
        <v>80</v>
      </c>
      <c r="C1381" s="1" t="s">
        <v>10</v>
      </c>
      <c r="D1381" s="1">
        <v>0</v>
      </c>
      <c r="E1381" s="1">
        <v>0</v>
      </c>
      <c r="F1381" s="1">
        <v>546.48</v>
      </c>
      <c r="G1381" s="1">
        <v>10820.227999999999</v>
      </c>
      <c r="H1381" s="1">
        <v>-6557.7139999999999</v>
      </c>
      <c r="I1381" s="1">
        <v>0</v>
      </c>
    </row>
    <row r="1382" spans="1:9" hidden="1" x14ac:dyDescent="0.25">
      <c r="A1382" s="1" t="s">
        <v>16</v>
      </c>
      <c r="B1382" s="1" t="s">
        <v>81</v>
      </c>
      <c r="C1382" s="1" t="s">
        <v>25</v>
      </c>
      <c r="D1382" s="1">
        <v>0</v>
      </c>
      <c r="E1382" s="1">
        <v>0</v>
      </c>
      <c r="F1382" s="1">
        <v>546.48</v>
      </c>
      <c r="G1382" s="1">
        <v>8852.9140000000007</v>
      </c>
      <c r="H1382" s="1">
        <v>-4371.8090000000002</v>
      </c>
      <c r="I1382" s="1">
        <v>0</v>
      </c>
    </row>
    <row r="1383" spans="1:9" hidden="1" x14ac:dyDescent="0.25">
      <c r="A1383" s="1" t="s">
        <v>16</v>
      </c>
      <c r="B1383" s="1" t="s">
        <v>81</v>
      </c>
      <c r="C1383" s="1" t="s">
        <v>10</v>
      </c>
      <c r="D1383" s="1">
        <v>0</v>
      </c>
      <c r="E1383" s="1">
        <v>0</v>
      </c>
      <c r="F1383" s="1">
        <v>546.48</v>
      </c>
      <c r="G1383" s="1">
        <v>8852.9140000000007</v>
      </c>
      <c r="H1383" s="1">
        <v>-6557.7139999999999</v>
      </c>
      <c r="I1383" s="1">
        <v>0</v>
      </c>
    </row>
    <row r="1384" spans="1:9" hidden="1" x14ac:dyDescent="0.25">
      <c r="A1384" s="1" t="s">
        <v>16</v>
      </c>
      <c r="B1384" s="1" t="s">
        <v>82</v>
      </c>
      <c r="C1384" s="1" t="s">
        <v>25</v>
      </c>
      <c r="D1384" s="1">
        <v>0</v>
      </c>
      <c r="E1384" s="1">
        <v>-135.63</v>
      </c>
      <c r="F1384" s="1">
        <v>0</v>
      </c>
      <c r="G1384" s="1">
        <v>2237.884</v>
      </c>
      <c r="H1384" s="1">
        <v>0</v>
      </c>
      <c r="I1384" s="1">
        <v>-1085.0350000000001</v>
      </c>
    </row>
    <row r="1385" spans="1:9" hidden="1" x14ac:dyDescent="0.25">
      <c r="A1385" s="1" t="s">
        <v>16</v>
      </c>
      <c r="B1385" s="1" t="s">
        <v>82</v>
      </c>
      <c r="C1385" s="1" t="s">
        <v>10</v>
      </c>
      <c r="D1385" s="1">
        <v>0</v>
      </c>
      <c r="E1385" s="1">
        <v>-135.63</v>
      </c>
      <c r="F1385" s="1">
        <v>0</v>
      </c>
      <c r="G1385" s="1">
        <v>2237.884</v>
      </c>
      <c r="H1385" s="1">
        <v>0</v>
      </c>
      <c r="I1385" s="1">
        <v>-1627.5519999999999</v>
      </c>
    </row>
    <row r="1386" spans="1:9" hidden="1" x14ac:dyDescent="0.25">
      <c r="A1386" s="1" t="s">
        <v>16</v>
      </c>
      <c r="B1386" s="1" t="s">
        <v>83</v>
      </c>
      <c r="C1386" s="1" t="s">
        <v>25</v>
      </c>
      <c r="D1386" s="1">
        <v>0</v>
      </c>
      <c r="E1386" s="1">
        <v>-135.63</v>
      </c>
      <c r="F1386" s="1">
        <v>0</v>
      </c>
      <c r="G1386" s="1">
        <v>1830.9960000000001</v>
      </c>
      <c r="H1386" s="1">
        <v>0</v>
      </c>
      <c r="I1386" s="1">
        <v>-1085.0350000000001</v>
      </c>
    </row>
    <row r="1387" spans="1:9" hidden="1" x14ac:dyDescent="0.25">
      <c r="A1387" s="1" t="s">
        <v>16</v>
      </c>
      <c r="B1387" s="1" t="s">
        <v>83</v>
      </c>
      <c r="C1387" s="1" t="s">
        <v>10</v>
      </c>
      <c r="D1387" s="1">
        <v>0</v>
      </c>
      <c r="E1387" s="1">
        <v>-135.63</v>
      </c>
      <c r="F1387" s="1">
        <v>0</v>
      </c>
      <c r="G1387" s="1">
        <v>1830.9960000000001</v>
      </c>
      <c r="H1387" s="1">
        <v>0</v>
      </c>
      <c r="I1387" s="1">
        <v>-1627.5519999999999</v>
      </c>
    </row>
    <row r="1388" spans="1:9" hidden="1" x14ac:dyDescent="0.25">
      <c r="A1388" s="1" t="s">
        <v>16</v>
      </c>
      <c r="B1388" s="1" t="s">
        <v>84</v>
      </c>
      <c r="C1388" s="1" t="s">
        <v>25</v>
      </c>
      <c r="D1388" s="1">
        <v>0</v>
      </c>
      <c r="E1388" s="1">
        <v>135.63</v>
      </c>
      <c r="F1388" s="1">
        <v>0</v>
      </c>
      <c r="G1388" s="1">
        <v>-2237.884</v>
      </c>
      <c r="H1388" s="1">
        <v>0</v>
      </c>
      <c r="I1388" s="1">
        <v>1085.0350000000001</v>
      </c>
    </row>
    <row r="1389" spans="1:9" hidden="1" x14ac:dyDescent="0.25">
      <c r="A1389" s="1" t="s">
        <v>16</v>
      </c>
      <c r="B1389" s="1" t="s">
        <v>84</v>
      </c>
      <c r="C1389" s="1" t="s">
        <v>10</v>
      </c>
      <c r="D1389" s="1">
        <v>0</v>
      </c>
      <c r="E1389" s="1">
        <v>135.63</v>
      </c>
      <c r="F1389" s="1">
        <v>0</v>
      </c>
      <c r="G1389" s="1">
        <v>-2237.884</v>
      </c>
      <c r="H1389" s="1">
        <v>0</v>
      </c>
      <c r="I1389" s="1">
        <v>1627.5519999999999</v>
      </c>
    </row>
    <row r="1390" spans="1:9" hidden="1" x14ac:dyDescent="0.25">
      <c r="A1390" s="1" t="s">
        <v>16</v>
      </c>
      <c r="B1390" s="1" t="s">
        <v>85</v>
      </c>
      <c r="C1390" s="1" t="s">
        <v>25</v>
      </c>
      <c r="D1390" s="1">
        <v>0</v>
      </c>
      <c r="E1390" s="1">
        <v>135.63</v>
      </c>
      <c r="F1390" s="1">
        <v>0</v>
      </c>
      <c r="G1390" s="1">
        <v>-1830.9960000000001</v>
      </c>
      <c r="H1390" s="1">
        <v>0</v>
      </c>
      <c r="I1390" s="1">
        <v>1085.0350000000001</v>
      </c>
    </row>
    <row r="1391" spans="1:9" hidden="1" x14ac:dyDescent="0.25">
      <c r="A1391" s="1" t="s">
        <v>16</v>
      </c>
      <c r="B1391" s="1" t="s">
        <v>85</v>
      </c>
      <c r="C1391" s="1" t="s">
        <v>10</v>
      </c>
      <c r="D1391" s="1">
        <v>0</v>
      </c>
      <c r="E1391" s="1">
        <v>135.63</v>
      </c>
      <c r="F1391" s="1">
        <v>0</v>
      </c>
      <c r="G1391" s="1">
        <v>-1830.9960000000001</v>
      </c>
      <c r="H1391" s="1">
        <v>0</v>
      </c>
      <c r="I1391" s="1">
        <v>1627.5519999999999</v>
      </c>
    </row>
    <row r="1392" spans="1:9" hidden="1" x14ac:dyDescent="0.25">
      <c r="A1392" s="1" t="s">
        <v>16</v>
      </c>
      <c r="B1392" s="1" t="s">
        <v>86</v>
      </c>
      <c r="C1392" s="1" t="s">
        <v>25</v>
      </c>
      <c r="D1392" s="1">
        <v>0</v>
      </c>
      <c r="E1392" s="1">
        <v>0</v>
      </c>
      <c r="F1392" s="1">
        <v>-163.94</v>
      </c>
      <c r="G1392" s="1">
        <v>-3246.0680000000002</v>
      </c>
      <c r="H1392" s="1">
        <v>1311.5429999999999</v>
      </c>
      <c r="I1392" s="1">
        <v>0</v>
      </c>
    </row>
    <row r="1393" spans="1:9" hidden="1" x14ac:dyDescent="0.25">
      <c r="A1393" s="1" t="s">
        <v>16</v>
      </c>
      <c r="B1393" s="1" t="s">
        <v>86</v>
      </c>
      <c r="C1393" s="1" t="s">
        <v>10</v>
      </c>
      <c r="D1393" s="1">
        <v>0</v>
      </c>
      <c r="E1393" s="1">
        <v>0</v>
      </c>
      <c r="F1393" s="1">
        <v>-163.94</v>
      </c>
      <c r="G1393" s="1">
        <v>-3246.0680000000002</v>
      </c>
      <c r="H1393" s="1">
        <v>1967.3140000000001</v>
      </c>
      <c r="I1393" s="1">
        <v>0</v>
      </c>
    </row>
    <row r="1394" spans="1:9" hidden="1" x14ac:dyDescent="0.25">
      <c r="A1394" s="1" t="s">
        <v>16</v>
      </c>
      <c r="B1394" s="1" t="s">
        <v>87</v>
      </c>
      <c r="C1394" s="1" t="s">
        <v>25</v>
      </c>
      <c r="D1394" s="1">
        <v>0</v>
      </c>
      <c r="E1394" s="1">
        <v>0</v>
      </c>
      <c r="F1394" s="1">
        <v>-163.94</v>
      </c>
      <c r="G1394" s="1">
        <v>-2655.8739999999998</v>
      </c>
      <c r="H1394" s="1">
        <v>1311.5429999999999</v>
      </c>
      <c r="I1394" s="1">
        <v>0</v>
      </c>
    </row>
    <row r="1395" spans="1:9" hidden="1" x14ac:dyDescent="0.25">
      <c r="A1395" s="1" t="s">
        <v>16</v>
      </c>
      <c r="B1395" s="1" t="s">
        <v>87</v>
      </c>
      <c r="C1395" s="1" t="s">
        <v>10</v>
      </c>
      <c r="D1395" s="1">
        <v>0</v>
      </c>
      <c r="E1395" s="1">
        <v>0</v>
      </c>
      <c r="F1395" s="1">
        <v>-163.94</v>
      </c>
      <c r="G1395" s="1">
        <v>-2655.8739999999998</v>
      </c>
      <c r="H1395" s="1">
        <v>1967.3140000000001</v>
      </c>
      <c r="I1395" s="1">
        <v>0</v>
      </c>
    </row>
    <row r="1396" spans="1:9" hidden="1" x14ac:dyDescent="0.25">
      <c r="A1396" s="1" t="s">
        <v>16</v>
      </c>
      <c r="B1396" s="1" t="s">
        <v>88</v>
      </c>
      <c r="C1396" s="1" t="s">
        <v>25</v>
      </c>
      <c r="D1396" s="1">
        <v>0</v>
      </c>
      <c r="E1396" s="1">
        <v>0</v>
      </c>
      <c r="F1396" s="1">
        <v>163.94</v>
      </c>
      <c r="G1396" s="1">
        <v>3246.0680000000002</v>
      </c>
      <c r="H1396" s="1">
        <v>-1311.5429999999999</v>
      </c>
      <c r="I1396" s="1">
        <v>0</v>
      </c>
    </row>
    <row r="1397" spans="1:9" hidden="1" x14ac:dyDescent="0.25">
      <c r="A1397" s="1" t="s">
        <v>16</v>
      </c>
      <c r="B1397" s="1" t="s">
        <v>88</v>
      </c>
      <c r="C1397" s="1" t="s">
        <v>10</v>
      </c>
      <c r="D1397" s="1">
        <v>0</v>
      </c>
      <c r="E1397" s="1">
        <v>0</v>
      </c>
      <c r="F1397" s="1">
        <v>163.94</v>
      </c>
      <c r="G1397" s="1">
        <v>3246.0680000000002</v>
      </c>
      <c r="H1397" s="1">
        <v>-1967.3140000000001</v>
      </c>
      <c r="I1397" s="1">
        <v>0</v>
      </c>
    </row>
    <row r="1398" spans="1:9" hidden="1" x14ac:dyDescent="0.25">
      <c r="A1398" s="1" t="s">
        <v>16</v>
      </c>
      <c r="B1398" s="1" t="s">
        <v>89</v>
      </c>
      <c r="C1398" s="1" t="s">
        <v>25</v>
      </c>
      <c r="D1398" s="1">
        <v>0</v>
      </c>
      <c r="E1398" s="1">
        <v>0</v>
      </c>
      <c r="F1398" s="1">
        <v>163.94</v>
      </c>
      <c r="G1398" s="1">
        <v>2655.8739999999998</v>
      </c>
      <c r="H1398" s="1">
        <v>-1311.5429999999999</v>
      </c>
      <c r="I1398" s="1">
        <v>0</v>
      </c>
    </row>
    <row r="1399" spans="1:9" hidden="1" x14ac:dyDescent="0.25">
      <c r="A1399" s="1" t="s">
        <v>16</v>
      </c>
      <c r="B1399" s="1" t="s">
        <v>89</v>
      </c>
      <c r="C1399" s="1" t="s">
        <v>10</v>
      </c>
      <c r="D1399" s="1">
        <v>0</v>
      </c>
      <c r="E1399" s="1">
        <v>0</v>
      </c>
      <c r="F1399" s="1">
        <v>163.94</v>
      </c>
      <c r="G1399" s="1">
        <v>2655.8739999999998</v>
      </c>
      <c r="H1399" s="1">
        <v>-1967.3140000000001</v>
      </c>
      <c r="I1399" s="1">
        <v>0</v>
      </c>
    </row>
    <row r="1400" spans="1:9" hidden="1" x14ac:dyDescent="0.25">
      <c r="A1400" s="1" t="s">
        <v>16</v>
      </c>
      <c r="B1400" s="1" t="s">
        <v>90</v>
      </c>
      <c r="C1400" s="1" t="s">
        <v>25</v>
      </c>
      <c r="D1400" s="1">
        <v>0</v>
      </c>
      <c r="E1400" s="1">
        <v>-135.63</v>
      </c>
      <c r="F1400" s="1">
        <v>0</v>
      </c>
      <c r="G1400" s="1">
        <v>2237.884</v>
      </c>
      <c r="H1400" s="1">
        <v>0</v>
      </c>
      <c r="I1400" s="1">
        <v>-1085.0350000000001</v>
      </c>
    </row>
    <row r="1401" spans="1:9" hidden="1" x14ac:dyDescent="0.25">
      <c r="A1401" s="1" t="s">
        <v>16</v>
      </c>
      <c r="B1401" s="1" t="s">
        <v>90</v>
      </c>
      <c r="C1401" s="1" t="s">
        <v>10</v>
      </c>
      <c r="D1401" s="1">
        <v>0</v>
      </c>
      <c r="E1401" s="1">
        <v>-135.63</v>
      </c>
      <c r="F1401" s="1">
        <v>0</v>
      </c>
      <c r="G1401" s="1">
        <v>2237.884</v>
      </c>
      <c r="H1401" s="1">
        <v>0</v>
      </c>
      <c r="I1401" s="1">
        <v>-1627.5519999999999</v>
      </c>
    </row>
    <row r="1402" spans="1:9" hidden="1" x14ac:dyDescent="0.25">
      <c r="A1402" s="1" t="s">
        <v>16</v>
      </c>
      <c r="B1402" s="1" t="s">
        <v>91</v>
      </c>
      <c r="C1402" s="1" t="s">
        <v>25</v>
      </c>
      <c r="D1402" s="1">
        <v>0</v>
      </c>
      <c r="E1402" s="1">
        <v>-135.63</v>
      </c>
      <c r="F1402" s="1">
        <v>0</v>
      </c>
      <c r="G1402" s="1">
        <v>1830.9960000000001</v>
      </c>
      <c r="H1402" s="1">
        <v>0</v>
      </c>
      <c r="I1402" s="1">
        <v>-1085.0350000000001</v>
      </c>
    </row>
    <row r="1403" spans="1:9" hidden="1" x14ac:dyDescent="0.25">
      <c r="A1403" s="1" t="s">
        <v>16</v>
      </c>
      <c r="B1403" s="1" t="s">
        <v>91</v>
      </c>
      <c r="C1403" s="1" t="s">
        <v>10</v>
      </c>
      <c r="D1403" s="1">
        <v>0</v>
      </c>
      <c r="E1403" s="1">
        <v>-135.63</v>
      </c>
      <c r="F1403" s="1">
        <v>0</v>
      </c>
      <c r="G1403" s="1">
        <v>1830.9960000000001</v>
      </c>
      <c r="H1403" s="1">
        <v>0</v>
      </c>
      <c r="I1403" s="1">
        <v>-1627.5519999999999</v>
      </c>
    </row>
    <row r="1404" spans="1:9" hidden="1" x14ac:dyDescent="0.25">
      <c r="A1404" s="1" t="s">
        <v>16</v>
      </c>
      <c r="B1404" s="1" t="s">
        <v>92</v>
      </c>
      <c r="C1404" s="1" t="s">
        <v>25</v>
      </c>
      <c r="D1404" s="1">
        <v>0</v>
      </c>
      <c r="E1404" s="1">
        <v>135.63</v>
      </c>
      <c r="F1404" s="1">
        <v>0</v>
      </c>
      <c r="G1404" s="1">
        <v>-2237.884</v>
      </c>
      <c r="H1404" s="1">
        <v>0</v>
      </c>
      <c r="I1404" s="1">
        <v>1085.0350000000001</v>
      </c>
    </row>
    <row r="1405" spans="1:9" hidden="1" x14ac:dyDescent="0.25">
      <c r="A1405" s="1" t="s">
        <v>16</v>
      </c>
      <c r="B1405" s="1" t="s">
        <v>92</v>
      </c>
      <c r="C1405" s="1" t="s">
        <v>10</v>
      </c>
      <c r="D1405" s="1">
        <v>0</v>
      </c>
      <c r="E1405" s="1">
        <v>135.63</v>
      </c>
      <c r="F1405" s="1">
        <v>0</v>
      </c>
      <c r="G1405" s="1">
        <v>-2237.884</v>
      </c>
      <c r="H1405" s="1">
        <v>0</v>
      </c>
      <c r="I1405" s="1">
        <v>1627.5519999999999</v>
      </c>
    </row>
    <row r="1406" spans="1:9" hidden="1" x14ac:dyDescent="0.25">
      <c r="A1406" s="1" t="s">
        <v>16</v>
      </c>
      <c r="B1406" s="1" t="s">
        <v>93</v>
      </c>
      <c r="C1406" s="1" t="s">
        <v>25</v>
      </c>
      <c r="D1406" s="1">
        <v>0</v>
      </c>
      <c r="E1406" s="1">
        <v>135.63</v>
      </c>
      <c r="F1406" s="1">
        <v>0</v>
      </c>
      <c r="G1406" s="1">
        <v>-1830.9960000000001</v>
      </c>
      <c r="H1406" s="1">
        <v>0</v>
      </c>
      <c r="I1406" s="1">
        <v>1085.0350000000001</v>
      </c>
    </row>
    <row r="1407" spans="1:9" hidden="1" x14ac:dyDescent="0.25">
      <c r="A1407" s="1" t="s">
        <v>16</v>
      </c>
      <c r="B1407" s="1" t="s">
        <v>93</v>
      </c>
      <c r="C1407" s="1" t="s">
        <v>10</v>
      </c>
      <c r="D1407" s="1">
        <v>0</v>
      </c>
      <c r="E1407" s="1">
        <v>135.63</v>
      </c>
      <c r="F1407" s="1">
        <v>0</v>
      </c>
      <c r="G1407" s="1">
        <v>-1830.9960000000001</v>
      </c>
      <c r="H1407" s="1">
        <v>0</v>
      </c>
      <c r="I1407" s="1">
        <v>1627.5519999999999</v>
      </c>
    </row>
    <row r="1408" spans="1:9" hidden="1" x14ac:dyDescent="0.25">
      <c r="A1408" s="1" t="s">
        <v>16</v>
      </c>
      <c r="B1408" s="1" t="s">
        <v>94</v>
      </c>
      <c r="C1408" s="1" t="s">
        <v>25</v>
      </c>
      <c r="D1408" s="1">
        <v>0</v>
      </c>
      <c r="E1408" s="1">
        <v>0</v>
      </c>
      <c r="F1408" s="1">
        <v>-163.94</v>
      </c>
      <c r="G1408" s="1">
        <v>-3246.0680000000002</v>
      </c>
      <c r="H1408" s="1">
        <v>1311.5429999999999</v>
      </c>
      <c r="I1408" s="1">
        <v>0</v>
      </c>
    </row>
    <row r="1409" spans="1:9" hidden="1" x14ac:dyDescent="0.25">
      <c r="A1409" s="1" t="s">
        <v>16</v>
      </c>
      <c r="B1409" s="1" t="s">
        <v>94</v>
      </c>
      <c r="C1409" s="1" t="s">
        <v>10</v>
      </c>
      <c r="D1409" s="1">
        <v>0</v>
      </c>
      <c r="E1409" s="1">
        <v>0</v>
      </c>
      <c r="F1409" s="1">
        <v>-163.94</v>
      </c>
      <c r="G1409" s="1">
        <v>-3246.0680000000002</v>
      </c>
      <c r="H1409" s="1">
        <v>1967.3140000000001</v>
      </c>
      <c r="I1409" s="1">
        <v>0</v>
      </c>
    </row>
    <row r="1410" spans="1:9" hidden="1" x14ac:dyDescent="0.25">
      <c r="A1410" s="1" t="s">
        <v>16</v>
      </c>
      <c r="B1410" s="1" t="s">
        <v>95</v>
      </c>
      <c r="C1410" s="1" t="s">
        <v>25</v>
      </c>
      <c r="D1410" s="1">
        <v>0</v>
      </c>
      <c r="E1410" s="1">
        <v>0</v>
      </c>
      <c r="F1410" s="1">
        <v>-163.94</v>
      </c>
      <c r="G1410" s="1">
        <v>-2655.8739999999998</v>
      </c>
      <c r="H1410" s="1">
        <v>1311.5429999999999</v>
      </c>
      <c r="I1410" s="1">
        <v>0</v>
      </c>
    </row>
    <row r="1411" spans="1:9" hidden="1" x14ac:dyDescent="0.25">
      <c r="A1411" s="1" t="s">
        <v>16</v>
      </c>
      <c r="B1411" s="1" t="s">
        <v>95</v>
      </c>
      <c r="C1411" s="1" t="s">
        <v>10</v>
      </c>
      <c r="D1411" s="1">
        <v>0</v>
      </c>
      <c r="E1411" s="1">
        <v>0</v>
      </c>
      <c r="F1411" s="1">
        <v>-163.94</v>
      </c>
      <c r="G1411" s="1">
        <v>-2655.8739999999998</v>
      </c>
      <c r="H1411" s="1">
        <v>1967.3140000000001</v>
      </c>
      <c r="I1411" s="1">
        <v>0</v>
      </c>
    </row>
    <row r="1412" spans="1:9" hidden="1" x14ac:dyDescent="0.25">
      <c r="A1412" s="1" t="s">
        <v>16</v>
      </c>
      <c r="B1412" s="1" t="s">
        <v>96</v>
      </c>
      <c r="C1412" s="1" t="s">
        <v>25</v>
      </c>
      <c r="D1412" s="1">
        <v>0</v>
      </c>
      <c r="E1412" s="1">
        <v>0</v>
      </c>
      <c r="F1412" s="1">
        <v>163.94</v>
      </c>
      <c r="G1412" s="1">
        <v>3246.0680000000002</v>
      </c>
      <c r="H1412" s="1">
        <v>-1311.5429999999999</v>
      </c>
      <c r="I1412" s="1">
        <v>0</v>
      </c>
    </row>
    <row r="1413" spans="1:9" hidden="1" x14ac:dyDescent="0.25">
      <c r="A1413" s="1" t="s">
        <v>16</v>
      </c>
      <c r="B1413" s="1" t="s">
        <v>96</v>
      </c>
      <c r="C1413" s="1" t="s">
        <v>10</v>
      </c>
      <c r="D1413" s="1">
        <v>0</v>
      </c>
      <c r="E1413" s="1">
        <v>0</v>
      </c>
      <c r="F1413" s="1">
        <v>163.94</v>
      </c>
      <c r="G1413" s="1">
        <v>3246.0680000000002</v>
      </c>
      <c r="H1413" s="1">
        <v>-1967.3140000000001</v>
      </c>
      <c r="I1413" s="1">
        <v>0</v>
      </c>
    </row>
    <row r="1414" spans="1:9" hidden="1" x14ac:dyDescent="0.25">
      <c r="A1414" s="1" t="s">
        <v>16</v>
      </c>
      <c r="B1414" s="1" t="s">
        <v>97</v>
      </c>
      <c r="C1414" s="1" t="s">
        <v>25</v>
      </c>
      <c r="D1414" s="1">
        <v>0</v>
      </c>
      <c r="E1414" s="1">
        <v>0</v>
      </c>
      <c r="F1414" s="1">
        <v>163.94</v>
      </c>
      <c r="G1414" s="1">
        <v>2655.8739999999998</v>
      </c>
      <c r="H1414" s="1">
        <v>-1311.5429999999999</v>
      </c>
      <c r="I1414" s="1">
        <v>0</v>
      </c>
    </row>
    <row r="1415" spans="1:9" hidden="1" x14ac:dyDescent="0.25">
      <c r="A1415" s="1" t="s">
        <v>16</v>
      </c>
      <c r="B1415" s="1" t="s">
        <v>97</v>
      </c>
      <c r="C1415" s="1" t="s">
        <v>10</v>
      </c>
      <c r="D1415" s="1">
        <v>0</v>
      </c>
      <c r="E1415" s="1">
        <v>0</v>
      </c>
      <c r="F1415" s="1">
        <v>163.94</v>
      </c>
      <c r="G1415" s="1">
        <v>2655.8739999999998</v>
      </c>
      <c r="H1415" s="1">
        <v>-1967.3140000000001</v>
      </c>
      <c r="I1415" s="1">
        <v>0</v>
      </c>
    </row>
    <row r="1416" spans="1:9" hidden="1" x14ac:dyDescent="0.25">
      <c r="A1416" s="1" t="s">
        <v>16</v>
      </c>
      <c r="B1416" s="1" t="s">
        <v>14</v>
      </c>
      <c r="C1416" s="1" t="s">
        <v>25</v>
      </c>
      <c r="D1416" s="1">
        <v>0</v>
      </c>
      <c r="E1416" s="1">
        <v>280.18</v>
      </c>
      <c r="F1416" s="1">
        <v>0</v>
      </c>
      <c r="G1416" s="1">
        <v>4905.9930000000004</v>
      </c>
      <c r="H1416" s="1">
        <v>0</v>
      </c>
      <c r="I1416" s="1">
        <v>2110.34</v>
      </c>
    </row>
    <row r="1417" spans="1:9" hidden="1" x14ac:dyDescent="0.25">
      <c r="A1417" s="1" t="s">
        <v>16</v>
      </c>
      <c r="B1417" s="1" t="s">
        <v>14</v>
      </c>
      <c r="C1417" s="1" t="s">
        <v>10</v>
      </c>
      <c r="D1417" s="1">
        <v>0</v>
      </c>
      <c r="E1417" s="1">
        <v>280.18</v>
      </c>
      <c r="F1417" s="1">
        <v>0</v>
      </c>
      <c r="G1417" s="1">
        <v>4905.9930000000004</v>
      </c>
      <c r="H1417" s="1">
        <v>0</v>
      </c>
      <c r="I1417" s="1">
        <v>3085.0610000000001</v>
      </c>
    </row>
    <row r="1418" spans="1:9" hidden="1" x14ac:dyDescent="0.25">
      <c r="A1418" s="1" t="s">
        <v>16</v>
      </c>
      <c r="B1418" s="1" t="s">
        <v>98</v>
      </c>
      <c r="C1418" s="1" t="s">
        <v>25</v>
      </c>
      <c r="D1418" s="1">
        <v>0</v>
      </c>
      <c r="E1418" s="1">
        <v>-280.18</v>
      </c>
      <c r="F1418" s="1">
        <v>0</v>
      </c>
      <c r="G1418" s="1">
        <v>-4905.9930000000004</v>
      </c>
      <c r="H1418" s="1">
        <v>0</v>
      </c>
      <c r="I1418" s="1">
        <v>-2110.34</v>
      </c>
    </row>
    <row r="1419" spans="1:9" hidden="1" x14ac:dyDescent="0.25">
      <c r="A1419" s="1" t="s">
        <v>16</v>
      </c>
      <c r="B1419" s="1" t="s">
        <v>98</v>
      </c>
      <c r="C1419" s="1" t="s">
        <v>10</v>
      </c>
      <c r="D1419" s="1">
        <v>0</v>
      </c>
      <c r="E1419" s="1">
        <v>-280.18</v>
      </c>
      <c r="F1419" s="1">
        <v>0</v>
      </c>
      <c r="G1419" s="1">
        <v>-4905.9930000000004</v>
      </c>
      <c r="H1419" s="1">
        <v>0</v>
      </c>
      <c r="I1419" s="1">
        <v>-3085.0610000000001</v>
      </c>
    </row>
    <row r="1420" spans="1:9" hidden="1" x14ac:dyDescent="0.25">
      <c r="A1420" s="1" t="s">
        <v>16</v>
      </c>
      <c r="B1420" s="1" t="s">
        <v>15</v>
      </c>
      <c r="C1420" s="1" t="s">
        <v>25</v>
      </c>
      <c r="D1420" s="1">
        <v>0</v>
      </c>
      <c r="E1420" s="1">
        <v>0</v>
      </c>
      <c r="F1420" s="1">
        <v>671.3</v>
      </c>
      <c r="G1420" s="1">
        <v>13533.749</v>
      </c>
      <c r="H1420" s="1">
        <v>5424.0720000000001</v>
      </c>
      <c r="I1420" s="1">
        <v>0</v>
      </c>
    </row>
    <row r="1421" spans="1:9" hidden="1" x14ac:dyDescent="0.25">
      <c r="A1421" s="1" t="s">
        <v>16</v>
      </c>
      <c r="B1421" s="1" t="s">
        <v>15</v>
      </c>
      <c r="C1421" s="1" t="s">
        <v>10</v>
      </c>
      <c r="D1421" s="1">
        <v>0</v>
      </c>
      <c r="E1421" s="1">
        <v>0</v>
      </c>
      <c r="F1421" s="1">
        <v>671.3</v>
      </c>
      <c r="G1421" s="1">
        <v>13533.749</v>
      </c>
      <c r="H1421" s="1">
        <v>8023.2150000000001</v>
      </c>
      <c r="I1421" s="1">
        <v>0</v>
      </c>
    </row>
    <row r="1422" spans="1:9" hidden="1" x14ac:dyDescent="0.25">
      <c r="A1422" s="1" t="s">
        <v>16</v>
      </c>
      <c r="B1422" s="1" t="s">
        <v>99</v>
      </c>
      <c r="C1422" s="1" t="s">
        <v>25</v>
      </c>
      <c r="D1422" s="1">
        <v>0</v>
      </c>
      <c r="E1422" s="1">
        <v>0</v>
      </c>
      <c r="F1422" s="1">
        <v>-671.3</v>
      </c>
      <c r="G1422" s="1">
        <v>-13533.749</v>
      </c>
      <c r="H1422" s="1">
        <v>-5424.0720000000001</v>
      </c>
      <c r="I1422" s="1">
        <v>0</v>
      </c>
    </row>
    <row r="1423" spans="1:9" hidden="1" x14ac:dyDescent="0.25">
      <c r="A1423" s="1" t="s">
        <v>16</v>
      </c>
      <c r="B1423" s="1" t="s">
        <v>99</v>
      </c>
      <c r="C1423" s="1" t="s">
        <v>10</v>
      </c>
      <c r="D1423" s="1">
        <v>0</v>
      </c>
      <c r="E1423" s="1">
        <v>0</v>
      </c>
      <c r="F1423" s="1">
        <v>-671.3</v>
      </c>
      <c r="G1423" s="1">
        <v>-13533.749</v>
      </c>
      <c r="H1423" s="1">
        <v>-8023.2150000000001</v>
      </c>
      <c r="I1423" s="1">
        <v>0</v>
      </c>
    </row>
    <row r="1424" spans="1:9" hidden="1" x14ac:dyDescent="0.25">
      <c r="A1424" s="1" t="s">
        <v>16</v>
      </c>
      <c r="B1424" s="1" t="s">
        <v>100</v>
      </c>
      <c r="C1424" s="1" t="s">
        <v>25</v>
      </c>
      <c r="D1424" s="1">
        <v>0</v>
      </c>
      <c r="E1424" s="1">
        <v>280.18</v>
      </c>
      <c r="F1424" s="1">
        <v>0</v>
      </c>
      <c r="G1424" s="1">
        <v>4905.9930000000004</v>
      </c>
      <c r="H1424" s="1">
        <v>0</v>
      </c>
      <c r="I1424" s="1">
        <v>2110.34</v>
      </c>
    </row>
    <row r="1425" spans="1:9" hidden="1" x14ac:dyDescent="0.25">
      <c r="A1425" s="1" t="s">
        <v>16</v>
      </c>
      <c r="B1425" s="1" t="s">
        <v>100</v>
      </c>
      <c r="C1425" s="1" t="s">
        <v>10</v>
      </c>
      <c r="D1425" s="1">
        <v>0</v>
      </c>
      <c r="E1425" s="1">
        <v>280.18</v>
      </c>
      <c r="F1425" s="1">
        <v>0</v>
      </c>
      <c r="G1425" s="1">
        <v>4905.9930000000004</v>
      </c>
      <c r="H1425" s="1">
        <v>0</v>
      </c>
      <c r="I1425" s="1">
        <v>3085.0610000000001</v>
      </c>
    </row>
    <row r="1426" spans="1:9" hidden="1" x14ac:dyDescent="0.25">
      <c r="A1426" s="1" t="s">
        <v>16</v>
      </c>
      <c r="B1426" s="1" t="s">
        <v>101</v>
      </c>
      <c r="C1426" s="1" t="s">
        <v>25</v>
      </c>
      <c r="D1426" s="1">
        <v>0</v>
      </c>
      <c r="E1426" s="1">
        <v>-280.18</v>
      </c>
      <c r="F1426" s="1">
        <v>0</v>
      </c>
      <c r="G1426" s="1">
        <v>-4905.9930000000004</v>
      </c>
      <c r="H1426" s="1">
        <v>0</v>
      </c>
      <c r="I1426" s="1">
        <v>-2110.34</v>
      </c>
    </row>
    <row r="1427" spans="1:9" hidden="1" x14ac:dyDescent="0.25">
      <c r="A1427" s="1" t="s">
        <v>16</v>
      </c>
      <c r="B1427" s="1" t="s">
        <v>101</v>
      </c>
      <c r="C1427" s="1" t="s">
        <v>10</v>
      </c>
      <c r="D1427" s="1">
        <v>0</v>
      </c>
      <c r="E1427" s="1">
        <v>-280.18</v>
      </c>
      <c r="F1427" s="1">
        <v>0</v>
      </c>
      <c r="G1427" s="1">
        <v>-4905.9930000000004</v>
      </c>
      <c r="H1427" s="1">
        <v>0</v>
      </c>
      <c r="I1427" s="1">
        <v>-3085.0610000000001</v>
      </c>
    </row>
    <row r="1428" spans="1:9" hidden="1" x14ac:dyDescent="0.25">
      <c r="A1428" s="1" t="s">
        <v>16</v>
      </c>
      <c r="B1428" s="1" t="s">
        <v>102</v>
      </c>
      <c r="C1428" s="1" t="s">
        <v>25</v>
      </c>
      <c r="D1428" s="1">
        <v>0</v>
      </c>
      <c r="E1428" s="1">
        <v>280.18</v>
      </c>
      <c r="F1428" s="1">
        <v>0</v>
      </c>
      <c r="G1428" s="1">
        <v>4905.9930000000004</v>
      </c>
      <c r="H1428" s="1">
        <v>0</v>
      </c>
      <c r="I1428" s="1">
        <v>2110.34</v>
      </c>
    </row>
    <row r="1429" spans="1:9" hidden="1" x14ac:dyDescent="0.25">
      <c r="A1429" s="1" t="s">
        <v>16</v>
      </c>
      <c r="B1429" s="1" t="s">
        <v>102</v>
      </c>
      <c r="C1429" s="1" t="s">
        <v>10</v>
      </c>
      <c r="D1429" s="1">
        <v>0</v>
      </c>
      <c r="E1429" s="1">
        <v>280.18</v>
      </c>
      <c r="F1429" s="1">
        <v>0</v>
      </c>
      <c r="G1429" s="1">
        <v>4905.9930000000004</v>
      </c>
      <c r="H1429" s="1">
        <v>0</v>
      </c>
      <c r="I1429" s="1">
        <v>3085.0610000000001</v>
      </c>
    </row>
    <row r="1430" spans="1:9" hidden="1" x14ac:dyDescent="0.25">
      <c r="A1430" s="1" t="s">
        <v>16</v>
      </c>
      <c r="B1430" s="1" t="s">
        <v>103</v>
      </c>
      <c r="C1430" s="1" t="s">
        <v>25</v>
      </c>
      <c r="D1430" s="1">
        <v>0</v>
      </c>
      <c r="E1430" s="1">
        <v>-280.18</v>
      </c>
      <c r="F1430" s="1">
        <v>0</v>
      </c>
      <c r="G1430" s="1">
        <v>-4905.9930000000004</v>
      </c>
      <c r="H1430" s="1">
        <v>0</v>
      </c>
      <c r="I1430" s="1">
        <v>-2110.34</v>
      </c>
    </row>
    <row r="1431" spans="1:9" hidden="1" x14ac:dyDescent="0.25">
      <c r="A1431" s="1" t="s">
        <v>16</v>
      </c>
      <c r="B1431" s="1" t="s">
        <v>103</v>
      </c>
      <c r="C1431" s="1" t="s">
        <v>10</v>
      </c>
      <c r="D1431" s="1">
        <v>0</v>
      </c>
      <c r="E1431" s="1">
        <v>-280.18</v>
      </c>
      <c r="F1431" s="1">
        <v>0</v>
      </c>
      <c r="G1431" s="1">
        <v>-4905.9930000000004</v>
      </c>
      <c r="H1431" s="1">
        <v>0</v>
      </c>
      <c r="I1431" s="1">
        <v>-3085.0610000000001</v>
      </c>
    </row>
    <row r="1432" spans="1:9" hidden="1" x14ac:dyDescent="0.25">
      <c r="A1432" s="1" t="s">
        <v>16</v>
      </c>
      <c r="B1432" s="1" t="s">
        <v>104</v>
      </c>
      <c r="C1432" s="1" t="s">
        <v>25</v>
      </c>
      <c r="D1432" s="1">
        <v>0</v>
      </c>
      <c r="E1432" s="1">
        <v>0</v>
      </c>
      <c r="F1432" s="1">
        <v>671.3</v>
      </c>
      <c r="G1432" s="1">
        <v>13533.749</v>
      </c>
      <c r="H1432" s="1">
        <v>5424.0720000000001</v>
      </c>
      <c r="I1432" s="1">
        <v>0</v>
      </c>
    </row>
    <row r="1433" spans="1:9" hidden="1" x14ac:dyDescent="0.25">
      <c r="A1433" s="1" t="s">
        <v>16</v>
      </c>
      <c r="B1433" s="1" t="s">
        <v>104</v>
      </c>
      <c r="C1433" s="1" t="s">
        <v>10</v>
      </c>
      <c r="D1433" s="1">
        <v>0</v>
      </c>
      <c r="E1433" s="1">
        <v>0</v>
      </c>
      <c r="F1433" s="1">
        <v>671.3</v>
      </c>
      <c r="G1433" s="1">
        <v>13533.749</v>
      </c>
      <c r="H1433" s="1">
        <v>8023.2150000000001</v>
      </c>
      <c r="I1433" s="1">
        <v>0</v>
      </c>
    </row>
    <row r="1434" spans="1:9" hidden="1" x14ac:dyDescent="0.25">
      <c r="A1434" s="1" t="s">
        <v>16</v>
      </c>
      <c r="B1434" s="1" t="s">
        <v>105</v>
      </c>
      <c r="C1434" s="1" t="s">
        <v>25</v>
      </c>
      <c r="D1434" s="1">
        <v>0</v>
      </c>
      <c r="E1434" s="1">
        <v>0</v>
      </c>
      <c r="F1434" s="1">
        <v>-671.3</v>
      </c>
      <c r="G1434" s="1">
        <v>-13533.749</v>
      </c>
      <c r="H1434" s="1">
        <v>-5424.0720000000001</v>
      </c>
      <c r="I1434" s="1">
        <v>0</v>
      </c>
    </row>
    <row r="1435" spans="1:9" hidden="1" x14ac:dyDescent="0.25">
      <c r="A1435" s="1" t="s">
        <v>16</v>
      </c>
      <c r="B1435" s="1" t="s">
        <v>105</v>
      </c>
      <c r="C1435" s="1" t="s">
        <v>10</v>
      </c>
      <c r="D1435" s="1">
        <v>0</v>
      </c>
      <c r="E1435" s="1">
        <v>0</v>
      </c>
      <c r="F1435" s="1">
        <v>-671.3</v>
      </c>
      <c r="G1435" s="1">
        <v>-13533.749</v>
      </c>
      <c r="H1435" s="1">
        <v>-8023.2150000000001</v>
      </c>
      <c r="I1435" s="1">
        <v>0</v>
      </c>
    </row>
    <row r="1436" spans="1:9" hidden="1" x14ac:dyDescent="0.25">
      <c r="A1436" s="1" t="s">
        <v>16</v>
      </c>
      <c r="B1436" s="1" t="s">
        <v>106</v>
      </c>
      <c r="C1436" s="1" t="s">
        <v>25</v>
      </c>
      <c r="D1436" s="1">
        <v>0</v>
      </c>
      <c r="E1436" s="1">
        <v>0</v>
      </c>
      <c r="F1436" s="1">
        <v>671.3</v>
      </c>
      <c r="G1436" s="1">
        <v>13533.749</v>
      </c>
      <c r="H1436" s="1">
        <v>5424.0720000000001</v>
      </c>
      <c r="I1436" s="1">
        <v>0</v>
      </c>
    </row>
    <row r="1437" spans="1:9" hidden="1" x14ac:dyDescent="0.25">
      <c r="A1437" s="1" t="s">
        <v>16</v>
      </c>
      <c r="B1437" s="1" t="s">
        <v>106</v>
      </c>
      <c r="C1437" s="1" t="s">
        <v>10</v>
      </c>
      <c r="D1437" s="1">
        <v>0</v>
      </c>
      <c r="E1437" s="1">
        <v>0</v>
      </c>
      <c r="F1437" s="1">
        <v>671.3</v>
      </c>
      <c r="G1437" s="1">
        <v>13533.749</v>
      </c>
      <c r="H1437" s="1">
        <v>8023.2150000000001</v>
      </c>
      <c r="I1437" s="1">
        <v>0</v>
      </c>
    </row>
    <row r="1438" spans="1:9" hidden="1" x14ac:dyDescent="0.25">
      <c r="A1438" s="1" t="s">
        <v>16</v>
      </c>
      <c r="B1438" s="1" t="s">
        <v>107</v>
      </c>
      <c r="C1438" s="1" t="s">
        <v>25</v>
      </c>
      <c r="D1438" s="1">
        <v>0</v>
      </c>
      <c r="E1438" s="1">
        <v>0</v>
      </c>
      <c r="F1438" s="1">
        <v>-671.3</v>
      </c>
      <c r="G1438" s="1">
        <v>-13533.749</v>
      </c>
      <c r="H1438" s="1">
        <v>-5424.0720000000001</v>
      </c>
      <c r="I1438" s="1">
        <v>0</v>
      </c>
    </row>
    <row r="1439" spans="1:9" hidden="1" x14ac:dyDescent="0.25">
      <c r="A1439" s="1" t="s">
        <v>16</v>
      </c>
      <c r="B1439" s="1" t="s">
        <v>107</v>
      </c>
      <c r="C1439" s="1" t="s">
        <v>10</v>
      </c>
      <c r="D1439" s="1">
        <v>0</v>
      </c>
      <c r="E1439" s="1">
        <v>0</v>
      </c>
      <c r="F1439" s="1">
        <v>-671.3</v>
      </c>
      <c r="G1439" s="1">
        <v>-13533.749</v>
      </c>
      <c r="H1439" s="1">
        <v>-8023.2150000000001</v>
      </c>
      <c r="I1439" s="1">
        <v>0</v>
      </c>
    </row>
    <row r="1440" spans="1:9" hidden="1" x14ac:dyDescent="0.25">
      <c r="A1440" s="1" t="s">
        <v>16</v>
      </c>
      <c r="B1440" s="1" t="s">
        <v>108</v>
      </c>
      <c r="C1440" s="1" t="s">
        <v>25</v>
      </c>
      <c r="D1440" s="1">
        <v>0</v>
      </c>
      <c r="E1440" s="1">
        <v>84.06</v>
      </c>
      <c r="F1440" s="1">
        <v>0</v>
      </c>
      <c r="G1440" s="1">
        <v>1471.798</v>
      </c>
      <c r="H1440" s="1">
        <v>0</v>
      </c>
      <c r="I1440" s="1">
        <v>633.10199999999998</v>
      </c>
    </row>
    <row r="1441" spans="1:9" hidden="1" x14ac:dyDescent="0.25">
      <c r="A1441" s="1" t="s">
        <v>16</v>
      </c>
      <c r="B1441" s="1" t="s">
        <v>108</v>
      </c>
      <c r="C1441" s="1" t="s">
        <v>10</v>
      </c>
      <c r="D1441" s="1">
        <v>0</v>
      </c>
      <c r="E1441" s="1">
        <v>84.06</v>
      </c>
      <c r="F1441" s="1">
        <v>0</v>
      </c>
      <c r="G1441" s="1">
        <v>1471.798</v>
      </c>
      <c r="H1441" s="1">
        <v>0</v>
      </c>
      <c r="I1441" s="1">
        <v>925.51800000000003</v>
      </c>
    </row>
    <row r="1442" spans="1:9" hidden="1" x14ac:dyDescent="0.25">
      <c r="A1442" s="1" t="s">
        <v>16</v>
      </c>
      <c r="B1442" s="1" t="s">
        <v>109</v>
      </c>
      <c r="C1442" s="1" t="s">
        <v>25</v>
      </c>
      <c r="D1442" s="1">
        <v>0</v>
      </c>
      <c r="E1442" s="1">
        <v>-84.06</v>
      </c>
      <c r="F1442" s="1">
        <v>0</v>
      </c>
      <c r="G1442" s="1">
        <v>-1471.798</v>
      </c>
      <c r="H1442" s="1">
        <v>0</v>
      </c>
      <c r="I1442" s="1">
        <v>-633.10199999999998</v>
      </c>
    </row>
    <row r="1443" spans="1:9" hidden="1" x14ac:dyDescent="0.25">
      <c r="A1443" s="1" t="s">
        <v>16</v>
      </c>
      <c r="B1443" s="1" t="s">
        <v>109</v>
      </c>
      <c r="C1443" s="1" t="s">
        <v>10</v>
      </c>
      <c r="D1443" s="1">
        <v>0</v>
      </c>
      <c r="E1443" s="1">
        <v>-84.06</v>
      </c>
      <c r="F1443" s="1">
        <v>0</v>
      </c>
      <c r="G1443" s="1">
        <v>-1471.798</v>
      </c>
      <c r="H1443" s="1">
        <v>0</v>
      </c>
      <c r="I1443" s="1">
        <v>-925.51800000000003</v>
      </c>
    </row>
    <row r="1444" spans="1:9" hidden="1" x14ac:dyDescent="0.25">
      <c r="A1444" s="1" t="s">
        <v>16</v>
      </c>
      <c r="B1444" s="1" t="s">
        <v>110</v>
      </c>
      <c r="C1444" s="1" t="s">
        <v>25</v>
      </c>
      <c r="D1444" s="1">
        <v>0</v>
      </c>
      <c r="E1444" s="1">
        <v>84.06</v>
      </c>
      <c r="F1444" s="1">
        <v>0</v>
      </c>
      <c r="G1444" s="1">
        <v>1471.798</v>
      </c>
      <c r="H1444" s="1">
        <v>0</v>
      </c>
      <c r="I1444" s="1">
        <v>633.10199999999998</v>
      </c>
    </row>
    <row r="1445" spans="1:9" hidden="1" x14ac:dyDescent="0.25">
      <c r="A1445" s="1" t="s">
        <v>16</v>
      </c>
      <c r="B1445" s="1" t="s">
        <v>110</v>
      </c>
      <c r="C1445" s="1" t="s">
        <v>10</v>
      </c>
      <c r="D1445" s="1">
        <v>0</v>
      </c>
      <c r="E1445" s="1">
        <v>84.06</v>
      </c>
      <c r="F1445" s="1">
        <v>0</v>
      </c>
      <c r="G1445" s="1">
        <v>1471.798</v>
      </c>
      <c r="H1445" s="1">
        <v>0</v>
      </c>
      <c r="I1445" s="1">
        <v>925.51800000000003</v>
      </c>
    </row>
    <row r="1446" spans="1:9" hidden="1" x14ac:dyDescent="0.25">
      <c r="A1446" s="1" t="s">
        <v>16</v>
      </c>
      <c r="B1446" s="1" t="s">
        <v>111</v>
      </c>
      <c r="C1446" s="1" t="s">
        <v>25</v>
      </c>
      <c r="D1446" s="1">
        <v>0</v>
      </c>
      <c r="E1446" s="1">
        <v>-84.06</v>
      </c>
      <c r="F1446" s="1">
        <v>0</v>
      </c>
      <c r="G1446" s="1">
        <v>-1471.798</v>
      </c>
      <c r="H1446" s="1">
        <v>0</v>
      </c>
      <c r="I1446" s="1">
        <v>-633.10199999999998</v>
      </c>
    </row>
    <row r="1447" spans="1:9" hidden="1" x14ac:dyDescent="0.25">
      <c r="A1447" s="1" t="s">
        <v>16</v>
      </c>
      <c r="B1447" s="1" t="s">
        <v>111</v>
      </c>
      <c r="C1447" s="1" t="s">
        <v>10</v>
      </c>
      <c r="D1447" s="1">
        <v>0</v>
      </c>
      <c r="E1447" s="1">
        <v>-84.06</v>
      </c>
      <c r="F1447" s="1">
        <v>0</v>
      </c>
      <c r="G1447" s="1">
        <v>-1471.798</v>
      </c>
      <c r="H1447" s="1">
        <v>0</v>
      </c>
      <c r="I1447" s="1">
        <v>-925.51800000000003</v>
      </c>
    </row>
    <row r="1448" spans="1:9" hidden="1" x14ac:dyDescent="0.25">
      <c r="A1448" s="1" t="s">
        <v>16</v>
      </c>
      <c r="B1448" s="1" t="s">
        <v>112</v>
      </c>
      <c r="C1448" s="1" t="s">
        <v>25</v>
      </c>
      <c r="D1448" s="1">
        <v>0</v>
      </c>
      <c r="E1448" s="1">
        <v>0</v>
      </c>
      <c r="F1448" s="1">
        <v>201.39</v>
      </c>
      <c r="G1448" s="1">
        <v>4060.125</v>
      </c>
      <c r="H1448" s="1">
        <v>1627.222</v>
      </c>
      <c r="I1448" s="1">
        <v>0</v>
      </c>
    </row>
    <row r="1449" spans="1:9" hidden="1" x14ac:dyDescent="0.25">
      <c r="A1449" s="1" t="s">
        <v>16</v>
      </c>
      <c r="B1449" s="1" t="s">
        <v>112</v>
      </c>
      <c r="C1449" s="1" t="s">
        <v>10</v>
      </c>
      <c r="D1449" s="1">
        <v>0</v>
      </c>
      <c r="E1449" s="1">
        <v>0</v>
      </c>
      <c r="F1449" s="1">
        <v>201.39</v>
      </c>
      <c r="G1449" s="1">
        <v>4060.125</v>
      </c>
      <c r="H1449" s="1">
        <v>2406.9650000000001</v>
      </c>
      <c r="I1449" s="1">
        <v>0</v>
      </c>
    </row>
    <row r="1450" spans="1:9" hidden="1" x14ac:dyDescent="0.25">
      <c r="A1450" s="1" t="s">
        <v>16</v>
      </c>
      <c r="B1450" s="1" t="s">
        <v>113</v>
      </c>
      <c r="C1450" s="1" t="s">
        <v>25</v>
      </c>
      <c r="D1450" s="1">
        <v>0</v>
      </c>
      <c r="E1450" s="1">
        <v>0</v>
      </c>
      <c r="F1450" s="1">
        <v>-201.39</v>
      </c>
      <c r="G1450" s="1">
        <v>-4060.125</v>
      </c>
      <c r="H1450" s="1">
        <v>-1627.222</v>
      </c>
      <c r="I1450" s="1">
        <v>0</v>
      </c>
    </row>
    <row r="1451" spans="1:9" hidden="1" x14ac:dyDescent="0.25">
      <c r="A1451" s="1" t="s">
        <v>16</v>
      </c>
      <c r="B1451" s="1" t="s">
        <v>113</v>
      </c>
      <c r="C1451" s="1" t="s">
        <v>10</v>
      </c>
      <c r="D1451" s="1">
        <v>0</v>
      </c>
      <c r="E1451" s="1">
        <v>0</v>
      </c>
      <c r="F1451" s="1">
        <v>-201.39</v>
      </c>
      <c r="G1451" s="1">
        <v>-4060.125</v>
      </c>
      <c r="H1451" s="1">
        <v>-2406.9650000000001</v>
      </c>
      <c r="I1451" s="1">
        <v>0</v>
      </c>
    </row>
    <row r="1452" spans="1:9" hidden="1" x14ac:dyDescent="0.25">
      <c r="A1452" s="1" t="s">
        <v>16</v>
      </c>
      <c r="B1452" s="1" t="s">
        <v>114</v>
      </c>
      <c r="C1452" s="1" t="s">
        <v>25</v>
      </c>
      <c r="D1452" s="1">
        <v>0</v>
      </c>
      <c r="E1452" s="1">
        <v>0</v>
      </c>
      <c r="F1452" s="1">
        <v>201.39</v>
      </c>
      <c r="G1452" s="1">
        <v>4060.125</v>
      </c>
      <c r="H1452" s="1">
        <v>1627.222</v>
      </c>
      <c r="I1452" s="1">
        <v>0</v>
      </c>
    </row>
    <row r="1453" spans="1:9" hidden="1" x14ac:dyDescent="0.25">
      <c r="A1453" s="1" t="s">
        <v>16</v>
      </c>
      <c r="B1453" s="1" t="s">
        <v>114</v>
      </c>
      <c r="C1453" s="1" t="s">
        <v>10</v>
      </c>
      <c r="D1453" s="1">
        <v>0</v>
      </c>
      <c r="E1453" s="1">
        <v>0</v>
      </c>
      <c r="F1453" s="1">
        <v>201.39</v>
      </c>
      <c r="G1453" s="1">
        <v>4060.125</v>
      </c>
      <c r="H1453" s="1">
        <v>2406.9650000000001</v>
      </c>
      <c r="I1453" s="1">
        <v>0</v>
      </c>
    </row>
    <row r="1454" spans="1:9" hidden="1" x14ac:dyDescent="0.25">
      <c r="A1454" s="1" t="s">
        <v>16</v>
      </c>
      <c r="B1454" s="1" t="s">
        <v>115</v>
      </c>
      <c r="C1454" s="1" t="s">
        <v>25</v>
      </c>
      <c r="D1454" s="1">
        <v>0</v>
      </c>
      <c r="E1454" s="1">
        <v>0</v>
      </c>
      <c r="F1454" s="1">
        <v>-201.39</v>
      </c>
      <c r="G1454" s="1">
        <v>-4060.125</v>
      </c>
      <c r="H1454" s="1">
        <v>-1627.222</v>
      </c>
      <c r="I1454" s="1">
        <v>0</v>
      </c>
    </row>
    <row r="1455" spans="1:9" hidden="1" x14ac:dyDescent="0.25">
      <c r="A1455" s="1" t="s">
        <v>16</v>
      </c>
      <c r="B1455" s="1" t="s">
        <v>115</v>
      </c>
      <c r="C1455" s="1" t="s">
        <v>10</v>
      </c>
      <c r="D1455" s="1">
        <v>0</v>
      </c>
      <c r="E1455" s="1">
        <v>0</v>
      </c>
      <c r="F1455" s="1">
        <v>-201.39</v>
      </c>
      <c r="G1455" s="1">
        <v>-4060.125</v>
      </c>
      <c r="H1455" s="1">
        <v>-2406.9650000000001</v>
      </c>
      <c r="I1455" s="1">
        <v>0</v>
      </c>
    </row>
    <row r="1456" spans="1:9" hidden="1" x14ac:dyDescent="0.25">
      <c r="A1456" s="1" t="s">
        <v>16</v>
      </c>
      <c r="B1456" s="1" t="s">
        <v>116</v>
      </c>
      <c r="C1456" s="1" t="s">
        <v>25</v>
      </c>
      <c r="D1456" s="1">
        <v>0</v>
      </c>
      <c r="E1456" s="1">
        <v>280.18</v>
      </c>
      <c r="F1456" s="1">
        <v>0</v>
      </c>
      <c r="G1456" s="1">
        <v>4905.9930000000004</v>
      </c>
      <c r="H1456" s="1">
        <v>0</v>
      </c>
      <c r="I1456" s="1">
        <v>2110.34</v>
      </c>
    </row>
    <row r="1457" spans="1:9" hidden="1" x14ac:dyDescent="0.25">
      <c r="A1457" s="1" t="s">
        <v>16</v>
      </c>
      <c r="B1457" s="1" t="s">
        <v>116</v>
      </c>
      <c r="C1457" s="1" t="s">
        <v>10</v>
      </c>
      <c r="D1457" s="1">
        <v>0</v>
      </c>
      <c r="E1457" s="1">
        <v>280.18</v>
      </c>
      <c r="F1457" s="1">
        <v>0</v>
      </c>
      <c r="G1457" s="1">
        <v>4905.9930000000004</v>
      </c>
      <c r="H1457" s="1">
        <v>0</v>
      </c>
      <c r="I1457" s="1">
        <v>3085.0610000000001</v>
      </c>
    </row>
    <row r="1458" spans="1:9" hidden="1" x14ac:dyDescent="0.25">
      <c r="A1458" s="1" t="s">
        <v>16</v>
      </c>
      <c r="B1458" s="1" t="s">
        <v>117</v>
      </c>
      <c r="C1458" s="1" t="s">
        <v>25</v>
      </c>
      <c r="D1458" s="1">
        <v>0</v>
      </c>
      <c r="E1458" s="1">
        <v>-280.18</v>
      </c>
      <c r="F1458" s="1">
        <v>0</v>
      </c>
      <c r="G1458" s="1">
        <v>-4905.9930000000004</v>
      </c>
      <c r="H1458" s="1">
        <v>0</v>
      </c>
      <c r="I1458" s="1">
        <v>-2110.34</v>
      </c>
    </row>
    <row r="1459" spans="1:9" hidden="1" x14ac:dyDescent="0.25">
      <c r="A1459" s="1" t="s">
        <v>16</v>
      </c>
      <c r="B1459" s="1" t="s">
        <v>117</v>
      </c>
      <c r="C1459" s="1" t="s">
        <v>10</v>
      </c>
      <c r="D1459" s="1">
        <v>0</v>
      </c>
      <c r="E1459" s="1">
        <v>-280.18</v>
      </c>
      <c r="F1459" s="1">
        <v>0</v>
      </c>
      <c r="G1459" s="1">
        <v>-4905.9930000000004</v>
      </c>
      <c r="H1459" s="1">
        <v>0</v>
      </c>
      <c r="I1459" s="1">
        <v>-3085.0610000000001</v>
      </c>
    </row>
    <row r="1460" spans="1:9" hidden="1" x14ac:dyDescent="0.25">
      <c r="A1460" s="1" t="s">
        <v>16</v>
      </c>
      <c r="B1460" s="1" t="s">
        <v>118</v>
      </c>
      <c r="C1460" s="1" t="s">
        <v>25</v>
      </c>
      <c r="D1460" s="1">
        <v>0</v>
      </c>
      <c r="E1460" s="1">
        <v>280.18</v>
      </c>
      <c r="F1460" s="1">
        <v>0</v>
      </c>
      <c r="G1460" s="1">
        <v>4905.9930000000004</v>
      </c>
      <c r="H1460" s="1">
        <v>0</v>
      </c>
      <c r="I1460" s="1">
        <v>2110.34</v>
      </c>
    </row>
    <row r="1461" spans="1:9" hidden="1" x14ac:dyDescent="0.25">
      <c r="A1461" s="1" t="s">
        <v>16</v>
      </c>
      <c r="B1461" s="1" t="s">
        <v>118</v>
      </c>
      <c r="C1461" s="1" t="s">
        <v>10</v>
      </c>
      <c r="D1461" s="1">
        <v>0</v>
      </c>
      <c r="E1461" s="1">
        <v>280.18</v>
      </c>
      <c r="F1461" s="1">
        <v>0</v>
      </c>
      <c r="G1461" s="1">
        <v>4905.9930000000004</v>
      </c>
      <c r="H1461" s="1">
        <v>0</v>
      </c>
      <c r="I1461" s="1">
        <v>3085.0610000000001</v>
      </c>
    </row>
    <row r="1462" spans="1:9" hidden="1" x14ac:dyDescent="0.25">
      <c r="A1462" s="1" t="s">
        <v>16</v>
      </c>
      <c r="B1462" s="1" t="s">
        <v>119</v>
      </c>
      <c r="C1462" s="1" t="s">
        <v>25</v>
      </c>
      <c r="D1462" s="1">
        <v>0</v>
      </c>
      <c r="E1462" s="1">
        <v>-280.18</v>
      </c>
      <c r="F1462" s="1">
        <v>0</v>
      </c>
      <c r="G1462" s="1">
        <v>-4905.9930000000004</v>
      </c>
      <c r="H1462" s="1">
        <v>0</v>
      </c>
      <c r="I1462" s="1">
        <v>-2110.34</v>
      </c>
    </row>
    <row r="1463" spans="1:9" hidden="1" x14ac:dyDescent="0.25">
      <c r="A1463" s="1" t="s">
        <v>16</v>
      </c>
      <c r="B1463" s="1" t="s">
        <v>119</v>
      </c>
      <c r="C1463" s="1" t="s">
        <v>10</v>
      </c>
      <c r="D1463" s="1">
        <v>0</v>
      </c>
      <c r="E1463" s="1">
        <v>-280.18</v>
      </c>
      <c r="F1463" s="1">
        <v>0</v>
      </c>
      <c r="G1463" s="1">
        <v>-4905.9930000000004</v>
      </c>
      <c r="H1463" s="1">
        <v>0</v>
      </c>
      <c r="I1463" s="1">
        <v>-3085.0610000000001</v>
      </c>
    </row>
    <row r="1464" spans="1:9" hidden="1" x14ac:dyDescent="0.25">
      <c r="A1464" s="1" t="s">
        <v>16</v>
      </c>
      <c r="B1464" s="1" t="s">
        <v>120</v>
      </c>
      <c r="C1464" s="1" t="s">
        <v>25</v>
      </c>
      <c r="D1464" s="1">
        <v>0</v>
      </c>
      <c r="E1464" s="1">
        <v>0</v>
      </c>
      <c r="F1464" s="1">
        <v>671.3</v>
      </c>
      <c r="G1464" s="1">
        <v>13533.749</v>
      </c>
      <c r="H1464" s="1">
        <v>5424.0720000000001</v>
      </c>
      <c r="I1464" s="1">
        <v>0</v>
      </c>
    </row>
    <row r="1465" spans="1:9" hidden="1" x14ac:dyDescent="0.25">
      <c r="A1465" s="1" t="s">
        <v>16</v>
      </c>
      <c r="B1465" s="1" t="s">
        <v>120</v>
      </c>
      <c r="C1465" s="1" t="s">
        <v>10</v>
      </c>
      <c r="D1465" s="1">
        <v>0</v>
      </c>
      <c r="E1465" s="1">
        <v>0</v>
      </c>
      <c r="F1465" s="1">
        <v>671.3</v>
      </c>
      <c r="G1465" s="1">
        <v>13533.749</v>
      </c>
      <c r="H1465" s="1">
        <v>8023.2150000000001</v>
      </c>
      <c r="I1465" s="1">
        <v>0</v>
      </c>
    </row>
    <row r="1466" spans="1:9" hidden="1" x14ac:dyDescent="0.25">
      <c r="A1466" s="1" t="s">
        <v>16</v>
      </c>
      <c r="B1466" s="1" t="s">
        <v>121</v>
      </c>
      <c r="C1466" s="1" t="s">
        <v>25</v>
      </c>
      <c r="D1466" s="1">
        <v>0</v>
      </c>
      <c r="E1466" s="1">
        <v>0</v>
      </c>
      <c r="F1466" s="1">
        <v>-671.3</v>
      </c>
      <c r="G1466" s="1">
        <v>-13533.749</v>
      </c>
      <c r="H1466" s="1">
        <v>-5424.0720000000001</v>
      </c>
      <c r="I1466" s="1">
        <v>0</v>
      </c>
    </row>
    <row r="1467" spans="1:9" hidden="1" x14ac:dyDescent="0.25">
      <c r="A1467" s="1" t="s">
        <v>16</v>
      </c>
      <c r="B1467" s="1" t="s">
        <v>121</v>
      </c>
      <c r="C1467" s="1" t="s">
        <v>10</v>
      </c>
      <c r="D1467" s="1">
        <v>0</v>
      </c>
      <c r="E1467" s="1">
        <v>0</v>
      </c>
      <c r="F1467" s="1">
        <v>-671.3</v>
      </c>
      <c r="G1467" s="1">
        <v>-13533.749</v>
      </c>
      <c r="H1467" s="1">
        <v>-8023.2150000000001</v>
      </c>
      <c r="I1467" s="1">
        <v>0</v>
      </c>
    </row>
    <row r="1468" spans="1:9" hidden="1" x14ac:dyDescent="0.25">
      <c r="A1468" s="1" t="s">
        <v>16</v>
      </c>
      <c r="B1468" s="1" t="s">
        <v>122</v>
      </c>
      <c r="C1468" s="1" t="s">
        <v>25</v>
      </c>
      <c r="D1468" s="1">
        <v>0</v>
      </c>
      <c r="E1468" s="1">
        <v>0</v>
      </c>
      <c r="F1468" s="1">
        <v>671.3</v>
      </c>
      <c r="G1468" s="1">
        <v>13533.749</v>
      </c>
      <c r="H1468" s="1">
        <v>5424.0720000000001</v>
      </c>
      <c r="I1468" s="1">
        <v>0</v>
      </c>
    </row>
    <row r="1469" spans="1:9" hidden="1" x14ac:dyDescent="0.25">
      <c r="A1469" s="1" t="s">
        <v>16</v>
      </c>
      <c r="B1469" s="1" t="s">
        <v>122</v>
      </c>
      <c r="C1469" s="1" t="s">
        <v>10</v>
      </c>
      <c r="D1469" s="1">
        <v>0</v>
      </c>
      <c r="E1469" s="1">
        <v>0</v>
      </c>
      <c r="F1469" s="1">
        <v>671.3</v>
      </c>
      <c r="G1469" s="1">
        <v>13533.749</v>
      </c>
      <c r="H1469" s="1">
        <v>8023.2150000000001</v>
      </c>
      <c r="I1469" s="1">
        <v>0</v>
      </c>
    </row>
    <row r="1470" spans="1:9" hidden="1" x14ac:dyDescent="0.25">
      <c r="A1470" s="1" t="s">
        <v>16</v>
      </c>
      <c r="B1470" s="1" t="s">
        <v>123</v>
      </c>
      <c r="C1470" s="1" t="s">
        <v>25</v>
      </c>
      <c r="D1470" s="1">
        <v>0</v>
      </c>
      <c r="E1470" s="1">
        <v>0</v>
      </c>
      <c r="F1470" s="1">
        <v>-671.3</v>
      </c>
      <c r="G1470" s="1">
        <v>-13533.749</v>
      </c>
      <c r="H1470" s="1">
        <v>-5424.0720000000001</v>
      </c>
      <c r="I1470" s="1">
        <v>0</v>
      </c>
    </row>
    <row r="1471" spans="1:9" hidden="1" x14ac:dyDescent="0.25">
      <c r="A1471" s="1" t="s">
        <v>16</v>
      </c>
      <c r="B1471" s="1" t="s">
        <v>123</v>
      </c>
      <c r="C1471" s="1" t="s">
        <v>10</v>
      </c>
      <c r="D1471" s="1">
        <v>0</v>
      </c>
      <c r="E1471" s="1">
        <v>0</v>
      </c>
      <c r="F1471" s="1">
        <v>-671.3</v>
      </c>
      <c r="G1471" s="1">
        <v>-13533.749</v>
      </c>
      <c r="H1471" s="1">
        <v>-8023.2150000000001</v>
      </c>
      <c r="I1471" s="1">
        <v>0</v>
      </c>
    </row>
    <row r="1472" spans="1:9" hidden="1" x14ac:dyDescent="0.25">
      <c r="A1472" s="1" t="s">
        <v>16</v>
      </c>
      <c r="B1472" s="1" t="s">
        <v>124</v>
      </c>
      <c r="C1472" s="1" t="s">
        <v>25</v>
      </c>
      <c r="D1472" s="1">
        <v>0</v>
      </c>
      <c r="E1472" s="1">
        <v>84.06</v>
      </c>
      <c r="F1472" s="1">
        <v>0</v>
      </c>
      <c r="G1472" s="1">
        <v>1471.798</v>
      </c>
      <c r="H1472" s="1">
        <v>0</v>
      </c>
      <c r="I1472" s="1">
        <v>633.10199999999998</v>
      </c>
    </row>
    <row r="1473" spans="1:9" hidden="1" x14ac:dyDescent="0.25">
      <c r="A1473" s="1" t="s">
        <v>16</v>
      </c>
      <c r="B1473" s="1" t="s">
        <v>124</v>
      </c>
      <c r="C1473" s="1" t="s">
        <v>10</v>
      </c>
      <c r="D1473" s="1">
        <v>0</v>
      </c>
      <c r="E1473" s="1">
        <v>84.06</v>
      </c>
      <c r="F1473" s="1">
        <v>0</v>
      </c>
      <c r="G1473" s="1">
        <v>1471.798</v>
      </c>
      <c r="H1473" s="1">
        <v>0</v>
      </c>
      <c r="I1473" s="1">
        <v>925.51800000000003</v>
      </c>
    </row>
    <row r="1474" spans="1:9" hidden="1" x14ac:dyDescent="0.25">
      <c r="A1474" s="1" t="s">
        <v>16</v>
      </c>
      <c r="B1474" s="1" t="s">
        <v>125</v>
      </c>
      <c r="C1474" s="1" t="s">
        <v>25</v>
      </c>
      <c r="D1474" s="1">
        <v>0</v>
      </c>
      <c r="E1474" s="1">
        <v>-84.06</v>
      </c>
      <c r="F1474" s="1">
        <v>0</v>
      </c>
      <c r="G1474" s="1">
        <v>-1471.798</v>
      </c>
      <c r="H1474" s="1">
        <v>0</v>
      </c>
      <c r="I1474" s="1">
        <v>-633.10199999999998</v>
      </c>
    </row>
    <row r="1475" spans="1:9" hidden="1" x14ac:dyDescent="0.25">
      <c r="A1475" s="1" t="s">
        <v>16</v>
      </c>
      <c r="B1475" s="1" t="s">
        <v>125</v>
      </c>
      <c r="C1475" s="1" t="s">
        <v>10</v>
      </c>
      <c r="D1475" s="1">
        <v>0</v>
      </c>
      <c r="E1475" s="1">
        <v>-84.06</v>
      </c>
      <c r="F1475" s="1">
        <v>0</v>
      </c>
      <c r="G1475" s="1">
        <v>-1471.798</v>
      </c>
      <c r="H1475" s="1">
        <v>0</v>
      </c>
      <c r="I1475" s="1">
        <v>-925.51800000000003</v>
      </c>
    </row>
    <row r="1476" spans="1:9" hidden="1" x14ac:dyDescent="0.25">
      <c r="A1476" s="1" t="s">
        <v>16</v>
      </c>
      <c r="B1476" s="1" t="s">
        <v>126</v>
      </c>
      <c r="C1476" s="1" t="s">
        <v>25</v>
      </c>
      <c r="D1476" s="1">
        <v>0</v>
      </c>
      <c r="E1476" s="1">
        <v>84.06</v>
      </c>
      <c r="F1476" s="1">
        <v>0</v>
      </c>
      <c r="G1476" s="1">
        <v>1471.798</v>
      </c>
      <c r="H1476" s="1">
        <v>0</v>
      </c>
      <c r="I1476" s="1">
        <v>633.10199999999998</v>
      </c>
    </row>
    <row r="1477" spans="1:9" hidden="1" x14ac:dyDescent="0.25">
      <c r="A1477" s="1" t="s">
        <v>16</v>
      </c>
      <c r="B1477" s="1" t="s">
        <v>126</v>
      </c>
      <c r="C1477" s="1" t="s">
        <v>10</v>
      </c>
      <c r="D1477" s="1">
        <v>0</v>
      </c>
      <c r="E1477" s="1">
        <v>84.06</v>
      </c>
      <c r="F1477" s="1">
        <v>0</v>
      </c>
      <c r="G1477" s="1">
        <v>1471.798</v>
      </c>
      <c r="H1477" s="1">
        <v>0</v>
      </c>
      <c r="I1477" s="1">
        <v>925.51800000000003</v>
      </c>
    </row>
    <row r="1478" spans="1:9" hidden="1" x14ac:dyDescent="0.25">
      <c r="A1478" s="1" t="s">
        <v>16</v>
      </c>
      <c r="B1478" s="1" t="s">
        <v>127</v>
      </c>
      <c r="C1478" s="1" t="s">
        <v>25</v>
      </c>
      <c r="D1478" s="1">
        <v>0</v>
      </c>
      <c r="E1478" s="1">
        <v>-84.06</v>
      </c>
      <c r="F1478" s="1">
        <v>0</v>
      </c>
      <c r="G1478" s="1">
        <v>-1471.798</v>
      </c>
      <c r="H1478" s="1">
        <v>0</v>
      </c>
      <c r="I1478" s="1">
        <v>-633.10199999999998</v>
      </c>
    </row>
    <row r="1479" spans="1:9" hidden="1" x14ac:dyDescent="0.25">
      <c r="A1479" s="1" t="s">
        <v>16</v>
      </c>
      <c r="B1479" s="1" t="s">
        <v>127</v>
      </c>
      <c r="C1479" s="1" t="s">
        <v>10</v>
      </c>
      <c r="D1479" s="1">
        <v>0</v>
      </c>
      <c r="E1479" s="1">
        <v>-84.06</v>
      </c>
      <c r="F1479" s="1">
        <v>0</v>
      </c>
      <c r="G1479" s="1">
        <v>-1471.798</v>
      </c>
      <c r="H1479" s="1">
        <v>0</v>
      </c>
      <c r="I1479" s="1">
        <v>-925.51800000000003</v>
      </c>
    </row>
    <row r="1480" spans="1:9" hidden="1" x14ac:dyDescent="0.25">
      <c r="A1480" s="1" t="s">
        <v>16</v>
      </c>
      <c r="B1480" s="1" t="s">
        <v>128</v>
      </c>
      <c r="C1480" s="1" t="s">
        <v>25</v>
      </c>
      <c r="D1480" s="1">
        <v>0</v>
      </c>
      <c r="E1480" s="1">
        <v>0</v>
      </c>
      <c r="F1480" s="1">
        <v>201.39</v>
      </c>
      <c r="G1480" s="1">
        <v>4060.125</v>
      </c>
      <c r="H1480" s="1">
        <v>1627.222</v>
      </c>
      <c r="I1480" s="1">
        <v>0</v>
      </c>
    </row>
    <row r="1481" spans="1:9" hidden="1" x14ac:dyDescent="0.25">
      <c r="A1481" s="1" t="s">
        <v>16</v>
      </c>
      <c r="B1481" s="1" t="s">
        <v>128</v>
      </c>
      <c r="C1481" s="1" t="s">
        <v>10</v>
      </c>
      <c r="D1481" s="1">
        <v>0</v>
      </c>
      <c r="E1481" s="1">
        <v>0</v>
      </c>
      <c r="F1481" s="1">
        <v>201.39</v>
      </c>
      <c r="G1481" s="1">
        <v>4060.125</v>
      </c>
      <c r="H1481" s="1">
        <v>2406.9650000000001</v>
      </c>
      <c r="I1481" s="1">
        <v>0</v>
      </c>
    </row>
    <row r="1482" spans="1:9" hidden="1" x14ac:dyDescent="0.25">
      <c r="A1482" s="1" t="s">
        <v>16</v>
      </c>
      <c r="B1482" s="1" t="s">
        <v>129</v>
      </c>
      <c r="C1482" s="1" t="s">
        <v>25</v>
      </c>
      <c r="D1482" s="1">
        <v>0</v>
      </c>
      <c r="E1482" s="1">
        <v>0</v>
      </c>
      <c r="F1482" s="1">
        <v>-201.39</v>
      </c>
      <c r="G1482" s="1">
        <v>-4060.125</v>
      </c>
      <c r="H1482" s="1">
        <v>-1627.222</v>
      </c>
      <c r="I1482" s="1">
        <v>0</v>
      </c>
    </row>
    <row r="1483" spans="1:9" hidden="1" x14ac:dyDescent="0.25">
      <c r="A1483" s="1" t="s">
        <v>16</v>
      </c>
      <c r="B1483" s="1" t="s">
        <v>129</v>
      </c>
      <c r="C1483" s="1" t="s">
        <v>10</v>
      </c>
      <c r="D1483" s="1">
        <v>0</v>
      </c>
      <c r="E1483" s="1">
        <v>0</v>
      </c>
      <c r="F1483" s="1">
        <v>-201.39</v>
      </c>
      <c r="G1483" s="1">
        <v>-4060.125</v>
      </c>
      <c r="H1483" s="1">
        <v>-2406.9650000000001</v>
      </c>
      <c r="I1483" s="1">
        <v>0</v>
      </c>
    </row>
    <row r="1484" spans="1:9" hidden="1" x14ac:dyDescent="0.25">
      <c r="A1484" s="1" t="s">
        <v>16</v>
      </c>
      <c r="B1484" s="1" t="s">
        <v>130</v>
      </c>
      <c r="C1484" s="1" t="s">
        <v>25</v>
      </c>
      <c r="D1484" s="1">
        <v>0</v>
      </c>
      <c r="E1484" s="1">
        <v>0</v>
      </c>
      <c r="F1484" s="1">
        <v>201.39</v>
      </c>
      <c r="G1484" s="1">
        <v>4060.125</v>
      </c>
      <c r="H1484" s="1">
        <v>1627.222</v>
      </c>
      <c r="I1484" s="1">
        <v>0</v>
      </c>
    </row>
    <row r="1485" spans="1:9" hidden="1" x14ac:dyDescent="0.25">
      <c r="A1485" s="1" t="s">
        <v>16</v>
      </c>
      <c r="B1485" s="1" t="s">
        <v>130</v>
      </c>
      <c r="C1485" s="1" t="s">
        <v>10</v>
      </c>
      <c r="D1485" s="1">
        <v>0</v>
      </c>
      <c r="E1485" s="1">
        <v>0</v>
      </c>
      <c r="F1485" s="1">
        <v>201.39</v>
      </c>
      <c r="G1485" s="1">
        <v>4060.125</v>
      </c>
      <c r="H1485" s="1">
        <v>2406.9650000000001</v>
      </c>
      <c r="I1485" s="1">
        <v>0</v>
      </c>
    </row>
    <row r="1486" spans="1:9" hidden="1" x14ac:dyDescent="0.25">
      <c r="A1486" s="1" t="s">
        <v>16</v>
      </c>
      <c r="B1486" s="1" t="s">
        <v>131</v>
      </c>
      <c r="C1486" s="1" t="s">
        <v>25</v>
      </c>
      <c r="D1486" s="1">
        <v>0</v>
      </c>
      <c r="E1486" s="1">
        <v>0</v>
      </c>
      <c r="F1486" s="1">
        <v>-201.39</v>
      </c>
      <c r="G1486" s="1">
        <v>-4060.125</v>
      </c>
      <c r="H1486" s="1">
        <v>-1627.222</v>
      </c>
      <c r="I1486" s="1">
        <v>0</v>
      </c>
    </row>
    <row r="1487" spans="1:9" hidden="1" x14ac:dyDescent="0.25">
      <c r="A1487" s="1" t="s">
        <v>16</v>
      </c>
      <c r="B1487" s="1" t="s">
        <v>131</v>
      </c>
      <c r="C1487" s="1" t="s">
        <v>10</v>
      </c>
      <c r="D1487" s="1">
        <v>0</v>
      </c>
      <c r="E1487" s="1">
        <v>0</v>
      </c>
      <c r="F1487" s="1">
        <v>-201.39</v>
      </c>
      <c r="G1487" s="1">
        <v>-4060.125</v>
      </c>
      <c r="H1487" s="1">
        <v>-2406.9650000000001</v>
      </c>
      <c r="I1487" s="1">
        <v>0</v>
      </c>
    </row>
    <row r="1488" spans="1:9" hidden="1" x14ac:dyDescent="0.25">
      <c r="A1488" s="1" t="s">
        <v>16</v>
      </c>
      <c r="B1488" s="1" t="s">
        <v>132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16</v>
      </c>
      <c r="B1489" s="1" t="s">
        <v>132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16</v>
      </c>
      <c r="B1490" s="1" t="s">
        <v>133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16</v>
      </c>
      <c r="B1491" s="1" t="s">
        <v>133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16</v>
      </c>
      <c r="B1492" s="1" t="s">
        <v>134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16</v>
      </c>
      <c r="B1493" s="1" t="s">
        <v>134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16</v>
      </c>
      <c r="B1494" s="1" t="s">
        <v>135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16</v>
      </c>
      <c r="B1495" s="1" t="s">
        <v>135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16</v>
      </c>
      <c r="B1496" s="1" t="s">
        <v>136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</v>
      </c>
      <c r="B1497" s="1" t="s">
        <v>136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</v>
      </c>
      <c r="B1498" s="1" t="s">
        <v>137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</v>
      </c>
      <c r="B1499" s="1" t="s">
        <v>137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</v>
      </c>
      <c r="B1500" s="1" t="s">
        <v>138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16</v>
      </c>
      <c r="B1501" s="1" t="s">
        <v>138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16</v>
      </c>
      <c r="B1502" s="1" t="s">
        <v>139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16</v>
      </c>
      <c r="B1503" s="1" t="s">
        <v>139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16</v>
      </c>
      <c r="B1504" s="1" t="s">
        <v>140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16</v>
      </c>
      <c r="B1505" s="1" t="s">
        <v>140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16</v>
      </c>
      <c r="B1506" s="1" t="s">
        <v>141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16</v>
      </c>
      <c r="B1507" s="1" t="s">
        <v>141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16</v>
      </c>
      <c r="B1508" s="1" t="s">
        <v>142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16</v>
      </c>
      <c r="B1509" s="1" t="s">
        <v>142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16</v>
      </c>
      <c r="B1510" s="1" t="s">
        <v>143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16</v>
      </c>
      <c r="B1511" s="1" t="s">
        <v>143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16</v>
      </c>
      <c r="B1512" s="1" t="s">
        <v>144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16</v>
      </c>
      <c r="B1513" s="1" t="s">
        <v>144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16</v>
      </c>
      <c r="B1514" s="1" t="s">
        <v>145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16</v>
      </c>
      <c r="B1515" s="1" t="s">
        <v>145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16</v>
      </c>
      <c r="B1516" s="1" t="s">
        <v>146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16</v>
      </c>
      <c r="B1517" s="1" t="s">
        <v>146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16</v>
      </c>
      <c r="B1518" s="1" t="s">
        <v>147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16</v>
      </c>
      <c r="B1519" s="1" t="s">
        <v>147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16</v>
      </c>
      <c r="B1520" s="1" t="s">
        <v>159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16</v>
      </c>
      <c r="B1521" s="1" t="s">
        <v>159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16</v>
      </c>
      <c r="B1522" s="1" t="s">
        <v>160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16</v>
      </c>
      <c r="B1523" s="1" t="s">
        <v>160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16</v>
      </c>
      <c r="B1524" s="1" t="s">
        <v>161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16</v>
      </c>
      <c r="B1525" s="1" t="s">
        <v>161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16</v>
      </c>
      <c r="B1526" s="1" t="s">
        <v>162</v>
      </c>
      <c r="C1526" s="1" t="s">
        <v>25</v>
      </c>
      <c r="D1526" s="1">
        <v>0</v>
      </c>
      <c r="E1526" s="1">
        <v>-632.94000000000005</v>
      </c>
      <c r="F1526" s="1">
        <v>0</v>
      </c>
      <c r="G1526" s="1">
        <v>10443.460999999999</v>
      </c>
      <c r="H1526" s="1">
        <v>0</v>
      </c>
      <c r="I1526" s="1">
        <v>-5063.4960000000001</v>
      </c>
    </row>
    <row r="1527" spans="1:9" hidden="1" x14ac:dyDescent="0.25">
      <c r="A1527" s="1" t="s">
        <v>16</v>
      </c>
      <c r="B1527" s="1" t="s">
        <v>162</v>
      </c>
      <c r="C1527" s="1" t="s">
        <v>10</v>
      </c>
      <c r="D1527" s="1">
        <v>0</v>
      </c>
      <c r="E1527" s="1">
        <v>-632.94000000000005</v>
      </c>
      <c r="F1527" s="1">
        <v>0</v>
      </c>
      <c r="G1527" s="1">
        <v>10443.460999999999</v>
      </c>
      <c r="H1527" s="1">
        <v>0</v>
      </c>
      <c r="I1527" s="1">
        <v>-7595.2439999999997</v>
      </c>
    </row>
    <row r="1528" spans="1:9" hidden="1" x14ac:dyDescent="0.25">
      <c r="A1528" s="1" t="s">
        <v>16</v>
      </c>
      <c r="B1528" s="1" t="s">
        <v>163</v>
      </c>
      <c r="C1528" s="1" t="s">
        <v>25</v>
      </c>
      <c r="D1528" s="1">
        <v>0</v>
      </c>
      <c r="E1528" s="1">
        <v>-632.94000000000005</v>
      </c>
      <c r="F1528" s="1">
        <v>0</v>
      </c>
      <c r="G1528" s="1">
        <v>8544.65</v>
      </c>
      <c r="H1528" s="1">
        <v>0</v>
      </c>
      <c r="I1528" s="1">
        <v>-5063.4960000000001</v>
      </c>
    </row>
    <row r="1529" spans="1:9" hidden="1" x14ac:dyDescent="0.25">
      <c r="A1529" s="1" t="s">
        <v>16</v>
      </c>
      <c r="B1529" s="1" t="s">
        <v>163</v>
      </c>
      <c r="C1529" s="1" t="s">
        <v>10</v>
      </c>
      <c r="D1529" s="1">
        <v>0</v>
      </c>
      <c r="E1529" s="1">
        <v>-632.94000000000005</v>
      </c>
      <c r="F1529" s="1">
        <v>0</v>
      </c>
      <c r="G1529" s="1">
        <v>8544.65</v>
      </c>
      <c r="H1529" s="1">
        <v>0</v>
      </c>
      <c r="I1529" s="1">
        <v>-7595.2439999999997</v>
      </c>
    </row>
    <row r="1530" spans="1:9" hidden="1" x14ac:dyDescent="0.25">
      <c r="A1530" s="1" t="s">
        <v>16</v>
      </c>
      <c r="B1530" s="1" t="s">
        <v>164</v>
      </c>
      <c r="C1530" s="1" t="s">
        <v>25</v>
      </c>
      <c r="D1530" s="1">
        <v>0</v>
      </c>
      <c r="E1530" s="1">
        <v>632.94000000000005</v>
      </c>
      <c r="F1530" s="1">
        <v>0</v>
      </c>
      <c r="G1530" s="1">
        <v>-10443.460999999999</v>
      </c>
      <c r="H1530" s="1">
        <v>0</v>
      </c>
      <c r="I1530" s="1">
        <v>5063.4960000000001</v>
      </c>
    </row>
    <row r="1531" spans="1:9" hidden="1" x14ac:dyDescent="0.25">
      <c r="A1531" s="1" t="s">
        <v>16</v>
      </c>
      <c r="B1531" s="1" t="s">
        <v>164</v>
      </c>
      <c r="C1531" s="1" t="s">
        <v>10</v>
      </c>
      <c r="D1531" s="1">
        <v>0</v>
      </c>
      <c r="E1531" s="1">
        <v>632.94000000000005</v>
      </c>
      <c r="F1531" s="1">
        <v>0</v>
      </c>
      <c r="G1531" s="1">
        <v>-10443.460999999999</v>
      </c>
      <c r="H1531" s="1">
        <v>0</v>
      </c>
      <c r="I1531" s="1">
        <v>7595.2439999999997</v>
      </c>
    </row>
    <row r="1532" spans="1:9" hidden="1" x14ac:dyDescent="0.25">
      <c r="A1532" s="1" t="s">
        <v>16</v>
      </c>
      <c r="B1532" s="1" t="s">
        <v>165</v>
      </c>
      <c r="C1532" s="1" t="s">
        <v>25</v>
      </c>
      <c r="D1532" s="1">
        <v>0</v>
      </c>
      <c r="E1532" s="1">
        <v>632.94000000000005</v>
      </c>
      <c r="F1532" s="1">
        <v>0</v>
      </c>
      <c r="G1532" s="1">
        <v>-8544.65</v>
      </c>
      <c r="H1532" s="1">
        <v>0</v>
      </c>
      <c r="I1532" s="1">
        <v>5063.4960000000001</v>
      </c>
    </row>
    <row r="1533" spans="1:9" hidden="1" x14ac:dyDescent="0.25">
      <c r="A1533" s="1" t="s">
        <v>16</v>
      </c>
      <c r="B1533" s="1" t="s">
        <v>165</v>
      </c>
      <c r="C1533" s="1" t="s">
        <v>10</v>
      </c>
      <c r="D1533" s="1">
        <v>0</v>
      </c>
      <c r="E1533" s="1">
        <v>632.94000000000005</v>
      </c>
      <c r="F1533" s="1">
        <v>0</v>
      </c>
      <c r="G1533" s="1">
        <v>-8544.65</v>
      </c>
      <c r="H1533" s="1">
        <v>0</v>
      </c>
      <c r="I1533" s="1">
        <v>7595.2439999999997</v>
      </c>
    </row>
    <row r="1534" spans="1:9" hidden="1" x14ac:dyDescent="0.25">
      <c r="A1534" s="1" t="s">
        <v>16</v>
      </c>
      <c r="B1534" s="1" t="s">
        <v>166</v>
      </c>
      <c r="C1534" s="1" t="s">
        <v>25</v>
      </c>
      <c r="D1534" s="1">
        <v>0</v>
      </c>
      <c r="E1534" s="1">
        <v>0</v>
      </c>
      <c r="F1534" s="1">
        <v>-765.07</v>
      </c>
      <c r="G1534" s="1">
        <v>-15148.319</v>
      </c>
      <c r="H1534" s="1">
        <v>6120.5330000000004</v>
      </c>
      <c r="I1534" s="1">
        <v>0</v>
      </c>
    </row>
    <row r="1535" spans="1:9" hidden="1" x14ac:dyDescent="0.25">
      <c r="A1535" s="1" t="s">
        <v>16</v>
      </c>
      <c r="B1535" s="1" t="s">
        <v>166</v>
      </c>
      <c r="C1535" s="1" t="s">
        <v>10</v>
      </c>
      <c r="D1535" s="1">
        <v>0</v>
      </c>
      <c r="E1535" s="1">
        <v>0</v>
      </c>
      <c r="F1535" s="1">
        <v>-765.07</v>
      </c>
      <c r="G1535" s="1">
        <v>-15148.319</v>
      </c>
      <c r="H1535" s="1">
        <v>9180.7999999999993</v>
      </c>
      <c r="I1535" s="1">
        <v>0</v>
      </c>
    </row>
    <row r="1536" spans="1:9" hidden="1" x14ac:dyDescent="0.25">
      <c r="A1536" s="1" t="s">
        <v>16</v>
      </c>
      <c r="B1536" s="1" t="s">
        <v>167</v>
      </c>
      <c r="C1536" s="1" t="s">
        <v>25</v>
      </c>
      <c r="D1536" s="1">
        <v>0</v>
      </c>
      <c r="E1536" s="1">
        <v>0</v>
      </c>
      <c r="F1536" s="1">
        <v>-765.07</v>
      </c>
      <c r="G1536" s="1">
        <v>-12394.08</v>
      </c>
      <c r="H1536" s="1">
        <v>6120.5330000000004</v>
      </c>
      <c r="I1536" s="1">
        <v>0</v>
      </c>
    </row>
    <row r="1537" spans="1:9" hidden="1" x14ac:dyDescent="0.25">
      <c r="A1537" s="1" t="s">
        <v>16</v>
      </c>
      <c r="B1537" s="1" t="s">
        <v>167</v>
      </c>
      <c r="C1537" s="1" t="s">
        <v>10</v>
      </c>
      <c r="D1537" s="1">
        <v>0</v>
      </c>
      <c r="E1537" s="1">
        <v>0</v>
      </c>
      <c r="F1537" s="1">
        <v>-765.07</v>
      </c>
      <c r="G1537" s="1">
        <v>-12394.08</v>
      </c>
      <c r="H1537" s="1">
        <v>9180.7999999999993</v>
      </c>
      <c r="I1537" s="1">
        <v>0</v>
      </c>
    </row>
    <row r="1538" spans="1:9" hidden="1" x14ac:dyDescent="0.25">
      <c r="A1538" s="1" t="s">
        <v>16</v>
      </c>
      <c r="B1538" s="1" t="s">
        <v>168</v>
      </c>
      <c r="C1538" s="1" t="s">
        <v>25</v>
      </c>
      <c r="D1538" s="1">
        <v>0</v>
      </c>
      <c r="E1538" s="1">
        <v>0</v>
      </c>
      <c r="F1538" s="1">
        <v>765.07</v>
      </c>
      <c r="G1538" s="1">
        <v>15148.319</v>
      </c>
      <c r="H1538" s="1">
        <v>-6120.5330000000004</v>
      </c>
      <c r="I1538" s="1">
        <v>0</v>
      </c>
    </row>
    <row r="1539" spans="1:9" hidden="1" x14ac:dyDescent="0.25">
      <c r="A1539" s="1" t="s">
        <v>16</v>
      </c>
      <c r="B1539" s="1" t="s">
        <v>168</v>
      </c>
      <c r="C1539" s="1" t="s">
        <v>10</v>
      </c>
      <c r="D1539" s="1">
        <v>0</v>
      </c>
      <c r="E1539" s="1">
        <v>0</v>
      </c>
      <c r="F1539" s="1">
        <v>765.07</v>
      </c>
      <c r="G1539" s="1">
        <v>15148.319</v>
      </c>
      <c r="H1539" s="1">
        <v>-9180.7999999999993</v>
      </c>
      <c r="I1539" s="1">
        <v>0</v>
      </c>
    </row>
    <row r="1540" spans="1:9" hidden="1" x14ac:dyDescent="0.25">
      <c r="A1540" s="1" t="s">
        <v>16</v>
      </c>
      <c r="B1540" s="1" t="s">
        <v>169</v>
      </c>
      <c r="C1540" s="1" t="s">
        <v>25</v>
      </c>
      <c r="D1540" s="1">
        <v>0</v>
      </c>
      <c r="E1540" s="1">
        <v>0</v>
      </c>
      <c r="F1540" s="1">
        <v>765.07</v>
      </c>
      <c r="G1540" s="1">
        <v>12394.08</v>
      </c>
      <c r="H1540" s="1">
        <v>-6120.5330000000004</v>
      </c>
      <c r="I1540" s="1">
        <v>0</v>
      </c>
    </row>
    <row r="1541" spans="1:9" hidden="1" x14ac:dyDescent="0.25">
      <c r="A1541" s="1" t="s">
        <v>16</v>
      </c>
      <c r="B1541" s="1" t="s">
        <v>169</v>
      </c>
      <c r="C1541" s="1" t="s">
        <v>10</v>
      </c>
      <c r="D1541" s="1">
        <v>0</v>
      </c>
      <c r="E1541" s="1">
        <v>0</v>
      </c>
      <c r="F1541" s="1">
        <v>765.07</v>
      </c>
      <c r="G1541" s="1">
        <v>12394.08</v>
      </c>
      <c r="H1541" s="1">
        <v>-9180.7999999999993</v>
      </c>
      <c r="I1541" s="1">
        <v>0</v>
      </c>
    </row>
    <row r="1542" spans="1:9" hidden="1" x14ac:dyDescent="0.25">
      <c r="A1542" s="1" t="s">
        <v>16</v>
      </c>
      <c r="B1542" s="1" t="s">
        <v>170</v>
      </c>
      <c r="C1542" s="1" t="s">
        <v>25</v>
      </c>
      <c r="D1542" s="1">
        <v>0</v>
      </c>
      <c r="E1542" s="1">
        <v>-632.94000000000005</v>
      </c>
      <c r="F1542" s="1">
        <v>0</v>
      </c>
      <c r="G1542" s="1">
        <v>10443.460999999999</v>
      </c>
      <c r="H1542" s="1">
        <v>0</v>
      </c>
      <c r="I1542" s="1">
        <v>-5063.4960000000001</v>
      </c>
    </row>
    <row r="1543" spans="1:9" hidden="1" x14ac:dyDescent="0.25">
      <c r="A1543" s="1" t="s">
        <v>16</v>
      </c>
      <c r="B1543" s="1" t="s">
        <v>170</v>
      </c>
      <c r="C1543" s="1" t="s">
        <v>10</v>
      </c>
      <c r="D1543" s="1">
        <v>0</v>
      </c>
      <c r="E1543" s="1">
        <v>-632.94000000000005</v>
      </c>
      <c r="F1543" s="1">
        <v>0</v>
      </c>
      <c r="G1543" s="1">
        <v>10443.460999999999</v>
      </c>
      <c r="H1543" s="1">
        <v>0</v>
      </c>
      <c r="I1543" s="1">
        <v>-7595.2439999999997</v>
      </c>
    </row>
    <row r="1544" spans="1:9" hidden="1" x14ac:dyDescent="0.25">
      <c r="A1544" s="1" t="s">
        <v>16</v>
      </c>
      <c r="B1544" s="1" t="s">
        <v>171</v>
      </c>
      <c r="C1544" s="1" t="s">
        <v>25</v>
      </c>
      <c r="D1544" s="1">
        <v>0</v>
      </c>
      <c r="E1544" s="1">
        <v>-632.94000000000005</v>
      </c>
      <c r="F1544" s="1">
        <v>0</v>
      </c>
      <c r="G1544" s="1">
        <v>8544.65</v>
      </c>
      <c r="H1544" s="1">
        <v>0</v>
      </c>
      <c r="I1544" s="1">
        <v>-5063.4960000000001</v>
      </c>
    </row>
    <row r="1545" spans="1:9" hidden="1" x14ac:dyDescent="0.25">
      <c r="A1545" s="1" t="s">
        <v>16</v>
      </c>
      <c r="B1545" s="1" t="s">
        <v>171</v>
      </c>
      <c r="C1545" s="1" t="s">
        <v>10</v>
      </c>
      <c r="D1545" s="1">
        <v>0</v>
      </c>
      <c r="E1545" s="1">
        <v>-632.94000000000005</v>
      </c>
      <c r="F1545" s="1">
        <v>0</v>
      </c>
      <c r="G1545" s="1">
        <v>8544.65</v>
      </c>
      <c r="H1545" s="1">
        <v>0</v>
      </c>
      <c r="I1545" s="1">
        <v>-7595.2439999999997</v>
      </c>
    </row>
    <row r="1546" spans="1:9" hidden="1" x14ac:dyDescent="0.25">
      <c r="A1546" s="1" t="s">
        <v>16</v>
      </c>
      <c r="B1546" s="1" t="s">
        <v>172</v>
      </c>
      <c r="C1546" s="1" t="s">
        <v>25</v>
      </c>
      <c r="D1546" s="1">
        <v>0</v>
      </c>
      <c r="E1546" s="1">
        <v>632.94000000000005</v>
      </c>
      <c r="F1546" s="1">
        <v>0</v>
      </c>
      <c r="G1546" s="1">
        <v>-10443.460999999999</v>
      </c>
      <c r="H1546" s="1">
        <v>0</v>
      </c>
      <c r="I1546" s="1">
        <v>5063.4960000000001</v>
      </c>
    </row>
    <row r="1547" spans="1:9" hidden="1" x14ac:dyDescent="0.25">
      <c r="A1547" s="1" t="s">
        <v>16</v>
      </c>
      <c r="B1547" s="1" t="s">
        <v>172</v>
      </c>
      <c r="C1547" s="1" t="s">
        <v>10</v>
      </c>
      <c r="D1547" s="1">
        <v>0</v>
      </c>
      <c r="E1547" s="1">
        <v>632.94000000000005</v>
      </c>
      <c r="F1547" s="1">
        <v>0</v>
      </c>
      <c r="G1547" s="1">
        <v>-10443.460999999999</v>
      </c>
      <c r="H1547" s="1">
        <v>0</v>
      </c>
      <c r="I1547" s="1">
        <v>7595.2439999999997</v>
      </c>
    </row>
    <row r="1548" spans="1:9" hidden="1" x14ac:dyDescent="0.25">
      <c r="A1548" s="1" t="s">
        <v>16</v>
      </c>
      <c r="B1548" s="1" t="s">
        <v>173</v>
      </c>
      <c r="C1548" s="1" t="s">
        <v>25</v>
      </c>
      <c r="D1548" s="1">
        <v>0</v>
      </c>
      <c r="E1548" s="1">
        <v>632.94000000000005</v>
      </c>
      <c r="F1548" s="1">
        <v>0</v>
      </c>
      <c r="G1548" s="1">
        <v>-8544.65</v>
      </c>
      <c r="H1548" s="1">
        <v>0</v>
      </c>
      <c r="I1548" s="1">
        <v>5063.4960000000001</v>
      </c>
    </row>
    <row r="1549" spans="1:9" hidden="1" x14ac:dyDescent="0.25">
      <c r="A1549" s="1" t="s">
        <v>16</v>
      </c>
      <c r="B1549" s="1" t="s">
        <v>173</v>
      </c>
      <c r="C1549" s="1" t="s">
        <v>10</v>
      </c>
      <c r="D1549" s="1">
        <v>0</v>
      </c>
      <c r="E1549" s="1">
        <v>632.94000000000005</v>
      </c>
      <c r="F1549" s="1">
        <v>0</v>
      </c>
      <c r="G1549" s="1">
        <v>-8544.65</v>
      </c>
      <c r="H1549" s="1">
        <v>0</v>
      </c>
      <c r="I1549" s="1">
        <v>7595.2439999999997</v>
      </c>
    </row>
    <row r="1550" spans="1:9" hidden="1" x14ac:dyDescent="0.25">
      <c r="A1550" s="1" t="s">
        <v>16</v>
      </c>
      <c r="B1550" s="1" t="s">
        <v>174</v>
      </c>
      <c r="C1550" s="1" t="s">
        <v>25</v>
      </c>
      <c r="D1550" s="1">
        <v>0</v>
      </c>
      <c r="E1550" s="1">
        <v>0</v>
      </c>
      <c r="F1550" s="1">
        <v>-765.07</v>
      </c>
      <c r="G1550" s="1">
        <v>-15148.319</v>
      </c>
      <c r="H1550" s="1">
        <v>6120.5330000000004</v>
      </c>
      <c r="I1550" s="1">
        <v>0</v>
      </c>
    </row>
    <row r="1551" spans="1:9" hidden="1" x14ac:dyDescent="0.25">
      <c r="A1551" s="1" t="s">
        <v>16</v>
      </c>
      <c r="B1551" s="1" t="s">
        <v>174</v>
      </c>
      <c r="C1551" s="1" t="s">
        <v>10</v>
      </c>
      <c r="D1551" s="1">
        <v>0</v>
      </c>
      <c r="E1551" s="1">
        <v>0</v>
      </c>
      <c r="F1551" s="1">
        <v>-765.07</v>
      </c>
      <c r="G1551" s="1">
        <v>-15148.319</v>
      </c>
      <c r="H1551" s="1">
        <v>9180.7999999999993</v>
      </c>
      <c r="I1551" s="1">
        <v>0</v>
      </c>
    </row>
    <row r="1552" spans="1:9" hidden="1" x14ac:dyDescent="0.25">
      <c r="A1552" s="1" t="s">
        <v>16</v>
      </c>
      <c r="B1552" s="1" t="s">
        <v>175</v>
      </c>
      <c r="C1552" s="1" t="s">
        <v>25</v>
      </c>
      <c r="D1552" s="1">
        <v>0</v>
      </c>
      <c r="E1552" s="1">
        <v>0</v>
      </c>
      <c r="F1552" s="1">
        <v>-765.07</v>
      </c>
      <c r="G1552" s="1">
        <v>-12394.08</v>
      </c>
      <c r="H1552" s="1">
        <v>6120.5330000000004</v>
      </c>
      <c r="I1552" s="1">
        <v>0</v>
      </c>
    </row>
    <row r="1553" spans="1:9" hidden="1" x14ac:dyDescent="0.25">
      <c r="A1553" s="1" t="s">
        <v>16</v>
      </c>
      <c r="B1553" s="1" t="s">
        <v>175</v>
      </c>
      <c r="C1553" s="1" t="s">
        <v>10</v>
      </c>
      <c r="D1553" s="1">
        <v>0</v>
      </c>
      <c r="E1553" s="1">
        <v>0</v>
      </c>
      <c r="F1553" s="1">
        <v>-765.07</v>
      </c>
      <c r="G1553" s="1">
        <v>-12394.08</v>
      </c>
      <c r="H1553" s="1">
        <v>9180.7999999999993</v>
      </c>
      <c r="I1553" s="1">
        <v>0</v>
      </c>
    </row>
    <row r="1554" spans="1:9" hidden="1" x14ac:dyDescent="0.25">
      <c r="A1554" s="1" t="s">
        <v>16</v>
      </c>
      <c r="B1554" s="1" t="s">
        <v>176</v>
      </c>
      <c r="C1554" s="1" t="s">
        <v>25</v>
      </c>
      <c r="D1554" s="1">
        <v>0</v>
      </c>
      <c r="E1554" s="1">
        <v>0</v>
      </c>
      <c r="F1554" s="1">
        <v>765.07</v>
      </c>
      <c r="G1554" s="1">
        <v>15148.319</v>
      </c>
      <c r="H1554" s="1">
        <v>-6120.5330000000004</v>
      </c>
      <c r="I1554" s="1">
        <v>0</v>
      </c>
    </row>
    <row r="1555" spans="1:9" hidden="1" x14ac:dyDescent="0.25">
      <c r="A1555" s="1" t="s">
        <v>16</v>
      </c>
      <c r="B1555" s="1" t="s">
        <v>176</v>
      </c>
      <c r="C1555" s="1" t="s">
        <v>10</v>
      </c>
      <c r="D1555" s="1">
        <v>0</v>
      </c>
      <c r="E1555" s="1">
        <v>0</v>
      </c>
      <c r="F1555" s="1">
        <v>765.07</v>
      </c>
      <c r="G1555" s="1">
        <v>15148.319</v>
      </c>
      <c r="H1555" s="1">
        <v>-9180.7999999999993</v>
      </c>
      <c r="I1555" s="1">
        <v>0</v>
      </c>
    </row>
    <row r="1556" spans="1:9" hidden="1" x14ac:dyDescent="0.25">
      <c r="A1556" s="1" t="s">
        <v>16</v>
      </c>
      <c r="B1556" s="1" t="s">
        <v>177</v>
      </c>
      <c r="C1556" s="1" t="s">
        <v>25</v>
      </c>
      <c r="D1556" s="1">
        <v>0</v>
      </c>
      <c r="E1556" s="1">
        <v>0</v>
      </c>
      <c r="F1556" s="1">
        <v>765.07</v>
      </c>
      <c r="G1556" s="1">
        <v>12394.08</v>
      </c>
      <c r="H1556" s="1">
        <v>-6120.5330000000004</v>
      </c>
      <c r="I1556" s="1">
        <v>0</v>
      </c>
    </row>
    <row r="1557" spans="1:9" hidden="1" x14ac:dyDescent="0.25">
      <c r="A1557" s="1" t="s">
        <v>16</v>
      </c>
      <c r="B1557" s="1" t="s">
        <v>177</v>
      </c>
      <c r="C1557" s="1" t="s">
        <v>10</v>
      </c>
      <c r="D1557" s="1">
        <v>0</v>
      </c>
      <c r="E1557" s="1">
        <v>0</v>
      </c>
      <c r="F1557" s="1">
        <v>765.07</v>
      </c>
      <c r="G1557" s="1">
        <v>12394.08</v>
      </c>
      <c r="H1557" s="1">
        <v>-9180.7999999999993</v>
      </c>
      <c r="I1557" s="1">
        <v>0</v>
      </c>
    </row>
    <row r="1558" spans="1:9" hidden="1" x14ac:dyDescent="0.25">
      <c r="A1558" s="1" t="s">
        <v>16</v>
      </c>
      <c r="B1558" s="1" t="s">
        <v>178</v>
      </c>
      <c r="C1558" s="1" t="s">
        <v>25</v>
      </c>
      <c r="D1558" s="1">
        <v>0</v>
      </c>
      <c r="E1558" s="1">
        <v>-189.88</v>
      </c>
      <c r="F1558" s="1">
        <v>0</v>
      </c>
      <c r="G1558" s="1">
        <v>3133.038</v>
      </c>
      <c r="H1558" s="1">
        <v>0</v>
      </c>
      <c r="I1558" s="1">
        <v>-1519.049</v>
      </c>
    </row>
    <row r="1559" spans="1:9" hidden="1" x14ac:dyDescent="0.25">
      <c r="A1559" s="1" t="s">
        <v>16</v>
      </c>
      <c r="B1559" s="1" t="s">
        <v>178</v>
      </c>
      <c r="C1559" s="1" t="s">
        <v>10</v>
      </c>
      <c r="D1559" s="1">
        <v>0</v>
      </c>
      <c r="E1559" s="1">
        <v>-189.88</v>
      </c>
      <c r="F1559" s="1">
        <v>0</v>
      </c>
      <c r="G1559" s="1">
        <v>3133.038</v>
      </c>
      <c r="H1559" s="1">
        <v>0</v>
      </c>
      <c r="I1559" s="1">
        <v>-2278.5729999999999</v>
      </c>
    </row>
    <row r="1560" spans="1:9" hidden="1" x14ac:dyDescent="0.25">
      <c r="A1560" s="1" t="s">
        <v>16</v>
      </c>
      <c r="B1560" s="1" t="s">
        <v>179</v>
      </c>
      <c r="C1560" s="1" t="s">
        <v>25</v>
      </c>
      <c r="D1560" s="1">
        <v>0</v>
      </c>
      <c r="E1560" s="1">
        <v>-189.88</v>
      </c>
      <c r="F1560" s="1">
        <v>0</v>
      </c>
      <c r="G1560" s="1">
        <v>2563.395</v>
      </c>
      <c r="H1560" s="1">
        <v>0</v>
      </c>
      <c r="I1560" s="1">
        <v>-1519.049</v>
      </c>
    </row>
    <row r="1561" spans="1:9" hidden="1" x14ac:dyDescent="0.25">
      <c r="A1561" s="1" t="s">
        <v>16</v>
      </c>
      <c r="B1561" s="1" t="s">
        <v>179</v>
      </c>
      <c r="C1561" s="1" t="s">
        <v>10</v>
      </c>
      <c r="D1561" s="1">
        <v>0</v>
      </c>
      <c r="E1561" s="1">
        <v>-189.88</v>
      </c>
      <c r="F1561" s="1">
        <v>0</v>
      </c>
      <c r="G1561" s="1">
        <v>2563.395</v>
      </c>
      <c r="H1561" s="1">
        <v>0</v>
      </c>
      <c r="I1561" s="1">
        <v>-2278.5729999999999</v>
      </c>
    </row>
    <row r="1562" spans="1:9" hidden="1" x14ac:dyDescent="0.25">
      <c r="A1562" s="1" t="s">
        <v>16</v>
      </c>
      <c r="B1562" s="1" t="s">
        <v>180</v>
      </c>
      <c r="C1562" s="1" t="s">
        <v>25</v>
      </c>
      <c r="D1562" s="1">
        <v>0</v>
      </c>
      <c r="E1562" s="1">
        <v>189.88</v>
      </c>
      <c r="F1562" s="1">
        <v>0</v>
      </c>
      <c r="G1562" s="1">
        <v>-3133.038</v>
      </c>
      <c r="H1562" s="1">
        <v>0</v>
      </c>
      <c r="I1562" s="1">
        <v>1519.049</v>
      </c>
    </row>
    <row r="1563" spans="1:9" hidden="1" x14ac:dyDescent="0.25">
      <c r="A1563" s="1" t="s">
        <v>16</v>
      </c>
      <c r="B1563" s="1" t="s">
        <v>180</v>
      </c>
      <c r="C1563" s="1" t="s">
        <v>10</v>
      </c>
      <c r="D1563" s="1">
        <v>0</v>
      </c>
      <c r="E1563" s="1">
        <v>189.88</v>
      </c>
      <c r="F1563" s="1">
        <v>0</v>
      </c>
      <c r="G1563" s="1">
        <v>-3133.038</v>
      </c>
      <c r="H1563" s="1">
        <v>0</v>
      </c>
      <c r="I1563" s="1">
        <v>2278.5729999999999</v>
      </c>
    </row>
    <row r="1564" spans="1:9" hidden="1" x14ac:dyDescent="0.25">
      <c r="A1564" s="1" t="s">
        <v>16</v>
      </c>
      <c r="B1564" s="1" t="s">
        <v>181</v>
      </c>
      <c r="C1564" s="1" t="s">
        <v>25</v>
      </c>
      <c r="D1564" s="1">
        <v>0</v>
      </c>
      <c r="E1564" s="1">
        <v>189.88</v>
      </c>
      <c r="F1564" s="1">
        <v>0</v>
      </c>
      <c r="G1564" s="1">
        <v>-2563.395</v>
      </c>
      <c r="H1564" s="1">
        <v>0</v>
      </c>
      <c r="I1564" s="1">
        <v>1519.049</v>
      </c>
    </row>
    <row r="1565" spans="1:9" hidden="1" x14ac:dyDescent="0.25">
      <c r="A1565" s="1" t="s">
        <v>16</v>
      </c>
      <c r="B1565" s="1" t="s">
        <v>181</v>
      </c>
      <c r="C1565" s="1" t="s">
        <v>10</v>
      </c>
      <c r="D1565" s="1">
        <v>0</v>
      </c>
      <c r="E1565" s="1">
        <v>189.88</v>
      </c>
      <c r="F1565" s="1">
        <v>0</v>
      </c>
      <c r="G1565" s="1">
        <v>-2563.395</v>
      </c>
      <c r="H1565" s="1">
        <v>0</v>
      </c>
      <c r="I1565" s="1">
        <v>2278.5729999999999</v>
      </c>
    </row>
    <row r="1566" spans="1:9" hidden="1" x14ac:dyDescent="0.25">
      <c r="A1566" s="1" t="s">
        <v>16</v>
      </c>
      <c r="B1566" s="1" t="s">
        <v>182</v>
      </c>
      <c r="C1566" s="1" t="s">
        <v>25</v>
      </c>
      <c r="D1566" s="1">
        <v>0</v>
      </c>
      <c r="E1566" s="1">
        <v>0</v>
      </c>
      <c r="F1566" s="1">
        <v>-229.52</v>
      </c>
      <c r="G1566" s="1">
        <v>-4544.4960000000001</v>
      </c>
      <c r="H1566" s="1">
        <v>1836.16</v>
      </c>
      <c r="I1566" s="1">
        <v>0</v>
      </c>
    </row>
    <row r="1567" spans="1:9" hidden="1" x14ac:dyDescent="0.25">
      <c r="A1567" s="1" t="s">
        <v>16</v>
      </c>
      <c r="B1567" s="1" t="s">
        <v>182</v>
      </c>
      <c r="C1567" s="1" t="s">
        <v>10</v>
      </c>
      <c r="D1567" s="1">
        <v>0</v>
      </c>
      <c r="E1567" s="1">
        <v>0</v>
      </c>
      <c r="F1567" s="1">
        <v>-229.52</v>
      </c>
      <c r="G1567" s="1">
        <v>-4544.4960000000001</v>
      </c>
      <c r="H1567" s="1">
        <v>2754.24</v>
      </c>
      <c r="I1567" s="1">
        <v>0</v>
      </c>
    </row>
    <row r="1568" spans="1:9" hidden="1" x14ac:dyDescent="0.25">
      <c r="A1568" s="1" t="s">
        <v>16</v>
      </c>
      <c r="B1568" s="1" t="s">
        <v>183</v>
      </c>
      <c r="C1568" s="1" t="s">
        <v>25</v>
      </c>
      <c r="D1568" s="1">
        <v>0</v>
      </c>
      <c r="E1568" s="1">
        <v>0</v>
      </c>
      <c r="F1568" s="1">
        <v>-229.52</v>
      </c>
      <c r="G1568" s="1">
        <v>-3718.2240000000002</v>
      </c>
      <c r="H1568" s="1">
        <v>1836.16</v>
      </c>
      <c r="I1568" s="1">
        <v>0</v>
      </c>
    </row>
    <row r="1569" spans="1:9" hidden="1" x14ac:dyDescent="0.25">
      <c r="A1569" s="1" t="s">
        <v>16</v>
      </c>
      <c r="B1569" s="1" t="s">
        <v>183</v>
      </c>
      <c r="C1569" s="1" t="s">
        <v>10</v>
      </c>
      <c r="D1569" s="1">
        <v>0</v>
      </c>
      <c r="E1569" s="1">
        <v>0</v>
      </c>
      <c r="F1569" s="1">
        <v>-229.52</v>
      </c>
      <c r="G1569" s="1">
        <v>-3718.2240000000002</v>
      </c>
      <c r="H1569" s="1">
        <v>2754.24</v>
      </c>
      <c r="I1569" s="1">
        <v>0</v>
      </c>
    </row>
    <row r="1570" spans="1:9" hidden="1" x14ac:dyDescent="0.25">
      <c r="A1570" s="1" t="s">
        <v>16</v>
      </c>
      <c r="B1570" s="1" t="s">
        <v>184</v>
      </c>
      <c r="C1570" s="1" t="s">
        <v>25</v>
      </c>
      <c r="D1570" s="1">
        <v>0</v>
      </c>
      <c r="E1570" s="1">
        <v>0</v>
      </c>
      <c r="F1570" s="1">
        <v>229.52</v>
      </c>
      <c r="G1570" s="1">
        <v>4544.4960000000001</v>
      </c>
      <c r="H1570" s="1">
        <v>-1836.16</v>
      </c>
      <c r="I1570" s="1">
        <v>0</v>
      </c>
    </row>
    <row r="1571" spans="1:9" hidden="1" x14ac:dyDescent="0.25">
      <c r="A1571" s="1" t="s">
        <v>16</v>
      </c>
      <c r="B1571" s="1" t="s">
        <v>184</v>
      </c>
      <c r="C1571" s="1" t="s">
        <v>10</v>
      </c>
      <c r="D1571" s="1">
        <v>0</v>
      </c>
      <c r="E1571" s="1">
        <v>0</v>
      </c>
      <c r="F1571" s="1">
        <v>229.52</v>
      </c>
      <c r="G1571" s="1">
        <v>4544.4960000000001</v>
      </c>
      <c r="H1571" s="1">
        <v>-2754.24</v>
      </c>
      <c r="I1571" s="1">
        <v>0</v>
      </c>
    </row>
    <row r="1572" spans="1:9" hidden="1" x14ac:dyDescent="0.25">
      <c r="A1572" s="1" t="s">
        <v>16</v>
      </c>
      <c r="B1572" s="1" t="s">
        <v>185</v>
      </c>
      <c r="C1572" s="1" t="s">
        <v>25</v>
      </c>
      <c r="D1572" s="1">
        <v>0</v>
      </c>
      <c r="E1572" s="1">
        <v>0</v>
      </c>
      <c r="F1572" s="1">
        <v>229.52</v>
      </c>
      <c r="G1572" s="1">
        <v>3718.2240000000002</v>
      </c>
      <c r="H1572" s="1">
        <v>-1836.16</v>
      </c>
      <c r="I1572" s="1">
        <v>0</v>
      </c>
    </row>
    <row r="1573" spans="1:9" hidden="1" x14ac:dyDescent="0.25">
      <c r="A1573" s="1" t="s">
        <v>16</v>
      </c>
      <c r="B1573" s="1" t="s">
        <v>185</v>
      </c>
      <c r="C1573" s="1" t="s">
        <v>10</v>
      </c>
      <c r="D1573" s="1">
        <v>0</v>
      </c>
      <c r="E1573" s="1">
        <v>0</v>
      </c>
      <c r="F1573" s="1">
        <v>229.52</v>
      </c>
      <c r="G1573" s="1">
        <v>3718.2240000000002</v>
      </c>
      <c r="H1573" s="1">
        <v>-2754.24</v>
      </c>
      <c r="I1573" s="1">
        <v>0</v>
      </c>
    </row>
    <row r="1574" spans="1:9" hidden="1" x14ac:dyDescent="0.25">
      <c r="A1574" s="1" t="s">
        <v>16</v>
      </c>
      <c r="B1574" s="1" t="s">
        <v>186</v>
      </c>
      <c r="C1574" s="1" t="s">
        <v>25</v>
      </c>
      <c r="D1574" s="1">
        <v>0</v>
      </c>
      <c r="E1574" s="1">
        <v>-189.88</v>
      </c>
      <c r="F1574" s="1">
        <v>0</v>
      </c>
      <c r="G1574" s="1">
        <v>3133.038</v>
      </c>
      <c r="H1574" s="1">
        <v>0</v>
      </c>
      <c r="I1574" s="1">
        <v>-1519.049</v>
      </c>
    </row>
    <row r="1575" spans="1:9" hidden="1" x14ac:dyDescent="0.25">
      <c r="A1575" s="1" t="s">
        <v>16</v>
      </c>
      <c r="B1575" s="1" t="s">
        <v>186</v>
      </c>
      <c r="C1575" s="1" t="s">
        <v>10</v>
      </c>
      <c r="D1575" s="1">
        <v>0</v>
      </c>
      <c r="E1575" s="1">
        <v>-189.88</v>
      </c>
      <c r="F1575" s="1">
        <v>0</v>
      </c>
      <c r="G1575" s="1">
        <v>3133.038</v>
      </c>
      <c r="H1575" s="1">
        <v>0</v>
      </c>
      <c r="I1575" s="1">
        <v>-2278.5729999999999</v>
      </c>
    </row>
    <row r="1576" spans="1:9" hidden="1" x14ac:dyDescent="0.25">
      <c r="A1576" s="1" t="s">
        <v>16</v>
      </c>
      <c r="B1576" s="1" t="s">
        <v>187</v>
      </c>
      <c r="C1576" s="1" t="s">
        <v>25</v>
      </c>
      <c r="D1576" s="1">
        <v>0</v>
      </c>
      <c r="E1576" s="1">
        <v>-189.88</v>
      </c>
      <c r="F1576" s="1">
        <v>0</v>
      </c>
      <c r="G1576" s="1">
        <v>2563.395</v>
      </c>
      <c r="H1576" s="1">
        <v>0</v>
      </c>
      <c r="I1576" s="1">
        <v>-1519.049</v>
      </c>
    </row>
    <row r="1577" spans="1:9" hidden="1" x14ac:dyDescent="0.25">
      <c r="A1577" s="1" t="s">
        <v>16</v>
      </c>
      <c r="B1577" s="1" t="s">
        <v>187</v>
      </c>
      <c r="C1577" s="1" t="s">
        <v>10</v>
      </c>
      <c r="D1577" s="1">
        <v>0</v>
      </c>
      <c r="E1577" s="1">
        <v>-189.88</v>
      </c>
      <c r="F1577" s="1">
        <v>0</v>
      </c>
      <c r="G1577" s="1">
        <v>2563.395</v>
      </c>
      <c r="H1577" s="1">
        <v>0</v>
      </c>
      <c r="I1577" s="1">
        <v>-2278.5729999999999</v>
      </c>
    </row>
    <row r="1578" spans="1:9" hidden="1" x14ac:dyDescent="0.25">
      <c r="A1578" s="1" t="s">
        <v>16</v>
      </c>
      <c r="B1578" s="1" t="s">
        <v>188</v>
      </c>
      <c r="C1578" s="1" t="s">
        <v>25</v>
      </c>
      <c r="D1578" s="1">
        <v>0</v>
      </c>
      <c r="E1578" s="1">
        <v>189.88</v>
      </c>
      <c r="F1578" s="1">
        <v>0</v>
      </c>
      <c r="G1578" s="1">
        <v>-3133.038</v>
      </c>
      <c r="H1578" s="1">
        <v>0</v>
      </c>
      <c r="I1578" s="1">
        <v>1519.049</v>
      </c>
    </row>
    <row r="1579" spans="1:9" hidden="1" x14ac:dyDescent="0.25">
      <c r="A1579" s="1" t="s">
        <v>16</v>
      </c>
      <c r="B1579" s="1" t="s">
        <v>188</v>
      </c>
      <c r="C1579" s="1" t="s">
        <v>10</v>
      </c>
      <c r="D1579" s="1">
        <v>0</v>
      </c>
      <c r="E1579" s="1">
        <v>189.88</v>
      </c>
      <c r="F1579" s="1">
        <v>0</v>
      </c>
      <c r="G1579" s="1">
        <v>-3133.038</v>
      </c>
      <c r="H1579" s="1">
        <v>0</v>
      </c>
      <c r="I1579" s="1">
        <v>2278.5729999999999</v>
      </c>
    </row>
    <row r="1580" spans="1:9" hidden="1" x14ac:dyDescent="0.25">
      <c r="A1580" s="1" t="s">
        <v>16</v>
      </c>
      <c r="B1580" s="1" t="s">
        <v>189</v>
      </c>
      <c r="C1580" s="1" t="s">
        <v>25</v>
      </c>
      <c r="D1580" s="1">
        <v>0</v>
      </c>
      <c r="E1580" s="1">
        <v>189.88</v>
      </c>
      <c r="F1580" s="1">
        <v>0</v>
      </c>
      <c r="G1580" s="1">
        <v>-2563.395</v>
      </c>
      <c r="H1580" s="1">
        <v>0</v>
      </c>
      <c r="I1580" s="1">
        <v>1519.049</v>
      </c>
    </row>
    <row r="1581" spans="1:9" hidden="1" x14ac:dyDescent="0.25">
      <c r="A1581" s="1" t="s">
        <v>16</v>
      </c>
      <c r="B1581" s="1" t="s">
        <v>189</v>
      </c>
      <c r="C1581" s="1" t="s">
        <v>10</v>
      </c>
      <c r="D1581" s="1">
        <v>0</v>
      </c>
      <c r="E1581" s="1">
        <v>189.88</v>
      </c>
      <c r="F1581" s="1">
        <v>0</v>
      </c>
      <c r="G1581" s="1">
        <v>-2563.395</v>
      </c>
      <c r="H1581" s="1">
        <v>0</v>
      </c>
      <c r="I1581" s="1">
        <v>2278.5729999999999</v>
      </c>
    </row>
    <row r="1582" spans="1:9" hidden="1" x14ac:dyDescent="0.25">
      <c r="A1582" s="1" t="s">
        <v>16</v>
      </c>
      <c r="B1582" s="1" t="s">
        <v>190</v>
      </c>
      <c r="C1582" s="1" t="s">
        <v>25</v>
      </c>
      <c r="D1582" s="1">
        <v>0</v>
      </c>
      <c r="E1582" s="1">
        <v>0</v>
      </c>
      <c r="F1582" s="1">
        <v>-229.52</v>
      </c>
      <c r="G1582" s="1">
        <v>-4544.4960000000001</v>
      </c>
      <c r="H1582" s="1">
        <v>1836.16</v>
      </c>
      <c r="I1582" s="1">
        <v>0</v>
      </c>
    </row>
    <row r="1583" spans="1:9" hidden="1" x14ac:dyDescent="0.25">
      <c r="A1583" s="1" t="s">
        <v>16</v>
      </c>
      <c r="B1583" s="1" t="s">
        <v>190</v>
      </c>
      <c r="C1583" s="1" t="s">
        <v>10</v>
      </c>
      <c r="D1583" s="1">
        <v>0</v>
      </c>
      <c r="E1583" s="1">
        <v>0</v>
      </c>
      <c r="F1583" s="1">
        <v>-229.52</v>
      </c>
      <c r="G1583" s="1">
        <v>-4544.4960000000001</v>
      </c>
      <c r="H1583" s="1">
        <v>2754.24</v>
      </c>
      <c r="I1583" s="1">
        <v>0</v>
      </c>
    </row>
    <row r="1584" spans="1:9" hidden="1" x14ac:dyDescent="0.25">
      <c r="A1584" s="1" t="s">
        <v>16</v>
      </c>
      <c r="B1584" s="1" t="s">
        <v>191</v>
      </c>
      <c r="C1584" s="1" t="s">
        <v>25</v>
      </c>
      <c r="D1584" s="1">
        <v>0</v>
      </c>
      <c r="E1584" s="1">
        <v>0</v>
      </c>
      <c r="F1584" s="1">
        <v>-229.52</v>
      </c>
      <c r="G1584" s="1">
        <v>-3718.2240000000002</v>
      </c>
      <c r="H1584" s="1">
        <v>1836.16</v>
      </c>
      <c r="I1584" s="1">
        <v>0</v>
      </c>
    </row>
    <row r="1585" spans="1:9" hidden="1" x14ac:dyDescent="0.25">
      <c r="A1585" s="1" t="s">
        <v>16</v>
      </c>
      <c r="B1585" s="1" t="s">
        <v>191</v>
      </c>
      <c r="C1585" s="1" t="s">
        <v>10</v>
      </c>
      <c r="D1585" s="1">
        <v>0</v>
      </c>
      <c r="E1585" s="1">
        <v>0</v>
      </c>
      <c r="F1585" s="1">
        <v>-229.52</v>
      </c>
      <c r="G1585" s="1">
        <v>-3718.2240000000002</v>
      </c>
      <c r="H1585" s="1">
        <v>2754.24</v>
      </c>
      <c r="I1585" s="1">
        <v>0</v>
      </c>
    </row>
    <row r="1586" spans="1:9" hidden="1" x14ac:dyDescent="0.25">
      <c r="A1586" s="1" t="s">
        <v>16</v>
      </c>
      <c r="B1586" s="1" t="s">
        <v>192</v>
      </c>
      <c r="C1586" s="1" t="s">
        <v>25</v>
      </c>
      <c r="D1586" s="1">
        <v>0</v>
      </c>
      <c r="E1586" s="1">
        <v>0</v>
      </c>
      <c r="F1586" s="1">
        <v>229.52</v>
      </c>
      <c r="G1586" s="1">
        <v>4544.4960000000001</v>
      </c>
      <c r="H1586" s="1">
        <v>-1836.16</v>
      </c>
      <c r="I1586" s="1">
        <v>0</v>
      </c>
    </row>
    <row r="1587" spans="1:9" hidden="1" x14ac:dyDescent="0.25">
      <c r="A1587" s="1" t="s">
        <v>16</v>
      </c>
      <c r="B1587" s="1" t="s">
        <v>192</v>
      </c>
      <c r="C1587" s="1" t="s">
        <v>10</v>
      </c>
      <c r="D1587" s="1">
        <v>0</v>
      </c>
      <c r="E1587" s="1">
        <v>0</v>
      </c>
      <c r="F1587" s="1">
        <v>229.52</v>
      </c>
      <c r="G1587" s="1">
        <v>4544.4960000000001</v>
      </c>
      <c r="H1587" s="1">
        <v>-2754.24</v>
      </c>
      <c r="I1587" s="1">
        <v>0</v>
      </c>
    </row>
    <row r="1588" spans="1:9" hidden="1" x14ac:dyDescent="0.25">
      <c r="A1588" s="1" t="s">
        <v>16</v>
      </c>
      <c r="B1588" s="1" t="s">
        <v>193</v>
      </c>
      <c r="C1588" s="1" t="s">
        <v>25</v>
      </c>
      <c r="D1588" s="1">
        <v>0</v>
      </c>
      <c r="E1588" s="1">
        <v>0</v>
      </c>
      <c r="F1588" s="1">
        <v>229.52</v>
      </c>
      <c r="G1588" s="1">
        <v>3718.2240000000002</v>
      </c>
      <c r="H1588" s="1">
        <v>-1836.16</v>
      </c>
      <c r="I1588" s="1">
        <v>0</v>
      </c>
    </row>
    <row r="1589" spans="1:9" hidden="1" x14ac:dyDescent="0.25">
      <c r="A1589" s="1" t="s">
        <v>16</v>
      </c>
      <c r="B1589" s="1" t="s">
        <v>193</v>
      </c>
      <c r="C1589" s="1" t="s">
        <v>10</v>
      </c>
      <c r="D1589" s="1">
        <v>0</v>
      </c>
      <c r="E1589" s="1">
        <v>0</v>
      </c>
      <c r="F1589" s="1">
        <v>229.52</v>
      </c>
      <c r="G1589" s="1">
        <v>3718.2240000000002</v>
      </c>
      <c r="H1589" s="1">
        <v>-2754.24</v>
      </c>
      <c r="I1589" s="1">
        <v>0</v>
      </c>
    </row>
    <row r="1590" spans="1:9" hidden="1" x14ac:dyDescent="0.25">
      <c r="A1590" s="1" t="s">
        <v>16</v>
      </c>
      <c r="B1590" s="1" t="s">
        <v>194</v>
      </c>
      <c r="C1590" s="1" t="s">
        <v>25</v>
      </c>
      <c r="D1590" s="1">
        <v>0</v>
      </c>
      <c r="E1590" s="1">
        <v>-632.94000000000005</v>
      </c>
      <c r="F1590" s="1">
        <v>0</v>
      </c>
      <c r="G1590" s="1">
        <v>10443.460999999999</v>
      </c>
      <c r="H1590" s="1">
        <v>0</v>
      </c>
      <c r="I1590" s="1">
        <v>-5063.4960000000001</v>
      </c>
    </row>
    <row r="1591" spans="1:9" hidden="1" x14ac:dyDescent="0.25">
      <c r="A1591" s="1" t="s">
        <v>16</v>
      </c>
      <c r="B1591" s="1" t="s">
        <v>194</v>
      </c>
      <c r="C1591" s="1" t="s">
        <v>10</v>
      </c>
      <c r="D1591" s="1">
        <v>0</v>
      </c>
      <c r="E1591" s="1">
        <v>-632.94000000000005</v>
      </c>
      <c r="F1591" s="1">
        <v>0</v>
      </c>
      <c r="G1591" s="1">
        <v>10443.460999999999</v>
      </c>
      <c r="H1591" s="1">
        <v>0</v>
      </c>
      <c r="I1591" s="1">
        <v>-7595.2439999999997</v>
      </c>
    </row>
    <row r="1592" spans="1:9" hidden="1" x14ac:dyDescent="0.25">
      <c r="A1592" s="1" t="s">
        <v>16</v>
      </c>
      <c r="B1592" s="1" t="s">
        <v>195</v>
      </c>
      <c r="C1592" s="1" t="s">
        <v>25</v>
      </c>
      <c r="D1592" s="1">
        <v>0</v>
      </c>
      <c r="E1592" s="1">
        <v>-632.94000000000005</v>
      </c>
      <c r="F1592" s="1">
        <v>0</v>
      </c>
      <c r="G1592" s="1">
        <v>8544.65</v>
      </c>
      <c r="H1592" s="1">
        <v>0</v>
      </c>
      <c r="I1592" s="1">
        <v>-5063.4960000000001</v>
      </c>
    </row>
    <row r="1593" spans="1:9" hidden="1" x14ac:dyDescent="0.25">
      <c r="A1593" s="1" t="s">
        <v>16</v>
      </c>
      <c r="B1593" s="1" t="s">
        <v>195</v>
      </c>
      <c r="C1593" s="1" t="s">
        <v>10</v>
      </c>
      <c r="D1593" s="1">
        <v>0</v>
      </c>
      <c r="E1593" s="1">
        <v>-632.94000000000005</v>
      </c>
      <c r="F1593" s="1">
        <v>0</v>
      </c>
      <c r="G1593" s="1">
        <v>8544.65</v>
      </c>
      <c r="H1593" s="1">
        <v>0</v>
      </c>
      <c r="I1593" s="1">
        <v>-7595.2439999999997</v>
      </c>
    </row>
    <row r="1594" spans="1:9" hidden="1" x14ac:dyDescent="0.25">
      <c r="A1594" s="1" t="s">
        <v>16</v>
      </c>
      <c r="B1594" s="1" t="s">
        <v>196</v>
      </c>
      <c r="C1594" s="1" t="s">
        <v>25</v>
      </c>
      <c r="D1594" s="1">
        <v>0</v>
      </c>
      <c r="E1594" s="1">
        <v>632.94000000000005</v>
      </c>
      <c r="F1594" s="1">
        <v>0</v>
      </c>
      <c r="G1594" s="1">
        <v>-10443.460999999999</v>
      </c>
      <c r="H1594" s="1">
        <v>0</v>
      </c>
      <c r="I1594" s="1">
        <v>5063.4960000000001</v>
      </c>
    </row>
    <row r="1595" spans="1:9" hidden="1" x14ac:dyDescent="0.25">
      <c r="A1595" s="1" t="s">
        <v>16</v>
      </c>
      <c r="B1595" s="1" t="s">
        <v>196</v>
      </c>
      <c r="C1595" s="1" t="s">
        <v>10</v>
      </c>
      <c r="D1595" s="1">
        <v>0</v>
      </c>
      <c r="E1595" s="1">
        <v>632.94000000000005</v>
      </c>
      <c r="F1595" s="1">
        <v>0</v>
      </c>
      <c r="G1595" s="1">
        <v>-10443.460999999999</v>
      </c>
      <c r="H1595" s="1">
        <v>0</v>
      </c>
      <c r="I1595" s="1">
        <v>7595.2439999999997</v>
      </c>
    </row>
    <row r="1596" spans="1:9" hidden="1" x14ac:dyDescent="0.25">
      <c r="A1596" s="1" t="s">
        <v>16</v>
      </c>
      <c r="B1596" s="1" t="s">
        <v>197</v>
      </c>
      <c r="C1596" s="1" t="s">
        <v>25</v>
      </c>
      <c r="D1596" s="1">
        <v>0</v>
      </c>
      <c r="E1596" s="1">
        <v>632.94000000000005</v>
      </c>
      <c r="F1596" s="1">
        <v>0</v>
      </c>
      <c r="G1596" s="1">
        <v>-8544.65</v>
      </c>
      <c r="H1596" s="1">
        <v>0</v>
      </c>
      <c r="I1596" s="1">
        <v>5063.4960000000001</v>
      </c>
    </row>
    <row r="1597" spans="1:9" hidden="1" x14ac:dyDescent="0.25">
      <c r="A1597" s="1" t="s">
        <v>16</v>
      </c>
      <c r="B1597" s="1" t="s">
        <v>197</v>
      </c>
      <c r="C1597" s="1" t="s">
        <v>10</v>
      </c>
      <c r="D1597" s="1">
        <v>0</v>
      </c>
      <c r="E1597" s="1">
        <v>632.94000000000005</v>
      </c>
      <c r="F1597" s="1">
        <v>0</v>
      </c>
      <c r="G1597" s="1">
        <v>-8544.65</v>
      </c>
      <c r="H1597" s="1">
        <v>0</v>
      </c>
      <c r="I1597" s="1">
        <v>7595.2439999999997</v>
      </c>
    </row>
    <row r="1598" spans="1:9" hidden="1" x14ac:dyDescent="0.25">
      <c r="A1598" s="1" t="s">
        <v>16</v>
      </c>
      <c r="B1598" s="1" t="s">
        <v>198</v>
      </c>
      <c r="C1598" s="1" t="s">
        <v>25</v>
      </c>
      <c r="D1598" s="1">
        <v>0</v>
      </c>
      <c r="E1598" s="1">
        <v>0</v>
      </c>
      <c r="F1598" s="1">
        <v>-765.07</v>
      </c>
      <c r="G1598" s="1">
        <v>-15148.319</v>
      </c>
      <c r="H1598" s="1">
        <v>6120.5330000000004</v>
      </c>
      <c r="I1598" s="1">
        <v>0</v>
      </c>
    </row>
    <row r="1599" spans="1:9" hidden="1" x14ac:dyDescent="0.25">
      <c r="A1599" s="1" t="s">
        <v>16</v>
      </c>
      <c r="B1599" s="1" t="s">
        <v>198</v>
      </c>
      <c r="C1599" s="1" t="s">
        <v>10</v>
      </c>
      <c r="D1599" s="1">
        <v>0</v>
      </c>
      <c r="E1599" s="1">
        <v>0</v>
      </c>
      <c r="F1599" s="1">
        <v>-765.07</v>
      </c>
      <c r="G1599" s="1">
        <v>-15148.319</v>
      </c>
      <c r="H1599" s="1">
        <v>9180.7999999999993</v>
      </c>
      <c r="I1599" s="1">
        <v>0</v>
      </c>
    </row>
    <row r="1600" spans="1:9" hidden="1" x14ac:dyDescent="0.25">
      <c r="A1600" s="1" t="s">
        <v>16</v>
      </c>
      <c r="B1600" s="1" t="s">
        <v>199</v>
      </c>
      <c r="C1600" s="1" t="s">
        <v>25</v>
      </c>
      <c r="D1600" s="1">
        <v>0</v>
      </c>
      <c r="E1600" s="1">
        <v>0</v>
      </c>
      <c r="F1600" s="1">
        <v>-765.07</v>
      </c>
      <c r="G1600" s="1">
        <v>-12394.08</v>
      </c>
      <c r="H1600" s="1">
        <v>6120.5330000000004</v>
      </c>
      <c r="I1600" s="1">
        <v>0</v>
      </c>
    </row>
    <row r="1601" spans="1:9" hidden="1" x14ac:dyDescent="0.25">
      <c r="A1601" s="1" t="s">
        <v>16</v>
      </c>
      <c r="B1601" s="1" t="s">
        <v>199</v>
      </c>
      <c r="C1601" s="1" t="s">
        <v>10</v>
      </c>
      <c r="D1601" s="1">
        <v>0</v>
      </c>
      <c r="E1601" s="1">
        <v>0</v>
      </c>
      <c r="F1601" s="1">
        <v>-765.07</v>
      </c>
      <c r="G1601" s="1">
        <v>-12394.08</v>
      </c>
      <c r="H1601" s="1">
        <v>9180.7999999999993</v>
      </c>
      <c r="I1601" s="1">
        <v>0</v>
      </c>
    </row>
    <row r="1602" spans="1:9" hidden="1" x14ac:dyDescent="0.25">
      <c r="A1602" s="1" t="s">
        <v>16</v>
      </c>
      <c r="B1602" s="1" t="s">
        <v>200</v>
      </c>
      <c r="C1602" s="1" t="s">
        <v>25</v>
      </c>
      <c r="D1602" s="1">
        <v>0</v>
      </c>
      <c r="E1602" s="1">
        <v>0</v>
      </c>
      <c r="F1602" s="1">
        <v>765.07</v>
      </c>
      <c r="G1602" s="1">
        <v>15148.319</v>
      </c>
      <c r="H1602" s="1">
        <v>-6120.5330000000004</v>
      </c>
      <c r="I1602" s="1">
        <v>0</v>
      </c>
    </row>
    <row r="1603" spans="1:9" hidden="1" x14ac:dyDescent="0.25">
      <c r="A1603" s="1" t="s">
        <v>16</v>
      </c>
      <c r="B1603" s="1" t="s">
        <v>200</v>
      </c>
      <c r="C1603" s="1" t="s">
        <v>10</v>
      </c>
      <c r="D1603" s="1">
        <v>0</v>
      </c>
      <c r="E1603" s="1">
        <v>0</v>
      </c>
      <c r="F1603" s="1">
        <v>765.07</v>
      </c>
      <c r="G1603" s="1">
        <v>15148.319</v>
      </c>
      <c r="H1603" s="1">
        <v>-9180.7999999999993</v>
      </c>
      <c r="I1603" s="1">
        <v>0</v>
      </c>
    </row>
    <row r="1604" spans="1:9" hidden="1" x14ac:dyDescent="0.25">
      <c r="A1604" s="1" t="s">
        <v>16</v>
      </c>
      <c r="B1604" s="1" t="s">
        <v>201</v>
      </c>
      <c r="C1604" s="1" t="s">
        <v>25</v>
      </c>
      <c r="D1604" s="1">
        <v>0</v>
      </c>
      <c r="E1604" s="1">
        <v>0</v>
      </c>
      <c r="F1604" s="1">
        <v>765.07</v>
      </c>
      <c r="G1604" s="1">
        <v>12394.08</v>
      </c>
      <c r="H1604" s="1">
        <v>-6120.5330000000004</v>
      </c>
      <c r="I1604" s="1">
        <v>0</v>
      </c>
    </row>
    <row r="1605" spans="1:9" hidden="1" x14ac:dyDescent="0.25">
      <c r="A1605" s="1" t="s">
        <v>16</v>
      </c>
      <c r="B1605" s="1" t="s">
        <v>201</v>
      </c>
      <c r="C1605" s="1" t="s">
        <v>10</v>
      </c>
      <c r="D1605" s="1">
        <v>0</v>
      </c>
      <c r="E1605" s="1">
        <v>0</v>
      </c>
      <c r="F1605" s="1">
        <v>765.07</v>
      </c>
      <c r="G1605" s="1">
        <v>12394.08</v>
      </c>
      <c r="H1605" s="1">
        <v>-9180.7999999999993</v>
      </c>
      <c r="I1605" s="1">
        <v>0</v>
      </c>
    </row>
    <row r="1606" spans="1:9" hidden="1" x14ac:dyDescent="0.25">
      <c r="A1606" s="1" t="s">
        <v>16</v>
      </c>
      <c r="B1606" s="1" t="s">
        <v>202</v>
      </c>
      <c r="C1606" s="1" t="s">
        <v>25</v>
      </c>
      <c r="D1606" s="1">
        <v>0</v>
      </c>
      <c r="E1606" s="1">
        <v>-632.94000000000005</v>
      </c>
      <c r="F1606" s="1">
        <v>0</v>
      </c>
      <c r="G1606" s="1">
        <v>10443.460999999999</v>
      </c>
      <c r="H1606" s="1">
        <v>0</v>
      </c>
      <c r="I1606" s="1">
        <v>-5063.4960000000001</v>
      </c>
    </row>
    <row r="1607" spans="1:9" hidden="1" x14ac:dyDescent="0.25">
      <c r="A1607" s="1" t="s">
        <v>16</v>
      </c>
      <c r="B1607" s="1" t="s">
        <v>202</v>
      </c>
      <c r="C1607" s="1" t="s">
        <v>10</v>
      </c>
      <c r="D1607" s="1">
        <v>0</v>
      </c>
      <c r="E1607" s="1">
        <v>-632.94000000000005</v>
      </c>
      <c r="F1607" s="1">
        <v>0</v>
      </c>
      <c r="G1607" s="1">
        <v>10443.460999999999</v>
      </c>
      <c r="H1607" s="1">
        <v>0</v>
      </c>
      <c r="I1607" s="1">
        <v>-7595.2439999999997</v>
      </c>
    </row>
    <row r="1608" spans="1:9" hidden="1" x14ac:dyDescent="0.25">
      <c r="A1608" s="1" t="s">
        <v>16</v>
      </c>
      <c r="B1608" s="1" t="s">
        <v>203</v>
      </c>
      <c r="C1608" s="1" t="s">
        <v>25</v>
      </c>
      <c r="D1608" s="1">
        <v>0</v>
      </c>
      <c r="E1608" s="1">
        <v>-632.94000000000005</v>
      </c>
      <c r="F1608" s="1">
        <v>0</v>
      </c>
      <c r="G1608" s="1">
        <v>8544.65</v>
      </c>
      <c r="H1608" s="1">
        <v>0</v>
      </c>
      <c r="I1608" s="1">
        <v>-5063.4960000000001</v>
      </c>
    </row>
    <row r="1609" spans="1:9" hidden="1" x14ac:dyDescent="0.25">
      <c r="A1609" s="1" t="s">
        <v>16</v>
      </c>
      <c r="B1609" s="1" t="s">
        <v>203</v>
      </c>
      <c r="C1609" s="1" t="s">
        <v>10</v>
      </c>
      <c r="D1609" s="1">
        <v>0</v>
      </c>
      <c r="E1609" s="1">
        <v>-632.94000000000005</v>
      </c>
      <c r="F1609" s="1">
        <v>0</v>
      </c>
      <c r="G1609" s="1">
        <v>8544.65</v>
      </c>
      <c r="H1609" s="1">
        <v>0</v>
      </c>
      <c r="I1609" s="1">
        <v>-7595.2439999999997</v>
      </c>
    </row>
    <row r="1610" spans="1:9" hidden="1" x14ac:dyDescent="0.25">
      <c r="A1610" s="1" t="s">
        <v>16</v>
      </c>
      <c r="B1610" s="1" t="s">
        <v>204</v>
      </c>
      <c r="C1610" s="1" t="s">
        <v>25</v>
      </c>
      <c r="D1610" s="1">
        <v>0</v>
      </c>
      <c r="E1610" s="1">
        <v>632.94000000000005</v>
      </c>
      <c r="F1610" s="1">
        <v>0</v>
      </c>
      <c r="G1610" s="1">
        <v>-10443.460999999999</v>
      </c>
      <c r="H1610" s="1">
        <v>0</v>
      </c>
      <c r="I1610" s="1">
        <v>5063.4960000000001</v>
      </c>
    </row>
    <row r="1611" spans="1:9" hidden="1" x14ac:dyDescent="0.25">
      <c r="A1611" s="1" t="s">
        <v>16</v>
      </c>
      <c r="B1611" s="1" t="s">
        <v>204</v>
      </c>
      <c r="C1611" s="1" t="s">
        <v>10</v>
      </c>
      <c r="D1611" s="1">
        <v>0</v>
      </c>
      <c r="E1611" s="1">
        <v>632.94000000000005</v>
      </c>
      <c r="F1611" s="1">
        <v>0</v>
      </c>
      <c r="G1611" s="1">
        <v>-10443.460999999999</v>
      </c>
      <c r="H1611" s="1">
        <v>0</v>
      </c>
      <c r="I1611" s="1">
        <v>7595.2439999999997</v>
      </c>
    </row>
    <row r="1612" spans="1:9" hidden="1" x14ac:dyDescent="0.25">
      <c r="A1612" s="1" t="s">
        <v>16</v>
      </c>
      <c r="B1612" s="1" t="s">
        <v>205</v>
      </c>
      <c r="C1612" s="1" t="s">
        <v>25</v>
      </c>
      <c r="D1612" s="1">
        <v>0</v>
      </c>
      <c r="E1612" s="1">
        <v>632.94000000000005</v>
      </c>
      <c r="F1612" s="1">
        <v>0</v>
      </c>
      <c r="G1612" s="1">
        <v>-8544.65</v>
      </c>
      <c r="H1612" s="1">
        <v>0</v>
      </c>
      <c r="I1612" s="1">
        <v>5063.4960000000001</v>
      </c>
    </row>
    <row r="1613" spans="1:9" hidden="1" x14ac:dyDescent="0.25">
      <c r="A1613" s="1" t="s">
        <v>16</v>
      </c>
      <c r="B1613" s="1" t="s">
        <v>205</v>
      </c>
      <c r="C1613" s="1" t="s">
        <v>10</v>
      </c>
      <c r="D1613" s="1">
        <v>0</v>
      </c>
      <c r="E1613" s="1">
        <v>632.94000000000005</v>
      </c>
      <c r="F1613" s="1">
        <v>0</v>
      </c>
      <c r="G1613" s="1">
        <v>-8544.65</v>
      </c>
      <c r="H1613" s="1">
        <v>0</v>
      </c>
      <c r="I1613" s="1">
        <v>7595.2439999999997</v>
      </c>
    </row>
    <row r="1614" spans="1:9" hidden="1" x14ac:dyDescent="0.25">
      <c r="A1614" s="1" t="s">
        <v>16</v>
      </c>
      <c r="B1614" s="1" t="s">
        <v>206</v>
      </c>
      <c r="C1614" s="1" t="s">
        <v>25</v>
      </c>
      <c r="D1614" s="1">
        <v>0</v>
      </c>
      <c r="E1614" s="1">
        <v>0</v>
      </c>
      <c r="F1614" s="1">
        <v>-765.07</v>
      </c>
      <c r="G1614" s="1">
        <v>-15148.319</v>
      </c>
      <c r="H1614" s="1">
        <v>6120.5330000000004</v>
      </c>
      <c r="I1614" s="1">
        <v>0</v>
      </c>
    </row>
    <row r="1615" spans="1:9" hidden="1" x14ac:dyDescent="0.25">
      <c r="A1615" s="1" t="s">
        <v>16</v>
      </c>
      <c r="B1615" s="1" t="s">
        <v>206</v>
      </c>
      <c r="C1615" s="1" t="s">
        <v>10</v>
      </c>
      <c r="D1615" s="1">
        <v>0</v>
      </c>
      <c r="E1615" s="1">
        <v>0</v>
      </c>
      <c r="F1615" s="1">
        <v>-765.07</v>
      </c>
      <c r="G1615" s="1">
        <v>-15148.319</v>
      </c>
      <c r="H1615" s="1">
        <v>9180.7999999999993</v>
      </c>
      <c r="I1615" s="1">
        <v>0</v>
      </c>
    </row>
    <row r="1616" spans="1:9" hidden="1" x14ac:dyDescent="0.25">
      <c r="A1616" s="1" t="s">
        <v>16</v>
      </c>
      <c r="B1616" s="1" t="s">
        <v>207</v>
      </c>
      <c r="C1616" s="1" t="s">
        <v>25</v>
      </c>
      <c r="D1616" s="1">
        <v>0</v>
      </c>
      <c r="E1616" s="1">
        <v>0</v>
      </c>
      <c r="F1616" s="1">
        <v>-765.07</v>
      </c>
      <c r="G1616" s="1">
        <v>-12394.08</v>
      </c>
      <c r="H1616" s="1">
        <v>6120.5330000000004</v>
      </c>
      <c r="I1616" s="1">
        <v>0</v>
      </c>
    </row>
    <row r="1617" spans="1:9" hidden="1" x14ac:dyDescent="0.25">
      <c r="A1617" s="1" t="s">
        <v>16</v>
      </c>
      <c r="B1617" s="1" t="s">
        <v>207</v>
      </c>
      <c r="C1617" s="1" t="s">
        <v>10</v>
      </c>
      <c r="D1617" s="1">
        <v>0</v>
      </c>
      <c r="E1617" s="1">
        <v>0</v>
      </c>
      <c r="F1617" s="1">
        <v>-765.07</v>
      </c>
      <c r="G1617" s="1">
        <v>-12394.08</v>
      </c>
      <c r="H1617" s="1">
        <v>9180.7999999999993</v>
      </c>
      <c r="I1617" s="1">
        <v>0</v>
      </c>
    </row>
    <row r="1618" spans="1:9" hidden="1" x14ac:dyDescent="0.25">
      <c r="A1618" s="1" t="s">
        <v>16</v>
      </c>
      <c r="B1618" s="1" t="s">
        <v>208</v>
      </c>
      <c r="C1618" s="1" t="s">
        <v>25</v>
      </c>
      <c r="D1618" s="1">
        <v>0</v>
      </c>
      <c r="E1618" s="1">
        <v>0</v>
      </c>
      <c r="F1618" s="1">
        <v>765.07</v>
      </c>
      <c r="G1618" s="1">
        <v>15148.319</v>
      </c>
      <c r="H1618" s="1">
        <v>-6120.5330000000004</v>
      </c>
      <c r="I1618" s="1">
        <v>0</v>
      </c>
    </row>
    <row r="1619" spans="1:9" hidden="1" x14ac:dyDescent="0.25">
      <c r="A1619" s="1" t="s">
        <v>16</v>
      </c>
      <c r="B1619" s="1" t="s">
        <v>208</v>
      </c>
      <c r="C1619" s="1" t="s">
        <v>10</v>
      </c>
      <c r="D1619" s="1">
        <v>0</v>
      </c>
      <c r="E1619" s="1">
        <v>0</v>
      </c>
      <c r="F1619" s="1">
        <v>765.07</v>
      </c>
      <c r="G1619" s="1">
        <v>15148.319</v>
      </c>
      <c r="H1619" s="1">
        <v>-9180.7999999999993</v>
      </c>
      <c r="I1619" s="1">
        <v>0</v>
      </c>
    </row>
    <row r="1620" spans="1:9" hidden="1" x14ac:dyDescent="0.25">
      <c r="A1620" s="1" t="s">
        <v>16</v>
      </c>
      <c r="B1620" s="1" t="s">
        <v>209</v>
      </c>
      <c r="C1620" s="1" t="s">
        <v>25</v>
      </c>
      <c r="D1620" s="1">
        <v>0</v>
      </c>
      <c r="E1620" s="1">
        <v>0</v>
      </c>
      <c r="F1620" s="1">
        <v>765.07</v>
      </c>
      <c r="G1620" s="1">
        <v>12394.08</v>
      </c>
      <c r="H1620" s="1">
        <v>-6120.5330000000004</v>
      </c>
      <c r="I1620" s="1">
        <v>0</v>
      </c>
    </row>
    <row r="1621" spans="1:9" hidden="1" x14ac:dyDescent="0.25">
      <c r="A1621" s="1" t="s">
        <v>16</v>
      </c>
      <c r="B1621" s="1" t="s">
        <v>209</v>
      </c>
      <c r="C1621" s="1" t="s">
        <v>10</v>
      </c>
      <c r="D1621" s="1">
        <v>0</v>
      </c>
      <c r="E1621" s="1">
        <v>0</v>
      </c>
      <c r="F1621" s="1">
        <v>765.07</v>
      </c>
      <c r="G1621" s="1">
        <v>12394.08</v>
      </c>
      <c r="H1621" s="1">
        <v>-9180.7999999999993</v>
      </c>
      <c r="I1621" s="1">
        <v>0</v>
      </c>
    </row>
    <row r="1622" spans="1:9" hidden="1" x14ac:dyDescent="0.25">
      <c r="A1622" s="1" t="s">
        <v>16</v>
      </c>
      <c r="B1622" s="1" t="s">
        <v>210</v>
      </c>
      <c r="C1622" s="1" t="s">
        <v>25</v>
      </c>
      <c r="D1622" s="1">
        <v>0</v>
      </c>
      <c r="E1622" s="1">
        <v>-189.88</v>
      </c>
      <c r="F1622" s="1">
        <v>0</v>
      </c>
      <c r="G1622" s="1">
        <v>3133.038</v>
      </c>
      <c r="H1622" s="1">
        <v>0</v>
      </c>
      <c r="I1622" s="1">
        <v>-1519.049</v>
      </c>
    </row>
    <row r="1623" spans="1:9" hidden="1" x14ac:dyDescent="0.25">
      <c r="A1623" s="1" t="s">
        <v>16</v>
      </c>
      <c r="B1623" s="1" t="s">
        <v>210</v>
      </c>
      <c r="C1623" s="1" t="s">
        <v>10</v>
      </c>
      <c r="D1623" s="1">
        <v>0</v>
      </c>
      <c r="E1623" s="1">
        <v>-189.88</v>
      </c>
      <c r="F1623" s="1">
        <v>0</v>
      </c>
      <c r="G1623" s="1">
        <v>3133.038</v>
      </c>
      <c r="H1623" s="1">
        <v>0</v>
      </c>
      <c r="I1623" s="1">
        <v>-2278.5729999999999</v>
      </c>
    </row>
    <row r="1624" spans="1:9" hidden="1" x14ac:dyDescent="0.25">
      <c r="A1624" s="1" t="s">
        <v>16</v>
      </c>
      <c r="B1624" s="1" t="s">
        <v>211</v>
      </c>
      <c r="C1624" s="1" t="s">
        <v>25</v>
      </c>
      <c r="D1624" s="1">
        <v>0</v>
      </c>
      <c r="E1624" s="1">
        <v>-189.88</v>
      </c>
      <c r="F1624" s="1">
        <v>0</v>
      </c>
      <c r="G1624" s="1">
        <v>2563.395</v>
      </c>
      <c r="H1624" s="1">
        <v>0</v>
      </c>
      <c r="I1624" s="1">
        <v>-1519.049</v>
      </c>
    </row>
    <row r="1625" spans="1:9" hidden="1" x14ac:dyDescent="0.25">
      <c r="A1625" s="1" t="s">
        <v>16</v>
      </c>
      <c r="B1625" s="1" t="s">
        <v>211</v>
      </c>
      <c r="C1625" s="1" t="s">
        <v>10</v>
      </c>
      <c r="D1625" s="1">
        <v>0</v>
      </c>
      <c r="E1625" s="1">
        <v>-189.88</v>
      </c>
      <c r="F1625" s="1">
        <v>0</v>
      </c>
      <c r="G1625" s="1">
        <v>2563.395</v>
      </c>
      <c r="H1625" s="1">
        <v>0</v>
      </c>
      <c r="I1625" s="1">
        <v>-2278.5729999999999</v>
      </c>
    </row>
    <row r="1626" spans="1:9" hidden="1" x14ac:dyDescent="0.25">
      <c r="A1626" s="1" t="s">
        <v>16</v>
      </c>
      <c r="B1626" s="1" t="s">
        <v>212</v>
      </c>
      <c r="C1626" s="1" t="s">
        <v>25</v>
      </c>
      <c r="D1626" s="1">
        <v>0</v>
      </c>
      <c r="E1626" s="1">
        <v>189.88</v>
      </c>
      <c r="F1626" s="1">
        <v>0</v>
      </c>
      <c r="G1626" s="1">
        <v>-3133.038</v>
      </c>
      <c r="H1626" s="1">
        <v>0</v>
      </c>
      <c r="I1626" s="1">
        <v>1519.049</v>
      </c>
    </row>
    <row r="1627" spans="1:9" hidden="1" x14ac:dyDescent="0.25">
      <c r="A1627" s="1" t="s">
        <v>16</v>
      </c>
      <c r="B1627" s="1" t="s">
        <v>212</v>
      </c>
      <c r="C1627" s="1" t="s">
        <v>10</v>
      </c>
      <c r="D1627" s="1">
        <v>0</v>
      </c>
      <c r="E1627" s="1">
        <v>189.88</v>
      </c>
      <c r="F1627" s="1">
        <v>0</v>
      </c>
      <c r="G1627" s="1">
        <v>-3133.038</v>
      </c>
      <c r="H1627" s="1">
        <v>0</v>
      </c>
      <c r="I1627" s="1">
        <v>2278.5729999999999</v>
      </c>
    </row>
    <row r="1628" spans="1:9" hidden="1" x14ac:dyDescent="0.25">
      <c r="A1628" s="1" t="s">
        <v>16</v>
      </c>
      <c r="B1628" s="1" t="s">
        <v>213</v>
      </c>
      <c r="C1628" s="1" t="s">
        <v>25</v>
      </c>
      <c r="D1628" s="1">
        <v>0</v>
      </c>
      <c r="E1628" s="1">
        <v>189.88</v>
      </c>
      <c r="F1628" s="1">
        <v>0</v>
      </c>
      <c r="G1628" s="1">
        <v>-2563.395</v>
      </c>
      <c r="H1628" s="1">
        <v>0</v>
      </c>
      <c r="I1628" s="1">
        <v>1519.049</v>
      </c>
    </row>
    <row r="1629" spans="1:9" hidden="1" x14ac:dyDescent="0.25">
      <c r="A1629" s="1" t="s">
        <v>16</v>
      </c>
      <c r="B1629" s="1" t="s">
        <v>213</v>
      </c>
      <c r="C1629" s="1" t="s">
        <v>10</v>
      </c>
      <c r="D1629" s="1">
        <v>0</v>
      </c>
      <c r="E1629" s="1">
        <v>189.88</v>
      </c>
      <c r="F1629" s="1">
        <v>0</v>
      </c>
      <c r="G1629" s="1">
        <v>-2563.395</v>
      </c>
      <c r="H1629" s="1">
        <v>0</v>
      </c>
      <c r="I1629" s="1">
        <v>2278.5729999999999</v>
      </c>
    </row>
    <row r="1630" spans="1:9" hidden="1" x14ac:dyDescent="0.25">
      <c r="A1630" s="1" t="s">
        <v>16</v>
      </c>
      <c r="B1630" s="1" t="s">
        <v>214</v>
      </c>
      <c r="C1630" s="1" t="s">
        <v>25</v>
      </c>
      <c r="D1630" s="1">
        <v>0</v>
      </c>
      <c r="E1630" s="1">
        <v>0</v>
      </c>
      <c r="F1630" s="1">
        <v>-229.52</v>
      </c>
      <c r="G1630" s="1">
        <v>-4544.4960000000001</v>
      </c>
      <c r="H1630" s="1">
        <v>1836.16</v>
      </c>
      <c r="I1630" s="1">
        <v>0</v>
      </c>
    </row>
    <row r="1631" spans="1:9" hidden="1" x14ac:dyDescent="0.25">
      <c r="A1631" s="1" t="s">
        <v>16</v>
      </c>
      <c r="B1631" s="1" t="s">
        <v>214</v>
      </c>
      <c r="C1631" s="1" t="s">
        <v>10</v>
      </c>
      <c r="D1631" s="1">
        <v>0</v>
      </c>
      <c r="E1631" s="1">
        <v>0</v>
      </c>
      <c r="F1631" s="1">
        <v>-229.52</v>
      </c>
      <c r="G1631" s="1">
        <v>-4544.4960000000001</v>
      </c>
      <c r="H1631" s="1">
        <v>2754.24</v>
      </c>
      <c r="I1631" s="1">
        <v>0</v>
      </c>
    </row>
    <row r="1632" spans="1:9" hidden="1" x14ac:dyDescent="0.25">
      <c r="A1632" s="1" t="s">
        <v>16</v>
      </c>
      <c r="B1632" s="1" t="s">
        <v>215</v>
      </c>
      <c r="C1632" s="1" t="s">
        <v>25</v>
      </c>
      <c r="D1632" s="1">
        <v>0</v>
      </c>
      <c r="E1632" s="1">
        <v>0</v>
      </c>
      <c r="F1632" s="1">
        <v>-229.52</v>
      </c>
      <c r="G1632" s="1">
        <v>-3718.2240000000002</v>
      </c>
      <c r="H1632" s="1">
        <v>1836.16</v>
      </c>
      <c r="I1632" s="1">
        <v>0</v>
      </c>
    </row>
    <row r="1633" spans="1:9" hidden="1" x14ac:dyDescent="0.25">
      <c r="A1633" s="1" t="s">
        <v>16</v>
      </c>
      <c r="B1633" s="1" t="s">
        <v>215</v>
      </c>
      <c r="C1633" s="1" t="s">
        <v>10</v>
      </c>
      <c r="D1633" s="1">
        <v>0</v>
      </c>
      <c r="E1633" s="1">
        <v>0</v>
      </c>
      <c r="F1633" s="1">
        <v>-229.52</v>
      </c>
      <c r="G1633" s="1">
        <v>-3718.2240000000002</v>
      </c>
      <c r="H1633" s="1">
        <v>2754.24</v>
      </c>
      <c r="I1633" s="1">
        <v>0</v>
      </c>
    </row>
    <row r="1634" spans="1:9" hidden="1" x14ac:dyDescent="0.25">
      <c r="A1634" s="1" t="s">
        <v>16</v>
      </c>
      <c r="B1634" s="1" t="s">
        <v>216</v>
      </c>
      <c r="C1634" s="1" t="s">
        <v>25</v>
      </c>
      <c r="D1634" s="1">
        <v>0</v>
      </c>
      <c r="E1634" s="1">
        <v>0</v>
      </c>
      <c r="F1634" s="1">
        <v>229.52</v>
      </c>
      <c r="G1634" s="1">
        <v>4544.4960000000001</v>
      </c>
      <c r="H1634" s="1">
        <v>-1836.16</v>
      </c>
      <c r="I1634" s="1">
        <v>0</v>
      </c>
    </row>
    <row r="1635" spans="1:9" hidden="1" x14ac:dyDescent="0.25">
      <c r="A1635" s="1" t="s">
        <v>16</v>
      </c>
      <c r="B1635" s="1" t="s">
        <v>216</v>
      </c>
      <c r="C1635" s="1" t="s">
        <v>10</v>
      </c>
      <c r="D1635" s="1">
        <v>0</v>
      </c>
      <c r="E1635" s="1">
        <v>0</v>
      </c>
      <c r="F1635" s="1">
        <v>229.52</v>
      </c>
      <c r="G1635" s="1">
        <v>4544.4960000000001</v>
      </c>
      <c r="H1635" s="1">
        <v>-2754.24</v>
      </c>
      <c r="I1635" s="1">
        <v>0</v>
      </c>
    </row>
    <row r="1636" spans="1:9" hidden="1" x14ac:dyDescent="0.25">
      <c r="A1636" s="1" t="s">
        <v>16</v>
      </c>
      <c r="B1636" s="1" t="s">
        <v>217</v>
      </c>
      <c r="C1636" s="1" t="s">
        <v>25</v>
      </c>
      <c r="D1636" s="1">
        <v>0</v>
      </c>
      <c r="E1636" s="1">
        <v>0</v>
      </c>
      <c r="F1636" s="1">
        <v>229.52</v>
      </c>
      <c r="G1636" s="1">
        <v>3718.2240000000002</v>
      </c>
      <c r="H1636" s="1">
        <v>-1836.16</v>
      </c>
      <c r="I1636" s="1">
        <v>0</v>
      </c>
    </row>
    <row r="1637" spans="1:9" hidden="1" x14ac:dyDescent="0.25">
      <c r="A1637" s="1" t="s">
        <v>16</v>
      </c>
      <c r="B1637" s="1" t="s">
        <v>217</v>
      </c>
      <c r="C1637" s="1" t="s">
        <v>10</v>
      </c>
      <c r="D1637" s="1">
        <v>0</v>
      </c>
      <c r="E1637" s="1">
        <v>0</v>
      </c>
      <c r="F1637" s="1">
        <v>229.52</v>
      </c>
      <c r="G1637" s="1">
        <v>3718.2240000000002</v>
      </c>
      <c r="H1637" s="1">
        <v>-2754.24</v>
      </c>
      <c r="I1637" s="1">
        <v>0</v>
      </c>
    </row>
    <row r="1638" spans="1:9" hidden="1" x14ac:dyDescent="0.25">
      <c r="A1638" s="1" t="s">
        <v>16</v>
      </c>
      <c r="B1638" s="1" t="s">
        <v>218</v>
      </c>
      <c r="C1638" s="1" t="s">
        <v>25</v>
      </c>
      <c r="D1638" s="1">
        <v>0</v>
      </c>
      <c r="E1638" s="1">
        <v>-189.88</v>
      </c>
      <c r="F1638" s="1">
        <v>0</v>
      </c>
      <c r="G1638" s="1">
        <v>3133.038</v>
      </c>
      <c r="H1638" s="1">
        <v>0</v>
      </c>
      <c r="I1638" s="1">
        <v>-1519.049</v>
      </c>
    </row>
    <row r="1639" spans="1:9" hidden="1" x14ac:dyDescent="0.25">
      <c r="A1639" s="1" t="s">
        <v>16</v>
      </c>
      <c r="B1639" s="1" t="s">
        <v>218</v>
      </c>
      <c r="C1639" s="1" t="s">
        <v>10</v>
      </c>
      <c r="D1639" s="1">
        <v>0</v>
      </c>
      <c r="E1639" s="1">
        <v>-189.88</v>
      </c>
      <c r="F1639" s="1">
        <v>0</v>
      </c>
      <c r="G1639" s="1">
        <v>3133.038</v>
      </c>
      <c r="H1639" s="1">
        <v>0</v>
      </c>
      <c r="I1639" s="1">
        <v>-2278.5729999999999</v>
      </c>
    </row>
    <row r="1640" spans="1:9" hidden="1" x14ac:dyDescent="0.25">
      <c r="A1640" s="1" t="s">
        <v>16</v>
      </c>
      <c r="B1640" s="1" t="s">
        <v>219</v>
      </c>
      <c r="C1640" s="1" t="s">
        <v>25</v>
      </c>
      <c r="D1640" s="1">
        <v>0</v>
      </c>
      <c r="E1640" s="1">
        <v>-189.88</v>
      </c>
      <c r="F1640" s="1">
        <v>0</v>
      </c>
      <c r="G1640" s="1">
        <v>2563.395</v>
      </c>
      <c r="H1640" s="1">
        <v>0</v>
      </c>
      <c r="I1640" s="1">
        <v>-1519.049</v>
      </c>
    </row>
    <row r="1641" spans="1:9" hidden="1" x14ac:dyDescent="0.25">
      <c r="A1641" s="1" t="s">
        <v>16</v>
      </c>
      <c r="B1641" s="1" t="s">
        <v>219</v>
      </c>
      <c r="C1641" s="1" t="s">
        <v>10</v>
      </c>
      <c r="D1641" s="1">
        <v>0</v>
      </c>
      <c r="E1641" s="1">
        <v>-189.88</v>
      </c>
      <c r="F1641" s="1">
        <v>0</v>
      </c>
      <c r="G1641" s="1">
        <v>2563.395</v>
      </c>
      <c r="H1641" s="1">
        <v>0</v>
      </c>
      <c r="I1641" s="1">
        <v>-2278.5729999999999</v>
      </c>
    </row>
    <row r="1642" spans="1:9" hidden="1" x14ac:dyDescent="0.25">
      <c r="A1642" s="1" t="s">
        <v>16</v>
      </c>
      <c r="B1642" s="1" t="s">
        <v>220</v>
      </c>
      <c r="C1642" s="1" t="s">
        <v>25</v>
      </c>
      <c r="D1642" s="1">
        <v>0</v>
      </c>
      <c r="E1642" s="1">
        <v>189.88</v>
      </c>
      <c r="F1642" s="1">
        <v>0</v>
      </c>
      <c r="G1642" s="1">
        <v>-3133.038</v>
      </c>
      <c r="H1642" s="1">
        <v>0</v>
      </c>
      <c r="I1642" s="1">
        <v>1519.049</v>
      </c>
    </row>
    <row r="1643" spans="1:9" hidden="1" x14ac:dyDescent="0.25">
      <c r="A1643" s="1" t="s">
        <v>16</v>
      </c>
      <c r="B1643" s="1" t="s">
        <v>220</v>
      </c>
      <c r="C1643" s="1" t="s">
        <v>10</v>
      </c>
      <c r="D1643" s="1">
        <v>0</v>
      </c>
      <c r="E1643" s="1">
        <v>189.88</v>
      </c>
      <c r="F1643" s="1">
        <v>0</v>
      </c>
      <c r="G1643" s="1">
        <v>-3133.038</v>
      </c>
      <c r="H1643" s="1">
        <v>0</v>
      </c>
      <c r="I1643" s="1">
        <v>2278.5729999999999</v>
      </c>
    </row>
    <row r="1644" spans="1:9" hidden="1" x14ac:dyDescent="0.25">
      <c r="A1644" s="1" t="s">
        <v>16</v>
      </c>
      <c r="B1644" s="1" t="s">
        <v>221</v>
      </c>
      <c r="C1644" s="1" t="s">
        <v>25</v>
      </c>
      <c r="D1644" s="1">
        <v>0</v>
      </c>
      <c r="E1644" s="1">
        <v>189.88</v>
      </c>
      <c r="F1644" s="1">
        <v>0</v>
      </c>
      <c r="G1644" s="1">
        <v>-2563.395</v>
      </c>
      <c r="H1644" s="1">
        <v>0</v>
      </c>
      <c r="I1644" s="1">
        <v>1519.049</v>
      </c>
    </row>
    <row r="1645" spans="1:9" hidden="1" x14ac:dyDescent="0.25">
      <c r="A1645" s="1" t="s">
        <v>16</v>
      </c>
      <c r="B1645" s="1" t="s">
        <v>221</v>
      </c>
      <c r="C1645" s="1" t="s">
        <v>10</v>
      </c>
      <c r="D1645" s="1">
        <v>0</v>
      </c>
      <c r="E1645" s="1">
        <v>189.88</v>
      </c>
      <c r="F1645" s="1">
        <v>0</v>
      </c>
      <c r="G1645" s="1">
        <v>-2563.395</v>
      </c>
      <c r="H1645" s="1">
        <v>0</v>
      </c>
      <c r="I1645" s="1">
        <v>2278.5729999999999</v>
      </c>
    </row>
    <row r="1646" spans="1:9" hidden="1" x14ac:dyDescent="0.25">
      <c r="A1646" s="1" t="s">
        <v>16</v>
      </c>
      <c r="B1646" s="1" t="s">
        <v>222</v>
      </c>
      <c r="C1646" s="1" t="s">
        <v>25</v>
      </c>
      <c r="D1646" s="1">
        <v>0</v>
      </c>
      <c r="E1646" s="1">
        <v>0</v>
      </c>
      <c r="F1646" s="1">
        <v>-229.52</v>
      </c>
      <c r="G1646" s="1">
        <v>-4544.4960000000001</v>
      </c>
      <c r="H1646" s="1">
        <v>1836.16</v>
      </c>
      <c r="I1646" s="1">
        <v>0</v>
      </c>
    </row>
    <row r="1647" spans="1:9" hidden="1" x14ac:dyDescent="0.25">
      <c r="A1647" s="1" t="s">
        <v>16</v>
      </c>
      <c r="B1647" s="1" t="s">
        <v>222</v>
      </c>
      <c r="C1647" s="1" t="s">
        <v>10</v>
      </c>
      <c r="D1647" s="1">
        <v>0</v>
      </c>
      <c r="E1647" s="1">
        <v>0</v>
      </c>
      <c r="F1647" s="1">
        <v>-229.52</v>
      </c>
      <c r="G1647" s="1">
        <v>-4544.4960000000001</v>
      </c>
      <c r="H1647" s="1">
        <v>2754.24</v>
      </c>
      <c r="I1647" s="1">
        <v>0</v>
      </c>
    </row>
    <row r="1648" spans="1:9" hidden="1" x14ac:dyDescent="0.25">
      <c r="A1648" s="1" t="s">
        <v>16</v>
      </c>
      <c r="B1648" s="1" t="s">
        <v>223</v>
      </c>
      <c r="C1648" s="1" t="s">
        <v>25</v>
      </c>
      <c r="D1648" s="1">
        <v>0</v>
      </c>
      <c r="E1648" s="1">
        <v>0</v>
      </c>
      <c r="F1648" s="1">
        <v>-229.52</v>
      </c>
      <c r="G1648" s="1">
        <v>-3718.2240000000002</v>
      </c>
      <c r="H1648" s="1">
        <v>1836.16</v>
      </c>
      <c r="I1648" s="1">
        <v>0</v>
      </c>
    </row>
    <row r="1649" spans="1:9" hidden="1" x14ac:dyDescent="0.25">
      <c r="A1649" s="1" t="s">
        <v>16</v>
      </c>
      <c r="B1649" s="1" t="s">
        <v>223</v>
      </c>
      <c r="C1649" s="1" t="s">
        <v>10</v>
      </c>
      <c r="D1649" s="1">
        <v>0</v>
      </c>
      <c r="E1649" s="1">
        <v>0</v>
      </c>
      <c r="F1649" s="1">
        <v>-229.52</v>
      </c>
      <c r="G1649" s="1">
        <v>-3718.2240000000002</v>
      </c>
      <c r="H1649" s="1">
        <v>2754.24</v>
      </c>
      <c r="I1649" s="1">
        <v>0</v>
      </c>
    </row>
    <row r="1650" spans="1:9" hidden="1" x14ac:dyDescent="0.25">
      <c r="A1650" s="1" t="s">
        <v>16</v>
      </c>
      <c r="B1650" s="1" t="s">
        <v>224</v>
      </c>
      <c r="C1650" s="1" t="s">
        <v>25</v>
      </c>
      <c r="D1650" s="1">
        <v>0</v>
      </c>
      <c r="E1650" s="1">
        <v>0</v>
      </c>
      <c r="F1650" s="1">
        <v>229.52</v>
      </c>
      <c r="G1650" s="1">
        <v>4544.4960000000001</v>
      </c>
      <c r="H1650" s="1">
        <v>-1836.16</v>
      </c>
      <c r="I1650" s="1">
        <v>0</v>
      </c>
    </row>
    <row r="1651" spans="1:9" hidden="1" x14ac:dyDescent="0.25">
      <c r="A1651" s="1" t="s">
        <v>16</v>
      </c>
      <c r="B1651" s="1" t="s">
        <v>224</v>
      </c>
      <c r="C1651" s="1" t="s">
        <v>10</v>
      </c>
      <c r="D1651" s="1">
        <v>0</v>
      </c>
      <c r="E1651" s="1">
        <v>0</v>
      </c>
      <c r="F1651" s="1">
        <v>229.52</v>
      </c>
      <c r="G1651" s="1">
        <v>4544.4960000000001</v>
      </c>
      <c r="H1651" s="1">
        <v>-2754.24</v>
      </c>
      <c r="I1651" s="1">
        <v>0</v>
      </c>
    </row>
    <row r="1652" spans="1:9" hidden="1" x14ac:dyDescent="0.25">
      <c r="A1652" s="1" t="s">
        <v>16</v>
      </c>
      <c r="B1652" s="1" t="s">
        <v>225</v>
      </c>
      <c r="C1652" s="1" t="s">
        <v>25</v>
      </c>
      <c r="D1652" s="1">
        <v>0</v>
      </c>
      <c r="E1652" s="1">
        <v>0</v>
      </c>
      <c r="F1652" s="1">
        <v>229.52</v>
      </c>
      <c r="G1652" s="1">
        <v>3718.2240000000002</v>
      </c>
      <c r="H1652" s="1">
        <v>-1836.16</v>
      </c>
      <c r="I1652" s="1">
        <v>0</v>
      </c>
    </row>
    <row r="1653" spans="1:9" hidden="1" x14ac:dyDescent="0.25">
      <c r="A1653" s="1" t="s">
        <v>16</v>
      </c>
      <c r="B1653" s="1" t="s">
        <v>225</v>
      </c>
      <c r="C1653" s="1" t="s">
        <v>10</v>
      </c>
      <c r="D1653" s="1">
        <v>0</v>
      </c>
      <c r="E1653" s="1">
        <v>0</v>
      </c>
      <c r="F1653" s="1">
        <v>229.52</v>
      </c>
      <c r="G1653" s="1">
        <v>3718.2240000000002</v>
      </c>
      <c r="H1653" s="1">
        <v>-2754.24</v>
      </c>
      <c r="I1653" s="1">
        <v>0</v>
      </c>
    </row>
    <row r="1654" spans="1:9" hidden="1" x14ac:dyDescent="0.25">
      <c r="A1654" s="1" t="s">
        <v>16</v>
      </c>
      <c r="B1654" s="1" t="s">
        <v>327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16</v>
      </c>
      <c r="B1655" s="1" t="s">
        <v>327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16</v>
      </c>
      <c r="B1656" s="1" t="s">
        <v>328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16</v>
      </c>
      <c r="B1657" s="1" t="s">
        <v>328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9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9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26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x14ac:dyDescent="0.25">
      <c r="A1661" s="1" t="s">
        <v>17</v>
      </c>
      <c r="B1661" s="1" t="s">
        <v>26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20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20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21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21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22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22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23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23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321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321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322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322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323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323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324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324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325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325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326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326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27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27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30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30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11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11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12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12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13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13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31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31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33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33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34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34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35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35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36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36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37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37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38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38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39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39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40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40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41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41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42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42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43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43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44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44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45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45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46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46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47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47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48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48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49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49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50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50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51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51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52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52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53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53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54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54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55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55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56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56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57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57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58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58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59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59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60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60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61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61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62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62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63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63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64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64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65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65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66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66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67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67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68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68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69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69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70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70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71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71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72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72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73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73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74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74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75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75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76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76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77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77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78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78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79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79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80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80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81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81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82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82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83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83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84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84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85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85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86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86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87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87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88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88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89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89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90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90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91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91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92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92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93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93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94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94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95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95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96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96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97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97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14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14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98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98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15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15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99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99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100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100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101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101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102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102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103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103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104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104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105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105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106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106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107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107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108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108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109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109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110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110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111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111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112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112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113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113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114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114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115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115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116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116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117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117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118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118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119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119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120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120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121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121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122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122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123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123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124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124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125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125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126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126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127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127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128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128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129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129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130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130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131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131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132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132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133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133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134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134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135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135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136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136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137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137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138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138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139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139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140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140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141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141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142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142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143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143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144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144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145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145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146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146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147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147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159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159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160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160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161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161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162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162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163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163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164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164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165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165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166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166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167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167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168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168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169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169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170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170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171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171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172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172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173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173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174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174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175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175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176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176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177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177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178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178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179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179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180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180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181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181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182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182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183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183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184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184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185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185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186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186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187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187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188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188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189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189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190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190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191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191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192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192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193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193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194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194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195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195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196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196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197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197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198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198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199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199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200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200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201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201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202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202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203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203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204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204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205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205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206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206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207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207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208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208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209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209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210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210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211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211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212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212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213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213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214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214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215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215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216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216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217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217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218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218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219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219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220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220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221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221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222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222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223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223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224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224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225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225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327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327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328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328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</sheetData>
  <autoFilter ref="A1:I2071" xr:uid="{ADB5DA38-886D-4A50-A04D-343E6904C254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5" filterMode="1"/>
  <dimension ref="A1:I2071"/>
  <sheetViews>
    <sheetView workbookViewId="0">
      <selection sqref="A1:I207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-180.84</v>
      </c>
      <c r="F6" s="1">
        <v>0</v>
      </c>
      <c r="G6" s="1">
        <v>2983.846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-180.84</v>
      </c>
      <c r="F7" s="1">
        <v>0</v>
      </c>
      <c r="G7" s="1">
        <v>2983.846</v>
      </c>
      <c r="H7" s="1">
        <v>0</v>
      </c>
      <c r="I7" s="1">
        <v>-723.35699999999997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-180.84</v>
      </c>
      <c r="F8" s="1">
        <v>0</v>
      </c>
      <c r="G8" s="1">
        <v>2441.3290000000002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-180.84</v>
      </c>
      <c r="F9" s="1">
        <v>0</v>
      </c>
      <c r="G9" s="1">
        <v>2441.3290000000002</v>
      </c>
      <c r="H9" s="1">
        <v>0</v>
      </c>
      <c r="I9" s="1">
        <v>-723.35699999999997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-218.59</v>
      </c>
      <c r="G10" s="1">
        <v>-4328.0910000000003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-218.59</v>
      </c>
      <c r="G11" s="1">
        <v>-4328.0910000000003</v>
      </c>
      <c r="H11" s="1">
        <v>874.36199999999997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-218.59</v>
      </c>
      <c r="G12" s="1">
        <v>-3541.1660000000002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-218.59</v>
      </c>
      <c r="G13" s="1">
        <v>-3541.1660000000002</v>
      </c>
      <c r="H13" s="1">
        <v>874.36199999999997</v>
      </c>
      <c r="I13" s="1">
        <v>0</v>
      </c>
    </row>
    <row r="14" spans="1:9" hidden="1" x14ac:dyDescent="0.25">
      <c r="A14" s="1" t="s">
        <v>157</v>
      </c>
      <c r="B14" s="1" t="s">
        <v>321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321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322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322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323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324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325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326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326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109.33</v>
      </c>
      <c r="F34" s="1">
        <v>0</v>
      </c>
      <c r="G34" s="1">
        <v>1804.0119999999999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109.33</v>
      </c>
      <c r="F35" s="1">
        <v>0</v>
      </c>
      <c r="G35" s="1">
        <v>1804.0119999999999</v>
      </c>
      <c r="H35" s="1">
        <v>0</v>
      </c>
      <c r="I35" s="1">
        <v>437.33600000000001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242.18</v>
      </c>
      <c r="G36" s="1">
        <v>4795.2110000000002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242.18</v>
      </c>
      <c r="G37" s="1">
        <v>4795.2110000000002</v>
      </c>
      <c r="H37" s="1">
        <v>968.72900000000004</v>
      </c>
      <c r="I37" s="1">
        <v>0</v>
      </c>
    </row>
    <row r="38" spans="1:9" hidden="1" x14ac:dyDescent="0.25">
      <c r="A38" s="1" t="s">
        <v>157</v>
      </c>
      <c r="B38" s="1" t="s">
        <v>13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13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31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31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32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34</v>
      </c>
      <c r="C46" s="1" t="s">
        <v>25</v>
      </c>
      <c r="D46" s="1">
        <v>0</v>
      </c>
      <c r="E46" s="1">
        <v>-180.84</v>
      </c>
      <c r="F46" s="1">
        <v>0</v>
      </c>
      <c r="G46" s="1">
        <v>2983.846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34</v>
      </c>
      <c r="C47" s="1" t="s">
        <v>10</v>
      </c>
      <c r="D47" s="1">
        <v>0</v>
      </c>
      <c r="E47" s="1">
        <v>-180.84</v>
      </c>
      <c r="F47" s="1">
        <v>0</v>
      </c>
      <c r="G47" s="1">
        <v>2983.846</v>
      </c>
      <c r="H47" s="1">
        <v>0</v>
      </c>
      <c r="I47" s="1">
        <v>-723.35699999999997</v>
      </c>
    </row>
    <row r="48" spans="1:9" hidden="1" x14ac:dyDescent="0.25">
      <c r="A48" s="1" t="s">
        <v>157</v>
      </c>
      <c r="B48" s="1" t="s">
        <v>35</v>
      </c>
      <c r="C48" s="1" t="s">
        <v>25</v>
      </c>
      <c r="D48" s="1">
        <v>0</v>
      </c>
      <c r="E48" s="1">
        <v>-180.84</v>
      </c>
      <c r="F48" s="1">
        <v>0</v>
      </c>
      <c r="G48" s="1">
        <v>2441.3290000000002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35</v>
      </c>
      <c r="C49" s="1" t="s">
        <v>10</v>
      </c>
      <c r="D49" s="1">
        <v>0</v>
      </c>
      <c r="E49" s="1">
        <v>-180.84</v>
      </c>
      <c r="F49" s="1">
        <v>0</v>
      </c>
      <c r="G49" s="1">
        <v>2441.3290000000002</v>
      </c>
      <c r="H49" s="1">
        <v>0</v>
      </c>
      <c r="I49" s="1">
        <v>-723.35699999999997</v>
      </c>
    </row>
    <row r="50" spans="1:9" hidden="1" x14ac:dyDescent="0.25">
      <c r="A50" s="1" t="s">
        <v>157</v>
      </c>
      <c r="B50" s="1" t="s">
        <v>36</v>
      </c>
      <c r="C50" s="1" t="s">
        <v>25</v>
      </c>
      <c r="D50" s="1">
        <v>0</v>
      </c>
      <c r="E50" s="1">
        <v>180.84</v>
      </c>
      <c r="F50" s="1">
        <v>0</v>
      </c>
      <c r="G50" s="1">
        <v>-2983.846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36</v>
      </c>
      <c r="C51" s="1" t="s">
        <v>10</v>
      </c>
      <c r="D51" s="1">
        <v>0</v>
      </c>
      <c r="E51" s="1">
        <v>180.84</v>
      </c>
      <c r="F51" s="1">
        <v>0</v>
      </c>
      <c r="G51" s="1">
        <v>-2983.846</v>
      </c>
      <c r="H51" s="1">
        <v>0</v>
      </c>
      <c r="I51" s="1">
        <v>723.35699999999997</v>
      </c>
    </row>
    <row r="52" spans="1:9" hidden="1" x14ac:dyDescent="0.25">
      <c r="A52" s="1" t="s">
        <v>157</v>
      </c>
      <c r="B52" s="1" t="s">
        <v>37</v>
      </c>
      <c r="C52" s="1" t="s">
        <v>25</v>
      </c>
      <c r="D52" s="1">
        <v>0</v>
      </c>
      <c r="E52" s="1">
        <v>180.84</v>
      </c>
      <c r="F52" s="1">
        <v>0</v>
      </c>
      <c r="G52" s="1">
        <v>-2441.3290000000002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37</v>
      </c>
      <c r="C53" s="1" t="s">
        <v>10</v>
      </c>
      <c r="D53" s="1">
        <v>0</v>
      </c>
      <c r="E53" s="1">
        <v>180.84</v>
      </c>
      <c r="F53" s="1">
        <v>0</v>
      </c>
      <c r="G53" s="1">
        <v>-2441.3290000000002</v>
      </c>
      <c r="H53" s="1">
        <v>0</v>
      </c>
      <c r="I53" s="1">
        <v>723.35699999999997</v>
      </c>
    </row>
    <row r="54" spans="1:9" hidden="1" x14ac:dyDescent="0.25">
      <c r="A54" s="1" t="s">
        <v>157</v>
      </c>
      <c r="B54" s="1" t="s">
        <v>38</v>
      </c>
      <c r="C54" s="1" t="s">
        <v>25</v>
      </c>
      <c r="D54" s="1">
        <v>0</v>
      </c>
      <c r="E54" s="1">
        <v>0</v>
      </c>
      <c r="F54" s="1">
        <v>-218.59</v>
      </c>
      <c r="G54" s="1">
        <v>-4328.0910000000003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38</v>
      </c>
      <c r="C55" s="1" t="s">
        <v>10</v>
      </c>
      <c r="D55" s="1">
        <v>0</v>
      </c>
      <c r="E55" s="1">
        <v>0</v>
      </c>
      <c r="F55" s="1">
        <v>-218.59</v>
      </c>
      <c r="G55" s="1">
        <v>-4328.0910000000003</v>
      </c>
      <c r="H55" s="1">
        <v>874.36199999999997</v>
      </c>
      <c r="I55" s="1">
        <v>0</v>
      </c>
    </row>
    <row r="56" spans="1:9" hidden="1" x14ac:dyDescent="0.25">
      <c r="A56" s="1" t="s">
        <v>157</v>
      </c>
      <c r="B56" s="1" t="s">
        <v>39</v>
      </c>
      <c r="C56" s="1" t="s">
        <v>25</v>
      </c>
      <c r="D56" s="1">
        <v>0</v>
      </c>
      <c r="E56" s="1">
        <v>0</v>
      </c>
      <c r="F56" s="1">
        <v>-218.59</v>
      </c>
      <c r="G56" s="1">
        <v>-3541.1660000000002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39</v>
      </c>
      <c r="C57" s="1" t="s">
        <v>10</v>
      </c>
      <c r="D57" s="1">
        <v>0</v>
      </c>
      <c r="E57" s="1">
        <v>0</v>
      </c>
      <c r="F57" s="1">
        <v>-218.59</v>
      </c>
      <c r="G57" s="1">
        <v>-3541.1660000000002</v>
      </c>
      <c r="H57" s="1">
        <v>874.36199999999997</v>
      </c>
      <c r="I57" s="1">
        <v>0</v>
      </c>
    </row>
    <row r="58" spans="1:9" hidden="1" x14ac:dyDescent="0.25">
      <c r="A58" s="1" t="s">
        <v>157</v>
      </c>
      <c r="B58" s="1" t="s">
        <v>40</v>
      </c>
      <c r="C58" s="1" t="s">
        <v>25</v>
      </c>
      <c r="D58" s="1">
        <v>0</v>
      </c>
      <c r="E58" s="1">
        <v>0</v>
      </c>
      <c r="F58" s="1">
        <v>218.59</v>
      </c>
      <c r="G58" s="1">
        <v>4328.0910000000003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40</v>
      </c>
      <c r="C59" s="1" t="s">
        <v>10</v>
      </c>
      <c r="D59" s="1">
        <v>0</v>
      </c>
      <c r="E59" s="1">
        <v>0</v>
      </c>
      <c r="F59" s="1">
        <v>218.59</v>
      </c>
      <c r="G59" s="1">
        <v>4328.0910000000003</v>
      </c>
      <c r="H59" s="1">
        <v>-874.36199999999997</v>
      </c>
      <c r="I59" s="1">
        <v>0</v>
      </c>
    </row>
    <row r="60" spans="1:9" hidden="1" x14ac:dyDescent="0.25">
      <c r="A60" s="1" t="s">
        <v>157</v>
      </c>
      <c r="B60" s="1" t="s">
        <v>41</v>
      </c>
      <c r="C60" s="1" t="s">
        <v>25</v>
      </c>
      <c r="D60" s="1">
        <v>0</v>
      </c>
      <c r="E60" s="1">
        <v>0</v>
      </c>
      <c r="F60" s="1">
        <v>218.59</v>
      </c>
      <c r="G60" s="1">
        <v>3541.1660000000002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41</v>
      </c>
      <c r="C61" s="1" t="s">
        <v>10</v>
      </c>
      <c r="D61" s="1">
        <v>0</v>
      </c>
      <c r="E61" s="1">
        <v>0</v>
      </c>
      <c r="F61" s="1">
        <v>218.59</v>
      </c>
      <c r="G61" s="1">
        <v>3541.1660000000002</v>
      </c>
      <c r="H61" s="1">
        <v>-874.36199999999997</v>
      </c>
      <c r="I61" s="1">
        <v>0</v>
      </c>
    </row>
    <row r="62" spans="1:9" hidden="1" x14ac:dyDescent="0.25">
      <c r="A62" s="1" t="s">
        <v>157</v>
      </c>
      <c r="B62" s="1" t="s">
        <v>42</v>
      </c>
      <c r="C62" s="1" t="s">
        <v>25</v>
      </c>
      <c r="D62" s="1">
        <v>0</v>
      </c>
      <c r="E62" s="1">
        <v>-180.84</v>
      </c>
      <c r="F62" s="1">
        <v>0</v>
      </c>
      <c r="G62" s="1">
        <v>2983.846</v>
      </c>
      <c r="H62" s="1">
        <v>0</v>
      </c>
      <c r="I62" s="1">
        <v>0</v>
      </c>
    </row>
    <row r="63" spans="1:9" hidden="1" x14ac:dyDescent="0.25">
      <c r="A63" s="1" t="s">
        <v>157</v>
      </c>
      <c r="B63" s="1" t="s">
        <v>42</v>
      </c>
      <c r="C63" s="1" t="s">
        <v>10</v>
      </c>
      <c r="D63" s="1">
        <v>0</v>
      </c>
      <c r="E63" s="1">
        <v>-180.84</v>
      </c>
      <c r="F63" s="1">
        <v>0</v>
      </c>
      <c r="G63" s="1">
        <v>2983.846</v>
      </c>
      <c r="H63" s="1">
        <v>0</v>
      </c>
      <c r="I63" s="1">
        <v>-723.35699999999997</v>
      </c>
    </row>
    <row r="64" spans="1:9" hidden="1" x14ac:dyDescent="0.25">
      <c r="A64" s="1" t="s">
        <v>157</v>
      </c>
      <c r="B64" s="1" t="s">
        <v>43</v>
      </c>
      <c r="C64" s="1" t="s">
        <v>25</v>
      </c>
      <c r="D64" s="1">
        <v>0</v>
      </c>
      <c r="E64" s="1">
        <v>-180.84</v>
      </c>
      <c r="F64" s="1">
        <v>0</v>
      </c>
      <c r="G64" s="1">
        <v>2441.3290000000002</v>
      </c>
      <c r="H64" s="1">
        <v>0</v>
      </c>
      <c r="I64" s="1">
        <v>0</v>
      </c>
    </row>
    <row r="65" spans="1:9" hidden="1" x14ac:dyDescent="0.25">
      <c r="A65" s="1" t="s">
        <v>157</v>
      </c>
      <c r="B65" s="1" t="s">
        <v>43</v>
      </c>
      <c r="C65" s="1" t="s">
        <v>10</v>
      </c>
      <c r="D65" s="1">
        <v>0</v>
      </c>
      <c r="E65" s="1">
        <v>-180.84</v>
      </c>
      <c r="F65" s="1">
        <v>0</v>
      </c>
      <c r="G65" s="1">
        <v>2441.3290000000002</v>
      </c>
      <c r="H65" s="1">
        <v>0</v>
      </c>
      <c r="I65" s="1">
        <v>-723.35699999999997</v>
      </c>
    </row>
    <row r="66" spans="1:9" hidden="1" x14ac:dyDescent="0.25">
      <c r="A66" s="1" t="s">
        <v>157</v>
      </c>
      <c r="B66" s="1" t="s">
        <v>44</v>
      </c>
      <c r="C66" s="1" t="s">
        <v>25</v>
      </c>
      <c r="D66" s="1">
        <v>0</v>
      </c>
      <c r="E66" s="1">
        <v>180.84</v>
      </c>
      <c r="F66" s="1">
        <v>0</v>
      </c>
      <c r="G66" s="1">
        <v>-2983.846</v>
      </c>
      <c r="H66" s="1">
        <v>0</v>
      </c>
      <c r="I66" s="1">
        <v>0</v>
      </c>
    </row>
    <row r="67" spans="1:9" hidden="1" x14ac:dyDescent="0.25">
      <c r="A67" s="1" t="s">
        <v>157</v>
      </c>
      <c r="B67" s="1" t="s">
        <v>44</v>
      </c>
      <c r="C67" s="1" t="s">
        <v>10</v>
      </c>
      <c r="D67" s="1">
        <v>0</v>
      </c>
      <c r="E67" s="1">
        <v>180.84</v>
      </c>
      <c r="F67" s="1">
        <v>0</v>
      </c>
      <c r="G67" s="1">
        <v>-2983.846</v>
      </c>
      <c r="H67" s="1">
        <v>0</v>
      </c>
      <c r="I67" s="1">
        <v>723.35699999999997</v>
      </c>
    </row>
    <row r="68" spans="1:9" hidden="1" x14ac:dyDescent="0.25">
      <c r="A68" s="1" t="s">
        <v>157</v>
      </c>
      <c r="B68" s="1" t="s">
        <v>45</v>
      </c>
      <c r="C68" s="1" t="s">
        <v>25</v>
      </c>
      <c r="D68" s="1">
        <v>0</v>
      </c>
      <c r="E68" s="1">
        <v>180.84</v>
      </c>
      <c r="F68" s="1">
        <v>0</v>
      </c>
      <c r="G68" s="1">
        <v>-2441.3290000000002</v>
      </c>
      <c r="H68" s="1">
        <v>0</v>
      </c>
      <c r="I68" s="1">
        <v>0</v>
      </c>
    </row>
    <row r="69" spans="1:9" hidden="1" x14ac:dyDescent="0.25">
      <c r="A69" s="1" t="s">
        <v>157</v>
      </c>
      <c r="B69" s="1" t="s">
        <v>45</v>
      </c>
      <c r="C69" s="1" t="s">
        <v>10</v>
      </c>
      <c r="D69" s="1">
        <v>0</v>
      </c>
      <c r="E69" s="1">
        <v>180.84</v>
      </c>
      <c r="F69" s="1">
        <v>0</v>
      </c>
      <c r="G69" s="1">
        <v>-2441.3290000000002</v>
      </c>
      <c r="H69" s="1">
        <v>0</v>
      </c>
      <c r="I69" s="1">
        <v>723.35699999999997</v>
      </c>
    </row>
    <row r="70" spans="1:9" hidden="1" x14ac:dyDescent="0.25">
      <c r="A70" s="1" t="s">
        <v>157</v>
      </c>
      <c r="B70" s="1" t="s">
        <v>46</v>
      </c>
      <c r="C70" s="1" t="s">
        <v>25</v>
      </c>
      <c r="D70" s="1">
        <v>0</v>
      </c>
      <c r="E70" s="1">
        <v>0</v>
      </c>
      <c r="F70" s="1">
        <v>-218.59</v>
      </c>
      <c r="G70" s="1">
        <v>-4328.0910000000003</v>
      </c>
      <c r="H70" s="1">
        <v>0</v>
      </c>
      <c r="I70" s="1">
        <v>0</v>
      </c>
    </row>
    <row r="71" spans="1:9" hidden="1" x14ac:dyDescent="0.25">
      <c r="A71" s="1" t="s">
        <v>157</v>
      </c>
      <c r="B71" s="1" t="s">
        <v>46</v>
      </c>
      <c r="C71" s="1" t="s">
        <v>10</v>
      </c>
      <c r="D71" s="1">
        <v>0</v>
      </c>
      <c r="E71" s="1">
        <v>0</v>
      </c>
      <c r="F71" s="1">
        <v>-218.59</v>
      </c>
      <c r="G71" s="1">
        <v>-4328.0910000000003</v>
      </c>
      <c r="H71" s="1">
        <v>874.36199999999997</v>
      </c>
      <c r="I71" s="1">
        <v>0</v>
      </c>
    </row>
    <row r="72" spans="1:9" hidden="1" x14ac:dyDescent="0.25">
      <c r="A72" s="1" t="s">
        <v>157</v>
      </c>
      <c r="B72" s="1" t="s">
        <v>47</v>
      </c>
      <c r="C72" s="1" t="s">
        <v>25</v>
      </c>
      <c r="D72" s="1">
        <v>0</v>
      </c>
      <c r="E72" s="1">
        <v>0</v>
      </c>
      <c r="F72" s="1">
        <v>-218.59</v>
      </c>
      <c r="G72" s="1">
        <v>-3541.1660000000002</v>
      </c>
      <c r="H72" s="1">
        <v>0</v>
      </c>
      <c r="I72" s="1">
        <v>0</v>
      </c>
    </row>
    <row r="73" spans="1:9" hidden="1" x14ac:dyDescent="0.25">
      <c r="A73" s="1" t="s">
        <v>157</v>
      </c>
      <c r="B73" s="1" t="s">
        <v>47</v>
      </c>
      <c r="C73" s="1" t="s">
        <v>10</v>
      </c>
      <c r="D73" s="1">
        <v>0</v>
      </c>
      <c r="E73" s="1">
        <v>0</v>
      </c>
      <c r="F73" s="1">
        <v>-218.59</v>
      </c>
      <c r="G73" s="1">
        <v>-3541.1660000000002</v>
      </c>
      <c r="H73" s="1">
        <v>874.36199999999997</v>
      </c>
      <c r="I73" s="1">
        <v>0</v>
      </c>
    </row>
    <row r="74" spans="1:9" hidden="1" x14ac:dyDescent="0.25">
      <c r="A74" s="1" t="s">
        <v>157</v>
      </c>
      <c r="B74" s="1" t="s">
        <v>48</v>
      </c>
      <c r="C74" s="1" t="s">
        <v>25</v>
      </c>
      <c r="D74" s="1">
        <v>0</v>
      </c>
      <c r="E74" s="1">
        <v>0</v>
      </c>
      <c r="F74" s="1">
        <v>218.59</v>
      </c>
      <c r="G74" s="1">
        <v>4328.0910000000003</v>
      </c>
      <c r="H74" s="1">
        <v>0</v>
      </c>
      <c r="I74" s="1">
        <v>0</v>
      </c>
    </row>
    <row r="75" spans="1:9" hidden="1" x14ac:dyDescent="0.25">
      <c r="A75" s="1" t="s">
        <v>157</v>
      </c>
      <c r="B75" s="1" t="s">
        <v>48</v>
      </c>
      <c r="C75" s="1" t="s">
        <v>10</v>
      </c>
      <c r="D75" s="1">
        <v>0</v>
      </c>
      <c r="E75" s="1">
        <v>0</v>
      </c>
      <c r="F75" s="1">
        <v>218.59</v>
      </c>
      <c r="G75" s="1">
        <v>4328.0910000000003</v>
      </c>
      <c r="H75" s="1">
        <v>-874.36199999999997</v>
      </c>
      <c r="I75" s="1">
        <v>0</v>
      </c>
    </row>
    <row r="76" spans="1:9" hidden="1" x14ac:dyDescent="0.25">
      <c r="A76" s="1" t="s">
        <v>157</v>
      </c>
      <c r="B76" s="1" t="s">
        <v>49</v>
      </c>
      <c r="C76" s="1" t="s">
        <v>25</v>
      </c>
      <c r="D76" s="1">
        <v>0</v>
      </c>
      <c r="E76" s="1">
        <v>0</v>
      </c>
      <c r="F76" s="1">
        <v>218.59</v>
      </c>
      <c r="G76" s="1">
        <v>3541.1660000000002</v>
      </c>
      <c r="H76" s="1">
        <v>0</v>
      </c>
      <c r="I76" s="1">
        <v>0</v>
      </c>
    </row>
    <row r="77" spans="1:9" hidden="1" x14ac:dyDescent="0.25">
      <c r="A77" s="1" t="s">
        <v>157</v>
      </c>
      <c r="B77" s="1" t="s">
        <v>49</v>
      </c>
      <c r="C77" s="1" t="s">
        <v>10</v>
      </c>
      <c r="D77" s="1">
        <v>0</v>
      </c>
      <c r="E77" s="1">
        <v>0</v>
      </c>
      <c r="F77" s="1">
        <v>218.59</v>
      </c>
      <c r="G77" s="1">
        <v>3541.1660000000002</v>
      </c>
      <c r="H77" s="1">
        <v>-874.36199999999997</v>
      </c>
      <c r="I77" s="1">
        <v>0</v>
      </c>
    </row>
    <row r="78" spans="1:9" hidden="1" x14ac:dyDescent="0.25">
      <c r="A78" s="1" t="s">
        <v>157</v>
      </c>
      <c r="B78" s="1" t="s">
        <v>50</v>
      </c>
      <c r="C78" s="1" t="s">
        <v>25</v>
      </c>
      <c r="D78" s="1">
        <v>0</v>
      </c>
      <c r="E78" s="1">
        <v>-54.25</v>
      </c>
      <c r="F78" s="1">
        <v>0</v>
      </c>
      <c r="G78" s="1">
        <v>895.154</v>
      </c>
      <c r="H78" s="1">
        <v>0</v>
      </c>
      <c r="I78" s="1">
        <v>0</v>
      </c>
    </row>
    <row r="79" spans="1:9" hidden="1" x14ac:dyDescent="0.25">
      <c r="A79" s="1" t="s">
        <v>157</v>
      </c>
      <c r="B79" s="1" t="s">
        <v>50</v>
      </c>
      <c r="C79" s="1" t="s">
        <v>10</v>
      </c>
      <c r="D79" s="1">
        <v>0</v>
      </c>
      <c r="E79" s="1">
        <v>-54.25</v>
      </c>
      <c r="F79" s="1">
        <v>0</v>
      </c>
      <c r="G79" s="1">
        <v>895.154</v>
      </c>
      <c r="H79" s="1">
        <v>0</v>
      </c>
      <c r="I79" s="1">
        <v>-217.00700000000001</v>
      </c>
    </row>
    <row r="80" spans="1:9" hidden="1" x14ac:dyDescent="0.25">
      <c r="A80" s="1" t="s">
        <v>157</v>
      </c>
      <c r="B80" s="1" t="s">
        <v>51</v>
      </c>
      <c r="C80" s="1" t="s">
        <v>25</v>
      </c>
      <c r="D80" s="1">
        <v>0</v>
      </c>
      <c r="E80" s="1">
        <v>-54.25</v>
      </c>
      <c r="F80" s="1">
        <v>0</v>
      </c>
      <c r="G80" s="1">
        <v>732.399</v>
      </c>
      <c r="H80" s="1">
        <v>0</v>
      </c>
      <c r="I80" s="1">
        <v>0</v>
      </c>
    </row>
    <row r="81" spans="1:9" hidden="1" x14ac:dyDescent="0.25">
      <c r="A81" s="1" t="s">
        <v>157</v>
      </c>
      <c r="B81" s="1" t="s">
        <v>51</v>
      </c>
      <c r="C81" s="1" t="s">
        <v>10</v>
      </c>
      <c r="D81" s="1">
        <v>0</v>
      </c>
      <c r="E81" s="1">
        <v>-54.25</v>
      </c>
      <c r="F81" s="1">
        <v>0</v>
      </c>
      <c r="G81" s="1">
        <v>732.399</v>
      </c>
      <c r="H81" s="1">
        <v>0</v>
      </c>
      <c r="I81" s="1">
        <v>-217.00700000000001</v>
      </c>
    </row>
    <row r="82" spans="1:9" hidden="1" x14ac:dyDescent="0.25">
      <c r="A82" s="1" t="s">
        <v>157</v>
      </c>
      <c r="B82" s="1" t="s">
        <v>52</v>
      </c>
      <c r="C82" s="1" t="s">
        <v>25</v>
      </c>
      <c r="D82" s="1">
        <v>0</v>
      </c>
      <c r="E82" s="1">
        <v>54.25</v>
      </c>
      <c r="F82" s="1">
        <v>0</v>
      </c>
      <c r="G82" s="1">
        <v>-895.154</v>
      </c>
      <c r="H82" s="1">
        <v>0</v>
      </c>
      <c r="I82" s="1">
        <v>0</v>
      </c>
    </row>
    <row r="83" spans="1:9" hidden="1" x14ac:dyDescent="0.25">
      <c r="A83" s="1" t="s">
        <v>157</v>
      </c>
      <c r="B83" s="1" t="s">
        <v>52</v>
      </c>
      <c r="C83" s="1" t="s">
        <v>10</v>
      </c>
      <c r="D83" s="1">
        <v>0</v>
      </c>
      <c r="E83" s="1">
        <v>54.25</v>
      </c>
      <c r="F83" s="1">
        <v>0</v>
      </c>
      <c r="G83" s="1">
        <v>-895.154</v>
      </c>
      <c r="H83" s="1">
        <v>0</v>
      </c>
      <c r="I83" s="1">
        <v>217.00700000000001</v>
      </c>
    </row>
    <row r="84" spans="1:9" hidden="1" x14ac:dyDescent="0.25">
      <c r="A84" s="1" t="s">
        <v>157</v>
      </c>
      <c r="B84" s="1" t="s">
        <v>53</v>
      </c>
      <c r="C84" s="1" t="s">
        <v>25</v>
      </c>
      <c r="D84" s="1">
        <v>0</v>
      </c>
      <c r="E84" s="1">
        <v>54.25</v>
      </c>
      <c r="F84" s="1">
        <v>0</v>
      </c>
      <c r="G84" s="1">
        <v>-732.399</v>
      </c>
      <c r="H84" s="1">
        <v>0</v>
      </c>
      <c r="I84" s="1">
        <v>0</v>
      </c>
    </row>
    <row r="85" spans="1:9" hidden="1" x14ac:dyDescent="0.25">
      <c r="A85" s="1" t="s">
        <v>157</v>
      </c>
      <c r="B85" s="1" t="s">
        <v>53</v>
      </c>
      <c r="C85" s="1" t="s">
        <v>10</v>
      </c>
      <c r="D85" s="1">
        <v>0</v>
      </c>
      <c r="E85" s="1">
        <v>54.25</v>
      </c>
      <c r="F85" s="1">
        <v>0</v>
      </c>
      <c r="G85" s="1">
        <v>-732.399</v>
      </c>
      <c r="H85" s="1">
        <v>0</v>
      </c>
      <c r="I85" s="1">
        <v>217.00700000000001</v>
      </c>
    </row>
    <row r="86" spans="1:9" hidden="1" x14ac:dyDescent="0.25">
      <c r="A86" s="1" t="s">
        <v>157</v>
      </c>
      <c r="B86" s="1" t="s">
        <v>54</v>
      </c>
      <c r="C86" s="1" t="s">
        <v>25</v>
      </c>
      <c r="D86" s="1">
        <v>0</v>
      </c>
      <c r="E86" s="1">
        <v>0</v>
      </c>
      <c r="F86" s="1">
        <v>-65.58</v>
      </c>
      <c r="G86" s="1">
        <v>-1298.4269999999999</v>
      </c>
      <c r="H86" s="1">
        <v>0</v>
      </c>
      <c r="I86" s="1">
        <v>0</v>
      </c>
    </row>
    <row r="87" spans="1:9" hidden="1" x14ac:dyDescent="0.25">
      <c r="A87" s="1" t="s">
        <v>157</v>
      </c>
      <c r="B87" s="1" t="s">
        <v>54</v>
      </c>
      <c r="C87" s="1" t="s">
        <v>10</v>
      </c>
      <c r="D87" s="1">
        <v>0</v>
      </c>
      <c r="E87" s="1">
        <v>0</v>
      </c>
      <c r="F87" s="1">
        <v>-65.58</v>
      </c>
      <c r="G87" s="1">
        <v>-1298.4269999999999</v>
      </c>
      <c r="H87" s="1">
        <v>262.30900000000003</v>
      </c>
      <c r="I87" s="1">
        <v>0</v>
      </c>
    </row>
    <row r="88" spans="1:9" hidden="1" x14ac:dyDescent="0.25">
      <c r="A88" s="1" t="s">
        <v>157</v>
      </c>
      <c r="B88" s="1" t="s">
        <v>55</v>
      </c>
      <c r="C88" s="1" t="s">
        <v>25</v>
      </c>
      <c r="D88" s="1">
        <v>0</v>
      </c>
      <c r="E88" s="1">
        <v>0</v>
      </c>
      <c r="F88" s="1">
        <v>-65.58</v>
      </c>
      <c r="G88" s="1">
        <v>-1062.3499999999999</v>
      </c>
      <c r="H88" s="1">
        <v>0</v>
      </c>
      <c r="I88" s="1">
        <v>0</v>
      </c>
    </row>
    <row r="89" spans="1:9" hidden="1" x14ac:dyDescent="0.25">
      <c r="A89" s="1" t="s">
        <v>157</v>
      </c>
      <c r="B89" s="1" t="s">
        <v>55</v>
      </c>
      <c r="C89" s="1" t="s">
        <v>10</v>
      </c>
      <c r="D89" s="1">
        <v>0</v>
      </c>
      <c r="E89" s="1">
        <v>0</v>
      </c>
      <c r="F89" s="1">
        <v>-65.58</v>
      </c>
      <c r="G89" s="1">
        <v>-1062.3499999999999</v>
      </c>
      <c r="H89" s="1">
        <v>262.30900000000003</v>
      </c>
      <c r="I89" s="1">
        <v>0</v>
      </c>
    </row>
    <row r="90" spans="1:9" hidden="1" x14ac:dyDescent="0.25">
      <c r="A90" s="1" t="s">
        <v>157</v>
      </c>
      <c r="B90" s="1" t="s">
        <v>56</v>
      </c>
      <c r="C90" s="1" t="s">
        <v>25</v>
      </c>
      <c r="D90" s="1">
        <v>0</v>
      </c>
      <c r="E90" s="1">
        <v>0</v>
      </c>
      <c r="F90" s="1">
        <v>65.58</v>
      </c>
      <c r="G90" s="1">
        <v>1298.4269999999999</v>
      </c>
      <c r="H90" s="1">
        <v>0</v>
      </c>
      <c r="I90" s="1">
        <v>0</v>
      </c>
    </row>
    <row r="91" spans="1:9" hidden="1" x14ac:dyDescent="0.25">
      <c r="A91" s="1" t="s">
        <v>157</v>
      </c>
      <c r="B91" s="1" t="s">
        <v>56</v>
      </c>
      <c r="C91" s="1" t="s">
        <v>10</v>
      </c>
      <c r="D91" s="1">
        <v>0</v>
      </c>
      <c r="E91" s="1">
        <v>0</v>
      </c>
      <c r="F91" s="1">
        <v>65.58</v>
      </c>
      <c r="G91" s="1">
        <v>1298.4269999999999</v>
      </c>
      <c r="H91" s="1">
        <v>-262.30900000000003</v>
      </c>
      <c r="I91" s="1">
        <v>0</v>
      </c>
    </row>
    <row r="92" spans="1:9" hidden="1" x14ac:dyDescent="0.25">
      <c r="A92" s="1" t="s">
        <v>157</v>
      </c>
      <c r="B92" s="1" t="s">
        <v>57</v>
      </c>
      <c r="C92" s="1" t="s">
        <v>25</v>
      </c>
      <c r="D92" s="1">
        <v>0</v>
      </c>
      <c r="E92" s="1">
        <v>0</v>
      </c>
      <c r="F92" s="1">
        <v>65.58</v>
      </c>
      <c r="G92" s="1">
        <v>1062.3499999999999</v>
      </c>
      <c r="H92" s="1">
        <v>0</v>
      </c>
      <c r="I92" s="1">
        <v>0</v>
      </c>
    </row>
    <row r="93" spans="1:9" hidden="1" x14ac:dyDescent="0.25">
      <c r="A93" s="1" t="s">
        <v>157</v>
      </c>
      <c r="B93" s="1" t="s">
        <v>57</v>
      </c>
      <c r="C93" s="1" t="s">
        <v>10</v>
      </c>
      <c r="D93" s="1">
        <v>0</v>
      </c>
      <c r="E93" s="1">
        <v>0</v>
      </c>
      <c r="F93" s="1">
        <v>65.58</v>
      </c>
      <c r="G93" s="1">
        <v>1062.3499999999999</v>
      </c>
      <c r="H93" s="1">
        <v>-262.30900000000003</v>
      </c>
      <c r="I93" s="1">
        <v>0</v>
      </c>
    </row>
    <row r="94" spans="1:9" hidden="1" x14ac:dyDescent="0.25">
      <c r="A94" s="1" t="s">
        <v>157</v>
      </c>
      <c r="B94" s="1" t="s">
        <v>58</v>
      </c>
      <c r="C94" s="1" t="s">
        <v>25</v>
      </c>
      <c r="D94" s="1">
        <v>0</v>
      </c>
      <c r="E94" s="1">
        <v>-54.25</v>
      </c>
      <c r="F94" s="1">
        <v>0</v>
      </c>
      <c r="G94" s="1">
        <v>895.154</v>
      </c>
      <c r="H94" s="1">
        <v>0</v>
      </c>
      <c r="I94" s="1">
        <v>0</v>
      </c>
    </row>
    <row r="95" spans="1:9" hidden="1" x14ac:dyDescent="0.25">
      <c r="A95" s="1" t="s">
        <v>157</v>
      </c>
      <c r="B95" s="1" t="s">
        <v>58</v>
      </c>
      <c r="C95" s="1" t="s">
        <v>10</v>
      </c>
      <c r="D95" s="1">
        <v>0</v>
      </c>
      <c r="E95" s="1">
        <v>-54.25</v>
      </c>
      <c r="F95" s="1">
        <v>0</v>
      </c>
      <c r="G95" s="1">
        <v>895.154</v>
      </c>
      <c r="H95" s="1">
        <v>0</v>
      </c>
      <c r="I95" s="1">
        <v>-217.00700000000001</v>
      </c>
    </row>
    <row r="96" spans="1:9" hidden="1" x14ac:dyDescent="0.25">
      <c r="A96" s="1" t="s">
        <v>157</v>
      </c>
      <c r="B96" s="1" t="s">
        <v>59</v>
      </c>
      <c r="C96" s="1" t="s">
        <v>25</v>
      </c>
      <c r="D96" s="1">
        <v>0</v>
      </c>
      <c r="E96" s="1">
        <v>-54.25</v>
      </c>
      <c r="F96" s="1">
        <v>0</v>
      </c>
      <c r="G96" s="1">
        <v>732.399</v>
      </c>
      <c r="H96" s="1">
        <v>0</v>
      </c>
      <c r="I96" s="1">
        <v>0</v>
      </c>
    </row>
    <row r="97" spans="1:9" hidden="1" x14ac:dyDescent="0.25">
      <c r="A97" s="1" t="s">
        <v>157</v>
      </c>
      <c r="B97" s="1" t="s">
        <v>59</v>
      </c>
      <c r="C97" s="1" t="s">
        <v>10</v>
      </c>
      <c r="D97" s="1">
        <v>0</v>
      </c>
      <c r="E97" s="1">
        <v>-54.25</v>
      </c>
      <c r="F97" s="1">
        <v>0</v>
      </c>
      <c r="G97" s="1">
        <v>732.399</v>
      </c>
      <c r="H97" s="1">
        <v>0</v>
      </c>
      <c r="I97" s="1">
        <v>-217.00700000000001</v>
      </c>
    </row>
    <row r="98" spans="1:9" hidden="1" x14ac:dyDescent="0.25">
      <c r="A98" s="1" t="s">
        <v>157</v>
      </c>
      <c r="B98" s="1" t="s">
        <v>60</v>
      </c>
      <c r="C98" s="1" t="s">
        <v>25</v>
      </c>
      <c r="D98" s="1">
        <v>0</v>
      </c>
      <c r="E98" s="1">
        <v>54.25</v>
      </c>
      <c r="F98" s="1">
        <v>0</v>
      </c>
      <c r="G98" s="1">
        <v>-895.154</v>
      </c>
      <c r="H98" s="1">
        <v>0</v>
      </c>
      <c r="I98" s="1">
        <v>0</v>
      </c>
    </row>
    <row r="99" spans="1:9" hidden="1" x14ac:dyDescent="0.25">
      <c r="A99" s="1" t="s">
        <v>157</v>
      </c>
      <c r="B99" s="1" t="s">
        <v>60</v>
      </c>
      <c r="C99" s="1" t="s">
        <v>10</v>
      </c>
      <c r="D99" s="1">
        <v>0</v>
      </c>
      <c r="E99" s="1">
        <v>54.25</v>
      </c>
      <c r="F99" s="1">
        <v>0</v>
      </c>
      <c r="G99" s="1">
        <v>-895.154</v>
      </c>
      <c r="H99" s="1">
        <v>0</v>
      </c>
      <c r="I99" s="1">
        <v>217.00700000000001</v>
      </c>
    </row>
    <row r="100" spans="1:9" hidden="1" x14ac:dyDescent="0.25">
      <c r="A100" s="1" t="s">
        <v>157</v>
      </c>
      <c r="B100" s="1" t="s">
        <v>61</v>
      </c>
      <c r="C100" s="1" t="s">
        <v>25</v>
      </c>
      <c r="D100" s="1">
        <v>0</v>
      </c>
      <c r="E100" s="1">
        <v>54.25</v>
      </c>
      <c r="F100" s="1">
        <v>0</v>
      </c>
      <c r="G100" s="1">
        <v>-732.399</v>
      </c>
      <c r="H100" s="1">
        <v>0</v>
      </c>
      <c r="I100" s="1">
        <v>0</v>
      </c>
    </row>
    <row r="101" spans="1:9" hidden="1" x14ac:dyDescent="0.25">
      <c r="A101" s="1" t="s">
        <v>157</v>
      </c>
      <c r="B101" s="1" t="s">
        <v>61</v>
      </c>
      <c r="C101" s="1" t="s">
        <v>10</v>
      </c>
      <c r="D101" s="1">
        <v>0</v>
      </c>
      <c r="E101" s="1">
        <v>54.25</v>
      </c>
      <c r="F101" s="1">
        <v>0</v>
      </c>
      <c r="G101" s="1">
        <v>-732.399</v>
      </c>
      <c r="H101" s="1">
        <v>0</v>
      </c>
      <c r="I101" s="1">
        <v>217.00700000000001</v>
      </c>
    </row>
    <row r="102" spans="1:9" hidden="1" x14ac:dyDescent="0.25">
      <c r="A102" s="1" t="s">
        <v>157</v>
      </c>
      <c r="B102" s="1" t="s">
        <v>62</v>
      </c>
      <c r="C102" s="1" t="s">
        <v>25</v>
      </c>
      <c r="D102" s="1">
        <v>0</v>
      </c>
      <c r="E102" s="1">
        <v>0</v>
      </c>
      <c r="F102" s="1">
        <v>-65.58</v>
      </c>
      <c r="G102" s="1">
        <v>-1298.4269999999999</v>
      </c>
      <c r="H102" s="1">
        <v>0</v>
      </c>
      <c r="I102" s="1">
        <v>0</v>
      </c>
    </row>
    <row r="103" spans="1:9" hidden="1" x14ac:dyDescent="0.25">
      <c r="A103" s="1" t="s">
        <v>157</v>
      </c>
      <c r="B103" s="1" t="s">
        <v>62</v>
      </c>
      <c r="C103" s="1" t="s">
        <v>10</v>
      </c>
      <c r="D103" s="1">
        <v>0</v>
      </c>
      <c r="E103" s="1">
        <v>0</v>
      </c>
      <c r="F103" s="1">
        <v>-65.58</v>
      </c>
      <c r="G103" s="1">
        <v>-1298.4269999999999</v>
      </c>
      <c r="H103" s="1">
        <v>262.30900000000003</v>
      </c>
      <c r="I103" s="1">
        <v>0</v>
      </c>
    </row>
    <row r="104" spans="1:9" hidden="1" x14ac:dyDescent="0.25">
      <c r="A104" s="1" t="s">
        <v>157</v>
      </c>
      <c r="B104" s="1" t="s">
        <v>63</v>
      </c>
      <c r="C104" s="1" t="s">
        <v>25</v>
      </c>
      <c r="D104" s="1">
        <v>0</v>
      </c>
      <c r="E104" s="1">
        <v>0</v>
      </c>
      <c r="F104" s="1">
        <v>-65.58</v>
      </c>
      <c r="G104" s="1">
        <v>-1062.3499999999999</v>
      </c>
      <c r="H104" s="1">
        <v>0</v>
      </c>
      <c r="I104" s="1">
        <v>0</v>
      </c>
    </row>
    <row r="105" spans="1:9" hidden="1" x14ac:dyDescent="0.25">
      <c r="A105" s="1" t="s">
        <v>157</v>
      </c>
      <c r="B105" s="1" t="s">
        <v>63</v>
      </c>
      <c r="C105" s="1" t="s">
        <v>10</v>
      </c>
      <c r="D105" s="1">
        <v>0</v>
      </c>
      <c r="E105" s="1">
        <v>0</v>
      </c>
      <c r="F105" s="1">
        <v>-65.58</v>
      </c>
      <c r="G105" s="1">
        <v>-1062.3499999999999</v>
      </c>
      <c r="H105" s="1">
        <v>262.30900000000003</v>
      </c>
      <c r="I105" s="1">
        <v>0</v>
      </c>
    </row>
    <row r="106" spans="1:9" hidden="1" x14ac:dyDescent="0.25">
      <c r="A106" s="1" t="s">
        <v>157</v>
      </c>
      <c r="B106" s="1" t="s">
        <v>64</v>
      </c>
      <c r="C106" s="1" t="s">
        <v>25</v>
      </c>
      <c r="D106" s="1">
        <v>0</v>
      </c>
      <c r="E106" s="1">
        <v>0</v>
      </c>
      <c r="F106" s="1">
        <v>65.58</v>
      </c>
      <c r="G106" s="1">
        <v>1298.4269999999999</v>
      </c>
      <c r="H106" s="1">
        <v>0</v>
      </c>
      <c r="I106" s="1">
        <v>0</v>
      </c>
    </row>
    <row r="107" spans="1:9" hidden="1" x14ac:dyDescent="0.25">
      <c r="A107" s="1" t="s">
        <v>157</v>
      </c>
      <c r="B107" s="1" t="s">
        <v>64</v>
      </c>
      <c r="C107" s="1" t="s">
        <v>10</v>
      </c>
      <c r="D107" s="1">
        <v>0</v>
      </c>
      <c r="E107" s="1">
        <v>0</v>
      </c>
      <c r="F107" s="1">
        <v>65.58</v>
      </c>
      <c r="G107" s="1">
        <v>1298.4269999999999</v>
      </c>
      <c r="H107" s="1">
        <v>-262.30900000000003</v>
      </c>
      <c r="I107" s="1">
        <v>0</v>
      </c>
    </row>
    <row r="108" spans="1:9" hidden="1" x14ac:dyDescent="0.25">
      <c r="A108" s="1" t="s">
        <v>157</v>
      </c>
      <c r="B108" s="1" t="s">
        <v>65</v>
      </c>
      <c r="C108" s="1" t="s">
        <v>25</v>
      </c>
      <c r="D108" s="1">
        <v>0</v>
      </c>
      <c r="E108" s="1">
        <v>0</v>
      </c>
      <c r="F108" s="1">
        <v>65.58</v>
      </c>
      <c r="G108" s="1">
        <v>1062.3499999999999</v>
      </c>
      <c r="H108" s="1">
        <v>0</v>
      </c>
      <c r="I108" s="1">
        <v>0</v>
      </c>
    </row>
    <row r="109" spans="1:9" hidden="1" x14ac:dyDescent="0.25">
      <c r="A109" s="1" t="s">
        <v>157</v>
      </c>
      <c r="B109" s="1" t="s">
        <v>65</v>
      </c>
      <c r="C109" s="1" t="s">
        <v>10</v>
      </c>
      <c r="D109" s="1">
        <v>0</v>
      </c>
      <c r="E109" s="1">
        <v>0</v>
      </c>
      <c r="F109" s="1">
        <v>65.58</v>
      </c>
      <c r="G109" s="1">
        <v>1062.3499999999999</v>
      </c>
      <c r="H109" s="1">
        <v>-262.30900000000003</v>
      </c>
      <c r="I109" s="1">
        <v>0</v>
      </c>
    </row>
    <row r="110" spans="1:9" hidden="1" x14ac:dyDescent="0.25">
      <c r="A110" s="1" t="s">
        <v>157</v>
      </c>
      <c r="B110" s="1" t="s">
        <v>66</v>
      </c>
      <c r="C110" s="1" t="s">
        <v>25</v>
      </c>
      <c r="D110" s="1">
        <v>0</v>
      </c>
      <c r="E110" s="1">
        <v>-180.84</v>
      </c>
      <c r="F110" s="1">
        <v>0</v>
      </c>
      <c r="G110" s="1">
        <v>2983.846</v>
      </c>
      <c r="H110" s="1">
        <v>0</v>
      </c>
      <c r="I110" s="1">
        <v>0</v>
      </c>
    </row>
    <row r="111" spans="1:9" hidden="1" x14ac:dyDescent="0.25">
      <c r="A111" s="1" t="s">
        <v>157</v>
      </c>
      <c r="B111" s="1" t="s">
        <v>66</v>
      </c>
      <c r="C111" s="1" t="s">
        <v>10</v>
      </c>
      <c r="D111" s="1">
        <v>0</v>
      </c>
      <c r="E111" s="1">
        <v>-180.84</v>
      </c>
      <c r="F111" s="1">
        <v>0</v>
      </c>
      <c r="G111" s="1">
        <v>2983.846</v>
      </c>
      <c r="H111" s="1">
        <v>0</v>
      </c>
      <c r="I111" s="1">
        <v>-723.35699999999997</v>
      </c>
    </row>
    <row r="112" spans="1:9" hidden="1" x14ac:dyDescent="0.25">
      <c r="A112" s="1" t="s">
        <v>157</v>
      </c>
      <c r="B112" s="1" t="s">
        <v>67</v>
      </c>
      <c r="C112" s="1" t="s">
        <v>25</v>
      </c>
      <c r="D112" s="1">
        <v>0</v>
      </c>
      <c r="E112" s="1">
        <v>-180.84</v>
      </c>
      <c r="F112" s="1">
        <v>0</v>
      </c>
      <c r="G112" s="1">
        <v>2441.3290000000002</v>
      </c>
      <c r="H112" s="1">
        <v>0</v>
      </c>
      <c r="I112" s="1">
        <v>0</v>
      </c>
    </row>
    <row r="113" spans="1:9" hidden="1" x14ac:dyDescent="0.25">
      <c r="A113" s="1" t="s">
        <v>157</v>
      </c>
      <c r="B113" s="1" t="s">
        <v>67</v>
      </c>
      <c r="C113" s="1" t="s">
        <v>10</v>
      </c>
      <c r="D113" s="1">
        <v>0</v>
      </c>
      <c r="E113" s="1">
        <v>-180.84</v>
      </c>
      <c r="F113" s="1">
        <v>0</v>
      </c>
      <c r="G113" s="1">
        <v>2441.3290000000002</v>
      </c>
      <c r="H113" s="1">
        <v>0</v>
      </c>
      <c r="I113" s="1">
        <v>-723.35699999999997</v>
      </c>
    </row>
    <row r="114" spans="1:9" hidden="1" x14ac:dyDescent="0.25">
      <c r="A114" s="1" t="s">
        <v>157</v>
      </c>
      <c r="B114" s="1" t="s">
        <v>68</v>
      </c>
      <c r="C114" s="1" t="s">
        <v>25</v>
      </c>
      <c r="D114" s="1">
        <v>0</v>
      </c>
      <c r="E114" s="1">
        <v>180.84</v>
      </c>
      <c r="F114" s="1">
        <v>0</v>
      </c>
      <c r="G114" s="1">
        <v>-2983.846</v>
      </c>
      <c r="H114" s="1">
        <v>0</v>
      </c>
      <c r="I114" s="1">
        <v>0</v>
      </c>
    </row>
    <row r="115" spans="1:9" hidden="1" x14ac:dyDescent="0.25">
      <c r="A115" s="1" t="s">
        <v>157</v>
      </c>
      <c r="B115" s="1" t="s">
        <v>68</v>
      </c>
      <c r="C115" s="1" t="s">
        <v>10</v>
      </c>
      <c r="D115" s="1">
        <v>0</v>
      </c>
      <c r="E115" s="1">
        <v>180.84</v>
      </c>
      <c r="F115" s="1">
        <v>0</v>
      </c>
      <c r="G115" s="1">
        <v>-2983.846</v>
      </c>
      <c r="H115" s="1">
        <v>0</v>
      </c>
      <c r="I115" s="1">
        <v>723.35699999999997</v>
      </c>
    </row>
    <row r="116" spans="1:9" hidden="1" x14ac:dyDescent="0.25">
      <c r="A116" s="1" t="s">
        <v>157</v>
      </c>
      <c r="B116" s="1" t="s">
        <v>69</v>
      </c>
      <c r="C116" s="1" t="s">
        <v>25</v>
      </c>
      <c r="D116" s="1">
        <v>0</v>
      </c>
      <c r="E116" s="1">
        <v>180.84</v>
      </c>
      <c r="F116" s="1">
        <v>0</v>
      </c>
      <c r="G116" s="1">
        <v>-2441.3290000000002</v>
      </c>
      <c r="H116" s="1">
        <v>0</v>
      </c>
      <c r="I116" s="1">
        <v>0</v>
      </c>
    </row>
    <row r="117" spans="1:9" hidden="1" x14ac:dyDescent="0.25">
      <c r="A117" s="1" t="s">
        <v>157</v>
      </c>
      <c r="B117" s="1" t="s">
        <v>69</v>
      </c>
      <c r="C117" s="1" t="s">
        <v>10</v>
      </c>
      <c r="D117" s="1">
        <v>0</v>
      </c>
      <c r="E117" s="1">
        <v>180.84</v>
      </c>
      <c r="F117" s="1">
        <v>0</v>
      </c>
      <c r="G117" s="1">
        <v>-2441.3290000000002</v>
      </c>
      <c r="H117" s="1">
        <v>0</v>
      </c>
      <c r="I117" s="1">
        <v>723.35699999999997</v>
      </c>
    </row>
    <row r="118" spans="1:9" hidden="1" x14ac:dyDescent="0.25">
      <c r="A118" s="1" t="s">
        <v>157</v>
      </c>
      <c r="B118" s="1" t="s">
        <v>70</v>
      </c>
      <c r="C118" s="1" t="s">
        <v>25</v>
      </c>
      <c r="D118" s="1">
        <v>0</v>
      </c>
      <c r="E118" s="1">
        <v>0</v>
      </c>
      <c r="F118" s="1">
        <v>-218.59</v>
      </c>
      <c r="G118" s="1">
        <v>-4328.0910000000003</v>
      </c>
      <c r="H118" s="1">
        <v>0</v>
      </c>
      <c r="I118" s="1">
        <v>0</v>
      </c>
    </row>
    <row r="119" spans="1:9" hidden="1" x14ac:dyDescent="0.25">
      <c r="A119" s="1" t="s">
        <v>157</v>
      </c>
      <c r="B119" s="1" t="s">
        <v>70</v>
      </c>
      <c r="C119" s="1" t="s">
        <v>10</v>
      </c>
      <c r="D119" s="1">
        <v>0</v>
      </c>
      <c r="E119" s="1">
        <v>0</v>
      </c>
      <c r="F119" s="1">
        <v>-218.59</v>
      </c>
      <c r="G119" s="1">
        <v>-4328.0910000000003</v>
      </c>
      <c r="H119" s="1">
        <v>874.36199999999997</v>
      </c>
      <c r="I119" s="1">
        <v>0</v>
      </c>
    </row>
    <row r="120" spans="1:9" hidden="1" x14ac:dyDescent="0.25">
      <c r="A120" s="1" t="s">
        <v>157</v>
      </c>
      <c r="B120" s="1" t="s">
        <v>71</v>
      </c>
      <c r="C120" s="1" t="s">
        <v>25</v>
      </c>
      <c r="D120" s="1">
        <v>0</v>
      </c>
      <c r="E120" s="1">
        <v>0</v>
      </c>
      <c r="F120" s="1">
        <v>-218.59</v>
      </c>
      <c r="G120" s="1">
        <v>-3541.1660000000002</v>
      </c>
      <c r="H120" s="1">
        <v>0</v>
      </c>
      <c r="I120" s="1">
        <v>0</v>
      </c>
    </row>
    <row r="121" spans="1:9" hidden="1" x14ac:dyDescent="0.25">
      <c r="A121" s="1" t="s">
        <v>157</v>
      </c>
      <c r="B121" s="1" t="s">
        <v>71</v>
      </c>
      <c r="C121" s="1" t="s">
        <v>10</v>
      </c>
      <c r="D121" s="1">
        <v>0</v>
      </c>
      <c r="E121" s="1">
        <v>0</v>
      </c>
      <c r="F121" s="1">
        <v>-218.59</v>
      </c>
      <c r="G121" s="1">
        <v>-3541.1660000000002</v>
      </c>
      <c r="H121" s="1">
        <v>874.36199999999997</v>
      </c>
      <c r="I121" s="1">
        <v>0</v>
      </c>
    </row>
    <row r="122" spans="1:9" hidden="1" x14ac:dyDescent="0.25">
      <c r="A122" s="1" t="s">
        <v>157</v>
      </c>
      <c r="B122" s="1" t="s">
        <v>72</v>
      </c>
      <c r="C122" s="1" t="s">
        <v>25</v>
      </c>
      <c r="D122" s="1">
        <v>0</v>
      </c>
      <c r="E122" s="1">
        <v>0</v>
      </c>
      <c r="F122" s="1">
        <v>218.59</v>
      </c>
      <c r="G122" s="1">
        <v>4328.0910000000003</v>
      </c>
      <c r="H122" s="1">
        <v>0</v>
      </c>
      <c r="I122" s="1">
        <v>0</v>
      </c>
    </row>
    <row r="123" spans="1:9" hidden="1" x14ac:dyDescent="0.25">
      <c r="A123" s="1" t="s">
        <v>157</v>
      </c>
      <c r="B123" s="1" t="s">
        <v>72</v>
      </c>
      <c r="C123" s="1" t="s">
        <v>10</v>
      </c>
      <c r="D123" s="1">
        <v>0</v>
      </c>
      <c r="E123" s="1">
        <v>0</v>
      </c>
      <c r="F123" s="1">
        <v>218.59</v>
      </c>
      <c r="G123" s="1">
        <v>4328.0910000000003</v>
      </c>
      <c r="H123" s="1">
        <v>-874.36199999999997</v>
      </c>
      <c r="I123" s="1">
        <v>0</v>
      </c>
    </row>
    <row r="124" spans="1:9" hidden="1" x14ac:dyDescent="0.25">
      <c r="A124" s="1" t="s">
        <v>157</v>
      </c>
      <c r="B124" s="1" t="s">
        <v>73</v>
      </c>
      <c r="C124" s="1" t="s">
        <v>25</v>
      </c>
      <c r="D124" s="1">
        <v>0</v>
      </c>
      <c r="E124" s="1">
        <v>0</v>
      </c>
      <c r="F124" s="1">
        <v>218.59</v>
      </c>
      <c r="G124" s="1">
        <v>3541.1660000000002</v>
      </c>
      <c r="H124" s="1">
        <v>0</v>
      </c>
      <c r="I124" s="1">
        <v>0</v>
      </c>
    </row>
    <row r="125" spans="1:9" hidden="1" x14ac:dyDescent="0.25">
      <c r="A125" s="1" t="s">
        <v>157</v>
      </c>
      <c r="B125" s="1" t="s">
        <v>73</v>
      </c>
      <c r="C125" s="1" t="s">
        <v>10</v>
      </c>
      <c r="D125" s="1">
        <v>0</v>
      </c>
      <c r="E125" s="1">
        <v>0</v>
      </c>
      <c r="F125" s="1">
        <v>218.59</v>
      </c>
      <c r="G125" s="1">
        <v>3541.1660000000002</v>
      </c>
      <c r="H125" s="1">
        <v>-874.36199999999997</v>
      </c>
      <c r="I125" s="1">
        <v>0</v>
      </c>
    </row>
    <row r="126" spans="1:9" hidden="1" x14ac:dyDescent="0.25">
      <c r="A126" s="1" t="s">
        <v>157</v>
      </c>
      <c r="B126" s="1" t="s">
        <v>74</v>
      </c>
      <c r="C126" s="1" t="s">
        <v>25</v>
      </c>
      <c r="D126" s="1">
        <v>0</v>
      </c>
      <c r="E126" s="1">
        <v>-180.84</v>
      </c>
      <c r="F126" s="1">
        <v>0</v>
      </c>
      <c r="G126" s="1">
        <v>2983.846</v>
      </c>
      <c r="H126" s="1">
        <v>0</v>
      </c>
      <c r="I126" s="1">
        <v>0</v>
      </c>
    </row>
    <row r="127" spans="1:9" hidden="1" x14ac:dyDescent="0.25">
      <c r="A127" s="1" t="s">
        <v>157</v>
      </c>
      <c r="B127" s="1" t="s">
        <v>74</v>
      </c>
      <c r="C127" s="1" t="s">
        <v>10</v>
      </c>
      <c r="D127" s="1">
        <v>0</v>
      </c>
      <c r="E127" s="1">
        <v>-180.84</v>
      </c>
      <c r="F127" s="1">
        <v>0</v>
      </c>
      <c r="G127" s="1">
        <v>2983.846</v>
      </c>
      <c r="H127" s="1">
        <v>0</v>
      </c>
      <c r="I127" s="1">
        <v>-723.35699999999997</v>
      </c>
    </row>
    <row r="128" spans="1:9" hidden="1" x14ac:dyDescent="0.25">
      <c r="A128" s="1" t="s">
        <v>157</v>
      </c>
      <c r="B128" s="1" t="s">
        <v>75</v>
      </c>
      <c r="C128" s="1" t="s">
        <v>25</v>
      </c>
      <c r="D128" s="1">
        <v>0</v>
      </c>
      <c r="E128" s="1">
        <v>-180.84</v>
      </c>
      <c r="F128" s="1">
        <v>0</v>
      </c>
      <c r="G128" s="1">
        <v>2441.3290000000002</v>
      </c>
      <c r="H128" s="1">
        <v>0</v>
      </c>
      <c r="I128" s="1">
        <v>0</v>
      </c>
    </row>
    <row r="129" spans="1:9" hidden="1" x14ac:dyDescent="0.25">
      <c r="A129" s="1" t="s">
        <v>157</v>
      </c>
      <c r="B129" s="1" t="s">
        <v>75</v>
      </c>
      <c r="C129" s="1" t="s">
        <v>10</v>
      </c>
      <c r="D129" s="1">
        <v>0</v>
      </c>
      <c r="E129" s="1">
        <v>-180.84</v>
      </c>
      <c r="F129" s="1">
        <v>0</v>
      </c>
      <c r="G129" s="1">
        <v>2441.3290000000002</v>
      </c>
      <c r="H129" s="1">
        <v>0</v>
      </c>
      <c r="I129" s="1">
        <v>-723.35699999999997</v>
      </c>
    </row>
    <row r="130" spans="1:9" hidden="1" x14ac:dyDescent="0.25">
      <c r="A130" s="1" t="s">
        <v>157</v>
      </c>
      <c r="B130" s="1" t="s">
        <v>76</v>
      </c>
      <c r="C130" s="1" t="s">
        <v>25</v>
      </c>
      <c r="D130" s="1">
        <v>0</v>
      </c>
      <c r="E130" s="1">
        <v>180.84</v>
      </c>
      <c r="F130" s="1">
        <v>0</v>
      </c>
      <c r="G130" s="1">
        <v>-2983.846</v>
      </c>
      <c r="H130" s="1">
        <v>0</v>
      </c>
      <c r="I130" s="1">
        <v>0</v>
      </c>
    </row>
    <row r="131" spans="1:9" hidden="1" x14ac:dyDescent="0.25">
      <c r="A131" s="1" t="s">
        <v>157</v>
      </c>
      <c r="B131" s="1" t="s">
        <v>76</v>
      </c>
      <c r="C131" s="1" t="s">
        <v>10</v>
      </c>
      <c r="D131" s="1">
        <v>0</v>
      </c>
      <c r="E131" s="1">
        <v>180.84</v>
      </c>
      <c r="F131" s="1">
        <v>0</v>
      </c>
      <c r="G131" s="1">
        <v>-2983.846</v>
      </c>
      <c r="H131" s="1">
        <v>0</v>
      </c>
      <c r="I131" s="1">
        <v>723.35699999999997</v>
      </c>
    </row>
    <row r="132" spans="1:9" hidden="1" x14ac:dyDescent="0.25">
      <c r="A132" s="1" t="s">
        <v>157</v>
      </c>
      <c r="B132" s="1" t="s">
        <v>77</v>
      </c>
      <c r="C132" s="1" t="s">
        <v>25</v>
      </c>
      <c r="D132" s="1">
        <v>0</v>
      </c>
      <c r="E132" s="1">
        <v>180.84</v>
      </c>
      <c r="F132" s="1">
        <v>0</v>
      </c>
      <c r="G132" s="1">
        <v>-2441.3290000000002</v>
      </c>
      <c r="H132" s="1">
        <v>0</v>
      </c>
      <c r="I132" s="1">
        <v>0</v>
      </c>
    </row>
    <row r="133" spans="1:9" hidden="1" x14ac:dyDescent="0.25">
      <c r="A133" s="1" t="s">
        <v>157</v>
      </c>
      <c r="B133" s="1" t="s">
        <v>77</v>
      </c>
      <c r="C133" s="1" t="s">
        <v>10</v>
      </c>
      <c r="D133" s="1">
        <v>0</v>
      </c>
      <c r="E133" s="1">
        <v>180.84</v>
      </c>
      <c r="F133" s="1">
        <v>0</v>
      </c>
      <c r="G133" s="1">
        <v>-2441.3290000000002</v>
      </c>
      <c r="H133" s="1">
        <v>0</v>
      </c>
      <c r="I133" s="1">
        <v>723.35699999999997</v>
      </c>
    </row>
    <row r="134" spans="1:9" hidden="1" x14ac:dyDescent="0.25">
      <c r="A134" s="1" t="s">
        <v>157</v>
      </c>
      <c r="B134" s="1" t="s">
        <v>78</v>
      </c>
      <c r="C134" s="1" t="s">
        <v>25</v>
      </c>
      <c r="D134" s="1">
        <v>0</v>
      </c>
      <c r="E134" s="1">
        <v>0</v>
      </c>
      <c r="F134" s="1">
        <v>-218.59</v>
      </c>
      <c r="G134" s="1">
        <v>-4328.0910000000003</v>
      </c>
      <c r="H134" s="1">
        <v>0</v>
      </c>
      <c r="I134" s="1">
        <v>0</v>
      </c>
    </row>
    <row r="135" spans="1:9" hidden="1" x14ac:dyDescent="0.25">
      <c r="A135" s="1" t="s">
        <v>157</v>
      </c>
      <c r="B135" s="1" t="s">
        <v>78</v>
      </c>
      <c r="C135" s="1" t="s">
        <v>10</v>
      </c>
      <c r="D135" s="1">
        <v>0</v>
      </c>
      <c r="E135" s="1">
        <v>0</v>
      </c>
      <c r="F135" s="1">
        <v>-218.59</v>
      </c>
      <c r="G135" s="1">
        <v>-4328.0910000000003</v>
      </c>
      <c r="H135" s="1">
        <v>874.36199999999997</v>
      </c>
      <c r="I135" s="1">
        <v>0</v>
      </c>
    </row>
    <row r="136" spans="1:9" hidden="1" x14ac:dyDescent="0.25">
      <c r="A136" s="1" t="s">
        <v>157</v>
      </c>
      <c r="B136" s="1" t="s">
        <v>79</v>
      </c>
      <c r="C136" s="1" t="s">
        <v>25</v>
      </c>
      <c r="D136" s="1">
        <v>0</v>
      </c>
      <c r="E136" s="1">
        <v>0</v>
      </c>
      <c r="F136" s="1">
        <v>-218.59</v>
      </c>
      <c r="G136" s="1">
        <v>-3541.1660000000002</v>
      </c>
      <c r="H136" s="1">
        <v>0</v>
      </c>
      <c r="I136" s="1">
        <v>0</v>
      </c>
    </row>
    <row r="137" spans="1:9" hidden="1" x14ac:dyDescent="0.25">
      <c r="A137" s="1" t="s">
        <v>157</v>
      </c>
      <c r="B137" s="1" t="s">
        <v>79</v>
      </c>
      <c r="C137" s="1" t="s">
        <v>10</v>
      </c>
      <c r="D137" s="1">
        <v>0</v>
      </c>
      <c r="E137" s="1">
        <v>0</v>
      </c>
      <c r="F137" s="1">
        <v>-218.59</v>
      </c>
      <c r="G137" s="1">
        <v>-3541.1660000000002</v>
      </c>
      <c r="H137" s="1">
        <v>874.36199999999997</v>
      </c>
      <c r="I137" s="1">
        <v>0</v>
      </c>
    </row>
    <row r="138" spans="1:9" hidden="1" x14ac:dyDescent="0.25">
      <c r="A138" s="1" t="s">
        <v>157</v>
      </c>
      <c r="B138" s="1" t="s">
        <v>80</v>
      </c>
      <c r="C138" s="1" t="s">
        <v>25</v>
      </c>
      <c r="D138" s="1">
        <v>0</v>
      </c>
      <c r="E138" s="1">
        <v>0</v>
      </c>
      <c r="F138" s="1">
        <v>218.59</v>
      </c>
      <c r="G138" s="1">
        <v>4328.0910000000003</v>
      </c>
      <c r="H138" s="1">
        <v>0</v>
      </c>
      <c r="I138" s="1">
        <v>0</v>
      </c>
    </row>
    <row r="139" spans="1:9" hidden="1" x14ac:dyDescent="0.25">
      <c r="A139" s="1" t="s">
        <v>157</v>
      </c>
      <c r="B139" s="1" t="s">
        <v>80</v>
      </c>
      <c r="C139" s="1" t="s">
        <v>10</v>
      </c>
      <c r="D139" s="1">
        <v>0</v>
      </c>
      <c r="E139" s="1">
        <v>0</v>
      </c>
      <c r="F139" s="1">
        <v>218.59</v>
      </c>
      <c r="G139" s="1">
        <v>4328.0910000000003</v>
      </c>
      <c r="H139" s="1">
        <v>-874.36199999999997</v>
      </c>
      <c r="I139" s="1">
        <v>0</v>
      </c>
    </row>
    <row r="140" spans="1:9" hidden="1" x14ac:dyDescent="0.25">
      <c r="A140" s="1" t="s">
        <v>157</v>
      </c>
      <c r="B140" s="1" t="s">
        <v>81</v>
      </c>
      <c r="C140" s="1" t="s">
        <v>25</v>
      </c>
      <c r="D140" s="1">
        <v>0</v>
      </c>
      <c r="E140" s="1">
        <v>0</v>
      </c>
      <c r="F140" s="1">
        <v>218.59</v>
      </c>
      <c r="G140" s="1">
        <v>3541.1660000000002</v>
      </c>
      <c r="H140" s="1">
        <v>0</v>
      </c>
      <c r="I140" s="1">
        <v>0</v>
      </c>
    </row>
    <row r="141" spans="1:9" hidden="1" x14ac:dyDescent="0.25">
      <c r="A141" s="1" t="s">
        <v>157</v>
      </c>
      <c r="B141" s="1" t="s">
        <v>81</v>
      </c>
      <c r="C141" s="1" t="s">
        <v>10</v>
      </c>
      <c r="D141" s="1">
        <v>0</v>
      </c>
      <c r="E141" s="1">
        <v>0</v>
      </c>
      <c r="F141" s="1">
        <v>218.59</v>
      </c>
      <c r="G141" s="1">
        <v>3541.1660000000002</v>
      </c>
      <c r="H141" s="1">
        <v>-874.36199999999997</v>
      </c>
      <c r="I141" s="1">
        <v>0</v>
      </c>
    </row>
    <row r="142" spans="1:9" hidden="1" x14ac:dyDescent="0.25">
      <c r="A142" s="1" t="s">
        <v>157</v>
      </c>
      <c r="B142" s="1" t="s">
        <v>82</v>
      </c>
      <c r="C142" s="1" t="s">
        <v>25</v>
      </c>
      <c r="D142" s="1">
        <v>0</v>
      </c>
      <c r="E142" s="1">
        <v>-54.25</v>
      </c>
      <c r="F142" s="1">
        <v>0</v>
      </c>
      <c r="G142" s="1">
        <v>895.154</v>
      </c>
      <c r="H142" s="1">
        <v>0</v>
      </c>
      <c r="I142" s="1">
        <v>0</v>
      </c>
    </row>
    <row r="143" spans="1:9" hidden="1" x14ac:dyDescent="0.25">
      <c r="A143" s="1" t="s">
        <v>157</v>
      </c>
      <c r="B143" s="1" t="s">
        <v>82</v>
      </c>
      <c r="C143" s="1" t="s">
        <v>10</v>
      </c>
      <c r="D143" s="1">
        <v>0</v>
      </c>
      <c r="E143" s="1">
        <v>-54.25</v>
      </c>
      <c r="F143" s="1">
        <v>0</v>
      </c>
      <c r="G143" s="1">
        <v>895.154</v>
      </c>
      <c r="H143" s="1">
        <v>0</v>
      </c>
      <c r="I143" s="1">
        <v>-217.00700000000001</v>
      </c>
    </row>
    <row r="144" spans="1:9" hidden="1" x14ac:dyDescent="0.25">
      <c r="A144" s="1" t="s">
        <v>157</v>
      </c>
      <c r="B144" s="1" t="s">
        <v>83</v>
      </c>
      <c r="C144" s="1" t="s">
        <v>25</v>
      </c>
      <c r="D144" s="1">
        <v>0</v>
      </c>
      <c r="E144" s="1">
        <v>-54.25</v>
      </c>
      <c r="F144" s="1">
        <v>0</v>
      </c>
      <c r="G144" s="1">
        <v>732.399</v>
      </c>
      <c r="H144" s="1">
        <v>0</v>
      </c>
      <c r="I144" s="1">
        <v>0</v>
      </c>
    </row>
    <row r="145" spans="1:9" hidden="1" x14ac:dyDescent="0.25">
      <c r="A145" s="1" t="s">
        <v>157</v>
      </c>
      <c r="B145" s="1" t="s">
        <v>83</v>
      </c>
      <c r="C145" s="1" t="s">
        <v>10</v>
      </c>
      <c r="D145" s="1">
        <v>0</v>
      </c>
      <c r="E145" s="1">
        <v>-54.25</v>
      </c>
      <c r="F145" s="1">
        <v>0</v>
      </c>
      <c r="G145" s="1">
        <v>732.399</v>
      </c>
      <c r="H145" s="1">
        <v>0</v>
      </c>
      <c r="I145" s="1">
        <v>-217.00700000000001</v>
      </c>
    </row>
    <row r="146" spans="1:9" hidden="1" x14ac:dyDescent="0.25">
      <c r="A146" s="1" t="s">
        <v>157</v>
      </c>
      <c r="B146" s="1" t="s">
        <v>84</v>
      </c>
      <c r="C146" s="1" t="s">
        <v>25</v>
      </c>
      <c r="D146" s="1">
        <v>0</v>
      </c>
      <c r="E146" s="1">
        <v>54.25</v>
      </c>
      <c r="F146" s="1">
        <v>0</v>
      </c>
      <c r="G146" s="1">
        <v>-895.154</v>
      </c>
      <c r="H146" s="1">
        <v>0</v>
      </c>
      <c r="I146" s="1">
        <v>0</v>
      </c>
    </row>
    <row r="147" spans="1:9" hidden="1" x14ac:dyDescent="0.25">
      <c r="A147" s="1" t="s">
        <v>157</v>
      </c>
      <c r="B147" s="1" t="s">
        <v>84</v>
      </c>
      <c r="C147" s="1" t="s">
        <v>10</v>
      </c>
      <c r="D147" s="1">
        <v>0</v>
      </c>
      <c r="E147" s="1">
        <v>54.25</v>
      </c>
      <c r="F147" s="1">
        <v>0</v>
      </c>
      <c r="G147" s="1">
        <v>-895.154</v>
      </c>
      <c r="H147" s="1">
        <v>0</v>
      </c>
      <c r="I147" s="1">
        <v>217.00700000000001</v>
      </c>
    </row>
    <row r="148" spans="1:9" hidden="1" x14ac:dyDescent="0.25">
      <c r="A148" s="1" t="s">
        <v>157</v>
      </c>
      <c r="B148" s="1" t="s">
        <v>85</v>
      </c>
      <c r="C148" s="1" t="s">
        <v>25</v>
      </c>
      <c r="D148" s="1">
        <v>0</v>
      </c>
      <c r="E148" s="1">
        <v>54.25</v>
      </c>
      <c r="F148" s="1">
        <v>0</v>
      </c>
      <c r="G148" s="1">
        <v>-732.399</v>
      </c>
      <c r="H148" s="1">
        <v>0</v>
      </c>
      <c r="I148" s="1">
        <v>0</v>
      </c>
    </row>
    <row r="149" spans="1:9" hidden="1" x14ac:dyDescent="0.25">
      <c r="A149" s="1" t="s">
        <v>157</v>
      </c>
      <c r="B149" s="1" t="s">
        <v>85</v>
      </c>
      <c r="C149" s="1" t="s">
        <v>10</v>
      </c>
      <c r="D149" s="1">
        <v>0</v>
      </c>
      <c r="E149" s="1">
        <v>54.25</v>
      </c>
      <c r="F149" s="1">
        <v>0</v>
      </c>
      <c r="G149" s="1">
        <v>-732.399</v>
      </c>
      <c r="H149" s="1">
        <v>0</v>
      </c>
      <c r="I149" s="1">
        <v>217.00700000000001</v>
      </c>
    </row>
    <row r="150" spans="1:9" hidden="1" x14ac:dyDescent="0.25">
      <c r="A150" s="1" t="s">
        <v>157</v>
      </c>
      <c r="B150" s="1" t="s">
        <v>86</v>
      </c>
      <c r="C150" s="1" t="s">
        <v>25</v>
      </c>
      <c r="D150" s="1">
        <v>0</v>
      </c>
      <c r="E150" s="1">
        <v>0</v>
      </c>
      <c r="F150" s="1">
        <v>-65.58</v>
      </c>
      <c r="G150" s="1">
        <v>-1298.4269999999999</v>
      </c>
      <c r="H150" s="1">
        <v>0</v>
      </c>
      <c r="I150" s="1">
        <v>0</v>
      </c>
    </row>
    <row r="151" spans="1:9" hidden="1" x14ac:dyDescent="0.25">
      <c r="A151" s="1" t="s">
        <v>157</v>
      </c>
      <c r="B151" s="1" t="s">
        <v>86</v>
      </c>
      <c r="C151" s="1" t="s">
        <v>10</v>
      </c>
      <c r="D151" s="1">
        <v>0</v>
      </c>
      <c r="E151" s="1">
        <v>0</v>
      </c>
      <c r="F151" s="1">
        <v>-65.58</v>
      </c>
      <c r="G151" s="1">
        <v>-1298.4269999999999</v>
      </c>
      <c r="H151" s="1">
        <v>262.30900000000003</v>
      </c>
      <c r="I151" s="1">
        <v>0</v>
      </c>
    </row>
    <row r="152" spans="1:9" hidden="1" x14ac:dyDescent="0.25">
      <c r="A152" s="1" t="s">
        <v>157</v>
      </c>
      <c r="B152" s="1" t="s">
        <v>87</v>
      </c>
      <c r="C152" s="1" t="s">
        <v>25</v>
      </c>
      <c r="D152" s="1">
        <v>0</v>
      </c>
      <c r="E152" s="1">
        <v>0</v>
      </c>
      <c r="F152" s="1">
        <v>-65.58</v>
      </c>
      <c r="G152" s="1">
        <v>-1062.3499999999999</v>
      </c>
      <c r="H152" s="1">
        <v>0</v>
      </c>
      <c r="I152" s="1">
        <v>0</v>
      </c>
    </row>
    <row r="153" spans="1:9" hidden="1" x14ac:dyDescent="0.25">
      <c r="A153" s="1" t="s">
        <v>157</v>
      </c>
      <c r="B153" s="1" t="s">
        <v>87</v>
      </c>
      <c r="C153" s="1" t="s">
        <v>10</v>
      </c>
      <c r="D153" s="1">
        <v>0</v>
      </c>
      <c r="E153" s="1">
        <v>0</v>
      </c>
      <c r="F153" s="1">
        <v>-65.58</v>
      </c>
      <c r="G153" s="1">
        <v>-1062.3499999999999</v>
      </c>
      <c r="H153" s="1">
        <v>262.30900000000003</v>
      </c>
      <c r="I153" s="1">
        <v>0</v>
      </c>
    </row>
    <row r="154" spans="1:9" hidden="1" x14ac:dyDescent="0.25">
      <c r="A154" s="1" t="s">
        <v>157</v>
      </c>
      <c r="B154" s="1" t="s">
        <v>88</v>
      </c>
      <c r="C154" s="1" t="s">
        <v>25</v>
      </c>
      <c r="D154" s="1">
        <v>0</v>
      </c>
      <c r="E154" s="1">
        <v>0</v>
      </c>
      <c r="F154" s="1">
        <v>65.58</v>
      </c>
      <c r="G154" s="1">
        <v>1298.4269999999999</v>
      </c>
      <c r="H154" s="1">
        <v>0</v>
      </c>
      <c r="I154" s="1">
        <v>0</v>
      </c>
    </row>
    <row r="155" spans="1:9" hidden="1" x14ac:dyDescent="0.25">
      <c r="A155" s="1" t="s">
        <v>157</v>
      </c>
      <c r="B155" s="1" t="s">
        <v>88</v>
      </c>
      <c r="C155" s="1" t="s">
        <v>10</v>
      </c>
      <c r="D155" s="1">
        <v>0</v>
      </c>
      <c r="E155" s="1">
        <v>0</v>
      </c>
      <c r="F155" s="1">
        <v>65.58</v>
      </c>
      <c r="G155" s="1">
        <v>1298.4269999999999</v>
      </c>
      <c r="H155" s="1">
        <v>-262.30900000000003</v>
      </c>
      <c r="I155" s="1">
        <v>0</v>
      </c>
    </row>
    <row r="156" spans="1:9" hidden="1" x14ac:dyDescent="0.25">
      <c r="A156" s="1" t="s">
        <v>157</v>
      </c>
      <c r="B156" s="1" t="s">
        <v>89</v>
      </c>
      <c r="C156" s="1" t="s">
        <v>25</v>
      </c>
      <c r="D156" s="1">
        <v>0</v>
      </c>
      <c r="E156" s="1">
        <v>0</v>
      </c>
      <c r="F156" s="1">
        <v>65.58</v>
      </c>
      <c r="G156" s="1">
        <v>1062.3499999999999</v>
      </c>
      <c r="H156" s="1">
        <v>0</v>
      </c>
      <c r="I156" s="1">
        <v>0</v>
      </c>
    </row>
    <row r="157" spans="1:9" hidden="1" x14ac:dyDescent="0.25">
      <c r="A157" s="1" t="s">
        <v>157</v>
      </c>
      <c r="B157" s="1" t="s">
        <v>89</v>
      </c>
      <c r="C157" s="1" t="s">
        <v>10</v>
      </c>
      <c r="D157" s="1">
        <v>0</v>
      </c>
      <c r="E157" s="1">
        <v>0</v>
      </c>
      <c r="F157" s="1">
        <v>65.58</v>
      </c>
      <c r="G157" s="1">
        <v>1062.3499999999999</v>
      </c>
      <c r="H157" s="1">
        <v>-262.30900000000003</v>
      </c>
      <c r="I157" s="1">
        <v>0</v>
      </c>
    </row>
    <row r="158" spans="1:9" hidden="1" x14ac:dyDescent="0.25">
      <c r="A158" s="1" t="s">
        <v>157</v>
      </c>
      <c r="B158" s="1" t="s">
        <v>90</v>
      </c>
      <c r="C158" s="1" t="s">
        <v>25</v>
      </c>
      <c r="D158" s="1">
        <v>0</v>
      </c>
      <c r="E158" s="1">
        <v>-54.25</v>
      </c>
      <c r="F158" s="1">
        <v>0</v>
      </c>
      <c r="G158" s="1">
        <v>895.154</v>
      </c>
      <c r="H158" s="1">
        <v>0</v>
      </c>
      <c r="I158" s="1">
        <v>0</v>
      </c>
    </row>
    <row r="159" spans="1:9" hidden="1" x14ac:dyDescent="0.25">
      <c r="A159" s="1" t="s">
        <v>157</v>
      </c>
      <c r="B159" s="1" t="s">
        <v>90</v>
      </c>
      <c r="C159" s="1" t="s">
        <v>10</v>
      </c>
      <c r="D159" s="1">
        <v>0</v>
      </c>
      <c r="E159" s="1">
        <v>-54.25</v>
      </c>
      <c r="F159" s="1">
        <v>0</v>
      </c>
      <c r="G159" s="1">
        <v>895.154</v>
      </c>
      <c r="H159" s="1">
        <v>0</v>
      </c>
      <c r="I159" s="1">
        <v>-217.00700000000001</v>
      </c>
    </row>
    <row r="160" spans="1:9" hidden="1" x14ac:dyDescent="0.25">
      <c r="A160" s="1" t="s">
        <v>157</v>
      </c>
      <c r="B160" s="1" t="s">
        <v>91</v>
      </c>
      <c r="C160" s="1" t="s">
        <v>25</v>
      </c>
      <c r="D160" s="1">
        <v>0</v>
      </c>
      <c r="E160" s="1">
        <v>-54.25</v>
      </c>
      <c r="F160" s="1">
        <v>0</v>
      </c>
      <c r="G160" s="1">
        <v>732.399</v>
      </c>
      <c r="H160" s="1">
        <v>0</v>
      </c>
      <c r="I160" s="1">
        <v>0</v>
      </c>
    </row>
    <row r="161" spans="1:9" hidden="1" x14ac:dyDescent="0.25">
      <c r="A161" s="1" t="s">
        <v>157</v>
      </c>
      <c r="B161" s="1" t="s">
        <v>91</v>
      </c>
      <c r="C161" s="1" t="s">
        <v>10</v>
      </c>
      <c r="D161" s="1">
        <v>0</v>
      </c>
      <c r="E161" s="1">
        <v>-54.25</v>
      </c>
      <c r="F161" s="1">
        <v>0</v>
      </c>
      <c r="G161" s="1">
        <v>732.399</v>
      </c>
      <c r="H161" s="1">
        <v>0</v>
      </c>
      <c r="I161" s="1">
        <v>-217.00700000000001</v>
      </c>
    </row>
    <row r="162" spans="1:9" hidden="1" x14ac:dyDescent="0.25">
      <c r="A162" s="1" t="s">
        <v>157</v>
      </c>
      <c r="B162" s="1" t="s">
        <v>92</v>
      </c>
      <c r="C162" s="1" t="s">
        <v>25</v>
      </c>
      <c r="D162" s="1">
        <v>0</v>
      </c>
      <c r="E162" s="1">
        <v>54.25</v>
      </c>
      <c r="F162" s="1">
        <v>0</v>
      </c>
      <c r="G162" s="1">
        <v>-895.154</v>
      </c>
      <c r="H162" s="1">
        <v>0</v>
      </c>
      <c r="I162" s="1">
        <v>0</v>
      </c>
    </row>
    <row r="163" spans="1:9" hidden="1" x14ac:dyDescent="0.25">
      <c r="A163" s="1" t="s">
        <v>157</v>
      </c>
      <c r="B163" s="1" t="s">
        <v>92</v>
      </c>
      <c r="C163" s="1" t="s">
        <v>10</v>
      </c>
      <c r="D163" s="1">
        <v>0</v>
      </c>
      <c r="E163" s="1">
        <v>54.25</v>
      </c>
      <c r="F163" s="1">
        <v>0</v>
      </c>
      <c r="G163" s="1">
        <v>-895.154</v>
      </c>
      <c r="H163" s="1">
        <v>0</v>
      </c>
      <c r="I163" s="1">
        <v>217.00700000000001</v>
      </c>
    </row>
    <row r="164" spans="1:9" hidden="1" x14ac:dyDescent="0.25">
      <c r="A164" s="1" t="s">
        <v>157</v>
      </c>
      <c r="B164" s="1" t="s">
        <v>93</v>
      </c>
      <c r="C164" s="1" t="s">
        <v>25</v>
      </c>
      <c r="D164" s="1">
        <v>0</v>
      </c>
      <c r="E164" s="1">
        <v>54.25</v>
      </c>
      <c r="F164" s="1">
        <v>0</v>
      </c>
      <c r="G164" s="1">
        <v>-732.399</v>
      </c>
      <c r="H164" s="1">
        <v>0</v>
      </c>
      <c r="I164" s="1">
        <v>0</v>
      </c>
    </row>
    <row r="165" spans="1:9" hidden="1" x14ac:dyDescent="0.25">
      <c r="A165" s="1" t="s">
        <v>157</v>
      </c>
      <c r="B165" s="1" t="s">
        <v>93</v>
      </c>
      <c r="C165" s="1" t="s">
        <v>10</v>
      </c>
      <c r="D165" s="1">
        <v>0</v>
      </c>
      <c r="E165" s="1">
        <v>54.25</v>
      </c>
      <c r="F165" s="1">
        <v>0</v>
      </c>
      <c r="G165" s="1">
        <v>-732.399</v>
      </c>
      <c r="H165" s="1">
        <v>0</v>
      </c>
      <c r="I165" s="1">
        <v>217.00700000000001</v>
      </c>
    </row>
    <row r="166" spans="1:9" hidden="1" x14ac:dyDescent="0.25">
      <c r="A166" s="1" t="s">
        <v>157</v>
      </c>
      <c r="B166" s="1" t="s">
        <v>94</v>
      </c>
      <c r="C166" s="1" t="s">
        <v>25</v>
      </c>
      <c r="D166" s="1">
        <v>0</v>
      </c>
      <c r="E166" s="1">
        <v>0</v>
      </c>
      <c r="F166" s="1">
        <v>-65.58</v>
      </c>
      <c r="G166" s="1">
        <v>-1298.4269999999999</v>
      </c>
      <c r="H166" s="1">
        <v>0</v>
      </c>
      <c r="I166" s="1">
        <v>0</v>
      </c>
    </row>
    <row r="167" spans="1:9" hidden="1" x14ac:dyDescent="0.25">
      <c r="A167" s="1" t="s">
        <v>157</v>
      </c>
      <c r="B167" s="1" t="s">
        <v>94</v>
      </c>
      <c r="C167" s="1" t="s">
        <v>10</v>
      </c>
      <c r="D167" s="1">
        <v>0</v>
      </c>
      <c r="E167" s="1">
        <v>0</v>
      </c>
      <c r="F167" s="1">
        <v>-65.58</v>
      </c>
      <c r="G167" s="1">
        <v>-1298.4269999999999</v>
      </c>
      <c r="H167" s="1">
        <v>262.30900000000003</v>
      </c>
      <c r="I167" s="1">
        <v>0</v>
      </c>
    </row>
    <row r="168" spans="1:9" hidden="1" x14ac:dyDescent="0.25">
      <c r="A168" s="1" t="s">
        <v>157</v>
      </c>
      <c r="B168" s="1" t="s">
        <v>95</v>
      </c>
      <c r="C168" s="1" t="s">
        <v>25</v>
      </c>
      <c r="D168" s="1">
        <v>0</v>
      </c>
      <c r="E168" s="1">
        <v>0</v>
      </c>
      <c r="F168" s="1">
        <v>-65.58</v>
      </c>
      <c r="G168" s="1">
        <v>-1062.3499999999999</v>
      </c>
      <c r="H168" s="1">
        <v>0</v>
      </c>
      <c r="I168" s="1">
        <v>0</v>
      </c>
    </row>
    <row r="169" spans="1:9" hidden="1" x14ac:dyDescent="0.25">
      <c r="A169" s="1" t="s">
        <v>157</v>
      </c>
      <c r="B169" s="1" t="s">
        <v>95</v>
      </c>
      <c r="C169" s="1" t="s">
        <v>10</v>
      </c>
      <c r="D169" s="1">
        <v>0</v>
      </c>
      <c r="E169" s="1">
        <v>0</v>
      </c>
      <c r="F169" s="1">
        <v>-65.58</v>
      </c>
      <c r="G169" s="1">
        <v>-1062.3499999999999</v>
      </c>
      <c r="H169" s="1">
        <v>262.30900000000003</v>
      </c>
      <c r="I169" s="1">
        <v>0</v>
      </c>
    </row>
    <row r="170" spans="1:9" hidden="1" x14ac:dyDescent="0.25">
      <c r="A170" s="1" t="s">
        <v>157</v>
      </c>
      <c r="B170" s="1" t="s">
        <v>96</v>
      </c>
      <c r="C170" s="1" t="s">
        <v>25</v>
      </c>
      <c r="D170" s="1">
        <v>0</v>
      </c>
      <c r="E170" s="1">
        <v>0</v>
      </c>
      <c r="F170" s="1">
        <v>65.58</v>
      </c>
      <c r="G170" s="1">
        <v>1298.4269999999999</v>
      </c>
      <c r="H170" s="1">
        <v>0</v>
      </c>
      <c r="I170" s="1">
        <v>0</v>
      </c>
    </row>
    <row r="171" spans="1:9" hidden="1" x14ac:dyDescent="0.25">
      <c r="A171" s="1" t="s">
        <v>157</v>
      </c>
      <c r="B171" s="1" t="s">
        <v>96</v>
      </c>
      <c r="C171" s="1" t="s">
        <v>10</v>
      </c>
      <c r="D171" s="1">
        <v>0</v>
      </c>
      <c r="E171" s="1">
        <v>0</v>
      </c>
      <c r="F171" s="1">
        <v>65.58</v>
      </c>
      <c r="G171" s="1">
        <v>1298.4269999999999</v>
      </c>
      <c r="H171" s="1">
        <v>-262.30900000000003</v>
      </c>
      <c r="I171" s="1">
        <v>0</v>
      </c>
    </row>
    <row r="172" spans="1:9" hidden="1" x14ac:dyDescent="0.25">
      <c r="A172" s="1" t="s">
        <v>157</v>
      </c>
      <c r="B172" s="1" t="s">
        <v>97</v>
      </c>
      <c r="C172" s="1" t="s">
        <v>25</v>
      </c>
      <c r="D172" s="1">
        <v>0</v>
      </c>
      <c r="E172" s="1">
        <v>0</v>
      </c>
      <c r="F172" s="1">
        <v>65.58</v>
      </c>
      <c r="G172" s="1">
        <v>1062.3499999999999</v>
      </c>
      <c r="H172" s="1">
        <v>0</v>
      </c>
      <c r="I172" s="1">
        <v>0</v>
      </c>
    </row>
    <row r="173" spans="1:9" hidden="1" x14ac:dyDescent="0.25">
      <c r="A173" s="1" t="s">
        <v>157</v>
      </c>
      <c r="B173" s="1" t="s">
        <v>97</v>
      </c>
      <c r="C173" s="1" t="s">
        <v>10</v>
      </c>
      <c r="D173" s="1">
        <v>0</v>
      </c>
      <c r="E173" s="1">
        <v>0</v>
      </c>
      <c r="F173" s="1">
        <v>65.58</v>
      </c>
      <c r="G173" s="1">
        <v>1062.3499999999999</v>
      </c>
      <c r="H173" s="1">
        <v>-262.30900000000003</v>
      </c>
      <c r="I173" s="1">
        <v>0</v>
      </c>
    </row>
    <row r="174" spans="1:9" hidden="1" x14ac:dyDescent="0.25">
      <c r="A174" s="1" t="s">
        <v>157</v>
      </c>
      <c r="B174" s="1" t="s">
        <v>14</v>
      </c>
      <c r="C174" s="1" t="s">
        <v>25</v>
      </c>
      <c r="D174" s="1">
        <v>0</v>
      </c>
      <c r="E174" s="1">
        <v>136.57</v>
      </c>
      <c r="F174" s="1">
        <v>0</v>
      </c>
      <c r="G174" s="1">
        <v>2253.422</v>
      </c>
      <c r="H174" s="1">
        <v>0</v>
      </c>
      <c r="I174" s="1">
        <v>0</v>
      </c>
    </row>
    <row r="175" spans="1:9" hidden="1" x14ac:dyDescent="0.25">
      <c r="A175" s="1" t="s">
        <v>157</v>
      </c>
      <c r="B175" s="1" t="s">
        <v>14</v>
      </c>
      <c r="C175" s="1" t="s">
        <v>10</v>
      </c>
      <c r="D175" s="1">
        <v>0</v>
      </c>
      <c r="E175" s="1">
        <v>136.57</v>
      </c>
      <c r="F175" s="1">
        <v>0</v>
      </c>
      <c r="G175" s="1">
        <v>2253.422</v>
      </c>
      <c r="H175" s="1">
        <v>0</v>
      </c>
      <c r="I175" s="1">
        <v>546.28399999999999</v>
      </c>
    </row>
    <row r="176" spans="1:9" hidden="1" x14ac:dyDescent="0.25">
      <c r="A176" s="1" t="s">
        <v>157</v>
      </c>
      <c r="B176" s="1" t="s">
        <v>98</v>
      </c>
      <c r="C176" s="1" t="s">
        <v>25</v>
      </c>
      <c r="D176" s="1">
        <v>0</v>
      </c>
      <c r="E176" s="1">
        <v>-136.57</v>
      </c>
      <c r="F176" s="1">
        <v>0</v>
      </c>
      <c r="G176" s="1">
        <v>-2253.422</v>
      </c>
      <c r="H176" s="1">
        <v>0</v>
      </c>
      <c r="I176" s="1">
        <v>0</v>
      </c>
    </row>
    <row r="177" spans="1:9" hidden="1" x14ac:dyDescent="0.25">
      <c r="A177" s="1" t="s">
        <v>157</v>
      </c>
      <c r="B177" s="1" t="s">
        <v>98</v>
      </c>
      <c r="C177" s="1" t="s">
        <v>10</v>
      </c>
      <c r="D177" s="1">
        <v>0</v>
      </c>
      <c r="E177" s="1">
        <v>-136.57</v>
      </c>
      <c r="F177" s="1">
        <v>0</v>
      </c>
      <c r="G177" s="1">
        <v>-2253.422</v>
      </c>
      <c r="H177" s="1">
        <v>0</v>
      </c>
      <c r="I177" s="1">
        <v>-546.28399999999999</v>
      </c>
    </row>
    <row r="178" spans="1:9" hidden="1" x14ac:dyDescent="0.25">
      <c r="A178" s="1" t="s">
        <v>157</v>
      </c>
      <c r="B178" s="1" t="s">
        <v>15</v>
      </c>
      <c r="C178" s="1" t="s">
        <v>25</v>
      </c>
      <c r="D178" s="1">
        <v>0</v>
      </c>
      <c r="E178" s="1">
        <v>0</v>
      </c>
      <c r="F178" s="1">
        <v>290.91000000000003</v>
      </c>
      <c r="G178" s="1">
        <v>5759.9690000000001</v>
      </c>
      <c r="H178" s="1">
        <v>0</v>
      </c>
      <c r="I178" s="1">
        <v>0</v>
      </c>
    </row>
    <row r="179" spans="1:9" hidden="1" x14ac:dyDescent="0.25">
      <c r="A179" s="1" t="s">
        <v>157</v>
      </c>
      <c r="B179" s="1" t="s">
        <v>15</v>
      </c>
      <c r="C179" s="1" t="s">
        <v>10</v>
      </c>
      <c r="D179" s="1">
        <v>0</v>
      </c>
      <c r="E179" s="1">
        <v>0</v>
      </c>
      <c r="F179" s="1">
        <v>290.91000000000003</v>
      </c>
      <c r="G179" s="1">
        <v>5759.9690000000001</v>
      </c>
      <c r="H179" s="1">
        <v>1163.6300000000001</v>
      </c>
      <c r="I179" s="1">
        <v>0</v>
      </c>
    </row>
    <row r="180" spans="1:9" hidden="1" x14ac:dyDescent="0.25">
      <c r="A180" s="1" t="s">
        <v>157</v>
      </c>
      <c r="B180" s="1" t="s">
        <v>99</v>
      </c>
      <c r="C180" s="1" t="s">
        <v>25</v>
      </c>
      <c r="D180" s="1">
        <v>0</v>
      </c>
      <c r="E180" s="1">
        <v>0</v>
      </c>
      <c r="F180" s="1">
        <v>-290.91000000000003</v>
      </c>
      <c r="G180" s="1">
        <v>-5759.9690000000001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99</v>
      </c>
      <c r="C181" s="1" t="s">
        <v>10</v>
      </c>
      <c r="D181" s="1">
        <v>0</v>
      </c>
      <c r="E181" s="1">
        <v>0</v>
      </c>
      <c r="F181" s="1">
        <v>-290.91000000000003</v>
      </c>
      <c r="G181" s="1">
        <v>-5759.9690000000001</v>
      </c>
      <c r="H181" s="1">
        <v>-1163.6300000000001</v>
      </c>
      <c r="I181" s="1">
        <v>0</v>
      </c>
    </row>
    <row r="182" spans="1:9" hidden="1" x14ac:dyDescent="0.25">
      <c r="A182" s="1" t="s">
        <v>157</v>
      </c>
      <c r="B182" s="1" t="s">
        <v>100</v>
      </c>
      <c r="C182" s="1" t="s">
        <v>25</v>
      </c>
      <c r="D182" s="1">
        <v>0</v>
      </c>
      <c r="E182" s="1">
        <v>136.57</v>
      </c>
      <c r="F182" s="1">
        <v>0</v>
      </c>
      <c r="G182" s="1">
        <v>2253.422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100</v>
      </c>
      <c r="C183" s="1" t="s">
        <v>10</v>
      </c>
      <c r="D183" s="1">
        <v>0</v>
      </c>
      <c r="E183" s="1">
        <v>136.57</v>
      </c>
      <c r="F183" s="1">
        <v>0</v>
      </c>
      <c r="G183" s="1">
        <v>2253.422</v>
      </c>
      <c r="H183" s="1">
        <v>0</v>
      </c>
      <c r="I183" s="1">
        <v>546.28399999999999</v>
      </c>
    </row>
    <row r="184" spans="1:9" hidden="1" x14ac:dyDescent="0.25">
      <c r="A184" s="1" t="s">
        <v>157</v>
      </c>
      <c r="B184" s="1" t="s">
        <v>101</v>
      </c>
      <c r="C184" s="1" t="s">
        <v>25</v>
      </c>
      <c r="D184" s="1">
        <v>0</v>
      </c>
      <c r="E184" s="1">
        <v>-136.57</v>
      </c>
      <c r="F184" s="1">
        <v>0</v>
      </c>
      <c r="G184" s="1">
        <v>-2253.422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101</v>
      </c>
      <c r="C185" s="1" t="s">
        <v>10</v>
      </c>
      <c r="D185" s="1">
        <v>0</v>
      </c>
      <c r="E185" s="1">
        <v>-136.57</v>
      </c>
      <c r="F185" s="1">
        <v>0</v>
      </c>
      <c r="G185" s="1">
        <v>-2253.422</v>
      </c>
      <c r="H185" s="1">
        <v>0</v>
      </c>
      <c r="I185" s="1">
        <v>-546.28399999999999</v>
      </c>
    </row>
    <row r="186" spans="1:9" hidden="1" x14ac:dyDescent="0.25">
      <c r="A186" s="1" t="s">
        <v>157</v>
      </c>
      <c r="B186" s="1" t="s">
        <v>102</v>
      </c>
      <c r="C186" s="1" t="s">
        <v>25</v>
      </c>
      <c r="D186" s="1">
        <v>0</v>
      </c>
      <c r="E186" s="1">
        <v>136.57</v>
      </c>
      <c r="F186" s="1">
        <v>0</v>
      </c>
      <c r="G186" s="1">
        <v>2253.422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102</v>
      </c>
      <c r="C187" s="1" t="s">
        <v>10</v>
      </c>
      <c r="D187" s="1">
        <v>0</v>
      </c>
      <c r="E187" s="1">
        <v>136.57</v>
      </c>
      <c r="F187" s="1">
        <v>0</v>
      </c>
      <c r="G187" s="1">
        <v>2253.422</v>
      </c>
      <c r="H187" s="1">
        <v>0</v>
      </c>
      <c r="I187" s="1">
        <v>546.28399999999999</v>
      </c>
    </row>
    <row r="188" spans="1:9" hidden="1" x14ac:dyDescent="0.25">
      <c r="A188" s="1" t="s">
        <v>157</v>
      </c>
      <c r="B188" s="1" t="s">
        <v>103</v>
      </c>
      <c r="C188" s="1" t="s">
        <v>25</v>
      </c>
      <c r="D188" s="1">
        <v>0</v>
      </c>
      <c r="E188" s="1">
        <v>-136.57</v>
      </c>
      <c r="F188" s="1">
        <v>0</v>
      </c>
      <c r="G188" s="1">
        <v>-2253.422</v>
      </c>
      <c r="H188" s="1">
        <v>0</v>
      </c>
      <c r="I188" s="1">
        <v>0</v>
      </c>
    </row>
    <row r="189" spans="1:9" hidden="1" x14ac:dyDescent="0.25">
      <c r="A189" s="1" t="s">
        <v>157</v>
      </c>
      <c r="B189" s="1" t="s">
        <v>103</v>
      </c>
      <c r="C189" s="1" t="s">
        <v>10</v>
      </c>
      <c r="D189" s="1">
        <v>0</v>
      </c>
      <c r="E189" s="1">
        <v>-136.57</v>
      </c>
      <c r="F189" s="1">
        <v>0</v>
      </c>
      <c r="G189" s="1">
        <v>-2253.422</v>
      </c>
      <c r="H189" s="1">
        <v>0</v>
      </c>
      <c r="I189" s="1">
        <v>-546.28399999999999</v>
      </c>
    </row>
    <row r="190" spans="1:9" hidden="1" x14ac:dyDescent="0.25">
      <c r="A190" s="1" t="s">
        <v>157</v>
      </c>
      <c r="B190" s="1" t="s">
        <v>104</v>
      </c>
      <c r="C190" s="1" t="s">
        <v>25</v>
      </c>
      <c r="D190" s="1">
        <v>0</v>
      </c>
      <c r="E190" s="1">
        <v>0</v>
      </c>
      <c r="F190" s="1">
        <v>290.91000000000003</v>
      </c>
      <c r="G190" s="1">
        <v>5759.9690000000001</v>
      </c>
      <c r="H190" s="1">
        <v>0</v>
      </c>
      <c r="I190" s="1">
        <v>0</v>
      </c>
    </row>
    <row r="191" spans="1:9" hidden="1" x14ac:dyDescent="0.25">
      <c r="A191" s="1" t="s">
        <v>157</v>
      </c>
      <c r="B191" s="1" t="s">
        <v>104</v>
      </c>
      <c r="C191" s="1" t="s">
        <v>10</v>
      </c>
      <c r="D191" s="1">
        <v>0</v>
      </c>
      <c r="E191" s="1">
        <v>0</v>
      </c>
      <c r="F191" s="1">
        <v>290.91000000000003</v>
      </c>
      <c r="G191" s="1">
        <v>5759.9690000000001</v>
      </c>
      <c r="H191" s="1">
        <v>1163.6300000000001</v>
      </c>
      <c r="I191" s="1">
        <v>0</v>
      </c>
    </row>
    <row r="192" spans="1:9" hidden="1" x14ac:dyDescent="0.25">
      <c r="A192" s="1" t="s">
        <v>157</v>
      </c>
      <c r="B192" s="1" t="s">
        <v>105</v>
      </c>
      <c r="C192" s="1" t="s">
        <v>25</v>
      </c>
      <c r="D192" s="1">
        <v>0</v>
      </c>
      <c r="E192" s="1">
        <v>0</v>
      </c>
      <c r="F192" s="1">
        <v>-290.91000000000003</v>
      </c>
      <c r="G192" s="1">
        <v>-5759.9690000000001</v>
      </c>
      <c r="H192" s="1">
        <v>0</v>
      </c>
      <c r="I192" s="1">
        <v>0</v>
      </c>
    </row>
    <row r="193" spans="1:9" hidden="1" x14ac:dyDescent="0.25">
      <c r="A193" s="1" t="s">
        <v>157</v>
      </c>
      <c r="B193" s="1" t="s">
        <v>105</v>
      </c>
      <c r="C193" s="1" t="s">
        <v>10</v>
      </c>
      <c r="D193" s="1">
        <v>0</v>
      </c>
      <c r="E193" s="1">
        <v>0</v>
      </c>
      <c r="F193" s="1">
        <v>-290.91000000000003</v>
      </c>
      <c r="G193" s="1">
        <v>-5759.9690000000001</v>
      </c>
      <c r="H193" s="1">
        <v>-1163.6300000000001</v>
      </c>
      <c r="I193" s="1">
        <v>0</v>
      </c>
    </row>
    <row r="194" spans="1:9" hidden="1" x14ac:dyDescent="0.25">
      <c r="A194" s="1" t="s">
        <v>157</v>
      </c>
      <c r="B194" s="1" t="s">
        <v>106</v>
      </c>
      <c r="C194" s="1" t="s">
        <v>25</v>
      </c>
      <c r="D194" s="1">
        <v>0</v>
      </c>
      <c r="E194" s="1">
        <v>0</v>
      </c>
      <c r="F194" s="1">
        <v>290.91000000000003</v>
      </c>
      <c r="G194" s="1">
        <v>5759.9690000000001</v>
      </c>
      <c r="H194" s="1">
        <v>0</v>
      </c>
      <c r="I194" s="1">
        <v>0</v>
      </c>
    </row>
    <row r="195" spans="1:9" hidden="1" x14ac:dyDescent="0.25">
      <c r="A195" s="1" t="s">
        <v>157</v>
      </c>
      <c r="B195" s="1" t="s">
        <v>106</v>
      </c>
      <c r="C195" s="1" t="s">
        <v>10</v>
      </c>
      <c r="D195" s="1">
        <v>0</v>
      </c>
      <c r="E195" s="1">
        <v>0</v>
      </c>
      <c r="F195" s="1">
        <v>290.91000000000003</v>
      </c>
      <c r="G195" s="1">
        <v>5759.9690000000001</v>
      </c>
      <c r="H195" s="1">
        <v>1163.6300000000001</v>
      </c>
      <c r="I195" s="1">
        <v>0</v>
      </c>
    </row>
    <row r="196" spans="1:9" hidden="1" x14ac:dyDescent="0.25">
      <c r="A196" s="1" t="s">
        <v>157</v>
      </c>
      <c r="B196" s="1" t="s">
        <v>107</v>
      </c>
      <c r="C196" s="1" t="s">
        <v>25</v>
      </c>
      <c r="D196" s="1">
        <v>0</v>
      </c>
      <c r="E196" s="1">
        <v>0</v>
      </c>
      <c r="F196" s="1">
        <v>-290.91000000000003</v>
      </c>
      <c r="G196" s="1">
        <v>-5759.9690000000001</v>
      </c>
      <c r="H196" s="1">
        <v>0</v>
      </c>
      <c r="I196" s="1">
        <v>0</v>
      </c>
    </row>
    <row r="197" spans="1:9" hidden="1" x14ac:dyDescent="0.25">
      <c r="A197" s="1" t="s">
        <v>157</v>
      </c>
      <c r="B197" s="1" t="s">
        <v>107</v>
      </c>
      <c r="C197" s="1" t="s">
        <v>10</v>
      </c>
      <c r="D197" s="1">
        <v>0</v>
      </c>
      <c r="E197" s="1">
        <v>0</v>
      </c>
      <c r="F197" s="1">
        <v>-290.91000000000003</v>
      </c>
      <c r="G197" s="1">
        <v>-5759.9690000000001</v>
      </c>
      <c r="H197" s="1">
        <v>-1163.6300000000001</v>
      </c>
      <c r="I197" s="1">
        <v>0</v>
      </c>
    </row>
    <row r="198" spans="1:9" hidden="1" x14ac:dyDescent="0.25">
      <c r="A198" s="1" t="s">
        <v>157</v>
      </c>
      <c r="B198" s="1" t="s">
        <v>108</v>
      </c>
      <c r="C198" s="1" t="s">
        <v>25</v>
      </c>
      <c r="D198" s="1">
        <v>0</v>
      </c>
      <c r="E198" s="1">
        <v>40.97</v>
      </c>
      <c r="F198" s="1">
        <v>0</v>
      </c>
      <c r="G198" s="1">
        <v>676.02599999999995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108</v>
      </c>
      <c r="C199" s="1" t="s">
        <v>10</v>
      </c>
      <c r="D199" s="1">
        <v>0</v>
      </c>
      <c r="E199" s="1">
        <v>40.97</v>
      </c>
      <c r="F199" s="1">
        <v>0</v>
      </c>
      <c r="G199" s="1">
        <v>676.02599999999995</v>
      </c>
      <c r="H199" s="1">
        <v>0</v>
      </c>
      <c r="I199" s="1">
        <v>163.88499999999999</v>
      </c>
    </row>
    <row r="200" spans="1:9" hidden="1" x14ac:dyDescent="0.25">
      <c r="A200" s="1" t="s">
        <v>157</v>
      </c>
      <c r="B200" s="1" t="s">
        <v>109</v>
      </c>
      <c r="C200" s="1" t="s">
        <v>25</v>
      </c>
      <c r="D200" s="1">
        <v>0</v>
      </c>
      <c r="E200" s="1">
        <v>-40.97</v>
      </c>
      <c r="F200" s="1">
        <v>0</v>
      </c>
      <c r="G200" s="1">
        <v>-676.02599999999995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109</v>
      </c>
      <c r="C201" s="1" t="s">
        <v>10</v>
      </c>
      <c r="D201" s="1">
        <v>0</v>
      </c>
      <c r="E201" s="1">
        <v>-40.97</v>
      </c>
      <c r="F201" s="1">
        <v>0</v>
      </c>
      <c r="G201" s="1">
        <v>-676.02599999999995</v>
      </c>
      <c r="H201" s="1">
        <v>0</v>
      </c>
      <c r="I201" s="1">
        <v>-163.88499999999999</v>
      </c>
    </row>
    <row r="202" spans="1:9" hidden="1" x14ac:dyDescent="0.25">
      <c r="A202" s="1" t="s">
        <v>157</v>
      </c>
      <c r="B202" s="1" t="s">
        <v>110</v>
      </c>
      <c r="C202" s="1" t="s">
        <v>25</v>
      </c>
      <c r="D202" s="1">
        <v>0</v>
      </c>
      <c r="E202" s="1">
        <v>40.97</v>
      </c>
      <c r="F202" s="1">
        <v>0</v>
      </c>
      <c r="G202" s="1">
        <v>676.02599999999995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110</v>
      </c>
      <c r="C203" s="1" t="s">
        <v>10</v>
      </c>
      <c r="D203" s="1">
        <v>0</v>
      </c>
      <c r="E203" s="1">
        <v>40.97</v>
      </c>
      <c r="F203" s="1">
        <v>0</v>
      </c>
      <c r="G203" s="1">
        <v>676.02599999999995</v>
      </c>
      <c r="H203" s="1">
        <v>0</v>
      </c>
      <c r="I203" s="1">
        <v>163.88499999999999</v>
      </c>
    </row>
    <row r="204" spans="1:9" hidden="1" x14ac:dyDescent="0.25">
      <c r="A204" s="1" t="s">
        <v>157</v>
      </c>
      <c r="B204" s="1" t="s">
        <v>111</v>
      </c>
      <c r="C204" s="1" t="s">
        <v>25</v>
      </c>
      <c r="D204" s="1">
        <v>0</v>
      </c>
      <c r="E204" s="1">
        <v>-40.97</v>
      </c>
      <c r="F204" s="1">
        <v>0</v>
      </c>
      <c r="G204" s="1">
        <v>-676.02599999999995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111</v>
      </c>
      <c r="C205" s="1" t="s">
        <v>10</v>
      </c>
      <c r="D205" s="1">
        <v>0</v>
      </c>
      <c r="E205" s="1">
        <v>-40.97</v>
      </c>
      <c r="F205" s="1">
        <v>0</v>
      </c>
      <c r="G205" s="1">
        <v>-676.02599999999995</v>
      </c>
      <c r="H205" s="1">
        <v>0</v>
      </c>
      <c r="I205" s="1">
        <v>-163.88499999999999</v>
      </c>
    </row>
    <row r="206" spans="1:9" hidden="1" x14ac:dyDescent="0.25">
      <c r="A206" s="1" t="s">
        <v>157</v>
      </c>
      <c r="B206" s="1" t="s">
        <v>112</v>
      </c>
      <c r="C206" s="1" t="s">
        <v>25</v>
      </c>
      <c r="D206" s="1">
        <v>0</v>
      </c>
      <c r="E206" s="1">
        <v>0</v>
      </c>
      <c r="F206" s="1">
        <v>87.27</v>
      </c>
      <c r="G206" s="1">
        <v>1727.991</v>
      </c>
      <c r="H206" s="1">
        <v>0</v>
      </c>
      <c r="I206" s="1">
        <v>0</v>
      </c>
    </row>
    <row r="207" spans="1:9" hidden="1" x14ac:dyDescent="0.25">
      <c r="A207" s="1" t="s">
        <v>157</v>
      </c>
      <c r="B207" s="1" t="s">
        <v>112</v>
      </c>
      <c r="C207" s="1" t="s">
        <v>10</v>
      </c>
      <c r="D207" s="1">
        <v>0</v>
      </c>
      <c r="E207" s="1">
        <v>0</v>
      </c>
      <c r="F207" s="1">
        <v>87.27</v>
      </c>
      <c r="G207" s="1">
        <v>1727.991</v>
      </c>
      <c r="H207" s="1">
        <v>349.089</v>
      </c>
      <c r="I207" s="1">
        <v>0</v>
      </c>
    </row>
    <row r="208" spans="1:9" hidden="1" x14ac:dyDescent="0.25">
      <c r="A208" s="1" t="s">
        <v>157</v>
      </c>
      <c r="B208" s="1" t="s">
        <v>113</v>
      </c>
      <c r="C208" s="1" t="s">
        <v>25</v>
      </c>
      <c r="D208" s="1">
        <v>0</v>
      </c>
      <c r="E208" s="1">
        <v>0</v>
      </c>
      <c r="F208" s="1">
        <v>-87.27</v>
      </c>
      <c r="G208" s="1">
        <v>-1727.991</v>
      </c>
      <c r="H208" s="1">
        <v>0</v>
      </c>
      <c r="I208" s="1">
        <v>0</v>
      </c>
    </row>
    <row r="209" spans="1:9" hidden="1" x14ac:dyDescent="0.25">
      <c r="A209" s="1" t="s">
        <v>157</v>
      </c>
      <c r="B209" s="1" t="s">
        <v>113</v>
      </c>
      <c r="C209" s="1" t="s">
        <v>10</v>
      </c>
      <c r="D209" s="1">
        <v>0</v>
      </c>
      <c r="E209" s="1">
        <v>0</v>
      </c>
      <c r="F209" s="1">
        <v>-87.27</v>
      </c>
      <c r="G209" s="1">
        <v>-1727.991</v>
      </c>
      <c r="H209" s="1">
        <v>-349.089</v>
      </c>
      <c r="I209" s="1">
        <v>0</v>
      </c>
    </row>
    <row r="210" spans="1:9" hidden="1" x14ac:dyDescent="0.25">
      <c r="A210" s="1" t="s">
        <v>157</v>
      </c>
      <c r="B210" s="1" t="s">
        <v>114</v>
      </c>
      <c r="C210" s="1" t="s">
        <v>25</v>
      </c>
      <c r="D210" s="1">
        <v>0</v>
      </c>
      <c r="E210" s="1">
        <v>0</v>
      </c>
      <c r="F210" s="1">
        <v>87.27</v>
      </c>
      <c r="G210" s="1">
        <v>1727.991</v>
      </c>
      <c r="H210" s="1">
        <v>0</v>
      </c>
      <c r="I210" s="1">
        <v>0</v>
      </c>
    </row>
    <row r="211" spans="1:9" hidden="1" x14ac:dyDescent="0.25">
      <c r="A211" s="1" t="s">
        <v>157</v>
      </c>
      <c r="B211" s="1" t="s">
        <v>114</v>
      </c>
      <c r="C211" s="1" t="s">
        <v>10</v>
      </c>
      <c r="D211" s="1">
        <v>0</v>
      </c>
      <c r="E211" s="1">
        <v>0</v>
      </c>
      <c r="F211" s="1">
        <v>87.27</v>
      </c>
      <c r="G211" s="1">
        <v>1727.991</v>
      </c>
      <c r="H211" s="1">
        <v>349.089</v>
      </c>
      <c r="I211" s="1">
        <v>0</v>
      </c>
    </row>
    <row r="212" spans="1:9" hidden="1" x14ac:dyDescent="0.25">
      <c r="A212" s="1" t="s">
        <v>157</v>
      </c>
      <c r="B212" s="1" t="s">
        <v>115</v>
      </c>
      <c r="C212" s="1" t="s">
        <v>25</v>
      </c>
      <c r="D212" s="1">
        <v>0</v>
      </c>
      <c r="E212" s="1">
        <v>0</v>
      </c>
      <c r="F212" s="1">
        <v>-87.27</v>
      </c>
      <c r="G212" s="1">
        <v>-1727.991</v>
      </c>
      <c r="H212" s="1">
        <v>0</v>
      </c>
      <c r="I212" s="1">
        <v>0</v>
      </c>
    </row>
    <row r="213" spans="1:9" hidden="1" x14ac:dyDescent="0.25">
      <c r="A213" s="1" t="s">
        <v>157</v>
      </c>
      <c r="B213" s="1" t="s">
        <v>115</v>
      </c>
      <c r="C213" s="1" t="s">
        <v>10</v>
      </c>
      <c r="D213" s="1">
        <v>0</v>
      </c>
      <c r="E213" s="1">
        <v>0</v>
      </c>
      <c r="F213" s="1">
        <v>-87.27</v>
      </c>
      <c r="G213" s="1">
        <v>-1727.991</v>
      </c>
      <c r="H213" s="1">
        <v>-349.089</v>
      </c>
      <c r="I213" s="1">
        <v>0</v>
      </c>
    </row>
    <row r="214" spans="1:9" hidden="1" x14ac:dyDescent="0.25">
      <c r="A214" s="1" t="s">
        <v>157</v>
      </c>
      <c r="B214" s="1" t="s">
        <v>116</v>
      </c>
      <c r="C214" s="1" t="s">
        <v>25</v>
      </c>
      <c r="D214" s="1">
        <v>0</v>
      </c>
      <c r="E214" s="1">
        <v>136.57</v>
      </c>
      <c r="F214" s="1">
        <v>0</v>
      </c>
      <c r="G214" s="1">
        <v>2253.422</v>
      </c>
      <c r="H214" s="1">
        <v>0</v>
      </c>
      <c r="I214" s="1">
        <v>0</v>
      </c>
    </row>
    <row r="215" spans="1:9" hidden="1" x14ac:dyDescent="0.25">
      <c r="A215" s="1" t="s">
        <v>157</v>
      </c>
      <c r="B215" s="1" t="s">
        <v>116</v>
      </c>
      <c r="C215" s="1" t="s">
        <v>10</v>
      </c>
      <c r="D215" s="1">
        <v>0</v>
      </c>
      <c r="E215" s="1">
        <v>136.57</v>
      </c>
      <c r="F215" s="1">
        <v>0</v>
      </c>
      <c r="G215" s="1">
        <v>2253.422</v>
      </c>
      <c r="H215" s="1">
        <v>0</v>
      </c>
      <c r="I215" s="1">
        <v>546.28399999999999</v>
      </c>
    </row>
    <row r="216" spans="1:9" hidden="1" x14ac:dyDescent="0.25">
      <c r="A216" s="1" t="s">
        <v>157</v>
      </c>
      <c r="B216" s="1" t="s">
        <v>117</v>
      </c>
      <c r="C216" s="1" t="s">
        <v>25</v>
      </c>
      <c r="D216" s="1">
        <v>0</v>
      </c>
      <c r="E216" s="1">
        <v>-136.57</v>
      </c>
      <c r="F216" s="1">
        <v>0</v>
      </c>
      <c r="G216" s="1">
        <v>-2253.422</v>
      </c>
      <c r="H216" s="1">
        <v>0</v>
      </c>
      <c r="I216" s="1">
        <v>0</v>
      </c>
    </row>
    <row r="217" spans="1:9" hidden="1" x14ac:dyDescent="0.25">
      <c r="A217" s="1" t="s">
        <v>157</v>
      </c>
      <c r="B217" s="1" t="s">
        <v>117</v>
      </c>
      <c r="C217" s="1" t="s">
        <v>10</v>
      </c>
      <c r="D217" s="1">
        <v>0</v>
      </c>
      <c r="E217" s="1">
        <v>-136.57</v>
      </c>
      <c r="F217" s="1">
        <v>0</v>
      </c>
      <c r="G217" s="1">
        <v>-2253.422</v>
      </c>
      <c r="H217" s="1">
        <v>0</v>
      </c>
      <c r="I217" s="1">
        <v>-546.28399999999999</v>
      </c>
    </row>
    <row r="218" spans="1:9" hidden="1" x14ac:dyDescent="0.25">
      <c r="A218" s="1" t="s">
        <v>157</v>
      </c>
      <c r="B218" s="1" t="s">
        <v>118</v>
      </c>
      <c r="C218" s="1" t="s">
        <v>25</v>
      </c>
      <c r="D218" s="1">
        <v>0</v>
      </c>
      <c r="E218" s="1">
        <v>136.57</v>
      </c>
      <c r="F218" s="1">
        <v>0</v>
      </c>
      <c r="G218" s="1">
        <v>2253.422</v>
      </c>
      <c r="H218" s="1">
        <v>0</v>
      </c>
      <c r="I218" s="1">
        <v>0</v>
      </c>
    </row>
    <row r="219" spans="1:9" hidden="1" x14ac:dyDescent="0.25">
      <c r="A219" s="1" t="s">
        <v>157</v>
      </c>
      <c r="B219" s="1" t="s">
        <v>118</v>
      </c>
      <c r="C219" s="1" t="s">
        <v>10</v>
      </c>
      <c r="D219" s="1">
        <v>0</v>
      </c>
      <c r="E219" s="1">
        <v>136.57</v>
      </c>
      <c r="F219" s="1">
        <v>0</v>
      </c>
      <c r="G219" s="1">
        <v>2253.422</v>
      </c>
      <c r="H219" s="1">
        <v>0</v>
      </c>
      <c r="I219" s="1">
        <v>546.28399999999999</v>
      </c>
    </row>
    <row r="220" spans="1:9" hidden="1" x14ac:dyDescent="0.25">
      <c r="A220" s="1" t="s">
        <v>157</v>
      </c>
      <c r="B220" s="1" t="s">
        <v>119</v>
      </c>
      <c r="C220" s="1" t="s">
        <v>25</v>
      </c>
      <c r="D220" s="1">
        <v>0</v>
      </c>
      <c r="E220" s="1">
        <v>-136.57</v>
      </c>
      <c r="F220" s="1">
        <v>0</v>
      </c>
      <c r="G220" s="1">
        <v>-2253.422</v>
      </c>
      <c r="H220" s="1">
        <v>0</v>
      </c>
      <c r="I220" s="1">
        <v>0</v>
      </c>
    </row>
    <row r="221" spans="1:9" hidden="1" x14ac:dyDescent="0.25">
      <c r="A221" s="1" t="s">
        <v>157</v>
      </c>
      <c r="B221" s="1" t="s">
        <v>119</v>
      </c>
      <c r="C221" s="1" t="s">
        <v>10</v>
      </c>
      <c r="D221" s="1">
        <v>0</v>
      </c>
      <c r="E221" s="1">
        <v>-136.57</v>
      </c>
      <c r="F221" s="1">
        <v>0</v>
      </c>
      <c r="G221" s="1">
        <v>-2253.422</v>
      </c>
      <c r="H221" s="1">
        <v>0</v>
      </c>
      <c r="I221" s="1">
        <v>-546.28399999999999</v>
      </c>
    </row>
    <row r="222" spans="1:9" hidden="1" x14ac:dyDescent="0.25">
      <c r="A222" s="1" t="s">
        <v>157</v>
      </c>
      <c r="B222" s="1" t="s">
        <v>120</v>
      </c>
      <c r="C222" s="1" t="s">
        <v>25</v>
      </c>
      <c r="D222" s="1">
        <v>0</v>
      </c>
      <c r="E222" s="1">
        <v>0</v>
      </c>
      <c r="F222" s="1">
        <v>290.91000000000003</v>
      </c>
      <c r="G222" s="1">
        <v>5759.9690000000001</v>
      </c>
      <c r="H222" s="1">
        <v>0</v>
      </c>
      <c r="I222" s="1">
        <v>0</v>
      </c>
    </row>
    <row r="223" spans="1:9" hidden="1" x14ac:dyDescent="0.25">
      <c r="A223" s="1" t="s">
        <v>157</v>
      </c>
      <c r="B223" s="1" t="s">
        <v>120</v>
      </c>
      <c r="C223" s="1" t="s">
        <v>10</v>
      </c>
      <c r="D223" s="1">
        <v>0</v>
      </c>
      <c r="E223" s="1">
        <v>0</v>
      </c>
      <c r="F223" s="1">
        <v>290.91000000000003</v>
      </c>
      <c r="G223" s="1">
        <v>5759.9690000000001</v>
      </c>
      <c r="H223" s="1">
        <v>1163.6300000000001</v>
      </c>
      <c r="I223" s="1">
        <v>0</v>
      </c>
    </row>
    <row r="224" spans="1:9" hidden="1" x14ac:dyDescent="0.25">
      <c r="A224" s="1" t="s">
        <v>157</v>
      </c>
      <c r="B224" s="1" t="s">
        <v>121</v>
      </c>
      <c r="C224" s="1" t="s">
        <v>25</v>
      </c>
      <c r="D224" s="1">
        <v>0</v>
      </c>
      <c r="E224" s="1">
        <v>0</v>
      </c>
      <c r="F224" s="1">
        <v>-290.91000000000003</v>
      </c>
      <c r="G224" s="1">
        <v>-5759.9690000000001</v>
      </c>
      <c r="H224" s="1">
        <v>0</v>
      </c>
      <c r="I224" s="1">
        <v>0</v>
      </c>
    </row>
    <row r="225" spans="1:9" hidden="1" x14ac:dyDescent="0.25">
      <c r="A225" s="1" t="s">
        <v>157</v>
      </c>
      <c r="B225" s="1" t="s">
        <v>121</v>
      </c>
      <c r="C225" s="1" t="s">
        <v>10</v>
      </c>
      <c r="D225" s="1">
        <v>0</v>
      </c>
      <c r="E225" s="1">
        <v>0</v>
      </c>
      <c r="F225" s="1">
        <v>-290.91000000000003</v>
      </c>
      <c r="G225" s="1">
        <v>-5759.9690000000001</v>
      </c>
      <c r="H225" s="1">
        <v>-1163.6300000000001</v>
      </c>
      <c r="I225" s="1">
        <v>0</v>
      </c>
    </row>
    <row r="226" spans="1:9" hidden="1" x14ac:dyDescent="0.25">
      <c r="A226" s="1" t="s">
        <v>157</v>
      </c>
      <c r="B226" s="1" t="s">
        <v>122</v>
      </c>
      <c r="C226" s="1" t="s">
        <v>25</v>
      </c>
      <c r="D226" s="1">
        <v>0</v>
      </c>
      <c r="E226" s="1">
        <v>0</v>
      </c>
      <c r="F226" s="1">
        <v>290.91000000000003</v>
      </c>
      <c r="G226" s="1">
        <v>5759.9690000000001</v>
      </c>
      <c r="H226" s="1">
        <v>0</v>
      </c>
      <c r="I226" s="1">
        <v>0</v>
      </c>
    </row>
    <row r="227" spans="1:9" hidden="1" x14ac:dyDescent="0.25">
      <c r="A227" s="1" t="s">
        <v>157</v>
      </c>
      <c r="B227" s="1" t="s">
        <v>122</v>
      </c>
      <c r="C227" s="1" t="s">
        <v>10</v>
      </c>
      <c r="D227" s="1">
        <v>0</v>
      </c>
      <c r="E227" s="1">
        <v>0</v>
      </c>
      <c r="F227" s="1">
        <v>290.91000000000003</v>
      </c>
      <c r="G227" s="1">
        <v>5759.9690000000001</v>
      </c>
      <c r="H227" s="1">
        <v>1163.6300000000001</v>
      </c>
      <c r="I227" s="1">
        <v>0</v>
      </c>
    </row>
    <row r="228" spans="1:9" hidden="1" x14ac:dyDescent="0.25">
      <c r="A228" s="1" t="s">
        <v>157</v>
      </c>
      <c r="B228" s="1" t="s">
        <v>123</v>
      </c>
      <c r="C228" s="1" t="s">
        <v>25</v>
      </c>
      <c r="D228" s="1">
        <v>0</v>
      </c>
      <c r="E228" s="1">
        <v>0</v>
      </c>
      <c r="F228" s="1">
        <v>-290.91000000000003</v>
      </c>
      <c r="G228" s="1">
        <v>-5759.9690000000001</v>
      </c>
      <c r="H228" s="1">
        <v>0</v>
      </c>
      <c r="I228" s="1">
        <v>0</v>
      </c>
    </row>
    <row r="229" spans="1:9" hidden="1" x14ac:dyDescent="0.25">
      <c r="A229" s="1" t="s">
        <v>157</v>
      </c>
      <c r="B229" s="1" t="s">
        <v>123</v>
      </c>
      <c r="C229" s="1" t="s">
        <v>10</v>
      </c>
      <c r="D229" s="1">
        <v>0</v>
      </c>
      <c r="E229" s="1">
        <v>0</v>
      </c>
      <c r="F229" s="1">
        <v>-290.91000000000003</v>
      </c>
      <c r="G229" s="1">
        <v>-5759.9690000000001</v>
      </c>
      <c r="H229" s="1">
        <v>-1163.6300000000001</v>
      </c>
      <c r="I229" s="1">
        <v>0</v>
      </c>
    </row>
    <row r="230" spans="1:9" hidden="1" x14ac:dyDescent="0.25">
      <c r="A230" s="1" t="s">
        <v>157</v>
      </c>
      <c r="B230" s="1" t="s">
        <v>124</v>
      </c>
      <c r="C230" s="1" t="s">
        <v>25</v>
      </c>
      <c r="D230" s="1">
        <v>0</v>
      </c>
      <c r="E230" s="1">
        <v>40.97</v>
      </c>
      <c r="F230" s="1">
        <v>0</v>
      </c>
      <c r="G230" s="1">
        <v>676.02599999999995</v>
      </c>
      <c r="H230" s="1">
        <v>0</v>
      </c>
      <c r="I230" s="1">
        <v>0</v>
      </c>
    </row>
    <row r="231" spans="1:9" hidden="1" x14ac:dyDescent="0.25">
      <c r="A231" s="1" t="s">
        <v>157</v>
      </c>
      <c r="B231" s="1" t="s">
        <v>124</v>
      </c>
      <c r="C231" s="1" t="s">
        <v>10</v>
      </c>
      <c r="D231" s="1">
        <v>0</v>
      </c>
      <c r="E231" s="1">
        <v>40.97</v>
      </c>
      <c r="F231" s="1">
        <v>0</v>
      </c>
      <c r="G231" s="1">
        <v>676.02599999999995</v>
      </c>
      <c r="H231" s="1">
        <v>0</v>
      </c>
      <c r="I231" s="1">
        <v>163.88499999999999</v>
      </c>
    </row>
    <row r="232" spans="1:9" hidden="1" x14ac:dyDescent="0.25">
      <c r="A232" s="1" t="s">
        <v>157</v>
      </c>
      <c r="B232" s="1" t="s">
        <v>125</v>
      </c>
      <c r="C232" s="1" t="s">
        <v>25</v>
      </c>
      <c r="D232" s="1">
        <v>0</v>
      </c>
      <c r="E232" s="1">
        <v>-40.97</v>
      </c>
      <c r="F232" s="1">
        <v>0</v>
      </c>
      <c r="G232" s="1">
        <v>-676.02599999999995</v>
      </c>
      <c r="H232" s="1">
        <v>0</v>
      </c>
      <c r="I232" s="1">
        <v>0</v>
      </c>
    </row>
    <row r="233" spans="1:9" hidden="1" x14ac:dyDescent="0.25">
      <c r="A233" s="1" t="s">
        <v>157</v>
      </c>
      <c r="B233" s="1" t="s">
        <v>125</v>
      </c>
      <c r="C233" s="1" t="s">
        <v>10</v>
      </c>
      <c r="D233" s="1">
        <v>0</v>
      </c>
      <c r="E233" s="1">
        <v>-40.97</v>
      </c>
      <c r="F233" s="1">
        <v>0</v>
      </c>
      <c r="G233" s="1">
        <v>-676.02599999999995</v>
      </c>
      <c r="H233" s="1">
        <v>0</v>
      </c>
      <c r="I233" s="1">
        <v>-163.88499999999999</v>
      </c>
    </row>
    <row r="234" spans="1:9" hidden="1" x14ac:dyDescent="0.25">
      <c r="A234" s="1" t="s">
        <v>157</v>
      </c>
      <c r="B234" s="1" t="s">
        <v>126</v>
      </c>
      <c r="C234" s="1" t="s">
        <v>25</v>
      </c>
      <c r="D234" s="1">
        <v>0</v>
      </c>
      <c r="E234" s="1">
        <v>40.97</v>
      </c>
      <c r="F234" s="1">
        <v>0</v>
      </c>
      <c r="G234" s="1">
        <v>676.02599999999995</v>
      </c>
      <c r="H234" s="1">
        <v>0</v>
      </c>
      <c r="I234" s="1">
        <v>0</v>
      </c>
    </row>
    <row r="235" spans="1:9" hidden="1" x14ac:dyDescent="0.25">
      <c r="A235" s="1" t="s">
        <v>157</v>
      </c>
      <c r="B235" s="1" t="s">
        <v>126</v>
      </c>
      <c r="C235" s="1" t="s">
        <v>10</v>
      </c>
      <c r="D235" s="1">
        <v>0</v>
      </c>
      <c r="E235" s="1">
        <v>40.97</v>
      </c>
      <c r="F235" s="1">
        <v>0</v>
      </c>
      <c r="G235" s="1">
        <v>676.02599999999995</v>
      </c>
      <c r="H235" s="1">
        <v>0</v>
      </c>
      <c r="I235" s="1">
        <v>163.88499999999999</v>
      </c>
    </row>
    <row r="236" spans="1:9" hidden="1" x14ac:dyDescent="0.25">
      <c r="A236" s="1" t="s">
        <v>157</v>
      </c>
      <c r="B236" s="1" t="s">
        <v>127</v>
      </c>
      <c r="C236" s="1" t="s">
        <v>25</v>
      </c>
      <c r="D236" s="1">
        <v>0</v>
      </c>
      <c r="E236" s="1">
        <v>-40.97</v>
      </c>
      <c r="F236" s="1">
        <v>0</v>
      </c>
      <c r="G236" s="1">
        <v>-676.02599999999995</v>
      </c>
      <c r="H236" s="1">
        <v>0</v>
      </c>
      <c r="I236" s="1">
        <v>0</v>
      </c>
    </row>
    <row r="237" spans="1:9" hidden="1" x14ac:dyDescent="0.25">
      <c r="A237" s="1" t="s">
        <v>157</v>
      </c>
      <c r="B237" s="1" t="s">
        <v>127</v>
      </c>
      <c r="C237" s="1" t="s">
        <v>10</v>
      </c>
      <c r="D237" s="1">
        <v>0</v>
      </c>
      <c r="E237" s="1">
        <v>-40.97</v>
      </c>
      <c r="F237" s="1">
        <v>0</v>
      </c>
      <c r="G237" s="1">
        <v>-676.02599999999995</v>
      </c>
      <c r="H237" s="1">
        <v>0</v>
      </c>
      <c r="I237" s="1">
        <v>-163.88499999999999</v>
      </c>
    </row>
    <row r="238" spans="1:9" hidden="1" x14ac:dyDescent="0.25">
      <c r="A238" s="1" t="s">
        <v>157</v>
      </c>
      <c r="B238" s="1" t="s">
        <v>128</v>
      </c>
      <c r="C238" s="1" t="s">
        <v>25</v>
      </c>
      <c r="D238" s="1">
        <v>0</v>
      </c>
      <c r="E238" s="1">
        <v>0</v>
      </c>
      <c r="F238" s="1">
        <v>87.27</v>
      </c>
      <c r="G238" s="1">
        <v>1727.991</v>
      </c>
      <c r="H238" s="1">
        <v>0</v>
      </c>
      <c r="I238" s="1">
        <v>0</v>
      </c>
    </row>
    <row r="239" spans="1:9" hidden="1" x14ac:dyDescent="0.25">
      <c r="A239" s="1" t="s">
        <v>157</v>
      </c>
      <c r="B239" s="1" t="s">
        <v>128</v>
      </c>
      <c r="C239" s="1" t="s">
        <v>10</v>
      </c>
      <c r="D239" s="1">
        <v>0</v>
      </c>
      <c r="E239" s="1">
        <v>0</v>
      </c>
      <c r="F239" s="1">
        <v>87.27</v>
      </c>
      <c r="G239" s="1">
        <v>1727.991</v>
      </c>
      <c r="H239" s="1">
        <v>349.089</v>
      </c>
      <c r="I239" s="1">
        <v>0</v>
      </c>
    </row>
    <row r="240" spans="1:9" hidden="1" x14ac:dyDescent="0.25">
      <c r="A240" s="1" t="s">
        <v>157</v>
      </c>
      <c r="B240" s="1" t="s">
        <v>129</v>
      </c>
      <c r="C240" s="1" t="s">
        <v>25</v>
      </c>
      <c r="D240" s="1">
        <v>0</v>
      </c>
      <c r="E240" s="1">
        <v>0</v>
      </c>
      <c r="F240" s="1">
        <v>-87.27</v>
      </c>
      <c r="G240" s="1">
        <v>-1727.991</v>
      </c>
      <c r="H240" s="1">
        <v>0</v>
      </c>
      <c r="I240" s="1">
        <v>0</v>
      </c>
    </row>
    <row r="241" spans="1:9" hidden="1" x14ac:dyDescent="0.25">
      <c r="A241" s="1" t="s">
        <v>157</v>
      </c>
      <c r="B241" s="1" t="s">
        <v>129</v>
      </c>
      <c r="C241" s="1" t="s">
        <v>10</v>
      </c>
      <c r="D241" s="1">
        <v>0</v>
      </c>
      <c r="E241" s="1">
        <v>0</v>
      </c>
      <c r="F241" s="1">
        <v>-87.27</v>
      </c>
      <c r="G241" s="1">
        <v>-1727.991</v>
      </c>
      <c r="H241" s="1">
        <v>-349.089</v>
      </c>
      <c r="I241" s="1">
        <v>0</v>
      </c>
    </row>
    <row r="242" spans="1:9" hidden="1" x14ac:dyDescent="0.25">
      <c r="A242" s="1" t="s">
        <v>157</v>
      </c>
      <c r="B242" s="1" t="s">
        <v>130</v>
      </c>
      <c r="C242" s="1" t="s">
        <v>25</v>
      </c>
      <c r="D242" s="1">
        <v>0</v>
      </c>
      <c r="E242" s="1">
        <v>0</v>
      </c>
      <c r="F242" s="1">
        <v>87.27</v>
      </c>
      <c r="G242" s="1">
        <v>1727.991</v>
      </c>
      <c r="H242" s="1">
        <v>0</v>
      </c>
      <c r="I242" s="1">
        <v>0</v>
      </c>
    </row>
    <row r="243" spans="1:9" hidden="1" x14ac:dyDescent="0.25">
      <c r="A243" s="1" t="s">
        <v>157</v>
      </c>
      <c r="B243" s="1" t="s">
        <v>130</v>
      </c>
      <c r="C243" s="1" t="s">
        <v>10</v>
      </c>
      <c r="D243" s="1">
        <v>0</v>
      </c>
      <c r="E243" s="1">
        <v>0</v>
      </c>
      <c r="F243" s="1">
        <v>87.27</v>
      </c>
      <c r="G243" s="1">
        <v>1727.991</v>
      </c>
      <c r="H243" s="1">
        <v>349.089</v>
      </c>
      <c r="I243" s="1">
        <v>0</v>
      </c>
    </row>
    <row r="244" spans="1:9" hidden="1" x14ac:dyDescent="0.25">
      <c r="A244" s="1" t="s">
        <v>157</v>
      </c>
      <c r="B244" s="1" t="s">
        <v>131</v>
      </c>
      <c r="C244" s="1" t="s">
        <v>25</v>
      </c>
      <c r="D244" s="1">
        <v>0</v>
      </c>
      <c r="E244" s="1">
        <v>0</v>
      </c>
      <c r="F244" s="1">
        <v>-87.27</v>
      </c>
      <c r="G244" s="1">
        <v>-1727.991</v>
      </c>
      <c r="H244" s="1">
        <v>0</v>
      </c>
      <c r="I244" s="1">
        <v>0</v>
      </c>
    </row>
    <row r="245" spans="1:9" hidden="1" x14ac:dyDescent="0.25">
      <c r="A245" s="1" t="s">
        <v>157</v>
      </c>
      <c r="B245" s="1" t="s">
        <v>131</v>
      </c>
      <c r="C245" s="1" t="s">
        <v>10</v>
      </c>
      <c r="D245" s="1">
        <v>0</v>
      </c>
      <c r="E245" s="1">
        <v>0</v>
      </c>
      <c r="F245" s="1">
        <v>-87.27</v>
      </c>
      <c r="G245" s="1">
        <v>-1727.991</v>
      </c>
      <c r="H245" s="1">
        <v>-349.089</v>
      </c>
      <c r="I245" s="1">
        <v>0</v>
      </c>
    </row>
    <row r="246" spans="1:9" hidden="1" x14ac:dyDescent="0.25">
      <c r="A246" s="1" t="s">
        <v>157</v>
      </c>
      <c r="B246" s="1" t="s">
        <v>132</v>
      </c>
      <c r="C246" s="1" t="s">
        <v>25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</row>
    <row r="247" spans="1:9" hidden="1" x14ac:dyDescent="0.25">
      <c r="A247" s="1" t="s">
        <v>157</v>
      </c>
      <c r="B247" s="1" t="s">
        <v>132</v>
      </c>
      <c r="C247" s="1" t="s">
        <v>10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</row>
    <row r="248" spans="1:9" hidden="1" x14ac:dyDescent="0.25">
      <c r="A248" s="1" t="s">
        <v>157</v>
      </c>
      <c r="B248" s="1" t="s">
        <v>133</v>
      </c>
      <c r="C248" s="1" t="s">
        <v>25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</row>
    <row r="249" spans="1:9" hidden="1" x14ac:dyDescent="0.25">
      <c r="A249" s="1" t="s">
        <v>157</v>
      </c>
      <c r="B249" s="1" t="s">
        <v>133</v>
      </c>
      <c r="C249" s="1" t="s">
        <v>10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</row>
    <row r="250" spans="1:9" hidden="1" x14ac:dyDescent="0.25">
      <c r="A250" s="1" t="s">
        <v>157</v>
      </c>
      <c r="B250" s="1" t="s">
        <v>134</v>
      </c>
      <c r="C250" s="1" t="s">
        <v>25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</row>
    <row r="251" spans="1:9" hidden="1" x14ac:dyDescent="0.25">
      <c r="A251" s="1" t="s">
        <v>157</v>
      </c>
      <c r="B251" s="1" t="s">
        <v>134</v>
      </c>
      <c r="C251" s="1" t="s">
        <v>10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</row>
    <row r="252" spans="1:9" hidden="1" x14ac:dyDescent="0.25">
      <c r="A252" s="1" t="s">
        <v>157</v>
      </c>
      <c r="B252" s="1" t="s">
        <v>135</v>
      </c>
      <c r="C252" s="1" t="s">
        <v>25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</row>
    <row r="253" spans="1:9" hidden="1" x14ac:dyDescent="0.25">
      <c r="A253" s="1" t="s">
        <v>157</v>
      </c>
      <c r="B253" s="1" t="s">
        <v>135</v>
      </c>
      <c r="C253" s="1" t="s">
        <v>10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</row>
    <row r="254" spans="1:9" hidden="1" x14ac:dyDescent="0.25">
      <c r="A254" s="1" t="s">
        <v>157</v>
      </c>
      <c r="B254" s="1" t="s">
        <v>136</v>
      </c>
      <c r="C254" s="1" t="s">
        <v>25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</row>
    <row r="255" spans="1:9" hidden="1" x14ac:dyDescent="0.25">
      <c r="A255" s="1" t="s">
        <v>157</v>
      </c>
      <c r="B255" s="1" t="s">
        <v>136</v>
      </c>
      <c r="C255" s="1" t="s">
        <v>10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</row>
    <row r="256" spans="1:9" hidden="1" x14ac:dyDescent="0.25">
      <c r="A256" s="1" t="s">
        <v>157</v>
      </c>
      <c r="B256" s="1" t="s">
        <v>137</v>
      </c>
      <c r="C256" s="1" t="s">
        <v>25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</row>
    <row r="257" spans="1:9" hidden="1" x14ac:dyDescent="0.25">
      <c r="A257" s="1" t="s">
        <v>157</v>
      </c>
      <c r="B257" s="1" t="s">
        <v>137</v>
      </c>
      <c r="C257" s="1" t="s">
        <v>10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</row>
    <row r="258" spans="1:9" hidden="1" x14ac:dyDescent="0.25">
      <c r="A258" s="1" t="s">
        <v>157</v>
      </c>
      <c r="B258" s="1" t="s">
        <v>138</v>
      </c>
      <c r="C258" s="1" t="s">
        <v>25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</row>
    <row r="259" spans="1:9" hidden="1" x14ac:dyDescent="0.25">
      <c r="A259" s="1" t="s">
        <v>157</v>
      </c>
      <c r="B259" s="1" t="s">
        <v>138</v>
      </c>
      <c r="C259" s="1" t="s">
        <v>10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</row>
    <row r="260" spans="1:9" hidden="1" x14ac:dyDescent="0.25">
      <c r="A260" s="1" t="s">
        <v>157</v>
      </c>
      <c r="B260" s="1" t="s">
        <v>139</v>
      </c>
      <c r="C260" s="1" t="s">
        <v>25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</row>
    <row r="261" spans="1:9" hidden="1" x14ac:dyDescent="0.25">
      <c r="A261" s="1" t="s">
        <v>157</v>
      </c>
      <c r="B261" s="1" t="s">
        <v>139</v>
      </c>
      <c r="C261" s="1" t="s">
        <v>10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</row>
    <row r="262" spans="1:9" hidden="1" x14ac:dyDescent="0.25">
      <c r="A262" s="1" t="s">
        <v>157</v>
      </c>
      <c r="B262" s="1" t="s">
        <v>140</v>
      </c>
      <c r="C262" s="1" t="s">
        <v>25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</row>
    <row r="263" spans="1:9" hidden="1" x14ac:dyDescent="0.25">
      <c r="A263" s="1" t="s">
        <v>157</v>
      </c>
      <c r="B263" s="1" t="s">
        <v>140</v>
      </c>
      <c r="C263" s="1" t="s">
        <v>10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</row>
    <row r="264" spans="1:9" hidden="1" x14ac:dyDescent="0.25">
      <c r="A264" s="1" t="s">
        <v>157</v>
      </c>
      <c r="B264" s="1" t="s">
        <v>141</v>
      </c>
      <c r="C264" s="1" t="s">
        <v>25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</row>
    <row r="265" spans="1:9" hidden="1" x14ac:dyDescent="0.25">
      <c r="A265" s="1" t="s">
        <v>157</v>
      </c>
      <c r="B265" s="1" t="s">
        <v>141</v>
      </c>
      <c r="C265" s="1" t="s">
        <v>10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</row>
    <row r="266" spans="1:9" hidden="1" x14ac:dyDescent="0.25">
      <c r="A266" s="1" t="s">
        <v>157</v>
      </c>
      <c r="B266" s="1" t="s">
        <v>142</v>
      </c>
      <c r="C266" s="1" t="s">
        <v>25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</row>
    <row r="267" spans="1:9" hidden="1" x14ac:dyDescent="0.25">
      <c r="A267" s="1" t="s">
        <v>157</v>
      </c>
      <c r="B267" s="1" t="s">
        <v>142</v>
      </c>
      <c r="C267" s="1" t="s">
        <v>10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</row>
    <row r="268" spans="1:9" hidden="1" x14ac:dyDescent="0.25">
      <c r="A268" s="1" t="s">
        <v>157</v>
      </c>
      <c r="B268" s="1" t="s">
        <v>143</v>
      </c>
      <c r="C268" s="1" t="s">
        <v>25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</row>
    <row r="269" spans="1:9" hidden="1" x14ac:dyDescent="0.25">
      <c r="A269" s="1" t="s">
        <v>157</v>
      </c>
      <c r="B269" s="1" t="s">
        <v>143</v>
      </c>
      <c r="C269" s="1" t="s">
        <v>10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</row>
    <row r="270" spans="1:9" hidden="1" x14ac:dyDescent="0.25">
      <c r="A270" s="1" t="s">
        <v>157</v>
      </c>
      <c r="B270" s="1" t="s">
        <v>144</v>
      </c>
      <c r="C270" s="1" t="s">
        <v>25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157</v>
      </c>
      <c r="B271" s="1" t="s">
        <v>144</v>
      </c>
      <c r="C271" s="1" t="s">
        <v>10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157</v>
      </c>
      <c r="B272" s="1" t="s">
        <v>145</v>
      </c>
      <c r="C272" s="1" t="s">
        <v>25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</row>
    <row r="273" spans="1:9" hidden="1" x14ac:dyDescent="0.25">
      <c r="A273" s="1" t="s">
        <v>157</v>
      </c>
      <c r="B273" s="1" t="s">
        <v>145</v>
      </c>
      <c r="C273" s="1" t="s">
        <v>10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</row>
    <row r="274" spans="1:9" hidden="1" x14ac:dyDescent="0.25">
      <c r="A274" s="1" t="s">
        <v>157</v>
      </c>
      <c r="B274" s="1" t="s">
        <v>146</v>
      </c>
      <c r="C274" s="1" t="s">
        <v>25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</row>
    <row r="275" spans="1:9" hidden="1" x14ac:dyDescent="0.25">
      <c r="A275" s="1" t="s">
        <v>157</v>
      </c>
      <c r="B275" s="1" t="s">
        <v>146</v>
      </c>
      <c r="C275" s="1" t="s">
        <v>10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</row>
    <row r="276" spans="1:9" hidden="1" x14ac:dyDescent="0.25">
      <c r="A276" s="1" t="s">
        <v>157</v>
      </c>
      <c r="B276" s="1" t="s">
        <v>147</v>
      </c>
      <c r="C276" s="1" t="s">
        <v>25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</row>
    <row r="277" spans="1:9" hidden="1" x14ac:dyDescent="0.25">
      <c r="A277" s="1" t="s">
        <v>157</v>
      </c>
      <c r="B277" s="1" t="s">
        <v>147</v>
      </c>
      <c r="C277" s="1" t="s">
        <v>10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</row>
    <row r="278" spans="1:9" hidden="1" x14ac:dyDescent="0.25">
      <c r="A278" s="1" t="s">
        <v>157</v>
      </c>
      <c r="B278" s="1" t="s">
        <v>159</v>
      </c>
      <c r="C278" s="1" t="s">
        <v>25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</row>
    <row r="279" spans="1:9" hidden="1" x14ac:dyDescent="0.25">
      <c r="A279" s="1" t="s">
        <v>157</v>
      </c>
      <c r="B279" s="1" t="s">
        <v>159</v>
      </c>
      <c r="C279" s="1" t="s">
        <v>10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</row>
    <row r="280" spans="1:9" hidden="1" x14ac:dyDescent="0.25">
      <c r="A280" s="1" t="s">
        <v>157</v>
      </c>
      <c r="B280" s="1" t="s">
        <v>160</v>
      </c>
      <c r="C280" s="1" t="s">
        <v>25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</row>
    <row r="281" spans="1:9" hidden="1" x14ac:dyDescent="0.25">
      <c r="A281" s="1" t="s">
        <v>157</v>
      </c>
      <c r="B281" s="1" t="s">
        <v>160</v>
      </c>
      <c r="C281" s="1" t="s">
        <v>10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</row>
    <row r="282" spans="1:9" hidden="1" x14ac:dyDescent="0.25">
      <c r="A282" s="1" t="s">
        <v>157</v>
      </c>
      <c r="B282" s="1" t="s">
        <v>161</v>
      </c>
      <c r="C282" s="1" t="s">
        <v>25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</row>
    <row r="283" spans="1:9" hidden="1" x14ac:dyDescent="0.25">
      <c r="A283" s="1" t="s">
        <v>157</v>
      </c>
      <c r="B283" s="1" t="s">
        <v>161</v>
      </c>
      <c r="C283" s="1" t="s">
        <v>10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</row>
    <row r="284" spans="1:9" hidden="1" x14ac:dyDescent="0.25">
      <c r="A284" s="1" t="s">
        <v>157</v>
      </c>
      <c r="B284" s="1" t="s">
        <v>162</v>
      </c>
      <c r="C284" s="1" t="s">
        <v>25</v>
      </c>
      <c r="D284" s="1">
        <v>0</v>
      </c>
      <c r="E284" s="1">
        <v>-253.17</v>
      </c>
      <c r="F284" s="1">
        <v>0</v>
      </c>
      <c r="G284" s="1">
        <v>4177.384</v>
      </c>
      <c r="H284" s="1">
        <v>0</v>
      </c>
      <c r="I284" s="1">
        <v>0</v>
      </c>
    </row>
    <row r="285" spans="1:9" hidden="1" x14ac:dyDescent="0.25">
      <c r="A285" s="1" t="s">
        <v>157</v>
      </c>
      <c r="B285" s="1" t="s">
        <v>162</v>
      </c>
      <c r="C285" s="1" t="s">
        <v>10</v>
      </c>
      <c r="D285" s="1">
        <v>0</v>
      </c>
      <c r="E285" s="1">
        <v>-253.17</v>
      </c>
      <c r="F285" s="1">
        <v>0</v>
      </c>
      <c r="G285" s="1">
        <v>4177.384</v>
      </c>
      <c r="H285" s="1">
        <v>0</v>
      </c>
      <c r="I285" s="1">
        <v>-1012.699</v>
      </c>
    </row>
    <row r="286" spans="1:9" hidden="1" x14ac:dyDescent="0.25">
      <c r="A286" s="1" t="s">
        <v>157</v>
      </c>
      <c r="B286" s="1" t="s">
        <v>163</v>
      </c>
      <c r="C286" s="1" t="s">
        <v>25</v>
      </c>
      <c r="D286" s="1">
        <v>0</v>
      </c>
      <c r="E286" s="1">
        <v>-253.17</v>
      </c>
      <c r="F286" s="1">
        <v>0</v>
      </c>
      <c r="G286" s="1">
        <v>3417.86</v>
      </c>
      <c r="H286" s="1">
        <v>0</v>
      </c>
      <c r="I286" s="1">
        <v>0</v>
      </c>
    </row>
    <row r="287" spans="1:9" hidden="1" x14ac:dyDescent="0.25">
      <c r="A287" s="1" t="s">
        <v>157</v>
      </c>
      <c r="B287" s="1" t="s">
        <v>163</v>
      </c>
      <c r="C287" s="1" t="s">
        <v>10</v>
      </c>
      <c r="D287" s="1">
        <v>0</v>
      </c>
      <c r="E287" s="1">
        <v>-253.17</v>
      </c>
      <c r="F287" s="1">
        <v>0</v>
      </c>
      <c r="G287" s="1">
        <v>3417.86</v>
      </c>
      <c r="H287" s="1">
        <v>0</v>
      </c>
      <c r="I287" s="1">
        <v>-1012.699</v>
      </c>
    </row>
    <row r="288" spans="1:9" hidden="1" x14ac:dyDescent="0.25">
      <c r="A288" s="1" t="s">
        <v>157</v>
      </c>
      <c r="B288" s="1" t="s">
        <v>164</v>
      </c>
      <c r="C288" s="1" t="s">
        <v>25</v>
      </c>
      <c r="D288" s="1">
        <v>0</v>
      </c>
      <c r="E288" s="1">
        <v>253.17</v>
      </c>
      <c r="F288" s="1">
        <v>0</v>
      </c>
      <c r="G288" s="1">
        <v>-4177.384</v>
      </c>
      <c r="H288" s="1">
        <v>0</v>
      </c>
      <c r="I288" s="1">
        <v>0</v>
      </c>
    </row>
    <row r="289" spans="1:9" hidden="1" x14ac:dyDescent="0.25">
      <c r="A289" s="1" t="s">
        <v>157</v>
      </c>
      <c r="B289" s="1" t="s">
        <v>164</v>
      </c>
      <c r="C289" s="1" t="s">
        <v>10</v>
      </c>
      <c r="D289" s="1">
        <v>0</v>
      </c>
      <c r="E289" s="1">
        <v>253.17</v>
      </c>
      <c r="F289" s="1">
        <v>0</v>
      </c>
      <c r="G289" s="1">
        <v>-4177.384</v>
      </c>
      <c r="H289" s="1">
        <v>0</v>
      </c>
      <c r="I289" s="1">
        <v>1012.699</v>
      </c>
    </row>
    <row r="290" spans="1:9" hidden="1" x14ac:dyDescent="0.25">
      <c r="A290" s="1" t="s">
        <v>157</v>
      </c>
      <c r="B290" s="1" t="s">
        <v>165</v>
      </c>
      <c r="C290" s="1" t="s">
        <v>25</v>
      </c>
      <c r="D290" s="1">
        <v>0</v>
      </c>
      <c r="E290" s="1">
        <v>253.17</v>
      </c>
      <c r="F290" s="1">
        <v>0</v>
      </c>
      <c r="G290" s="1">
        <v>-3417.86</v>
      </c>
      <c r="H290" s="1">
        <v>0</v>
      </c>
      <c r="I290" s="1">
        <v>0</v>
      </c>
    </row>
    <row r="291" spans="1:9" hidden="1" x14ac:dyDescent="0.25">
      <c r="A291" s="1" t="s">
        <v>157</v>
      </c>
      <c r="B291" s="1" t="s">
        <v>165</v>
      </c>
      <c r="C291" s="1" t="s">
        <v>10</v>
      </c>
      <c r="D291" s="1">
        <v>0</v>
      </c>
      <c r="E291" s="1">
        <v>253.17</v>
      </c>
      <c r="F291" s="1">
        <v>0</v>
      </c>
      <c r="G291" s="1">
        <v>-3417.86</v>
      </c>
      <c r="H291" s="1">
        <v>0</v>
      </c>
      <c r="I291" s="1">
        <v>1012.699</v>
      </c>
    </row>
    <row r="292" spans="1:9" hidden="1" x14ac:dyDescent="0.25">
      <c r="A292" s="1" t="s">
        <v>157</v>
      </c>
      <c r="B292" s="1" t="s">
        <v>166</v>
      </c>
      <c r="C292" s="1" t="s">
        <v>25</v>
      </c>
      <c r="D292" s="1">
        <v>0</v>
      </c>
      <c r="E292" s="1">
        <v>0</v>
      </c>
      <c r="F292" s="1">
        <v>-306.02999999999997</v>
      </c>
      <c r="G292" s="1">
        <v>-6059.3280000000004</v>
      </c>
      <c r="H292" s="1">
        <v>0</v>
      </c>
      <c r="I292" s="1">
        <v>0</v>
      </c>
    </row>
    <row r="293" spans="1:9" hidden="1" x14ac:dyDescent="0.25">
      <c r="A293" s="1" t="s">
        <v>157</v>
      </c>
      <c r="B293" s="1" t="s">
        <v>166</v>
      </c>
      <c r="C293" s="1" t="s">
        <v>10</v>
      </c>
      <c r="D293" s="1">
        <v>0</v>
      </c>
      <c r="E293" s="1">
        <v>0</v>
      </c>
      <c r="F293" s="1">
        <v>-306.02999999999997</v>
      </c>
      <c r="G293" s="1">
        <v>-6059.3280000000004</v>
      </c>
      <c r="H293" s="1">
        <v>1224.107</v>
      </c>
      <c r="I293" s="1">
        <v>0</v>
      </c>
    </row>
    <row r="294" spans="1:9" hidden="1" x14ac:dyDescent="0.25">
      <c r="A294" s="1" t="s">
        <v>157</v>
      </c>
      <c r="B294" s="1" t="s">
        <v>167</v>
      </c>
      <c r="C294" s="1" t="s">
        <v>25</v>
      </c>
      <c r="D294" s="1">
        <v>0</v>
      </c>
      <c r="E294" s="1">
        <v>0</v>
      </c>
      <c r="F294" s="1">
        <v>-306.02999999999997</v>
      </c>
      <c r="G294" s="1">
        <v>-4957.6319999999996</v>
      </c>
      <c r="H294" s="1">
        <v>0</v>
      </c>
      <c r="I294" s="1">
        <v>0</v>
      </c>
    </row>
    <row r="295" spans="1:9" hidden="1" x14ac:dyDescent="0.25">
      <c r="A295" s="1" t="s">
        <v>157</v>
      </c>
      <c r="B295" s="1" t="s">
        <v>167</v>
      </c>
      <c r="C295" s="1" t="s">
        <v>10</v>
      </c>
      <c r="D295" s="1">
        <v>0</v>
      </c>
      <c r="E295" s="1">
        <v>0</v>
      </c>
      <c r="F295" s="1">
        <v>-306.02999999999997</v>
      </c>
      <c r="G295" s="1">
        <v>-4957.6319999999996</v>
      </c>
      <c r="H295" s="1">
        <v>1224.107</v>
      </c>
      <c r="I295" s="1">
        <v>0</v>
      </c>
    </row>
    <row r="296" spans="1:9" hidden="1" x14ac:dyDescent="0.25">
      <c r="A296" s="1" t="s">
        <v>157</v>
      </c>
      <c r="B296" s="1" t="s">
        <v>168</v>
      </c>
      <c r="C296" s="1" t="s">
        <v>25</v>
      </c>
      <c r="D296" s="1">
        <v>0</v>
      </c>
      <c r="E296" s="1">
        <v>0</v>
      </c>
      <c r="F296" s="1">
        <v>306.02999999999997</v>
      </c>
      <c r="G296" s="1">
        <v>6059.3280000000004</v>
      </c>
      <c r="H296" s="1">
        <v>0</v>
      </c>
      <c r="I296" s="1">
        <v>0</v>
      </c>
    </row>
    <row r="297" spans="1:9" hidden="1" x14ac:dyDescent="0.25">
      <c r="A297" s="1" t="s">
        <v>157</v>
      </c>
      <c r="B297" s="1" t="s">
        <v>168</v>
      </c>
      <c r="C297" s="1" t="s">
        <v>10</v>
      </c>
      <c r="D297" s="1">
        <v>0</v>
      </c>
      <c r="E297" s="1">
        <v>0</v>
      </c>
      <c r="F297" s="1">
        <v>306.02999999999997</v>
      </c>
      <c r="G297" s="1">
        <v>6059.3280000000004</v>
      </c>
      <c r="H297" s="1">
        <v>-1224.107</v>
      </c>
      <c r="I297" s="1">
        <v>0</v>
      </c>
    </row>
    <row r="298" spans="1:9" hidden="1" x14ac:dyDescent="0.25">
      <c r="A298" s="1" t="s">
        <v>157</v>
      </c>
      <c r="B298" s="1" t="s">
        <v>169</v>
      </c>
      <c r="C298" s="1" t="s">
        <v>25</v>
      </c>
      <c r="D298" s="1">
        <v>0</v>
      </c>
      <c r="E298" s="1">
        <v>0</v>
      </c>
      <c r="F298" s="1">
        <v>306.02999999999997</v>
      </c>
      <c r="G298" s="1">
        <v>4957.6319999999996</v>
      </c>
      <c r="H298" s="1">
        <v>0</v>
      </c>
      <c r="I298" s="1">
        <v>0</v>
      </c>
    </row>
    <row r="299" spans="1:9" hidden="1" x14ac:dyDescent="0.25">
      <c r="A299" s="1" t="s">
        <v>157</v>
      </c>
      <c r="B299" s="1" t="s">
        <v>169</v>
      </c>
      <c r="C299" s="1" t="s">
        <v>10</v>
      </c>
      <c r="D299" s="1">
        <v>0</v>
      </c>
      <c r="E299" s="1">
        <v>0</v>
      </c>
      <c r="F299" s="1">
        <v>306.02999999999997</v>
      </c>
      <c r="G299" s="1">
        <v>4957.6319999999996</v>
      </c>
      <c r="H299" s="1">
        <v>-1224.107</v>
      </c>
      <c r="I299" s="1">
        <v>0</v>
      </c>
    </row>
    <row r="300" spans="1:9" hidden="1" x14ac:dyDescent="0.25">
      <c r="A300" s="1" t="s">
        <v>157</v>
      </c>
      <c r="B300" s="1" t="s">
        <v>170</v>
      </c>
      <c r="C300" s="1" t="s">
        <v>25</v>
      </c>
      <c r="D300" s="1">
        <v>0</v>
      </c>
      <c r="E300" s="1">
        <v>-253.17</v>
      </c>
      <c r="F300" s="1">
        <v>0</v>
      </c>
      <c r="G300" s="1">
        <v>4177.384</v>
      </c>
      <c r="H300" s="1">
        <v>0</v>
      </c>
      <c r="I300" s="1">
        <v>0</v>
      </c>
    </row>
    <row r="301" spans="1:9" hidden="1" x14ac:dyDescent="0.25">
      <c r="A301" s="1" t="s">
        <v>157</v>
      </c>
      <c r="B301" s="1" t="s">
        <v>170</v>
      </c>
      <c r="C301" s="1" t="s">
        <v>10</v>
      </c>
      <c r="D301" s="1">
        <v>0</v>
      </c>
      <c r="E301" s="1">
        <v>-253.17</v>
      </c>
      <c r="F301" s="1">
        <v>0</v>
      </c>
      <c r="G301" s="1">
        <v>4177.384</v>
      </c>
      <c r="H301" s="1">
        <v>0</v>
      </c>
      <c r="I301" s="1">
        <v>-1012.699</v>
      </c>
    </row>
    <row r="302" spans="1:9" hidden="1" x14ac:dyDescent="0.25">
      <c r="A302" s="1" t="s">
        <v>157</v>
      </c>
      <c r="B302" s="1" t="s">
        <v>171</v>
      </c>
      <c r="C302" s="1" t="s">
        <v>25</v>
      </c>
      <c r="D302" s="1">
        <v>0</v>
      </c>
      <c r="E302" s="1">
        <v>-253.17</v>
      </c>
      <c r="F302" s="1">
        <v>0</v>
      </c>
      <c r="G302" s="1">
        <v>3417.86</v>
      </c>
      <c r="H302" s="1">
        <v>0</v>
      </c>
      <c r="I302" s="1">
        <v>0</v>
      </c>
    </row>
    <row r="303" spans="1:9" hidden="1" x14ac:dyDescent="0.25">
      <c r="A303" s="1" t="s">
        <v>157</v>
      </c>
      <c r="B303" s="1" t="s">
        <v>171</v>
      </c>
      <c r="C303" s="1" t="s">
        <v>10</v>
      </c>
      <c r="D303" s="1">
        <v>0</v>
      </c>
      <c r="E303" s="1">
        <v>-253.17</v>
      </c>
      <c r="F303" s="1">
        <v>0</v>
      </c>
      <c r="G303" s="1">
        <v>3417.86</v>
      </c>
      <c r="H303" s="1">
        <v>0</v>
      </c>
      <c r="I303" s="1">
        <v>-1012.699</v>
      </c>
    </row>
    <row r="304" spans="1:9" hidden="1" x14ac:dyDescent="0.25">
      <c r="A304" s="1" t="s">
        <v>157</v>
      </c>
      <c r="B304" s="1" t="s">
        <v>172</v>
      </c>
      <c r="C304" s="1" t="s">
        <v>25</v>
      </c>
      <c r="D304" s="1">
        <v>0</v>
      </c>
      <c r="E304" s="1">
        <v>253.17</v>
      </c>
      <c r="F304" s="1">
        <v>0</v>
      </c>
      <c r="G304" s="1">
        <v>-4177.384</v>
      </c>
      <c r="H304" s="1">
        <v>0</v>
      </c>
      <c r="I304" s="1">
        <v>0</v>
      </c>
    </row>
    <row r="305" spans="1:9" hidden="1" x14ac:dyDescent="0.25">
      <c r="A305" s="1" t="s">
        <v>157</v>
      </c>
      <c r="B305" s="1" t="s">
        <v>172</v>
      </c>
      <c r="C305" s="1" t="s">
        <v>10</v>
      </c>
      <c r="D305" s="1">
        <v>0</v>
      </c>
      <c r="E305" s="1">
        <v>253.17</v>
      </c>
      <c r="F305" s="1">
        <v>0</v>
      </c>
      <c r="G305" s="1">
        <v>-4177.384</v>
      </c>
      <c r="H305" s="1">
        <v>0</v>
      </c>
      <c r="I305" s="1">
        <v>1012.699</v>
      </c>
    </row>
    <row r="306" spans="1:9" hidden="1" x14ac:dyDescent="0.25">
      <c r="A306" s="1" t="s">
        <v>157</v>
      </c>
      <c r="B306" s="1" t="s">
        <v>173</v>
      </c>
      <c r="C306" s="1" t="s">
        <v>25</v>
      </c>
      <c r="D306" s="1">
        <v>0</v>
      </c>
      <c r="E306" s="1">
        <v>253.17</v>
      </c>
      <c r="F306" s="1">
        <v>0</v>
      </c>
      <c r="G306" s="1">
        <v>-3417.86</v>
      </c>
      <c r="H306" s="1">
        <v>0</v>
      </c>
      <c r="I306" s="1">
        <v>0</v>
      </c>
    </row>
    <row r="307" spans="1:9" hidden="1" x14ac:dyDescent="0.25">
      <c r="A307" s="1" t="s">
        <v>157</v>
      </c>
      <c r="B307" s="1" t="s">
        <v>173</v>
      </c>
      <c r="C307" s="1" t="s">
        <v>10</v>
      </c>
      <c r="D307" s="1">
        <v>0</v>
      </c>
      <c r="E307" s="1">
        <v>253.17</v>
      </c>
      <c r="F307" s="1">
        <v>0</v>
      </c>
      <c r="G307" s="1">
        <v>-3417.86</v>
      </c>
      <c r="H307" s="1">
        <v>0</v>
      </c>
      <c r="I307" s="1">
        <v>1012.699</v>
      </c>
    </row>
    <row r="308" spans="1:9" hidden="1" x14ac:dyDescent="0.25">
      <c r="A308" s="1" t="s">
        <v>157</v>
      </c>
      <c r="B308" s="1" t="s">
        <v>174</v>
      </c>
      <c r="C308" s="1" t="s">
        <v>25</v>
      </c>
      <c r="D308" s="1">
        <v>0</v>
      </c>
      <c r="E308" s="1">
        <v>0</v>
      </c>
      <c r="F308" s="1">
        <v>-306.02999999999997</v>
      </c>
      <c r="G308" s="1">
        <v>-6059.3280000000004</v>
      </c>
      <c r="H308" s="1">
        <v>0</v>
      </c>
      <c r="I308" s="1">
        <v>0</v>
      </c>
    </row>
    <row r="309" spans="1:9" hidden="1" x14ac:dyDescent="0.25">
      <c r="A309" s="1" t="s">
        <v>157</v>
      </c>
      <c r="B309" s="1" t="s">
        <v>174</v>
      </c>
      <c r="C309" s="1" t="s">
        <v>10</v>
      </c>
      <c r="D309" s="1">
        <v>0</v>
      </c>
      <c r="E309" s="1">
        <v>0</v>
      </c>
      <c r="F309" s="1">
        <v>-306.02999999999997</v>
      </c>
      <c r="G309" s="1">
        <v>-6059.3280000000004</v>
      </c>
      <c r="H309" s="1">
        <v>1224.107</v>
      </c>
      <c r="I309" s="1">
        <v>0</v>
      </c>
    </row>
    <row r="310" spans="1:9" hidden="1" x14ac:dyDescent="0.25">
      <c r="A310" s="1" t="s">
        <v>157</v>
      </c>
      <c r="B310" s="1" t="s">
        <v>175</v>
      </c>
      <c r="C310" s="1" t="s">
        <v>25</v>
      </c>
      <c r="D310" s="1">
        <v>0</v>
      </c>
      <c r="E310" s="1">
        <v>0</v>
      </c>
      <c r="F310" s="1">
        <v>-306.02999999999997</v>
      </c>
      <c r="G310" s="1">
        <v>-4957.6319999999996</v>
      </c>
      <c r="H310" s="1">
        <v>0</v>
      </c>
      <c r="I310" s="1">
        <v>0</v>
      </c>
    </row>
    <row r="311" spans="1:9" hidden="1" x14ac:dyDescent="0.25">
      <c r="A311" s="1" t="s">
        <v>157</v>
      </c>
      <c r="B311" s="1" t="s">
        <v>175</v>
      </c>
      <c r="C311" s="1" t="s">
        <v>10</v>
      </c>
      <c r="D311" s="1">
        <v>0</v>
      </c>
      <c r="E311" s="1">
        <v>0</v>
      </c>
      <c r="F311" s="1">
        <v>-306.02999999999997</v>
      </c>
      <c r="G311" s="1">
        <v>-4957.6319999999996</v>
      </c>
      <c r="H311" s="1">
        <v>1224.107</v>
      </c>
      <c r="I311" s="1">
        <v>0</v>
      </c>
    </row>
    <row r="312" spans="1:9" hidden="1" x14ac:dyDescent="0.25">
      <c r="A312" s="1" t="s">
        <v>157</v>
      </c>
      <c r="B312" s="1" t="s">
        <v>176</v>
      </c>
      <c r="C312" s="1" t="s">
        <v>25</v>
      </c>
      <c r="D312" s="1">
        <v>0</v>
      </c>
      <c r="E312" s="1">
        <v>0</v>
      </c>
      <c r="F312" s="1">
        <v>306.02999999999997</v>
      </c>
      <c r="G312" s="1">
        <v>6059.3280000000004</v>
      </c>
      <c r="H312" s="1">
        <v>0</v>
      </c>
      <c r="I312" s="1">
        <v>0</v>
      </c>
    </row>
    <row r="313" spans="1:9" hidden="1" x14ac:dyDescent="0.25">
      <c r="A313" s="1" t="s">
        <v>157</v>
      </c>
      <c r="B313" s="1" t="s">
        <v>176</v>
      </c>
      <c r="C313" s="1" t="s">
        <v>10</v>
      </c>
      <c r="D313" s="1">
        <v>0</v>
      </c>
      <c r="E313" s="1">
        <v>0</v>
      </c>
      <c r="F313" s="1">
        <v>306.02999999999997</v>
      </c>
      <c r="G313" s="1">
        <v>6059.3280000000004</v>
      </c>
      <c r="H313" s="1">
        <v>-1224.107</v>
      </c>
      <c r="I313" s="1">
        <v>0</v>
      </c>
    </row>
    <row r="314" spans="1:9" hidden="1" x14ac:dyDescent="0.25">
      <c r="A314" s="1" t="s">
        <v>157</v>
      </c>
      <c r="B314" s="1" t="s">
        <v>177</v>
      </c>
      <c r="C314" s="1" t="s">
        <v>25</v>
      </c>
      <c r="D314" s="1">
        <v>0</v>
      </c>
      <c r="E314" s="1">
        <v>0</v>
      </c>
      <c r="F314" s="1">
        <v>306.02999999999997</v>
      </c>
      <c r="G314" s="1">
        <v>4957.6319999999996</v>
      </c>
      <c r="H314" s="1">
        <v>0</v>
      </c>
      <c r="I314" s="1">
        <v>0</v>
      </c>
    </row>
    <row r="315" spans="1:9" hidden="1" x14ac:dyDescent="0.25">
      <c r="A315" s="1" t="s">
        <v>157</v>
      </c>
      <c r="B315" s="1" t="s">
        <v>177</v>
      </c>
      <c r="C315" s="1" t="s">
        <v>10</v>
      </c>
      <c r="D315" s="1">
        <v>0</v>
      </c>
      <c r="E315" s="1">
        <v>0</v>
      </c>
      <c r="F315" s="1">
        <v>306.02999999999997</v>
      </c>
      <c r="G315" s="1">
        <v>4957.6319999999996</v>
      </c>
      <c r="H315" s="1">
        <v>-1224.107</v>
      </c>
      <c r="I315" s="1">
        <v>0</v>
      </c>
    </row>
    <row r="316" spans="1:9" hidden="1" x14ac:dyDescent="0.25">
      <c r="A316" s="1" t="s">
        <v>157</v>
      </c>
      <c r="B316" s="1" t="s">
        <v>178</v>
      </c>
      <c r="C316" s="1" t="s">
        <v>25</v>
      </c>
      <c r="D316" s="1">
        <v>0</v>
      </c>
      <c r="E316" s="1">
        <v>-75.95</v>
      </c>
      <c r="F316" s="1">
        <v>0</v>
      </c>
      <c r="G316" s="1">
        <v>1253.2149999999999</v>
      </c>
      <c r="H316" s="1">
        <v>0</v>
      </c>
      <c r="I316" s="1">
        <v>0</v>
      </c>
    </row>
    <row r="317" spans="1:9" hidden="1" x14ac:dyDescent="0.25">
      <c r="A317" s="1" t="s">
        <v>157</v>
      </c>
      <c r="B317" s="1" t="s">
        <v>178</v>
      </c>
      <c r="C317" s="1" t="s">
        <v>10</v>
      </c>
      <c r="D317" s="1">
        <v>0</v>
      </c>
      <c r="E317" s="1">
        <v>-75.95</v>
      </c>
      <c r="F317" s="1">
        <v>0</v>
      </c>
      <c r="G317" s="1">
        <v>1253.2149999999999</v>
      </c>
      <c r="H317" s="1">
        <v>0</v>
      </c>
      <c r="I317" s="1">
        <v>-303.81</v>
      </c>
    </row>
    <row r="318" spans="1:9" hidden="1" x14ac:dyDescent="0.25">
      <c r="A318" s="1" t="s">
        <v>157</v>
      </c>
      <c r="B318" s="1" t="s">
        <v>179</v>
      </c>
      <c r="C318" s="1" t="s">
        <v>25</v>
      </c>
      <c r="D318" s="1">
        <v>0</v>
      </c>
      <c r="E318" s="1">
        <v>-75.95</v>
      </c>
      <c r="F318" s="1">
        <v>0</v>
      </c>
      <c r="G318" s="1">
        <v>1025.3579999999999</v>
      </c>
      <c r="H318" s="1">
        <v>0</v>
      </c>
      <c r="I318" s="1">
        <v>0</v>
      </c>
    </row>
    <row r="319" spans="1:9" hidden="1" x14ac:dyDescent="0.25">
      <c r="A319" s="1" t="s">
        <v>157</v>
      </c>
      <c r="B319" s="1" t="s">
        <v>179</v>
      </c>
      <c r="C319" s="1" t="s">
        <v>10</v>
      </c>
      <c r="D319" s="1">
        <v>0</v>
      </c>
      <c r="E319" s="1">
        <v>-75.95</v>
      </c>
      <c r="F319" s="1">
        <v>0</v>
      </c>
      <c r="G319" s="1">
        <v>1025.3579999999999</v>
      </c>
      <c r="H319" s="1">
        <v>0</v>
      </c>
      <c r="I319" s="1">
        <v>-303.81</v>
      </c>
    </row>
    <row r="320" spans="1:9" hidden="1" x14ac:dyDescent="0.25">
      <c r="A320" s="1" t="s">
        <v>157</v>
      </c>
      <c r="B320" s="1" t="s">
        <v>180</v>
      </c>
      <c r="C320" s="1" t="s">
        <v>25</v>
      </c>
      <c r="D320" s="1">
        <v>0</v>
      </c>
      <c r="E320" s="1">
        <v>75.95</v>
      </c>
      <c r="F320" s="1">
        <v>0</v>
      </c>
      <c r="G320" s="1">
        <v>-1253.2149999999999</v>
      </c>
      <c r="H320" s="1">
        <v>0</v>
      </c>
      <c r="I320" s="1">
        <v>0</v>
      </c>
    </row>
    <row r="321" spans="1:9" hidden="1" x14ac:dyDescent="0.25">
      <c r="A321" s="1" t="s">
        <v>157</v>
      </c>
      <c r="B321" s="1" t="s">
        <v>180</v>
      </c>
      <c r="C321" s="1" t="s">
        <v>10</v>
      </c>
      <c r="D321" s="1">
        <v>0</v>
      </c>
      <c r="E321" s="1">
        <v>75.95</v>
      </c>
      <c r="F321" s="1">
        <v>0</v>
      </c>
      <c r="G321" s="1">
        <v>-1253.2149999999999</v>
      </c>
      <c r="H321" s="1">
        <v>0</v>
      </c>
      <c r="I321" s="1">
        <v>303.81</v>
      </c>
    </row>
    <row r="322" spans="1:9" hidden="1" x14ac:dyDescent="0.25">
      <c r="A322" s="1" t="s">
        <v>157</v>
      </c>
      <c r="B322" s="1" t="s">
        <v>181</v>
      </c>
      <c r="C322" s="1" t="s">
        <v>25</v>
      </c>
      <c r="D322" s="1">
        <v>0</v>
      </c>
      <c r="E322" s="1">
        <v>75.95</v>
      </c>
      <c r="F322" s="1">
        <v>0</v>
      </c>
      <c r="G322" s="1">
        <v>-1025.3579999999999</v>
      </c>
      <c r="H322" s="1">
        <v>0</v>
      </c>
      <c r="I322" s="1">
        <v>0</v>
      </c>
    </row>
    <row r="323" spans="1:9" hidden="1" x14ac:dyDescent="0.25">
      <c r="A323" s="1" t="s">
        <v>157</v>
      </c>
      <c r="B323" s="1" t="s">
        <v>181</v>
      </c>
      <c r="C323" s="1" t="s">
        <v>10</v>
      </c>
      <c r="D323" s="1">
        <v>0</v>
      </c>
      <c r="E323" s="1">
        <v>75.95</v>
      </c>
      <c r="F323" s="1">
        <v>0</v>
      </c>
      <c r="G323" s="1">
        <v>-1025.3579999999999</v>
      </c>
      <c r="H323" s="1">
        <v>0</v>
      </c>
      <c r="I323" s="1">
        <v>303.81</v>
      </c>
    </row>
    <row r="324" spans="1:9" hidden="1" x14ac:dyDescent="0.25">
      <c r="A324" s="1" t="s">
        <v>157</v>
      </c>
      <c r="B324" s="1" t="s">
        <v>182</v>
      </c>
      <c r="C324" s="1" t="s">
        <v>25</v>
      </c>
      <c r="D324" s="1">
        <v>0</v>
      </c>
      <c r="E324" s="1">
        <v>0</v>
      </c>
      <c r="F324" s="1">
        <v>-91.81</v>
      </c>
      <c r="G324" s="1">
        <v>-1817.798</v>
      </c>
      <c r="H324" s="1">
        <v>0</v>
      </c>
      <c r="I324" s="1">
        <v>0</v>
      </c>
    </row>
    <row r="325" spans="1:9" hidden="1" x14ac:dyDescent="0.25">
      <c r="A325" s="1" t="s">
        <v>157</v>
      </c>
      <c r="B325" s="1" t="s">
        <v>182</v>
      </c>
      <c r="C325" s="1" t="s">
        <v>10</v>
      </c>
      <c r="D325" s="1">
        <v>0</v>
      </c>
      <c r="E325" s="1">
        <v>0</v>
      </c>
      <c r="F325" s="1">
        <v>-91.81</v>
      </c>
      <c r="G325" s="1">
        <v>-1817.798</v>
      </c>
      <c r="H325" s="1">
        <v>367.23200000000003</v>
      </c>
      <c r="I325" s="1">
        <v>0</v>
      </c>
    </row>
    <row r="326" spans="1:9" hidden="1" x14ac:dyDescent="0.25">
      <c r="A326" s="1" t="s">
        <v>157</v>
      </c>
      <c r="B326" s="1" t="s">
        <v>183</v>
      </c>
      <c r="C326" s="1" t="s">
        <v>25</v>
      </c>
      <c r="D326" s="1">
        <v>0</v>
      </c>
      <c r="E326" s="1">
        <v>0</v>
      </c>
      <c r="F326" s="1">
        <v>-91.81</v>
      </c>
      <c r="G326" s="1">
        <v>-1487.29</v>
      </c>
      <c r="H326" s="1">
        <v>0</v>
      </c>
      <c r="I326" s="1">
        <v>0</v>
      </c>
    </row>
    <row r="327" spans="1:9" hidden="1" x14ac:dyDescent="0.25">
      <c r="A327" s="1" t="s">
        <v>157</v>
      </c>
      <c r="B327" s="1" t="s">
        <v>183</v>
      </c>
      <c r="C327" s="1" t="s">
        <v>10</v>
      </c>
      <c r="D327" s="1">
        <v>0</v>
      </c>
      <c r="E327" s="1">
        <v>0</v>
      </c>
      <c r="F327" s="1">
        <v>-91.81</v>
      </c>
      <c r="G327" s="1">
        <v>-1487.29</v>
      </c>
      <c r="H327" s="1">
        <v>367.23200000000003</v>
      </c>
      <c r="I327" s="1">
        <v>0</v>
      </c>
    </row>
    <row r="328" spans="1:9" hidden="1" x14ac:dyDescent="0.25">
      <c r="A328" s="1" t="s">
        <v>157</v>
      </c>
      <c r="B328" s="1" t="s">
        <v>184</v>
      </c>
      <c r="C328" s="1" t="s">
        <v>25</v>
      </c>
      <c r="D328" s="1">
        <v>0</v>
      </c>
      <c r="E328" s="1">
        <v>0</v>
      </c>
      <c r="F328" s="1">
        <v>91.81</v>
      </c>
      <c r="G328" s="1">
        <v>1817.798</v>
      </c>
      <c r="H328" s="1">
        <v>0</v>
      </c>
      <c r="I328" s="1">
        <v>0</v>
      </c>
    </row>
    <row r="329" spans="1:9" hidden="1" x14ac:dyDescent="0.25">
      <c r="A329" s="1" t="s">
        <v>157</v>
      </c>
      <c r="B329" s="1" t="s">
        <v>184</v>
      </c>
      <c r="C329" s="1" t="s">
        <v>10</v>
      </c>
      <c r="D329" s="1">
        <v>0</v>
      </c>
      <c r="E329" s="1">
        <v>0</v>
      </c>
      <c r="F329" s="1">
        <v>91.81</v>
      </c>
      <c r="G329" s="1">
        <v>1817.798</v>
      </c>
      <c r="H329" s="1">
        <v>-367.23200000000003</v>
      </c>
      <c r="I329" s="1">
        <v>0</v>
      </c>
    </row>
    <row r="330" spans="1:9" hidden="1" x14ac:dyDescent="0.25">
      <c r="A330" s="1" t="s">
        <v>157</v>
      </c>
      <c r="B330" s="1" t="s">
        <v>185</v>
      </c>
      <c r="C330" s="1" t="s">
        <v>25</v>
      </c>
      <c r="D330" s="1">
        <v>0</v>
      </c>
      <c r="E330" s="1">
        <v>0</v>
      </c>
      <c r="F330" s="1">
        <v>91.81</v>
      </c>
      <c r="G330" s="1">
        <v>1487.29</v>
      </c>
      <c r="H330" s="1">
        <v>0</v>
      </c>
      <c r="I330" s="1">
        <v>0</v>
      </c>
    </row>
    <row r="331" spans="1:9" hidden="1" x14ac:dyDescent="0.25">
      <c r="A331" s="1" t="s">
        <v>157</v>
      </c>
      <c r="B331" s="1" t="s">
        <v>185</v>
      </c>
      <c r="C331" s="1" t="s">
        <v>10</v>
      </c>
      <c r="D331" s="1">
        <v>0</v>
      </c>
      <c r="E331" s="1">
        <v>0</v>
      </c>
      <c r="F331" s="1">
        <v>91.81</v>
      </c>
      <c r="G331" s="1">
        <v>1487.29</v>
      </c>
      <c r="H331" s="1">
        <v>-367.23200000000003</v>
      </c>
      <c r="I331" s="1">
        <v>0</v>
      </c>
    </row>
    <row r="332" spans="1:9" hidden="1" x14ac:dyDescent="0.25">
      <c r="A332" s="1" t="s">
        <v>157</v>
      </c>
      <c r="B332" s="1" t="s">
        <v>186</v>
      </c>
      <c r="C332" s="1" t="s">
        <v>25</v>
      </c>
      <c r="D332" s="1">
        <v>0</v>
      </c>
      <c r="E332" s="1">
        <v>-75.95</v>
      </c>
      <c r="F332" s="1">
        <v>0</v>
      </c>
      <c r="G332" s="1">
        <v>1253.2149999999999</v>
      </c>
      <c r="H332" s="1">
        <v>0</v>
      </c>
      <c r="I332" s="1">
        <v>0</v>
      </c>
    </row>
    <row r="333" spans="1:9" hidden="1" x14ac:dyDescent="0.25">
      <c r="A333" s="1" t="s">
        <v>157</v>
      </c>
      <c r="B333" s="1" t="s">
        <v>186</v>
      </c>
      <c r="C333" s="1" t="s">
        <v>10</v>
      </c>
      <c r="D333" s="1">
        <v>0</v>
      </c>
      <c r="E333" s="1">
        <v>-75.95</v>
      </c>
      <c r="F333" s="1">
        <v>0</v>
      </c>
      <c r="G333" s="1">
        <v>1253.2149999999999</v>
      </c>
      <c r="H333" s="1">
        <v>0</v>
      </c>
      <c r="I333" s="1">
        <v>-303.81</v>
      </c>
    </row>
    <row r="334" spans="1:9" hidden="1" x14ac:dyDescent="0.25">
      <c r="A334" s="1" t="s">
        <v>157</v>
      </c>
      <c r="B334" s="1" t="s">
        <v>187</v>
      </c>
      <c r="C334" s="1" t="s">
        <v>25</v>
      </c>
      <c r="D334" s="1">
        <v>0</v>
      </c>
      <c r="E334" s="1">
        <v>-75.95</v>
      </c>
      <c r="F334" s="1">
        <v>0</v>
      </c>
      <c r="G334" s="1">
        <v>1025.3579999999999</v>
      </c>
      <c r="H334" s="1">
        <v>0</v>
      </c>
      <c r="I334" s="1">
        <v>0</v>
      </c>
    </row>
    <row r="335" spans="1:9" hidden="1" x14ac:dyDescent="0.25">
      <c r="A335" s="1" t="s">
        <v>157</v>
      </c>
      <c r="B335" s="1" t="s">
        <v>187</v>
      </c>
      <c r="C335" s="1" t="s">
        <v>10</v>
      </c>
      <c r="D335" s="1">
        <v>0</v>
      </c>
      <c r="E335" s="1">
        <v>-75.95</v>
      </c>
      <c r="F335" s="1">
        <v>0</v>
      </c>
      <c r="G335" s="1">
        <v>1025.3579999999999</v>
      </c>
      <c r="H335" s="1">
        <v>0</v>
      </c>
      <c r="I335" s="1">
        <v>-303.81</v>
      </c>
    </row>
    <row r="336" spans="1:9" hidden="1" x14ac:dyDescent="0.25">
      <c r="A336" s="1" t="s">
        <v>157</v>
      </c>
      <c r="B336" s="1" t="s">
        <v>188</v>
      </c>
      <c r="C336" s="1" t="s">
        <v>25</v>
      </c>
      <c r="D336" s="1">
        <v>0</v>
      </c>
      <c r="E336" s="1">
        <v>75.95</v>
      </c>
      <c r="F336" s="1">
        <v>0</v>
      </c>
      <c r="G336" s="1">
        <v>-1253.2149999999999</v>
      </c>
      <c r="H336" s="1">
        <v>0</v>
      </c>
      <c r="I336" s="1">
        <v>0</v>
      </c>
    </row>
    <row r="337" spans="1:9" hidden="1" x14ac:dyDescent="0.25">
      <c r="A337" s="1" t="s">
        <v>157</v>
      </c>
      <c r="B337" s="1" t="s">
        <v>188</v>
      </c>
      <c r="C337" s="1" t="s">
        <v>10</v>
      </c>
      <c r="D337" s="1">
        <v>0</v>
      </c>
      <c r="E337" s="1">
        <v>75.95</v>
      </c>
      <c r="F337" s="1">
        <v>0</v>
      </c>
      <c r="G337" s="1">
        <v>-1253.2149999999999</v>
      </c>
      <c r="H337" s="1">
        <v>0</v>
      </c>
      <c r="I337" s="1">
        <v>303.81</v>
      </c>
    </row>
    <row r="338" spans="1:9" hidden="1" x14ac:dyDescent="0.25">
      <c r="A338" s="1" t="s">
        <v>157</v>
      </c>
      <c r="B338" s="1" t="s">
        <v>189</v>
      </c>
      <c r="C338" s="1" t="s">
        <v>25</v>
      </c>
      <c r="D338" s="1">
        <v>0</v>
      </c>
      <c r="E338" s="1">
        <v>75.95</v>
      </c>
      <c r="F338" s="1">
        <v>0</v>
      </c>
      <c r="G338" s="1">
        <v>-1025.3579999999999</v>
      </c>
      <c r="H338" s="1">
        <v>0</v>
      </c>
      <c r="I338" s="1">
        <v>0</v>
      </c>
    </row>
    <row r="339" spans="1:9" hidden="1" x14ac:dyDescent="0.25">
      <c r="A339" s="1" t="s">
        <v>157</v>
      </c>
      <c r="B339" s="1" t="s">
        <v>189</v>
      </c>
      <c r="C339" s="1" t="s">
        <v>10</v>
      </c>
      <c r="D339" s="1">
        <v>0</v>
      </c>
      <c r="E339" s="1">
        <v>75.95</v>
      </c>
      <c r="F339" s="1">
        <v>0</v>
      </c>
      <c r="G339" s="1">
        <v>-1025.3579999999999</v>
      </c>
      <c r="H339" s="1">
        <v>0</v>
      </c>
      <c r="I339" s="1">
        <v>303.81</v>
      </c>
    </row>
    <row r="340" spans="1:9" hidden="1" x14ac:dyDescent="0.25">
      <c r="A340" s="1" t="s">
        <v>157</v>
      </c>
      <c r="B340" s="1" t="s">
        <v>190</v>
      </c>
      <c r="C340" s="1" t="s">
        <v>25</v>
      </c>
      <c r="D340" s="1">
        <v>0</v>
      </c>
      <c r="E340" s="1">
        <v>0</v>
      </c>
      <c r="F340" s="1">
        <v>-91.81</v>
      </c>
      <c r="G340" s="1">
        <v>-1817.798</v>
      </c>
      <c r="H340" s="1">
        <v>0</v>
      </c>
      <c r="I340" s="1">
        <v>0</v>
      </c>
    </row>
    <row r="341" spans="1:9" hidden="1" x14ac:dyDescent="0.25">
      <c r="A341" s="1" t="s">
        <v>157</v>
      </c>
      <c r="B341" s="1" t="s">
        <v>190</v>
      </c>
      <c r="C341" s="1" t="s">
        <v>10</v>
      </c>
      <c r="D341" s="1">
        <v>0</v>
      </c>
      <c r="E341" s="1">
        <v>0</v>
      </c>
      <c r="F341" s="1">
        <v>-91.81</v>
      </c>
      <c r="G341" s="1">
        <v>-1817.798</v>
      </c>
      <c r="H341" s="1">
        <v>367.23200000000003</v>
      </c>
      <c r="I341" s="1">
        <v>0</v>
      </c>
    </row>
    <row r="342" spans="1:9" hidden="1" x14ac:dyDescent="0.25">
      <c r="A342" s="1" t="s">
        <v>157</v>
      </c>
      <c r="B342" s="1" t="s">
        <v>191</v>
      </c>
      <c r="C342" s="1" t="s">
        <v>25</v>
      </c>
      <c r="D342" s="1">
        <v>0</v>
      </c>
      <c r="E342" s="1">
        <v>0</v>
      </c>
      <c r="F342" s="1">
        <v>-91.81</v>
      </c>
      <c r="G342" s="1">
        <v>-1487.29</v>
      </c>
      <c r="H342" s="1">
        <v>0</v>
      </c>
      <c r="I342" s="1">
        <v>0</v>
      </c>
    </row>
    <row r="343" spans="1:9" hidden="1" x14ac:dyDescent="0.25">
      <c r="A343" s="1" t="s">
        <v>157</v>
      </c>
      <c r="B343" s="1" t="s">
        <v>191</v>
      </c>
      <c r="C343" s="1" t="s">
        <v>10</v>
      </c>
      <c r="D343" s="1">
        <v>0</v>
      </c>
      <c r="E343" s="1">
        <v>0</v>
      </c>
      <c r="F343" s="1">
        <v>-91.81</v>
      </c>
      <c r="G343" s="1">
        <v>-1487.29</v>
      </c>
      <c r="H343" s="1">
        <v>367.23200000000003</v>
      </c>
      <c r="I343" s="1">
        <v>0</v>
      </c>
    </row>
    <row r="344" spans="1:9" hidden="1" x14ac:dyDescent="0.25">
      <c r="A344" s="1" t="s">
        <v>157</v>
      </c>
      <c r="B344" s="1" t="s">
        <v>192</v>
      </c>
      <c r="C344" s="1" t="s">
        <v>25</v>
      </c>
      <c r="D344" s="1">
        <v>0</v>
      </c>
      <c r="E344" s="1">
        <v>0</v>
      </c>
      <c r="F344" s="1">
        <v>91.81</v>
      </c>
      <c r="G344" s="1">
        <v>1817.798</v>
      </c>
      <c r="H344" s="1">
        <v>0</v>
      </c>
      <c r="I344" s="1">
        <v>0</v>
      </c>
    </row>
    <row r="345" spans="1:9" hidden="1" x14ac:dyDescent="0.25">
      <c r="A345" s="1" t="s">
        <v>157</v>
      </c>
      <c r="B345" s="1" t="s">
        <v>192</v>
      </c>
      <c r="C345" s="1" t="s">
        <v>10</v>
      </c>
      <c r="D345" s="1">
        <v>0</v>
      </c>
      <c r="E345" s="1">
        <v>0</v>
      </c>
      <c r="F345" s="1">
        <v>91.81</v>
      </c>
      <c r="G345" s="1">
        <v>1817.798</v>
      </c>
      <c r="H345" s="1">
        <v>-367.23200000000003</v>
      </c>
      <c r="I345" s="1">
        <v>0</v>
      </c>
    </row>
    <row r="346" spans="1:9" hidden="1" x14ac:dyDescent="0.25">
      <c r="A346" s="1" t="s">
        <v>157</v>
      </c>
      <c r="B346" s="1" t="s">
        <v>193</v>
      </c>
      <c r="C346" s="1" t="s">
        <v>25</v>
      </c>
      <c r="D346" s="1">
        <v>0</v>
      </c>
      <c r="E346" s="1">
        <v>0</v>
      </c>
      <c r="F346" s="1">
        <v>91.81</v>
      </c>
      <c r="G346" s="1">
        <v>1487.29</v>
      </c>
      <c r="H346" s="1">
        <v>0</v>
      </c>
      <c r="I346" s="1">
        <v>0</v>
      </c>
    </row>
    <row r="347" spans="1:9" hidden="1" x14ac:dyDescent="0.25">
      <c r="A347" s="1" t="s">
        <v>157</v>
      </c>
      <c r="B347" s="1" t="s">
        <v>193</v>
      </c>
      <c r="C347" s="1" t="s">
        <v>10</v>
      </c>
      <c r="D347" s="1">
        <v>0</v>
      </c>
      <c r="E347" s="1">
        <v>0</v>
      </c>
      <c r="F347" s="1">
        <v>91.81</v>
      </c>
      <c r="G347" s="1">
        <v>1487.29</v>
      </c>
      <c r="H347" s="1">
        <v>-367.23200000000003</v>
      </c>
      <c r="I347" s="1">
        <v>0</v>
      </c>
    </row>
    <row r="348" spans="1:9" hidden="1" x14ac:dyDescent="0.25">
      <c r="A348" s="1" t="s">
        <v>157</v>
      </c>
      <c r="B348" s="1" t="s">
        <v>194</v>
      </c>
      <c r="C348" s="1" t="s">
        <v>25</v>
      </c>
      <c r="D348" s="1">
        <v>0</v>
      </c>
      <c r="E348" s="1">
        <v>-253.17</v>
      </c>
      <c r="F348" s="1">
        <v>0</v>
      </c>
      <c r="G348" s="1">
        <v>4177.384</v>
      </c>
      <c r="H348" s="1">
        <v>0</v>
      </c>
      <c r="I348" s="1">
        <v>0</v>
      </c>
    </row>
    <row r="349" spans="1:9" hidden="1" x14ac:dyDescent="0.25">
      <c r="A349" s="1" t="s">
        <v>157</v>
      </c>
      <c r="B349" s="1" t="s">
        <v>194</v>
      </c>
      <c r="C349" s="1" t="s">
        <v>10</v>
      </c>
      <c r="D349" s="1">
        <v>0</v>
      </c>
      <c r="E349" s="1">
        <v>-253.17</v>
      </c>
      <c r="F349" s="1">
        <v>0</v>
      </c>
      <c r="G349" s="1">
        <v>4177.384</v>
      </c>
      <c r="H349" s="1">
        <v>0</v>
      </c>
      <c r="I349" s="1">
        <v>-1012.699</v>
      </c>
    </row>
    <row r="350" spans="1:9" hidden="1" x14ac:dyDescent="0.25">
      <c r="A350" s="1" t="s">
        <v>157</v>
      </c>
      <c r="B350" s="1" t="s">
        <v>195</v>
      </c>
      <c r="C350" s="1" t="s">
        <v>25</v>
      </c>
      <c r="D350" s="1">
        <v>0</v>
      </c>
      <c r="E350" s="1">
        <v>-253.17</v>
      </c>
      <c r="F350" s="1">
        <v>0</v>
      </c>
      <c r="G350" s="1">
        <v>3417.86</v>
      </c>
      <c r="H350" s="1">
        <v>0</v>
      </c>
      <c r="I350" s="1">
        <v>0</v>
      </c>
    </row>
    <row r="351" spans="1:9" hidden="1" x14ac:dyDescent="0.25">
      <c r="A351" s="1" t="s">
        <v>157</v>
      </c>
      <c r="B351" s="1" t="s">
        <v>195</v>
      </c>
      <c r="C351" s="1" t="s">
        <v>10</v>
      </c>
      <c r="D351" s="1">
        <v>0</v>
      </c>
      <c r="E351" s="1">
        <v>-253.17</v>
      </c>
      <c r="F351" s="1">
        <v>0</v>
      </c>
      <c r="G351" s="1">
        <v>3417.86</v>
      </c>
      <c r="H351" s="1">
        <v>0</v>
      </c>
      <c r="I351" s="1">
        <v>-1012.699</v>
      </c>
    </row>
    <row r="352" spans="1:9" hidden="1" x14ac:dyDescent="0.25">
      <c r="A352" s="1" t="s">
        <v>157</v>
      </c>
      <c r="B352" s="1" t="s">
        <v>196</v>
      </c>
      <c r="C352" s="1" t="s">
        <v>25</v>
      </c>
      <c r="D352" s="1">
        <v>0</v>
      </c>
      <c r="E352" s="1">
        <v>253.17</v>
      </c>
      <c r="F352" s="1">
        <v>0</v>
      </c>
      <c r="G352" s="1">
        <v>-4177.384</v>
      </c>
      <c r="H352" s="1">
        <v>0</v>
      </c>
      <c r="I352" s="1">
        <v>0</v>
      </c>
    </row>
    <row r="353" spans="1:9" hidden="1" x14ac:dyDescent="0.25">
      <c r="A353" s="1" t="s">
        <v>157</v>
      </c>
      <c r="B353" s="1" t="s">
        <v>196</v>
      </c>
      <c r="C353" s="1" t="s">
        <v>10</v>
      </c>
      <c r="D353" s="1">
        <v>0</v>
      </c>
      <c r="E353" s="1">
        <v>253.17</v>
      </c>
      <c r="F353" s="1">
        <v>0</v>
      </c>
      <c r="G353" s="1">
        <v>-4177.384</v>
      </c>
      <c r="H353" s="1">
        <v>0</v>
      </c>
      <c r="I353" s="1">
        <v>1012.699</v>
      </c>
    </row>
    <row r="354" spans="1:9" hidden="1" x14ac:dyDescent="0.25">
      <c r="A354" s="1" t="s">
        <v>157</v>
      </c>
      <c r="B354" s="1" t="s">
        <v>197</v>
      </c>
      <c r="C354" s="1" t="s">
        <v>25</v>
      </c>
      <c r="D354" s="1">
        <v>0</v>
      </c>
      <c r="E354" s="1">
        <v>253.17</v>
      </c>
      <c r="F354" s="1">
        <v>0</v>
      </c>
      <c r="G354" s="1">
        <v>-3417.86</v>
      </c>
      <c r="H354" s="1">
        <v>0</v>
      </c>
      <c r="I354" s="1">
        <v>0</v>
      </c>
    </row>
    <row r="355" spans="1:9" hidden="1" x14ac:dyDescent="0.25">
      <c r="A355" s="1" t="s">
        <v>157</v>
      </c>
      <c r="B355" s="1" t="s">
        <v>197</v>
      </c>
      <c r="C355" s="1" t="s">
        <v>10</v>
      </c>
      <c r="D355" s="1">
        <v>0</v>
      </c>
      <c r="E355" s="1">
        <v>253.17</v>
      </c>
      <c r="F355" s="1">
        <v>0</v>
      </c>
      <c r="G355" s="1">
        <v>-3417.86</v>
      </c>
      <c r="H355" s="1">
        <v>0</v>
      </c>
      <c r="I355" s="1">
        <v>1012.699</v>
      </c>
    </row>
    <row r="356" spans="1:9" hidden="1" x14ac:dyDescent="0.25">
      <c r="A356" s="1" t="s">
        <v>157</v>
      </c>
      <c r="B356" s="1" t="s">
        <v>198</v>
      </c>
      <c r="C356" s="1" t="s">
        <v>25</v>
      </c>
      <c r="D356" s="1">
        <v>0</v>
      </c>
      <c r="E356" s="1">
        <v>0</v>
      </c>
      <c r="F356" s="1">
        <v>-306.02999999999997</v>
      </c>
      <c r="G356" s="1">
        <v>-6059.3280000000004</v>
      </c>
      <c r="H356" s="1">
        <v>0</v>
      </c>
      <c r="I356" s="1">
        <v>0</v>
      </c>
    </row>
    <row r="357" spans="1:9" hidden="1" x14ac:dyDescent="0.25">
      <c r="A357" s="1" t="s">
        <v>157</v>
      </c>
      <c r="B357" s="1" t="s">
        <v>198</v>
      </c>
      <c r="C357" s="1" t="s">
        <v>10</v>
      </c>
      <c r="D357" s="1">
        <v>0</v>
      </c>
      <c r="E357" s="1">
        <v>0</v>
      </c>
      <c r="F357" s="1">
        <v>-306.02999999999997</v>
      </c>
      <c r="G357" s="1">
        <v>-6059.3280000000004</v>
      </c>
      <c r="H357" s="1">
        <v>1224.107</v>
      </c>
      <c r="I357" s="1">
        <v>0</v>
      </c>
    </row>
    <row r="358" spans="1:9" hidden="1" x14ac:dyDescent="0.25">
      <c r="A358" s="1" t="s">
        <v>157</v>
      </c>
      <c r="B358" s="1" t="s">
        <v>199</v>
      </c>
      <c r="C358" s="1" t="s">
        <v>25</v>
      </c>
      <c r="D358" s="1">
        <v>0</v>
      </c>
      <c r="E358" s="1">
        <v>0</v>
      </c>
      <c r="F358" s="1">
        <v>-306.02999999999997</v>
      </c>
      <c r="G358" s="1">
        <v>-4957.6319999999996</v>
      </c>
      <c r="H358" s="1">
        <v>0</v>
      </c>
      <c r="I358" s="1">
        <v>0</v>
      </c>
    </row>
    <row r="359" spans="1:9" hidden="1" x14ac:dyDescent="0.25">
      <c r="A359" s="1" t="s">
        <v>157</v>
      </c>
      <c r="B359" s="1" t="s">
        <v>199</v>
      </c>
      <c r="C359" s="1" t="s">
        <v>10</v>
      </c>
      <c r="D359" s="1">
        <v>0</v>
      </c>
      <c r="E359" s="1">
        <v>0</v>
      </c>
      <c r="F359" s="1">
        <v>-306.02999999999997</v>
      </c>
      <c r="G359" s="1">
        <v>-4957.6319999999996</v>
      </c>
      <c r="H359" s="1">
        <v>1224.107</v>
      </c>
      <c r="I359" s="1">
        <v>0</v>
      </c>
    </row>
    <row r="360" spans="1:9" hidden="1" x14ac:dyDescent="0.25">
      <c r="A360" s="1" t="s">
        <v>157</v>
      </c>
      <c r="B360" s="1" t="s">
        <v>200</v>
      </c>
      <c r="C360" s="1" t="s">
        <v>25</v>
      </c>
      <c r="D360" s="1">
        <v>0</v>
      </c>
      <c r="E360" s="1">
        <v>0</v>
      </c>
      <c r="F360" s="1">
        <v>306.02999999999997</v>
      </c>
      <c r="G360" s="1">
        <v>6059.3280000000004</v>
      </c>
      <c r="H360" s="1">
        <v>0</v>
      </c>
      <c r="I360" s="1">
        <v>0</v>
      </c>
    </row>
    <row r="361" spans="1:9" hidden="1" x14ac:dyDescent="0.25">
      <c r="A361" s="1" t="s">
        <v>157</v>
      </c>
      <c r="B361" s="1" t="s">
        <v>200</v>
      </c>
      <c r="C361" s="1" t="s">
        <v>10</v>
      </c>
      <c r="D361" s="1">
        <v>0</v>
      </c>
      <c r="E361" s="1">
        <v>0</v>
      </c>
      <c r="F361" s="1">
        <v>306.02999999999997</v>
      </c>
      <c r="G361" s="1">
        <v>6059.3280000000004</v>
      </c>
      <c r="H361" s="1">
        <v>-1224.107</v>
      </c>
      <c r="I361" s="1">
        <v>0</v>
      </c>
    </row>
    <row r="362" spans="1:9" hidden="1" x14ac:dyDescent="0.25">
      <c r="A362" s="1" t="s">
        <v>157</v>
      </c>
      <c r="B362" s="1" t="s">
        <v>201</v>
      </c>
      <c r="C362" s="1" t="s">
        <v>25</v>
      </c>
      <c r="D362" s="1">
        <v>0</v>
      </c>
      <c r="E362" s="1">
        <v>0</v>
      </c>
      <c r="F362" s="1">
        <v>306.02999999999997</v>
      </c>
      <c r="G362" s="1">
        <v>4957.6319999999996</v>
      </c>
      <c r="H362" s="1">
        <v>0</v>
      </c>
      <c r="I362" s="1">
        <v>0</v>
      </c>
    </row>
    <row r="363" spans="1:9" hidden="1" x14ac:dyDescent="0.25">
      <c r="A363" s="1" t="s">
        <v>157</v>
      </c>
      <c r="B363" s="1" t="s">
        <v>201</v>
      </c>
      <c r="C363" s="1" t="s">
        <v>10</v>
      </c>
      <c r="D363" s="1">
        <v>0</v>
      </c>
      <c r="E363" s="1">
        <v>0</v>
      </c>
      <c r="F363" s="1">
        <v>306.02999999999997</v>
      </c>
      <c r="G363" s="1">
        <v>4957.6319999999996</v>
      </c>
      <c r="H363" s="1">
        <v>-1224.107</v>
      </c>
      <c r="I363" s="1">
        <v>0</v>
      </c>
    </row>
    <row r="364" spans="1:9" hidden="1" x14ac:dyDescent="0.25">
      <c r="A364" s="1" t="s">
        <v>157</v>
      </c>
      <c r="B364" s="1" t="s">
        <v>202</v>
      </c>
      <c r="C364" s="1" t="s">
        <v>25</v>
      </c>
      <c r="D364" s="1">
        <v>0</v>
      </c>
      <c r="E364" s="1">
        <v>-253.17</v>
      </c>
      <c r="F364" s="1">
        <v>0</v>
      </c>
      <c r="G364" s="1">
        <v>4177.384</v>
      </c>
      <c r="H364" s="1">
        <v>0</v>
      </c>
      <c r="I364" s="1">
        <v>0</v>
      </c>
    </row>
    <row r="365" spans="1:9" hidden="1" x14ac:dyDescent="0.25">
      <c r="A365" s="1" t="s">
        <v>157</v>
      </c>
      <c r="B365" s="1" t="s">
        <v>202</v>
      </c>
      <c r="C365" s="1" t="s">
        <v>10</v>
      </c>
      <c r="D365" s="1">
        <v>0</v>
      </c>
      <c r="E365" s="1">
        <v>-253.17</v>
      </c>
      <c r="F365" s="1">
        <v>0</v>
      </c>
      <c r="G365" s="1">
        <v>4177.384</v>
      </c>
      <c r="H365" s="1">
        <v>0</v>
      </c>
      <c r="I365" s="1">
        <v>-1012.699</v>
      </c>
    </row>
    <row r="366" spans="1:9" hidden="1" x14ac:dyDescent="0.25">
      <c r="A366" s="1" t="s">
        <v>157</v>
      </c>
      <c r="B366" s="1" t="s">
        <v>203</v>
      </c>
      <c r="C366" s="1" t="s">
        <v>25</v>
      </c>
      <c r="D366" s="1">
        <v>0</v>
      </c>
      <c r="E366" s="1">
        <v>-253.17</v>
      </c>
      <c r="F366" s="1">
        <v>0</v>
      </c>
      <c r="G366" s="1">
        <v>3417.86</v>
      </c>
      <c r="H366" s="1">
        <v>0</v>
      </c>
      <c r="I366" s="1">
        <v>0</v>
      </c>
    </row>
    <row r="367" spans="1:9" hidden="1" x14ac:dyDescent="0.25">
      <c r="A367" s="1" t="s">
        <v>157</v>
      </c>
      <c r="B367" s="1" t="s">
        <v>203</v>
      </c>
      <c r="C367" s="1" t="s">
        <v>10</v>
      </c>
      <c r="D367" s="1">
        <v>0</v>
      </c>
      <c r="E367" s="1">
        <v>-253.17</v>
      </c>
      <c r="F367" s="1">
        <v>0</v>
      </c>
      <c r="G367" s="1">
        <v>3417.86</v>
      </c>
      <c r="H367" s="1">
        <v>0</v>
      </c>
      <c r="I367" s="1">
        <v>-1012.699</v>
      </c>
    </row>
    <row r="368" spans="1:9" hidden="1" x14ac:dyDescent="0.25">
      <c r="A368" s="1" t="s">
        <v>157</v>
      </c>
      <c r="B368" s="1" t="s">
        <v>204</v>
      </c>
      <c r="C368" s="1" t="s">
        <v>25</v>
      </c>
      <c r="D368" s="1">
        <v>0</v>
      </c>
      <c r="E368" s="1">
        <v>253.17</v>
      </c>
      <c r="F368" s="1">
        <v>0</v>
      </c>
      <c r="G368" s="1">
        <v>-4177.384</v>
      </c>
      <c r="H368" s="1">
        <v>0</v>
      </c>
      <c r="I368" s="1">
        <v>0</v>
      </c>
    </row>
    <row r="369" spans="1:9" hidden="1" x14ac:dyDescent="0.25">
      <c r="A369" s="1" t="s">
        <v>157</v>
      </c>
      <c r="B369" s="1" t="s">
        <v>204</v>
      </c>
      <c r="C369" s="1" t="s">
        <v>10</v>
      </c>
      <c r="D369" s="1">
        <v>0</v>
      </c>
      <c r="E369" s="1">
        <v>253.17</v>
      </c>
      <c r="F369" s="1">
        <v>0</v>
      </c>
      <c r="G369" s="1">
        <v>-4177.384</v>
      </c>
      <c r="H369" s="1">
        <v>0</v>
      </c>
      <c r="I369" s="1">
        <v>1012.699</v>
      </c>
    </row>
    <row r="370" spans="1:9" hidden="1" x14ac:dyDescent="0.25">
      <c r="A370" s="1" t="s">
        <v>157</v>
      </c>
      <c r="B370" s="1" t="s">
        <v>205</v>
      </c>
      <c r="C370" s="1" t="s">
        <v>25</v>
      </c>
      <c r="D370" s="1">
        <v>0</v>
      </c>
      <c r="E370" s="1">
        <v>253.17</v>
      </c>
      <c r="F370" s="1">
        <v>0</v>
      </c>
      <c r="G370" s="1">
        <v>-3417.86</v>
      </c>
      <c r="H370" s="1">
        <v>0</v>
      </c>
      <c r="I370" s="1">
        <v>0</v>
      </c>
    </row>
    <row r="371" spans="1:9" hidden="1" x14ac:dyDescent="0.25">
      <c r="A371" s="1" t="s">
        <v>157</v>
      </c>
      <c r="B371" s="1" t="s">
        <v>205</v>
      </c>
      <c r="C371" s="1" t="s">
        <v>10</v>
      </c>
      <c r="D371" s="1">
        <v>0</v>
      </c>
      <c r="E371" s="1">
        <v>253.17</v>
      </c>
      <c r="F371" s="1">
        <v>0</v>
      </c>
      <c r="G371" s="1">
        <v>-3417.86</v>
      </c>
      <c r="H371" s="1">
        <v>0</v>
      </c>
      <c r="I371" s="1">
        <v>1012.699</v>
      </c>
    </row>
    <row r="372" spans="1:9" hidden="1" x14ac:dyDescent="0.25">
      <c r="A372" s="1" t="s">
        <v>157</v>
      </c>
      <c r="B372" s="1" t="s">
        <v>206</v>
      </c>
      <c r="C372" s="1" t="s">
        <v>25</v>
      </c>
      <c r="D372" s="1">
        <v>0</v>
      </c>
      <c r="E372" s="1">
        <v>0</v>
      </c>
      <c r="F372" s="1">
        <v>-306.02999999999997</v>
      </c>
      <c r="G372" s="1">
        <v>-6059.3280000000004</v>
      </c>
      <c r="H372" s="1">
        <v>0</v>
      </c>
      <c r="I372" s="1">
        <v>0</v>
      </c>
    </row>
    <row r="373" spans="1:9" hidden="1" x14ac:dyDescent="0.25">
      <c r="A373" s="1" t="s">
        <v>157</v>
      </c>
      <c r="B373" s="1" t="s">
        <v>206</v>
      </c>
      <c r="C373" s="1" t="s">
        <v>10</v>
      </c>
      <c r="D373" s="1">
        <v>0</v>
      </c>
      <c r="E373" s="1">
        <v>0</v>
      </c>
      <c r="F373" s="1">
        <v>-306.02999999999997</v>
      </c>
      <c r="G373" s="1">
        <v>-6059.3280000000004</v>
      </c>
      <c r="H373" s="1">
        <v>1224.107</v>
      </c>
      <c r="I373" s="1">
        <v>0</v>
      </c>
    </row>
    <row r="374" spans="1:9" hidden="1" x14ac:dyDescent="0.25">
      <c r="A374" s="1" t="s">
        <v>157</v>
      </c>
      <c r="B374" s="1" t="s">
        <v>207</v>
      </c>
      <c r="C374" s="1" t="s">
        <v>25</v>
      </c>
      <c r="D374" s="1">
        <v>0</v>
      </c>
      <c r="E374" s="1">
        <v>0</v>
      </c>
      <c r="F374" s="1">
        <v>-306.02999999999997</v>
      </c>
      <c r="G374" s="1">
        <v>-4957.6319999999996</v>
      </c>
      <c r="H374" s="1">
        <v>0</v>
      </c>
      <c r="I374" s="1">
        <v>0</v>
      </c>
    </row>
    <row r="375" spans="1:9" hidden="1" x14ac:dyDescent="0.25">
      <c r="A375" s="1" t="s">
        <v>157</v>
      </c>
      <c r="B375" s="1" t="s">
        <v>207</v>
      </c>
      <c r="C375" s="1" t="s">
        <v>10</v>
      </c>
      <c r="D375" s="1">
        <v>0</v>
      </c>
      <c r="E375" s="1">
        <v>0</v>
      </c>
      <c r="F375" s="1">
        <v>-306.02999999999997</v>
      </c>
      <c r="G375" s="1">
        <v>-4957.6319999999996</v>
      </c>
      <c r="H375" s="1">
        <v>1224.107</v>
      </c>
      <c r="I375" s="1">
        <v>0</v>
      </c>
    </row>
    <row r="376" spans="1:9" hidden="1" x14ac:dyDescent="0.25">
      <c r="A376" s="1" t="s">
        <v>157</v>
      </c>
      <c r="B376" s="1" t="s">
        <v>208</v>
      </c>
      <c r="C376" s="1" t="s">
        <v>25</v>
      </c>
      <c r="D376" s="1">
        <v>0</v>
      </c>
      <c r="E376" s="1">
        <v>0</v>
      </c>
      <c r="F376" s="1">
        <v>306.02999999999997</v>
      </c>
      <c r="G376" s="1">
        <v>6059.3280000000004</v>
      </c>
      <c r="H376" s="1">
        <v>0</v>
      </c>
      <c r="I376" s="1">
        <v>0</v>
      </c>
    </row>
    <row r="377" spans="1:9" hidden="1" x14ac:dyDescent="0.25">
      <c r="A377" s="1" t="s">
        <v>157</v>
      </c>
      <c r="B377" s="1" t="s">
        <v>208</v>
      </c>
      <c r="C377" s="1" t="s">
        <v>10</v>
      </c>
      <c r="D377" s="1">
        <v>0</v>
      </c>
      <c r="E377" s="1">
        <v>0</v>
      </c>
      <c r="F377" s="1">
        <v>306.02999999999997</v>
      </c>
      <c r="G377" s="1">
        <v>6059.3280000000004</v>
      </c>
      <c r="H377" s="1">
        <v>-1224.107</v>
      </c>
      <c r="I377" s="1">
        <v>0</v>
      </c>
    </row>
    <row r="378" spans="1:9" hidden="1" x14ac:dyDescent="0.25">
      <c r="A378" s="1" t="s">
        <v>157</v>
      </c>
      <c r="B378" s="1" t="s">
        <v>209</v>
      </c>
      <c r="C378" s="1" t="s">
        <v>25</v>
      </c>
      <c r="D378" s="1">
        <v>0</v>
      </c>
      <c r="E378" s="1">
        <v>0</v>
      </c>
      <c r="F378" s="1">
        <v>306.02999999999997</v>
      </c>
      <c r="G378" s="1">
        <v>4957.6319999999996</v>
      </c>
      <c r="H378" s="1">
        <v>0</v>
      </c>
      <c r="I378" s="1">
        <v>0</v>
      </c>
    </row>
    <row r="379" spans="1:9" hidden="1" x14ac:dyDescent="0.25">
      <c r="A379" s="1" t="s">
        <v>157</v>
      </c>
      <c r="B379" s="1" t="s">
        <v>209</v>
      </c>
      <c r="C379" s="1" t="s">
        <v>10</v>
      </c>
      <c r="D379" s="1">
        <v>0</v>
      </c>
      <c r="E379" s="1">
        <v>0</v>
      </c>
      <c r="F379" s="1">
        <v>306.02999999999997</v>
      </c>
      <c r="G379" s="1">
        <v>4957.6319999999996</v>
      </c>
      <c r="H379" s="1">
        <v>-1224.107</v>
      </c>
      <c r="I379" s="1">
        <v>0</v>
      </c>
    </row>
    <row r="380" spans="1:9" hidden="1" x14ac:dyDescent="0.25">
      <c r="A380" s="1" t="s">
        <v>157</v>
      </c>
      <c r="B380" s="1" t="s">
        <v>210</v>
      </c>
      <c r="C380" s="1" t="s">
        <v>25</v>
      </c>
      <c r="D380" s="1">
        <v>0</v>
      </c>
      <c r="E380" s="1">
        <v>-75.95</v>
      </c>
      <c r="F380" s="1">
        <v>0</v>
      </c>
      <c r="G380" s="1">
        <v>1253.2149999999999</v>
      </c>
      <c r="H380" s="1">
        <v>0</v>
      </c>
      <c r="I380" s="1">
        <v>0</v>
      </c>
    </row>
    <row r="381" spans="1:9" hidden="1" x14ac:dyDescent="0.25">
      <c r="A381" s="1" t="s">
        <v>157</v>
      </c>
      <c r="B381" s="1" t="s">
        <v>210</v>
      </c>
      <c r="C381" s="1" t="s">
        <v>10</v>
      </c>
      <c r="D381" s="1">
        <v>0</v>
      </c>
      <c r="E381" s="1">
        <v>-75.95</v>
      </c>
      <c r="F381" s="1">
        <v>0</v>
      </c>
      <c r="G381" s="1">
        <v>1253.2149999999999</v>
      </c>
      <c r="H381" s="1">
        <v>0</v>
      </c>
      <c r="I381" s="1">
        <v>-303.81</v>
      </c>
    </row>
    <row r="382" spans="1:9" hidden="1" x14ac:dyDescent="0.25">
      <c r="A382" s="1" t="s">
        <v>157</v>
      </c>
      <c r="B382" s="1" t="s">
        <v>211</v>
      </c>
      <c r="C382" s="1" t="s">
        <v>25</v>
      </c>
      <c r="D382" s="1">
        <v>0</v>
      </c>
      <c r="E382" s="1">
        <v>-75.95</v>
      </c>
      <c r="F382" s="1">
        <v>0</v>
      </c>
      <c r="G382" s="1">
        <v>1025.3579999999999</v>
      </c>
      <c r="H382" s="1">
        <v>0</v>
      </c>
      <c r="I382" s="1">
        <v>0</v>
      </c>
    </row>
    <row r="383" spans="1:9" hidden="1" x14ac:dyDescent="0.25">
      <c r="A383" s="1" t="s">
        <v>157</v>
      </c>
      <c r="B383" s="1" t="s">
        <v>211</v>
      </c>
      <c r="C383" s="1" t="s">
        <v>10</v>
      </c>
      <c r="D383" s="1">
        <v>0</v>
      </c>
      <c r="E383" s="1">
        <v>-75.95</v>
      </c>
      <c r="F383" s="1">
        <v>0</v>
      </c>
      <c r="G383" s="1">
        <v>1025.3579999999999</v>
      </c>
      <c r="H383" s="1">
        <v>0</v>
      </c>
      <c r="I383" s="1">
        <v>-303.81</v>
      </c>
    </row>
    <row r="384" spans="1:9" hidden="1" x14ac:dyDescent="0.25">
      <c r="A384" s="1" t="s">
        <v>157</v>
      </c>
      <c r="B384" s="1" t="s">
        <v>212</v>
      </c>
      <c r="C384" s="1" t="s">
        <v>25</v>
      </c>
      <c r="D384" s="1">
        <v>0</v>
      </c>
      <c r="E384" s="1">
        <v>75.95</v>
      </c>
      <c r="F384" s="1">
        <v>0</v>
      </c>
      <c r="G384" s="1">
        <v>-1253.2149999999999</v>
      </c>
      <c r="H384" s="1">
        <v>0</v>
      </c>
      <c r="I384" s="1">
        <v>0</v>
      </c>
    </row>
    <row r="385" spans="1:9" hidden="1" x14ac:dyDescent="0.25">
      <c r="A385" s="1" t="s">
        <v>157</v>
      </c>
      <c r="B385" s="1" t="s">
        <v>212</v>
      </c>
      <c r="C385" s="1" t="s">
        <v>10</v>
      </c>
      <c r="D385" s="1">
        <v>0</v>
      </c>
      <c r="E385" s="1">
        <v>75.95</v>
      </c>
      <c r="F385" s="1">
        <v>0</v>
      </c>
      <c r="G385" s="1">
        <v>-1253.2149999999999</v>
      </c>
      <c r="H385" s="1">
        <v>0</v>
      </c>
      <c r="I385" s="1">
        <v>303.81</v>
      </c>
    </row>
    <row r="386" spans="1:9" hidden="1" x14ac:dyDescent="0.25">
      <c r="A386" s="1" t="s">
        <v>157</v>
      </c>
      <c r="B386" s="1" t="s">
        <v>213</v>
      </c>
      <c r="C386" s="1" t="s">
        <v>25</v>
      </c>
      <c r="D386" s="1">
        <v>0</v>
      </c>
      <c r="E386" s="1">
        <v>75.95</v>
      </c>
      <c r="F386" s="1">
        <v>0</v>
      </c>
      <c r="G386" s="1">
        <v>-1025.3579999999999</v>
      </c>
      <c r="H386" s="1">
        <v>0</v>
      </c>
      <c r="I386" s="1">
        <v>0</v>
      </c>
    </row>
    <row r="387" spans="1:9" hidden="1" x14ac:dyDescent="0.25">
      <c r="A387" s="1" t="s">
        <v>157</v>
      </c>
      <c r="B387" s="1" t="s">
        <v>213</v>
      </c>
      <c r="C387" s="1" t="s">
        <v>10</v>
      </c>
      <c r="D387" s="1">
        <v>0</v>
      </c>
      <c r="E387" s="1">
        <v>75.95</v>
      </c>
      <c r="F387" s="1">
        <v>0</v>
      </c>
      <c r="G387" s="1">
        <v>-1025.3579999999999</v>
      </c>
      <c r="H387" s="1">
        <v>0</v>
      </c>
      <c r="I387" s="1">
        <v>303.81</v>
      </c>
    </row>
    <row r="388" spans="1:9" hidden="1" x14ac:dyDescent="0.25">
      <c r="A388" s="1" t="s">
        <v>157</v>
      </c>
      <c r="B388" s="1" t="s">
        <v>214</v>
      </c>
      <c r="C388" s="1" t="s">
        <v>25</v>
      </c>
      <c r="D388" s="1">
        <v>0</v>
      </c>
      <c r="E388" s="1">
        <v>0</v>
      </c>
      <c r="F388" s="1">
        <v>-91.81</v>
      </c>
      <c r="G388" s="1">
        <v>-1817.798</v>
      </c>
      <c r="H388" s="1">
        <v>0</v>
      </c>
      <c r="I388" s="1">
        <v>0</v>
      </c>
    </row>
    <row r="389" spans="1:9" hidden="1" x14ac:dyDescent="0.25">
      <c r="A389" s="1" t="s">
        <v>157</v>
      </c>
      <c r="B389" s="1" t="s">
        <v>214</v>
      </c>
      <c r="C389" s="1" t="s">
        <v>10</v>
      </c>
      <c r="D389" s="1">
        <v>0</v>
      </c>
      <c r="E389" s="1">
        <v>0</v>
      </c>
      <c r="F389" s="1">
        <v>-91.81</v>
      </c>
      <c r="G389" s="1">
        <v>-1817.798</v>
      </c>
      <c r="H389" s="1">
        <v>367.23200000000003</v>
      </c>
      <c r="I389" s="1">
        <v>0</v>
      </c>
    </row>
    <row r="390" spans="1:9" hidden="1" x14ac:dyDescent="0.25">
      <c r="A390" s="1" t="s">
        <v>157</v>
      </c>
      <c r="B390" s="1" t="s">
        <v>215</v>
      </c>
      <c r="C390" s="1" t="s">
        <v>25</v>
      </c>
      <c r="D390" s="1">
        <v>0</v>
      </c>
      <c r="E390" s="1">
        <v>0</v>
      </c>
      <c r="F390" s="1">
        <v>-91.81</v>
      </c>
      <c r="G390" s="1">
        <v>-1487.29</v>
      </c>
      <c r="H390" s="1">
        <v>0</v>
      </c>
      <c r="I390" s="1">
        <v>0</v>
      </c>
    </row>
    <row r="391" spans="1:9" hidden="1" x14ac:dyDescent="0.25">
      <c r="A391" s="1" t="s">
        <v>157</v>
      </c>
      <c r="B391" s="1" t="s">
        <v>215</v>
      </c>
      <c r="C391" s="1" t="s">
        <v>10</v>
      </c>
      <c r="D391" s="1">
        <v>0</v>
      </c>
      <c r="E391" s="1">
        <v>0</v>
      </c>
      <c r="F391" s="1">
        <v>-91.81</v>
      </c>
      <c r="G391" s="1">
        <v>-1487.29</v>
      </c>
      <c r="H391" s="1">
        <v>367.23200000000003</v>
      </c>
      <c r="I391" s="1">
        <v>0</v>
      </c>
    </row>
    <row r="392" spans="1:9" hidden="1" x14ac:dyDescent="0.25">
      <c r="A392" s="1" t="s">
        <v>157</v>
      </c>
      <c r="B392" s="1" t="s">
        <v>216</v>
      </c>
      <c r="C392" s="1" t="s">
        <v>25</v>
      </c>
      <c r="D392" s="1">
        <v>0</v>
      </c>
      <c r="E392" s="1">
        <v>0</v>
      </c>
      <c r="F392" s="1">
        <v>91.81</v>
      </c>
      <c r="G392" s="1">
        <v>1817.798</v>
      </c>
      <c r="H392" s="1">
        <v>0</v>
      </c>
      <c r="I392" s="1">
        <v>0</v>
      </c>
    </row>
    <row r="393" spans="1:9" hidden="1" x14ac:dyDescent="0.25">
      <c r="A393" s="1" t="s">
        <v>157</v>
      </c>
      <c r="B393" s="1" t="s">
        <v>216</v>
      </c>
      <c r="C393" s="1" t="s">
        <v>10</v>
      </c>
      <c r="D393" s="1">
        <v>0</v>
      </c>
      <c r="E393" s="1">
        <v>0</v>
      </c>
      <c r="F393" s="1">
        <v>91.81</v>
      </c>
      <c r="G393" s="1">
        <v>1817.798</v>
      </c>
      <c r="H393" s="1">
        <v>-367.23200000000003</v>
      </c>
      <c r="I393" s="1">
        <v>0</v>
      </c>
    </row>
    <row r="394" spans="1:9" hidden="1" x14ac:dyDescent="0.25">
      <c r="A394" s="1" t="s">
        <v>157</v>
      </c>
      <c r="B394" s="1" t="s">
        <v>217</v>
      </c>
      <c r="C394" s="1" t="s">
        <v>25</v>
      </c>
      <c r="D394" s="1">
        <v>0</v>
      </c>
      <c r="E394" s="1">
        <v>0</v>
      </c>
      <c r="F394" s="1">
        <v>91.81</v>
      </c>
      <c r="G394" s="1">
        <v>1487.29</v>
      </c>
      <c r="H394" s="1">
        <v>0</v>
      </c>
      <c r="I394" s="1">
        <v>0</v>
      </c>
    </row>
    <row r="395" spans="1:9" hidden="1" x14ac:dyDescent="0.25">
      <c r="A395" s="1" t="s">
        <v>157</v>
      </c>
      <c r="B395" s="1" t="s">
        <v>217</v>
      </c>
      <c r="C395" s="1" t="s">
        <v>10</v>
      </c>
      <c r="D395" s="1">
        <v>0</v>
      </c>
      <c r="E395" s="1">
        <v>0</v>
      </c>
      <c r="F395" s="1">
        <v>91.81</v>
      </c>
      <c r="G395" s="1">
        <v>1487.29</v>
      </c>
      <c r="H395" s="1">
        <v>-367.23200000000003</v>
      </c>
      <c r="I395" s="1">
        <v>0</v>
      </c>
    </row>
    <row r="396" spans="1:9" hidden="1" x14ac:dyDescent="0.25">
      <c r="A396" s="1" t="s">
        <v>157</v>
      </c>
      <c r="B396" s="1" t="s">
        <v>218</v>
      </c>
      <c r="C396" s="1" t="s">
        <v>25</v>
      </c>
      <c r="D396" s="1">
        <v>0</v>
      </c>
      <c r="E396" s="1">
        <v>-75.95</v>
      </c>
      <c r="F396" s="1">
        <v>0</v>
      </c>
      <c r="G396" s="1">
        <v>1253.2149999999999</v>
      </c>
      <c r="H396" s="1">
        <v>0</v>
      </c>
      <c r="I396" s="1">
        <v>0</v>
      </c>
    </row>
    <row r="397" spans="1:9" hidden="1" x14ac:dyDescent="0.25">
      <c r="A397" s="1" t="s">
        <v>157</v>
      </c>
      <c r="B397" s="1" t="s">
        <v>218</v>
      </c>
      <c r="C397" s="1" t="s">
        <v>10</v>
      </c>
      <c r="D397" s="1">
        <v>0</v>
      </c>
      <c r="E397" s="1">
        <v>-75.95</v>
      </c>
      <c r="F397" s="1">
        <v>0</v>
      </c>
      <c r="G397" s="1">
        <v>1253.2149999999999</v>
      </c>
      <c r="H397" s="1">
        <v>0</v>
      </c>
      <c r="I397" s="1">
        <v>-303.81</v>
      </c>
    </row>
    <row r="398" spans="1:9" hidden="1" x14ac:dyDescent="0.25">
      <c r="A398" s="1" t="s">
        <v>157</v>
      </c>
      <c r="B398" s="1" t="s">
        <v>219</v>
      </c>
      <c r="C398" s="1" t="s">
        <v>25</v>
      </c>
      <c r="D398" s="1">
        <v>0</v>
      </c>
      <c r="E398" s="1">
        <v>-75.95</v>
      </c>
      <c r="F398" s="1">
        <v>0</v>
      </c>
      <c r="G398" s="1">
        <v>1025.3579999999999</v>
      </c>
      <c r="H398" s="1">
        <v>0</v>
      </c>
      <c r="I398" s="1">
        <v>0</v>
      </c>
    </row>
    <row r="399" spans="1:9" hidden="1" x14ac:dyDescent="0.25">
      <c r="A399" s="1" t="s">
        <v>157</v>
      </c>
      <c r="B399" s="1" t="s">
        <v>219</v>
      </c>
      <c r="C399" s="1" t="s">
        <v>10</v>
      </c>
      <c r="D399" s="1">
        <v>0</v>
      </c>
      <c r="E399" s="1">
        <v>-75.95</v>
      </c>
      <c r="F399" s="1">
        <v>0</v>
      </c>
      <c r="G399" s="1">
        <v>1025.3579999999999</v>
      </c>
      <c r="H399" s="1">
        <v>0</v>
      </c>
      <c r="I399" s="1">
        <v>-303.81</v>
      </c>
    </row>
    <row r="400" spans="1:9" hidden="1" x14ac:dyDescent="0.25">
      <c r="A400" s="1" t="s">
        <v>157</v>
      </c>
      <c r="B400" s="1" t="s">
        <v>220</v>
      </c>
      <c r="C400" s="1" t="s">
        <v>25</v>
      </c>
      <c r="D400" s="1">
        <v>0</v>
      </c>
      <c r="E400" s="1">
        <v>75.95</v>
      </c>
      <c r="F400" s="1">
        <v>0</v>
      </c>
      <c r="G400" s="1">
        <v>-1253.2149999999999</v>
      </c>
      <c r="H400" s="1">
        <v>0</v>
      </c>
      <c r="I400" s="1">
        <v>0</v>
      </c>
    </row>
    <row r="401" spans="1:9" hidden="1" x14ac:dyDescent="0.25">
      <c r="A401" s="1" t="s">
        <v>157</v>
      </c>
      <c r="B401" s="1" t="s">
        <v>220</v>
      </c>
      <c r="C401" s="1" t="s">
        <v>10</v>
      </c>
      <c r="D401" s="1">
        <v>0</v>
      </c>
      <c r="E401" s="1">
        <v>75.95</v>
      </c>
      <c r="F401" s="1">
        <v>0</v>
      </c>
      <c r="G401" s="1">
        <v>-1253.2149999999999</v>
      </c>
      <c r="H401" s="1">
        <v>0</v>
      </c>
      <c r="I401" s="1">
        <v>303.81</v>
      </c>
    </row>
    <row r="402" spans="1:9" hidden="1" x14ac:dyDescent="0.25">
      <c r="A402" s="1" t="s">
        <v>157</v>
      </c>
      <c r="B402" s="1" t="s">
        <v>221</v>
      </c>
      <c r="C402" s="1" t="s">
        <v>25</v>
      </c>
      <c r="D402" s="1">
        <v>0</v>
      </c>
      <c r="E402" s="1">
        <v>75.95</v>
      </c>
      <c r="F402" s="1">
        <v>0</v>
      </c>
      <c r="G402" s="1">
        <v>-1025.3579999999999</v>
      </c>
      <c r="H402" s="1">
        <v>0</v>
      </c>
      <c r="I402" s="1">
        <v>0</v>
      </c>
    </row>
    <row r="403" spans="1:9" hidden="1" x14ac:dyDescent="0.25">
      <c r="A403" s="1" t="s">
        <v>157</v>
      </c>
      <c r="B403" s="1" t="s">
        <v>221</v>
      </c>
      <c r="C403" s="1" t="s">
        <v>10</v>
      </c>
      <c r="D403" s="1">
        <v>0</v>
      </c>
      <c r="E403" s="1">
        <v>75.95</v>
      </c>
      <c r="F403" s="1">
        <v>0</v>
      </c>
      <c r="G403" s="1">
        <v>-1025.3579999999999</v>
      </c>
      <c r="H403" s="1">
        <v>0</v>
      </c>
      <c r="I403" s="1">
        <v>303.81</v>
      </c>
    </row>
    <row r="404" spans="1:9" hidden="1" x14ac:dyDescent="0.25">
      <c r="A404" s="1" t="s">
        <v>157</v>
      </c>
      <c r="B404" s="1" t="s">
        <v>222</v>
      </c>
      <c r="C404" s="1" t="s">
        <v>25</v>
      </c>
      <c r="D404" s="1">
        <v>0</v>
      </c>
      <c r="E404" s="1">
        <v>0</v>
      </c>
      <c r="F404" s="1">
        <v>-91.81</v>
      </c>
      <c r="G404" s="1">
        <v>-1817.798</v>
      </c>
      <c r="H404" s="1">
        <v>0</v>
      </c>
      <c r="I404" s="1">
        <v>0</v>
      </c>
    </row>
    <row r="405" spans="1:9" hidden="1" x14ac:dyDescent="0.25">
      <c r="A405" s="1" t="s">
        <v>157</v>
      </c>
      <c r="B405" s="1" t="s">
        <v>222</v>
      </c>
      <c r="C405" s="1" t="s">
        <v>10</v>
      </c>
      <c r="D405" s="1">
        <v>0</v>
      </c>
      <c r="E405" s="1">
        <v>0</v>
      </c>
      <c r="F405" s="1">
        <v>-91.81</v>
      </c>
      <c r="G405" s="1">
        <v>-1817.798</v>
      </c>
      <c r="H405" s="1">
        <v>367.23200000000003</v>
      </c>
      <c r="I405" s="1">
        <v>0</v>
      </c>
    </row>
    <row r="406" spans="1:9" hidden="1" x14ac:dyDescent="0.25">
      <c r="A406" s="1" t="s">
        <v>157</v>
      </c>
      <c r="B406" s="1" t="s">
        <v>223</v>
      </c>
      <c r="C406" s="1" t="s">
        <v>25</v>
      </c>
      <c r="D406" s="1">
        <v>0</v>
      </c>
      <c r="E406" s="1">
        <v>0</v>
      </c>
      <c r="F406" s="1">
        <v>-91.81</v>
      </c>
      <c r="G406" s="1">
        <v>-1487.29</v>
      </c>
      <c r="H406" s="1">
        <v>0</v>
      </c>
      <c r="I406" s="1">
        <v>0</v>
      </c>
    </row>
    <row r="407" spans="1:9" hidden="1" x14ac:dyDescent="0.25">
      <c r="A407" s="1" t="s">
        <v>157</v>
      </c>
      <c r="B407" s="1" t="s">
        <v>223</v>
      </c>
      <c r="C407" s="1" t="s">
        <v>10</v>
      </c>
      <c r="D407" s="1">
        <v>0</v>
      </c>
      <c r="E407" s="1">
        <v>0</v>
      </c>
      <c r="F407" s="1">
        <v>-91.81</v>
      </c>
      <c r="G407" s="1">
        <v>-1487.29</v>
      </c>
      <c r="H407" s="1">
        <v>367.23200000000003</v>
      </c>
      <c r="I407" s="1">
        <v>0</v>
      </c>
    </row>
    <row r="408" spans="1:9" hidden="1" x14ac:dyDescent="0.25">
      <c r="A408" s="1" t="s">
        <v>157</v>
      </c>
      <c r="B408" s="1" t="s">
        <v>224</v>
      </c>
      <c r="C408" s="1" t="s">
        <v>25</v>
      </c>
      <c r="D408" s="1">
        <v>0</v>
      </c>
      <c r="E408" s="1">
        <v>0</v>
      </c>
      <c r="F408" s="1">
        <v>91.81</v>
      </c>
      <c r="G408" s="1">
        <v>1817.798</v>
      </c>
      <c r="H408" s="1">
        <v>0</v>
      </c>
      <c r="I408" s="1">
        <v>0</v>
      </c>
    </row>
    <row r="409" spans="1:9" hidden="1" x14ac:dyDescent="0.25">
      <c r="A409" s="1" t="s">
        <v>157</v>
      </c>
      <c r="B409" s="1" t="s">
        <v>224</v>
      </c>
      <c r="C409" s="1" t="s">
        <v>10</v>
      </c>
      <c r="D409" s="1">
        <v>0</v>
      </c>
      <c r="E409" s="1">
        <v>0</v>
      </c>
      <c r="F409" s="1">
        <v>91.81</v>
      </c>
      <c r="G409" s="1">
        <v>1817.798</v>
      </c>
      <c r="H409" s="1">
        <v>-367.23200000000003</v>
      </c>
      <c r="I409" s="1">
        <v>0</v>
      </c>
    </row>
    <row r="410" spans="1:9" hidden="1" x14ac:dyDescent="0.25">
      <c r="A410" s="1" t="s">
        <v>157</v>
      </c>
      <c r="B410" s="1" t="s">
        <v>225</v>
      </c>
      <c r="C410" s="1" t="s">
        <v>25</v>
      </c>
      <c r="D410" s="1">
        <v>0</v>
      </c>
      <c r="E410" s="1">
        <v>0</v>
      </c>
      <c r="F410" s="1">
        <v>91.81</v>
      </c>
      <c r="G410" s="1">
        <v>1487.29</v>
      </c>
      <c r="H410" s="1">
        <v>0</v>
      </c>
      <c r="I410" s="1">
        <v>0</v>
      </c>
    </row>
    <row r="411" spans="1:9" hidden="1" x14ac:dyDescent="0.25">
      <c r="A411" s="1" t="s">
        <v>157</v>
      </c>
      <c r="B411" s="1" t="s">
        <v>225</v>
      </c>
      <c r="C411" s="1" t="s">
        <v>10</v>
      </c>
      <c r="D411" s="1">
        <v>0</v>
      </c>
      <c r="E411" s="1">
        <v>0</v>
      </c>
      <c r="F411" s="1">
        <v>91.81</v>
      </c>
      <c r="G411" s="1">
        <v>1487.29</v>
      </c>
      <c r="H411" s="1">
        <v>-367.23200000000003</v>
      </c>
      <c r="I411" s="1">
        <v>0</v>
      </c>
    </row>
    <row r="412" spans="1:9" hidden="1" x14ac:dyDescent="0.25">
      <c r="A412" s="1" t="s">
        <v>157</v>
      </c>
      <c r="B412" s="1" t="s">
        <v>327</v>
      </c>
      <c r="C412" s="1" t="s">
        <v>25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</row>
    <row r="413" spans="1:9" hidden="1" x14ac:dyDescent="0.25">
      <c r="A413" s="1" t="s">
        <v>157</v>
      </c>
      <c r="B413" s="1" t="s">
        <v>327</v>
      </c>
      <c r="C413" s="1" t="s">
        <v>10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</row>
    <row r="414" spans="1:9" hidden="1" x14ac:dyDescent="0.25">
      <c r="A414" s="1" t="s">
        <v>157</v>
      </c>
      <c r="B414" s="1" t="s">
        <v>328</v>
      </c>
      <c r="C414" s="1" t="s">
        <v>25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</row>
    <row r="415" spans="1:9" hidden="1" x14ac:dyDescent="0.25">
      <c r="A415" s="1" t="s">
        <v>157</v>
      </c>
      <c r="B415" s="1" t="s">
        <v>328</v>
      </c>
      <c r="C415" s="1" t="s">
        <v>10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</row>
    <row r="416" spans="1:9" hidden="1" x14ac:dyDescent="0.25">
      <c r="A416" s="1" t="s">
        <v>158</v>
      </c>
      <c r="B416" s="1" t="s">
        <v>9</v>
      </c>
      <c r="C416" s="1" t="s">
        <v>25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</row>
    <row r="417" spans="1:9" hidden="1" x14ac:dyDescent="0.25">
      <c r="A417" s="1" t="s">
        <v>158</v>
      </c>
      <c r="B417" s="1" t="s">
        <v>9</v>
      </c>
      <c r="C417" s="1" t="s">
        <v>10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</row>
    <row r="418" spans="1:9" hidden="1" x14ac:dyDescent="0.25">
      <c r="A418" s="1" t="s">
        <v>158</v>
      </c>
      <c r="B418" s="1" t="s">
        <v>26</v>
      </c>
      <c r="C418" s="1" t="s">
        <v>25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</row>
    <row r="419" spans="1:9" hidden="1" x14ac:dyDescent="0.25">
      <c r="A419" s="1" t="s">
        <v>158</v>
      </c>
      <c r="B419" s="1" t="s">
        <v>26</v>
      </c>
      <c r="C419" s="1" t="s">
        <v>10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</row>
    <row r="420" spans="1:9" hidden="1" x14ac:dyDescent="0.25">
      <c r="A420" s="1" t="s">
        <v>158</v>
      </c>
      <c r="B420" s="1" t="s">
        <v>20</v>
      </c>
      <c r="C420" s="1" t="s">
        <v>25</v>
      </c>
      <c r="D420" s="1">
        <v>0</v>
      </c>
      <c r="E420" s="1">
        <v>-316.47000000000003</v>
      </c>
      <c r="F420" s="1">
        <v>0</v>
      </c>
      <c r="G420" s="1">
        <v>5221.7299999999996</v>
      </c>
      <c r="H420" s="1">
        <v>0</v>
      </c>
      <c r="I420" s="1">
        <v>-723.35699999999997</v>
      </c>
    </row>
    <row r="421" spans="1:9" hidden="1" x14ac:dyDescent="0.25">
      <c r="A421" s="1" t="s">
        <v>158</v>
      </c>
      <c r="B421" s="1" t="s">
        <v>20</v>
      </c>
      <c r="C421" s="1" t="s">
        <v>10</v>
      </c>
      <c r="D421" s="1">
        <v>0</v>
      </c>
      <c r="E421" s="1">
        <v>-316.47000000000003</v>
      </c>
      <c r="F421" s="1">
        <v>0</v>
      </c>
      <c r="G421" s="1">
        <v>5221.7299999999996</v>
      </c>
      <c r="H421" s="1">
        <v>0</v>
      </c>
      <c r="I421" s="1">
        <v>-1989.231</v>
      </c>
    </row>
    <row r="422" spans="1:9" hidden="1" x14ac:dyDescent="0.25">
      <c r="A422" s="1" t="s">
        <v>158</v>
      </c>
      <c r="B422" s="1" t="s">
        <v>21</v>
      </c>
      <c r="C422" s="1" t="s">
        <v>25</v>
      </c>
      <c r="D422" s="1">
        <v>0</v>
      </c>
      <c r="E422" s="1">
        <v>-316.47000000000003</v>
      </c>
      <c r="F422" s="1">
        <v>0</v>
      </c>
      <c r="G422" s="1">
        <v>4272.3249999999998</v>
      </c>
      <c r="H422" s="1">
        <v>0</v>
      </c>
      <c r="I422" s="1">
        <v>-723.35699999999997</v>
      </c>
    </row>
    <row r="423" spans="1:9" hidden="1" x14ac:dyDescent="0.25">
      <c r="A423" s="1" t="s">
        <v>158</v>
      </c>
      <c r="B423" s="1" t="s">
        <v>21</v>
      </c>
      <c r="C423" s="1" t="s">
        <v>10</v>
      </c>
      <c r="D423" s="1">
        <v>0</v>
      </c>
      <c r="E423" s="1">
        <v>-316.47000000000003</v>
      </c>
      <c r="F423" s="1">
        <v>0</v>
      </c>
      <c r="G423" s="1">
        <v>4272.3249999999998</v>
      </c>
      <c r="H423" s="1">
        <v>0</v>
      </c>
      <c r="I423" s="1">
        <v>-1989.231</v>
      </c>
    </row>
    <row r="424" spans="1:9" hidden="1" x14ac:dyDescent="0.25">
      <c r="A424" s="1" t="s">
        <v>158</v>
      </c>
      <c r="B424" s="1" t="s">
        <v>22</v>
      </c>
      <c r="C424" s="1" t="s">
        <v>25</v>
      </c>
      <c r="D424" s="1">
        <v>0</v>
      </c>
      <c r="E424" s="1">
        <v>0</v>
      </c>
      <c r="F424" s="1">
        <v>-382.53</v>
      </c>
      <c r="G424" s="1">
        <v>-7574.16</v>
      </c>
      <c r="H424" s="1">
        <v>874.36199999999997</v>
      </c>
      <c r="I424" s="1">
        <v>0</v>
      </c>
    </row>
    <row r="425" spans="1:9" hidden="1" x14ac:dyDescent="0.25">
      <c r="A425" s="1" t="s">
        <v>158</v>
      </c>
      <c r="B425" s="1" t="s">
        <v>22</v>
      </c>
      <c r="C425" s="1" t="s">
        <v>10</v>
      </c>
      <c r="D425" s="1">
        <v>0</v>
      </c>
      <c r="E425" s="1">
        <v>0</v>
      </c>
      <c r="F425" s="1">
        <v>-382.53</v>
      </c>
      <c r="G425" s="1">
        <v>-7574.16</v>
      </c>
      <c r="H425" s="1">
        <v>2404.4949999999999</v>
      </c>
      <c r="I425" s="1">
        <v>0</v>
      </c>
    </row>
    <row r="426" spans="1:9" hidden="1" x14ac:dyDescent="0.25">
      <c r="A426" s="1" t="s">
        <v>158</v>
      </c>
      <c r="B426" s="1" t="s">
        <v>23</v>
      </c>
      <c r="C426" s="1" t="s">
        <v>25</v>
      </c>
      <c r="D426" s="1">
        <v>0</v>
      </c>
      <c r="E426" s="1">
        <v>0</v>
      </c>
      <c r="F426" s="1">
        <v>-382.53</v>
      </c>
      <c r="G426" s="1">
        <v>-6197.04</v>
      </c>
      <c r="H426" s="1">
        <v>874.36199999999997</v>
      </c>
      <c r="I426" s="1">
        <v>0</v>
      </c>
    </row>
    <row r="427" spans="1:9" hidden="1" x14ac:dyDescent="0.25">
      <c r="A427" s="1" t="s">
        <v>158</v>
      </c>
      <c r="B427" s="1" t="s">
        <v>23</v>
      </c>
      <c r="C427" s="1" t="s">
        <v>10</v>
      </c>
      <c r="D427" s="1">
        <v>0</v>
      </c>
      <c r="E427" s="1">
        <v>0</v>
      </c>
      <c r="F427" s="1">
        <v>-382.53</v>
      </c>
      <c r="G427" s="1">
        <v>-6197.04</v>
      </c>
      <c r="H427" s="1">
        <v>2404.4949999999999</v>
      </c>
      <c r="I427" s="1">
        <v>0</v>
      </c>
    </row>
    <row r="428" spans="1:9" hidden="1" x14ac:dyDescent="0.25">
      <c r="A428" s="1" t="s">
        <v>158</v>
      </c>
      <c r="B428" s="1" t="s">
        <v>321</v>
      </c>
      <c r="C428" s="1" t="s">
        <v>25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158</v>
      </c>
      <c r="B429" s="1" t="s">
        <v>321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158</v>
      </c>
      <c r="B430" s="1" t="s">
        <v>322</v>
      </c>
      <c r="C430" s="1" t="s">
        <v>25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158</v>
      </c>
      <c r="B431" s="1" t="s">
        <v>322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158</v>
      </c>
      <c r="B432" s="1" t="s">
        <v>323</v>
      </c>
      <c r="C432" s="1" t="s">
        <v>25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158</v>
      </c>
      <c r="B433" s="1" t="s">
        <v>323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158</v>
      </c>
      <c r="B434" s="1" t="s">
        <v>324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324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325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325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27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28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28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29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29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30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30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11</v>
      </c>
      <c r="C448" s="1" t="s">
        <v>25</v>
      </c>
      <c r="D448" s="1">
        <v>0</v>
      </c>
      <c r="E448" s="1">
        <v>155.59</v>
      </c>
      <c r="F448" s="1">
        <v>0</v>
      </c>
      <c r="G448" s="1">
        <v>2628.0709999999999</v>
      </c>
      <c r="H448" s="1">
        <v>0</v>
      </c>
      <c r="I448" s="1">
        <v>437.33600000000001</v>
      </c>
    </row>
    <row r="449" spans="1:9" hidden="1" x14ac:dyDescent="0.25">
      <c r="A449" s="1" t="s">
        <v>158</v>
      </c>
      <c r="B449" s="1" t="s">
        <v>11</v>
      </c>
      <c r="C449" s="1" t="s">
        <v>10</v>
      </c>
      <c r="D449" s="1">
        <v>0</v>
      </c>
      <c r="E449" s="1">
        <v>155.59</v>
      </c>
      <c r="F449" s="1">
        <v>0</v>
      </c>
      <c r="G449" s="1">
        <v>2628.0709999999999</v>
      </c>
      <c r="H449" s="1">
        <v>0</v>
      </c>
      <c r="I449" s="1">
        <v>1018.086</v>
      </c>
    </row>
    <row r="450" spans="1:9" hidden="1" x14ac:dyDescent="0.25">
      <c r="A450" s="1" t="s">
        <v>158</v>
      </c>
      <c r="B450" s="1" t="s">
        <v>12</v>
      </c>
      <c r="C450" s="1" t="s">
        <v>25</v>
      </c>
      <c r="D450" s="1">
        <v>0</v>
      </c>
      <c r="E450" s="1">
        <v>0</v>
      </c>
      <c r="F450" s="1">
        <v>402.26</v>
      </c>
      <c r="G450" s="1">
        <v>8000.375</v>
      </c>
      <c r="H450" s="1">
        <v>968.72900000000004</v>
      </c>
      <c r="I450" s="1">
        <v>0</v>
      </c>
    </row>
    <row r="451" spans="1:9" hidden="1" x14ac:dyDescent="0.25">
      <c r="A451" s="1" t="s">
        <v>158</v>
      </c>
      <c r="B451" s="1" t="s">
        <v>12</v>
      </c>
      <c r="C451" s="1" t="s">
        <v>10</v>
      </c>
      <c r="D451" s="1">
        <v>0</v>
      </c>
      <c r="E451" s="1">
        <v>0</v>
      </c>
      <c r="F451" s="1">
        <v>402.26</v>
      </c>
      <c r="G451" s="1">
        <v>8000.375</v>
      </c>
      <c r="H451" s="1">
        <v>2556.8760000000002</v>
      </c>
      <c r="I451" s="1">
        <v>0</v>
      </c>
    </row>
    <row r="452" spans="1:9" hidden="1" x14ac:dyDescent="0.25">
      <c r="A452" s="1" t="s">
        <v>158</v>
      </c>
      <c r="B452" s="1" t="s">
        <v>13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13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31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158</v>
      </c>
      <c r="B455" s="1" t="s">
        <v>31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158</v>
      </c>
      <c r="B456" s="1" t="s">
        <v>32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158</v>
      </c>
      <c r="B457" s="1" t="s">
        <v>32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158</v>
      </c>
      <c r="B458" s="1" t="s">
        <v>33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158</v>
      </c>
      <c r="B459" s="1" t="s">
        <v>33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158</v>
      </c>
      <c r="B460" s="1" t="s">
        <v>34</v>
      </c>
      <c r="C460" s="1" t="s">
        <v>25</v>
      </c>
      <c r="D460" s="1">
        <v>0</v>
      </c>
      <c r="E460" s="1">
        <v>-316.47000000000003</v>
      </c>
      <c r="F460" s="1">
        <v>0</v>
      </c>
      <c r="G460" s="1">
        <v>5221.7299999999996</v>
      </c>
      <c r="H460" s="1">
        <v>0</v>
      </c>
      <c r="I460" s="1">
        <v>-723.35699999999997</v>
      </c>
    </row>
    <row r="461" spans="1:9" hidden="1" x14ac:dyDescent="0.25">
      <c r="A461" s="1" t="s">
        <v>158</v>
      </c>
      <c r="B461" s="1" t="s">
        <v>34</v>
      </c>
      <c r="C461" s="1" t="s">
        <v>10</v>
      </c>
      <c r="D461" s="1">
        <v>0</v>
      </c>
      <c r="E461" s="1">
        <v>-316.47000000000003</v>
      </c>
      <c r="F461" s="1">
        <v>0</v>
      </c>
      <c r="G461" s="1">
        <v>5221.7299999999996</v>
      </c>
      <c r="H461" s="1">
        <v>0</v>
      </c>
      <c r="I461" s="1">
        <v>-1989.231</v>
      </c>
    </row>
    <row r="462" spans="1:9" hidden="1" x14ac:dyDescent="0.25">
      <c r="A462" s="1" t="s">
        <v>158</v>
      </c>
      <c r="B462" s="1" t="s">
        <v>35</v>
      </c>
      <c r="C462" s="1" t="s">
        <v>25</v>
      </c>
      <c r="D462" s="1">
        <v>0</v>
      </c>
      <c r="E462" s="1">
        <v>-316.47000000000003</v>
      </c>
      <c r="F462" s="1">
        <v>0</v>
      </c>
      <c r="G462" s="1">
        <v>4272.3249999999998</v>
      </c>
      <c r="H462" s="1">
        <v>0</v>
      </c>
      <c r="I462" s="1">
        <v>-723.35699999999997</v>
      </c>
    </row>
    <row r="463" spans="1:9" hidden="1" x14ac:dyDescent="0.25">
      <c r="A463" s="1" t="s">
        <v>158</v>
      </c>
      <c r="B463" s="1" t="s">
        <v>35</v>
      </c>
      <c r="C463" s="1" t="s">
        <v>10</v>
      </c>
      <c r="D463" s="1">
        <v>0</v>
      </c>
      <c r="E463" s="1">
        <v>-316.47000000000003</v>
      </c>
      <c r="F463" s="1">
        <v>0</v>
      </c>
      <c r="G463" s="1">
        <v>4272.3249999999998</v>
      </c>
      <c r="H463" s="1">
        <v>0</v>
      </c>
      <c r="I463" s="1">
        <v>-1989.231</v>
      </c>
    </row>
    <row r="464" spans="1:9" hidden="1" x14ac:dyDescent="0.25">
      <c r="A464" s="1" t="s">
        <v>158</v>
      </c>
      <c r="B464" s="1" t="s">
        <v>36</v>
      </c>
      <c r="C464" s="1" t="s">
        <v>25</v>
      </c>
      <c r="D464" s="1">
        <v>0</v>
      </c>
      <c r="E464" s="1">
        <v>316.47000000000003</v>
      </c>
      <c r="F464" s="1">
        <v>0</v>
      </c>
      <c r="G464" s="1">
        <v>-5221.7299999999996</v>
      </c>
      <c r="H464" s="1">
        <v>0</v>
      </c>
      <c r="I464" s="1">
        <v>723.35699999999997</v>
      </c>
    </row>
    <row r="465" spans="1:9" hidden="1" x14ac:dyDescent="0.25">
      <c r="A465" s="1" t="s">
        <v>158</v>
      </c>
      <c r="B465" s="1" t="s">
        <v>36</v>
      </c>
      <c r="C465" s="1" t="s">
        <v>10</v>
      </c>
      <c r="D465" s="1">
        <v>0</v>
      </c>
      <c r="E465" s="1">
        <v>316.47000000000003</v>
      </c>
      <c r="F465" s="1">
        <v>0</v>
      </c>
      <c r="G465" s="1">
        <v>-5221.7299999999996</v>
      </c>
      <c r="H465" s="1">
        <v>0</v>
      </c>
      <c r="I465" s="1">
        <v>1989.231</v>
      </c>
    </row>
    <row r="466" spans="1:9" hidden="1" x14ac:dyDescent="0.25">
      <c r="A466" s="1" t="s">
        <v>158</v>
      </c>
      <c r="B466" s="1" t="s">
        <v>37</v>
      </c>
      <c r="C466" s="1" t="s">
        <v>25</v>
      </c>
      <c r="D466" s="1">
        <v>0</v>
      </c>
      <c r="E466" s="1">
        <v>316.47000000000003</v>
      </c>
      <c r="F466" s="1">
        <v>0</v>
      </c>
      <c r="G466" s="1">
        <v>-4272.3249999999998</v>
      </c>
      <c r="H466" s="1">
        <v>0</v>
      </c>
      <c r="I466" s="1">
        <v>723.35699999999997</v>
      </c>
    </row>
    <row r="467" spans="1:9" hidden="1" x14ac:dyDescent="0.25">
      <c r="A467" s="1" t="s">
        <v>158</v>
      </c>
      <c r="B467" s="1" t="s">
        <v>37</v>
      </c>
      <c r="C467" s="1" t="s">
        <v>10</v>
      </c>
      <c r="D467" s="1">
        <v>0</v>
      </c>
      <c r="E467" s="1">
        <v>316.47000000000003</v>
      </c>
      <c r="F467" s="1">
        <v>0</v>
      </c>
      <c r="G467" s="1">
        <v>-4272.3249999999998</v>
      </c>
      <c r="H467" s="1">
        <v>0</v>
      </c>
      <c r="I467" s="1">
        <v>1989.231</v>
      </c>
    </row>
    <row r="468" spans="1:9" hidden="1" x14ac:dyDescent="0.25">
      <c r="A468" s="1" t="s">
        <v>158</v>
      </c>
      <c r="B468" s="1" t="s">
        <v>38</v>
      </c>
      <c r="C468" s="1" t="s">
        <v>25</v>
      </c>
      <c r="D468" s="1">
        <v>0</v>
      </c>
      <c r="E468" s="1">
        <v>0</v>
      </c>
      <c r="F468" s="1">
        <v>-382.53</v>
      </c>
      <c r="G468" s="1">
        <v>-7574.16</v>
      </c>
      <c r="H468" s="1">
        <v>874.36199999999997</v>
      </c>
      <c r="I468" s="1">
        <v>0</v>
      </c>
    </row>
    <row r="469" spans="1:9" hidden="1" x14ac:dyDescent="0.25">
      <c r="A469" s="1" t="s">
        <v>158</v>
      </c>
      <c r="B469" s="1" t="s">
        <v>38</v>
      </c>
      <c r="C469" s="1" t="s">
        <v>10</v>
      </c>
      <c r="D469" s="1">
        <v>0</v>
      </c>
      <c r="E469" s="1">
        <v>0</v>
      </c>
      <c r="F469" s="1">
        <v>-382.53</v>
      </c>
      <c r="G469" s="1">
        <v>-7574.16</v>
      </c>
      <c r="H469" s="1">
        <v>2404.4949999999999</v>
      </c>
      <c r="I469" s="1">
        <v>0</v>
      </c>
    </row>
    <row r="470" spans="1:9" hidden="1" x14ac:dyDescent="0.25">
      <c r="A470" s="1" t="s">
        <v>158</v>
      </c>
      <c r="B470" s="1" t="s">
        <v>39</v>
      </c>
      <c r="C470" s="1" t="s">
        <v>25</v>
      </c>
      <c r="D470" s="1">
        <v>0</v>
      </c>
      <c r="E470" s="1">
        <v>0</v>
      </c>
      <c r="F470" s="1">
        <v>-382.53</v>
      </c>
      <c r="G470" s="1">
        <v>-6197.04</v>
      </c>
      <c r="H470" s="1">
        <v>874.36199999999997</v>
      </c>
      <c r="I470" s="1">
        <v>0</v>
      </c>
    </row>
    <row r="471" spans="1:9" hidden="1" x14ac:dyDescent="0.25">
      <c r="A471" s="1" t="s">
        <v>158</v>
      </c>
      <c r="B471" s="1" t="s">
        <v>39</v>
      </c>
      <c r="C471" s="1" t="s">
        <v>10</v>
      </c>
      <c r="D471" s="1">
        <v>0</v>
      </c>
      <c r="E471" s="1">
        <v>0</v>
      </c>
      <c r="F471" s="1">
        <v>-382.53</v>
      </c>
      <c r="G471" s="1">
        <v>-6197.04</v>
      </c>
      <c r="H471" s="1">
        <v>2404.4949999999999</v>
      </c>
      <c r="I471" s="1">
        <v>0</v>
      </c>
    </row>
    <row r="472" spans="1:9" hidden="1" x14ac:dyDescent="0.25">
      <c r="A472" s="1" t="s">
        <v>158</v>
      </c>
      <c r="B472" s="1" t="s">
        <v>40</v>
      </c>
      <c r="C472" s="1" t="s">
        <v>25</v>
      </c>
      <c r="D472" s="1">
        <v>0</v>
      </c>
      <c r="E472" s="1">
        <v>0</v>
      </c>
      <c r="F472" s="1">
        <v>382.53</v>
      </c>
      <c r="G472" s="1">
        <v>7574.16</v>
      </c>
      <c r="H472" s="1">
        <v>-874.36199999999997</v>
      </c>
      <c r="I472" s="1">
        <v>0</v>
      </c>
    </row>
    <row r="473" spans="1:9" hidden="1" x14ac:dyDescent="0.25">
      <c r="A473" s="1" t="s">
        <v>158</v>
      </c>
      <c r="B473" s="1" t="s">
        <v>40</v>
      </c>
      <c r="C473" s="1" t="s">
        <v>10</v>
      </c>
      <c r="D473" s="1">
        <v>0</v>
      </c>
      <c r="E473" s="1">
        <v>0</v>
      </c>
      <c r="F473" s="1">
        <v>382.53</v>
      </c>
      <c r="G473" s="1">
        <v>7574.16</v>
      </c>
      <c r="H473" s="1">
        <v>-2404.4949999999999</v>
      </c>
      <c r="I473" s="1">
        <v>0</v>
      </c>
    </row>
    <row r="474" spans="1:9" hidden="1" x14ac:dyDescent="0.25">
      <c r="A474" s="1" t="s">
        <v>158</v>
      </c>
      <c r="B474" s="1" t="s">
        <v>41</v>
      </c>
      <c r="C474" s="1" t="s">
        <v>25</v>
      </c>
      <c r="D474" s="1">
        <v>0</v>
      </c>
      <c r="E474" s="1">
        <v>0</v>
      </c>
      <c r="F474" s="1">
        <v>382.53</v>
      </c>
      <c r="G474" s="1">
        <v>6197.04</v>
      </c>
      <c r="H474" s="1">
        <v>-874.36199999999997</v>
      </c>
      <c r="I474" s="1">
        <v>0</v>
      </c>
    </row>
    <row r="475" spans="1:9" hidden="1" x14ac:dyDescent="0.25">
      <c r="A475" s="1" t="s">
        <v>158</v>
      </c>
      <c r="B475" s="1" t="s">
        <v>41</v>
      </c>
      <c r="C475" s="1" t="s">
        <v>10</v>
      </c>
      <c r="D475" s="1">
        <v>0</v>
      </c>
      <c r="E475" s="1">
        <v>0</v>
      </c>
      <c r="F475" s="1">
        <v>382.53</v>
      </c>
      <c r="G475" s="1">
        <v>6197.04</v>
      </c>
      <c r="H475" s="1">
        <v>-2404.4949999999999</v>
      </c>
      <c r="I475" s="1">
        <v>0</v>
      </c>
    </row>
    <row r="476" spans="1:9" hidden="1" x14ac:dyDescent="0.25">
      <c r="A476" s="1" t="s">
        <v>158</v>
      </c>
      <c r="B476" s="1" t="s">
        <v>42</v>
      </c>
      <c r="C476" s="1" t="s">
        <v>25</v>
      </c>
      <c r="D476" s="1">
        <v>0</v>
      </c>
      <c r="E476" s="1">
        <v>-316.47000000000003</v>
      </c>
      <c r="F476" s="1">
        <v>0</v>
      </c>
      <c r="G476" s="1">
        <v>5221.7299999999996</v>
      </c>
      <c r="H476" s="1">
        <v>0</v>
      </c>
      <c r="I476" s="1">
        <v>-723.35699999999997</v>
      </c>
    </row>
    <row r="477" spans="1:9" hidden="1" x14ac:dyDescent="0.25">
      <c r="A477" s="1" t="s">
        <v>158</v>
      </c>
      <c r="B477" s="1" t="s">
        <v>42</v>
      </c>
      <c r="C477" s="1" t="s">
        <v>10</v>
      </c>
      <c r="D477" s="1">
        <v>0</v>
      </c>
      <c r="E477" s="1">
        <v>-316.47000000000003</v>
      </c>
      <c r="F477" s="1">
        <v>0</v>
      </c>
      <c r="G477" s="1">
        <v>5221.7299999999996</v>
      </c>
      <c r="H477" s="1">
        <v>0</v>
      </c>
      <c r="I477" s="1">
        <v>-1989.231</v>
      </c>
    </row>
    <row r="478" spans="1:9" hidden="1" x14ac:dyDescent="0.25">
      <c r="A478" s="1" t="s">
        <v>158</v>
      </c>
      <c r="B478" s="1" t="s">
        <v>43</v>
      </c>
      <c r="C478" s="1" t="s">
        <v>25</v>
      </c>
      <c r="D478" s="1">
        <v>0</v>
      </c>
      <c r="E478" s="1">
        <v>-316.47000000000003</v>
      </c>
      <c r="F478" s="1">
        <v>0</v>
      </c>
      <c r="G478" s="1">
        <v>4272.3249999999998</v>
      </c>
      <c r="H478" s="1">
        <v>0</v>
      </c>
      <c r="I478" s="1">
        <v>-723.35699999999997</v>
      </c>
    </row>
    <row r="479" spans="1:9" hidden="1" x14ac:dyDescent="0.25">
      <c r="A479" s="1" t="s">
        <v>158</v>
      </c>
      <c r="B479" s="1" t="s">
        <v>43</v>
      </c>
      <c r="C479" s="1" t="s">
        <v>10</v>
      </c>
      <c r="D479" s="1">
        <v>0</v>
      </c>
      <c r="E479" s="1">
        <v>-316.47000000000003</v>
      </c>
      <c r="F479" s="1">
        <v>0</v>
      </c>
      <c r="G479" s="1">
        <v>4272.3249999999998</v>
      </c>
      <c r="H479" s="1">
        <v>0</v>
      </c>
      <c r="I479" s="1">
        <v>-1989.231</v>
      </c>
    </row>
    <row r="480" spans="1:9" hidden="1" x14ac:dyDescent="0.25">
      <c r="A480" s="1" t="s">
        <v>158</v>
      </c>
      <c r="B480" s="1" t="s">
        <v>44</v>
      </c>
      <c r="C480" s="1" t="s">
        <v>25</v>
      </c>
      <c r="D480" s="1">
        <v>0</v>
      </c>
      <c r="E480" s="1">
        <v>316.47000000000003</v>
      </c>
      <c r="F480" s="1">
        <v>0</v>
      </c>
      <c r="G480" s="1">
        <v>-5221.7299999999996</v>
      </c>
      <c r="H480" s="1">
        <v>0</v>
      </c>
      <c r="I480" s="1">
        <v>723.35699999999997</v>
      </c>
    </row>
    <row r="481" spans="1:9" hidden="1" x14ac:dyDescent="0.25">
      <c r="A481" s="1" t="s">
        <v>158</v>
      </c>
      <c r="B481" s="1" t="s">
        <v>44</v>
      </c>
      <c r="C481" s="1" t="s">
        <v>10</v>
      </c>
      <c r="D481" s="1">
        <v>0</v>
      </c>
      <c r="E481" s="1">
        <v>316.47000000000003</v>
      </c>
      <c r="F481" s="1">
        <v>0</v>
      </c>
      <c r="G481" s="1">
        <v>-5221.7299999999996</v>
      </c>
      <c r="H481" s="1">
        <v>0</v>
      </c>
      <c r="I481" s="1">
        <v>1989.231</v>
      </c>
    </row>
    <row r="482" spans="1:9" hidden="1" x14ac:dyDescent="0.25">
      <c r="A482" s="1" t="s">
        <v>158</v>
      </c>
      <c r="B482" s="1" t="s">
        <v>45</v>
      </c>
      <c r="C482" s="1" t="s">
        <v>25</v>
      </c>
      <c r="D482" s="1">
        <v>0</v>
      </c>
      <c r="E482" s="1">
        <v>316.47000000000003</v>
      </c>
      <c r="F482" s="1">
        <v>0</v>
      </c>
      <c r="G482" s="1">
        <v>-4272.3249999999998</v>
      </c>
      <c r="H482" s="1">
        <v>0</v>
      </c>
      <c r="I482" s="1">
        <v>723.35699999999997</v>
      </c>
    </row>
    <row r="483" spans="1:9" hidden="1" x14ac:dyDescent="0.25">
      <c r="A483" s="1" t="s">
        <v>158</v>
      </c>
      <c r="B483" s="1" t="s">
        <v>45</v>
      </c>
      <c r="C483" s="1" t="s">
        <v>10</v>
      </c>
      <c r="D483" s="1">
        <v>0</v>
      </c>
      <c r="E483" s="1">
        <v>316.47000000000003</v>
      </c>
      <c r="F483" s="1">
        <v>0</v>
      </c>
      <c r="G483" s="1">
        <v>-4272.3249999999998</v>
      </c>
      <c r="H483" s="1">
        <v>0</v>
      </c>
      <c r="I483" s="1">
        <v>1989.231</v>
      </c>
    </row>
    <row r="484" spans="1:9" hidden="1" x14ac:dyDescent="0.25">
      <c r="A484" s="1" t="s">
        <v>158</v>
      </c>
      <c r="B484" s="1" t="s">
        <v>46</v>
      </c>
      <c r="C484" s="1" t="s">
        <v>25</v>
      </c>
      <c r="D484" s="1">
        <v>0</v>
      </c>
      <c r="E484" s="1">
        <v>0</v>
      </c>
      <c r="F484" s="1">
        <v>-382.53</v>
      </c>
      <c r="G484" s="1">
        <v>-7574.16</v>
      </c>
      <c r="H484" s="1">
        <v>874.36199999999997</v>
      </c>
      <c r="I484" s="1">
        <v>0</v>
      </c>
    </row>
    <row r="485" spans="1:9" hidden="1" x14ac:dyDescent="0.25">
      <c r="A485" s="1" t="s">
        <v>158</v>
      </c>
      <c r="B485" s="1" t="s">
        <v>46</v>
      </c>
      <c r="C485" s="1" t="s">
        <v>10</v>
      </c>
      <c r="D485" s="1">
        <v>0</v>
      </c>
      <c r="E485" s="1">
        <v>0</v>
      </c>
      <c r="F485" s="1">
        <v>-382.53</v>
      </c>
      <c r="G485" s="1">
        <v>-7574.16</v>
      </c>
      <c r="H485" s="1">
        <v>2404.4949999999999</v>
      </c>
      <c r="I485" s="1">
        <v>0</v>
      </c>
    </row>
    <row r="486" spans="1:9" hidden="1" x14ac:dyDescent="0.25">
      <c r="A486" s="1" t="s">
        <v>158</v>
      </c>
      <c r="B486" s="1" t="s">
        <v>47</v>
      </c>
      <c r="C486" s="1" t="s">
        <v>25</v>
      </c>
      <c r="D486" s="1">
        <v>0</v>
      </c>
      <c r="E486" s="1">
        <v>0</v>
      </c>
      <c r="F486" s="1">
        <v>-382.53</v>
      </c>
      <c r="G486" s="1">
        <v>-6197.04</v>
      </c>
      <c r="H486" s="1">
        <v>874.36199999999997</v>
      </c>
      <c r="I486" s="1">
        <v>0</v>
      </c>
    </row>
    <row r="487" spans="1:9" hidden="1" x14ac:dyDescent="0.25">
      <c r="A487" s="1" t="s">
        <v>158</v>
      </c>
      <c r="B487" s="1" t="s">
        <v>47</v>
      </c>
      <c r="C487" s="1" t="s">
        <v>10</v>
      </c>
      <c r="D487" s="1">
        <v>0</v>
      </c>
      <c r="E487" s="1">
        <v>0</v>
      </c>
      <c r="F487" s="1">
        <v>-382.53</v>
      </c>
      <c r="G487" s="1">
        <v>-6197.04</v>
      </c>
      <c r="H487" s="1">
        <v>2404.4949999999999</v>
      </c>
      <c r="I487" s="1">
        <v>0</v>
      </c>
    </row>
    <row r="488" spans="1:9" hidden="1" x14ac:dyDescent="0.25">
      <c r="A488" s="1" t="s">
        <v>158</v>
      </c>
      <c r="B488" s="1" t="s">
        <v>48</v>
      </c>
      <c r="C488" s="1" t="s">
        <v>25</v>
      </c>
      <c r="D488" s="1">
        <v>0</v>
      </c>
      <c r="E488" s="1">
        <v>0</v>
      </c>
      <c r="F488" s="1">
        <v>382.53</v>
      </c>
      <c r="G488" s="1">
        <v>7574.16</v>
      </c>
      <c r="H488" s="1">
        <v>-874.36199999999997</v>
      </c>
      <c r="I488" s="1">
        <v>0</v>
      </c>
    </row>
    <row r="489" spans="1:9" hidden="1" x14ac:dyDescent="0.25">
      <c r="A489" s="1" t="s">
        <v>158</v>
      </c>
      <c r="B489" s="1" t="s">
        <v>48</v>
      </c>
      <c r="C489" s="1" t="s">
        <v>10</v>
      </c>
      <c r="D489" s="1">
        <v>0</v>
      </c>
      <c r="E489" s="1">
        <v>0</v>
      </c>
      <c r="F489" s="1">
        <v>382.53</v>
      </c>
      <c r="G489" s="1">
        <v>7574.16</v>
      </c>
      <c r="H489" s="1">
        <v>-2404.4949999999999</v>
      </c>
      <c r="I489" s="1">
        <v>0</v>
      </c>
    </row>
    <row r="490" spans="1:9" hidden="1" x14ac:dyDescent="0.25">
      <c r="A490" s="1" t="s">
        <v>158</v>
      </c>
      <c r="B490" s="1" t="s">
        <v>49</v>
      </c>
      <c r="C490" s="1" t="s">
        <v>25</v>
      </c>
      <c r="D490" s="1">
        <v>0</v>
      </c>
      <c r="E490" s="1">
        <v>0</v>
      </c>
      <c r="F490" s="1">
        <v>382.53</v>
      </c>
      <c r="G490" s="1">
        <v>6197.04</v>
      </c>
      <c r="H490" s="1">
        <v>-874.36199999999997</v>
      </c>
      <c r="I490" s="1">
        <v>0</v>
      </c>
    </row>
    <row r="491" spans="1:9" hidden="1" x14ac:dyDescent="0.25">
      <c r="A491" s="1" t="s">
        <v>158</v>
      </c>
      <c r="B491" s="1" t="s">
        <v>49</v>
      </c>
      <c r="C491" s="1" t="s">
        <v>10</v>
      </c>
      <c r="D491" s="1">
        <v>0</v>
      </c>
      <c r="E491" s="1">
        <v>0</v>
      </c>
      <c r="F491" s="1">
        <v>382.53</v>
      </c>
      <c r="G491" s="1">
        <v>6197.04</v>
      </c>
      <c r="H491" s="1">
        <v>-2404.4949999999999</v>
      </c>
      <c r="I491" s="1">
        <v>0</v>
      </c>
    </row>
    <row r="492" spans="1:9" hidden="1" x14ac:dyDescent="0.25">
      <c r="A492" s="1" t="s">
        <v>158</v>
      </c>
      <c r="B492" s="1" t="s">
        <v>50</v>
      </c>
      <c r="C492" s="1" t="s">
        <v>25</v>
      </c>
      <c r="D492" s="1">
        <v>0</v>
      </c>
      <c r="E492" s="1">
        <v>-94.94</v>
      </c>
      <c r="F492" s="1">
        <v>0</v>
      </c>
      <c r="G492" s="1">
        <v>1566.519</v>
      </c>
      <c r="H492" s="1">
        <v>0</v>
      </c>
      <c r="I492" s="1">
        <v>-217.00700000000001</v>
      </c>
    </row>
    <row r="493" spans="1:9" hidden="1" x14ac:dyDescent="0.25">
      <c r="A493" s="1" t="s">
        <v>158</v>
      </c>
      <c r="B493" s="1" t="s">
        <v>50</v>
      </c>
      <c r="C493" s="1" t="s">
        <v>10</v>
      </c>
      <c r="D493" s="1">
        <v>0</v>
      </c>
      <c r="E493" s="1">
        <v>-94.94</v>
      </c>
      <c r="F493" s="1">
        <v>0</v>
      </c>
      <c r="G493" s="1">
        <v>1566.519</v>
      </c>
      <c r="H493" s="1">
        <v>0</v>
      </c>
      <c r="I493" s="1">
        <v>-596.76900000000001</v>
      </c>
    </row>
    <row r="494" spans="1:9" hidden="1" x14ac:dyDescent="0.25">
      <c r="A494" s="1" t="s">
        <v>158</v>
      </c>
      <c r="B494" s="1" t="s">
        <v>51</v>
      </c>
      <c r="C494" s="1" t="s">
        <v>25</v>
      </c>
      <c r="D494" s="1">
        <v>0</v>
      </c>
      <c r="E494" s="1">
        <v>-94.94</v>
      </c>
      <c r="F494" s="1">
        <v>0</v>
      </c>
      <c r="G494" s="1">
        <v>1281.6969999999999</v>
      </c>
      <c r="H494" s="1">
        <v>0</v>
      </c>
      <c r="I494" s="1">
        <v>-217.00700000000001</v>
      </c>
    </row>
    <row r="495" spans="1:9" hidden="1" x14ac:dyDescent="0.25">
      <c r="A495" s="1" t="s">
        <v>158</v>
      </c>
      <c r="B495" s="1" t="s">
        <v>51</v>
      </c>
      <c r="C495" s="1" t="s">
        <v>10</v>
      </c>
      <c r="D495" s="1">
        <v>0</v>
      </c>
      <c r="E495" s="1">
        <v>-94.94</v>
      </c>
      <c r="F495" s="1">
        <v>0</v>
      </c>
      <c r="G495" s="1">
        <v>1281.6969999999999</v>
      </c>
      <c r="H495" s="1">
        <v>0</v>
      </c>
      <c r="I495" s="1">
        <v>-596.76900000000001</v>
      </c>
    </row>
    <row r="496" spans="1:9" hidden="1" x14ac:dyDescent="0.25">
      <c r="A496" s="1" t="s">
        <v>158</v>
      </c>
      <c r="B496" s="1" t="s">
        <v>52</v>
      </c>
      <c r="C496" s="1" t="s">
        <v>25</v>
      </c>
      <c r="D496" s="1">
        <v>0</v>
      </c>
      <c r="E496" s="1">
        <v>94.94</v>
      </c>
      <c r="F496" s="1">
        <v>0</v>
      </c>
      <c r="G496" s="1">
        <v>-1566.519</v>
      </c>
      <c r="H496" s="1">
        <v>0</v>
      </c>
      <c r="I496" s="1">
        <v>217.00700000000001</v>
      </c>
    </row>
    <row r="497" spans="1:9" hidden="1" x14ac:dyDescent="0.25">
      <c r="A497" s="1" t="s">
        <v>158</v>
      </c>
      <c r="B497" s="1" t="s">
        <v>52</v>
      </c>
      <c r="C497" s="1" t="s">
        <v>10</v>
      </c>
      <c r="D497" s="1">
        <v>0</v>
      </c>
      <c r="E497" s="1">
        <v>94.94</v>
      </c>
      <c r="F497" s="1">
        <v>0</v>
      </c>
      <c r="G497" s="1">
        <v>-1566.519</v>
      </c>
      <c r="H497" s="1">
        <v>0</v>
      </c>
      <c r="I497" s="1">
        <v>596.76900000000001</v>
      </c>
    </row>
    <row r="498" spans="1:9" hidden="1" x14ac:dyDescent="0.25">
      <c r="A498" s="1" t="s">
        <v>158</v>
      </c>
      <c r="B498" s="1" t="s">
        <v>53</v>
      </c>
      <c r="C498" s="1" t="s">
        <v>25</v>
      </c>
      <c r="D498" s="1">
        <v>0</v>
      </c>
      <c r="E498" s="1">
        <v>94.94</v>
      </c>
      <c r="F498" s="1">
        <v>0</v>
      </c>
      <c r="G498" s="1">
        <v>-1281.6969999999999</v>
      </c>
      <c r="H498" s="1">
        <v>0</v>
      </c>
      <c r="I498" s="1">
        <v>217.00700000000001</v>
      </c>
    </row>
    <row r="499" spans="1:9" hidden="1" x14ac:dyDescent="0.25">
      <c r="A499" s="1" t="s">
        <v>158</v>
      </c>
      <c r="B499" s="1" t="s">
        <v>53</v>
      </c>
      <c r="C499" s="1" t="s">
        <v>10</v>
      </c>
      <c r="D499" s="1">
        <v>0</v>
      </c>
      <c r="E499" s="1">
        <v>94.94</v>
      </c>
      <c r="F499" s="1">
        <v>0</v>
      </c>
      <c r="G499" s="1">
        <v>-1281.6969999999999</v>
      </c>
      <c r="H499" s="1">
        <v>0</v>
      </c>
      <c r="I499" s="1">
        <v>596.76900000000001</v>
      </c>
    </row>
    <row r="500" spans="1:9" hidden="1" x14ac:dyDescent="0.25">
      <c r="A500" s="1" t="s">
        <v>158</v>
      </c>
      <c r="B500" s="1" t="s">
        <v>54</v>
      </c>
      <c r="C500" s="1" t="s">
        <v>25</v>
      </c>
      <c r="D500" s="1">
        <v>0</v>
      </c>
      <c r="E500" s="1">
        <v>0</v>
      </c>
      <c r="F500" s="1">
        <v>-114.76</v>
      </c>
      <c r="G500" s="1">
        <v>-2272.248</v>
      </c>
      <c r="H500" s="1">
        <v>262.30900000000003</v>
      </c>
      <c r="I500" s="1">
        <v>0</v>
      </c>
    </row>
    <row r="501" spans="1:9" hidden="1" x14ac:dyDescent="0.25">
      <c r="A501" s="1" t="s">
        <v>158</v>
      </c>
      <c r="B501" s="1" t="s">
        <v>54</v>
      </c>
      <c r="C501" s="1" t="s">
        <v>10</v>
      </c>
      <c r="D501" s="1">
        <v>0</v>
      </c>
      <c r="E501" s="1">
        <v>0</v>
      </c>
      <c r="F501" s="1">
        <v>-114.76</v>
      </c>
      <c r="G501" s="1">
        <v>-2272.248</v>
      </c>
      <c r="H501" s="1">
        <v>721.34900000000005</v>
      </c>
      <c r="I501" s="1">
        <v>0</v>
      </c>
    </row>
    <row r="502" spans="1:9" hidden="1" x14ac:dyDescent="0.25">
      <c r="A502" s="1" t="s">
        <v>158</v>
      </c>
      <c r="B502" s="1" t="s">
        <v>55</v>
      </c>
      <c r="C502" s="1" t="s">
        <v>25</v>
      </c>
      <c r="D502" s="1">
        <v>0</v>
      </c>
      <c r="E502" s="1">
        <v>0</v>
      </c>
      <c r="F502" s="1">
        <v>-114.76</v>
      </c>
      <c r="G502" s="1">
        <v>-1859.1120000000001</v>
      </c>
      <c r="H502" s="1">
        <v>262.30900000000003</v>
      </c>
      <c r="I502" s="1">
        <v>0</v>
      </c>
    </row>
    <row r="503" spans="1:9" hidden="1" x14ac:dyDescent="0.25">
      <c r="A503" s="1" t="s">
        <v>158</v>
      </c>
      <c r="B503" s="1" t="s">
        <v>55</v>
      </c>
      <c r="C503" s="1" t="s">
        <v>10</v>
      </c>
      <c r="D503" s="1">
        <v>0</v>
      </c>
      <c r="E503" s="1">
        <v>0</v>
      </c>
      <c r="F503" s="1">
        <v>-114.76</v>
      </c>
      <c r="G503" s="1">
        <v>-1859.1120000000001</v>
      </c>
      <c r="H503" s="1">
        <v>721.34900000000005</v>
      </c>
      <c r="I503" s="1">
        <v>0</v>
      </c>
    </row>
    <row r="504" spans="1:9" hidden="1" x14ac:dyDescent="0.25">
      <c r="A504" s="1" t="s">
        <v>158</v>
      </c>
      <c r="B504" s="1" t="s">
        <v>56</v>
      </c>
      <c r="C504" s="1" t="s">
        <v>25</v>
      </c>
      <c r="D504" s="1">
        <v>0</v>
      </c>
      <c r="E504" s="1">
        <v>0</v>
      </c>
      <c r="F504" s="1">
        <v>114.76</v>
      </c>
      <c r="G504" s="1">
        <v>2272.248</v>
      </c>
      <c r="H504" s="1">
        <v>-262.30900000000003</v>
      </c>
      <c r="I504" s="1">
        <v>0</v>
      </c>
    </row>
    <row r="505" spans="1:9" hidden="1" x14ac:dyDescent="0.25">
      <c r="A505" s="1" t="s">
        <v>158</v>
      </c>
      <c r="B505" s="1" t="s">
        <v>56</v>
      </c>
      <c r="C505" s="1" t="s">
        <v>10</v>
      </c>
      <c r="D505" s="1">
        <v>0</v>
      </c>
      <c r="E505" s="1">
        <v>0</v>
      </c>
      <c r="F505" s="1">
        <v>114.76</v>
      </c>
      <c r="G505" s="1">
        <v>2272.248</v>
      </c>
      <c r="H505" s="1">
        <v>-721.34900000000005</v>
      </c>
      <c r="I505" s="1">
        <v>0</v>
      </c>
    </row>
    <row r="506" spans="1:9" hidden="1" x14ac:dyDescent="0.25">
      <c r="A506" s="1" t="s">
        <v>158</v>
      </c>
      <c r="B506" s="1" t="s">
        <v>57</v>
      </c>
      <c r="C506" s="1" t="s">
        <v>25</v>
      </c>
      <c r="D506" s="1">
        <v>0</v>
      </c>
      <c r="E506" s="1">
        <v>0</v>
      </c>
      <c r="F506" s="1">
        <v>114.76</v>
      </c>
      <c r="G506" s="1">
        <v>1859.1120000000001</v>
      </c>
      <c r="H506" s="1">
        <v>-262.30900000000003</v>
      </c>
      <c r="I506" s="1">
        <v>0</v>
      </c>
    </row>
    <row r="507" spans="1:9" hidden="1" x14ac:dyDescent="0.25">
      <c r="A507" s="1" t="s">
        <v>158</v>
      </c>
      <c r="B507" s="1" t="s">
        <v>57</v>
      </c>
      <c r="C507" s="1" t="s">
        <v>10</v>
      </c>
      <c r="D507" s="1">
        <v>0</v>
      </c>
      <c r="E507" s="1">
        <v>0</v>
      </c>
      <c r="F507" s="1">
        <v>114.76</v>
      </c>
      <c r="G507" s="1">
        <v>1859.1120000000001</v>
      </c>
      <c r="H507" s="1">
        <v>-721.34900000000005</v>
      </c>
      <c r="I507" s="1">
        <v>0</v>
      </c>
    </row>
    <row r="508" spans="1:9" hidden="1" x14ac:dyDescent="0.25">
      <c r="A508" s="1" t="s">
        <v>158</v>
      </c>
      <c r="B508" s="1" t="s">
        <v>58</v>
      </c>
      <c r="C508" s="1" t="s">
        <v>25</v>
      </c>
      <c r="D508" s="1">
        <v>0</v>
      </c>
      <c r="E508" s="1">
        <v>-94.94</v>
      </c>
      <c r="F508" s="1">
        <v>0</v>
      </c>
      <c r="G508" s="1">
        <v>1566.519</v>
      </c>
      <c r="H508" s="1">
        <v>0</v>
      </c>
      <c r="I508" s="1">
        <v>-217.00700000000001</v>
      </c>
    </row>
    <row r="509" spans="1:9" hidden="1" x14ac:dyDescent="0.25">
      <c r="A509" s="1" t="s">
        <v>158</v>
      </c>
      <c r="B509" s="1" t="s">
        <v>58</v>
      </c>
      <c r="C509" s="1" t="s">
        <v>10</v>
      </c>
      <c r="D509" s="1">
        <v>0</v>
      </c>
      <c r="E509" s="1">
        <v>-94.94</v>
      </c>
      <c r="F509" s="1">
        <v>0</v>
      </c>
      <c r="G509" s="1">
        <v>1566.519</v>
      </c>
      <c r="H509" s="1">
        <v>0</v>
      </c>
      <c r="I509" s="1">
        <v>-596.76900000000001</v>
      </c>
    </row>
    <row r="510" spans="1:9" hidden="1" x14ac:dyDescent="0.25">
      <c r="A510" s="1" t="s">
        <v>158</v>
      </c>
      <c r="B510" s="1" t="s">
        <v>59</v>
      </c>
      <c r="C510" s="1" t="s">
        <v>25</v>
      </c>
      <c r="D510" s="1">
        <v>0</v>
      </c>
      <c r="E510" s="1">
        <v>-94.94</v>
      </c>
      <c r="F510" s="1">
        <v>0</v>
      </c>
      <c r="G510" s="1">
        <v>1281.6969999999999</v>
      </c>
      <c r="H510" s="1">
        <v>0</v>
      </c>
      <c r="I510" s="1">
        <v>-217.00700000000001</v>
      </c>
    </row>
    <row r="511" spans="1:9" hidden="1" x14ac:dyDescent="0.25">
      <c r="A511" s="1" t="s">
        <v>158</v>
      </c>
      <c r="B511" s="1" t="s">
        <v>59</v>
      </c>
      <c r="C511" s="1" t="s">
        <v>10</v>
      </c>
      <c r="D511" s="1">
        <v>0</v>
      </c>
      <c r="E511" s="1">
        <v>-94.94</v>
      </c>
      <c r="F511" s="1">
        <v>0</v>
      </c>
      <c r="G511" s="1">
        <v>1281.6969999999999</v>
      </c>
      <c r="H511" s="1">
        <v>0</v>
      </c>
      <c r="I511" s="1">
        <v>-596.76900000000001</v>
      </c>
    </row>
    <row r="512" spans="1:9" hidden="1" x14ac:dyDescent="0.25">
      <c r="A512" s="1" t="s">
        <v>158</v>
      </c>
      <c r="B512" s="1" t="s">
        <v>60</v>
      </c>
      <c r="C512" s="1" t="s">
        <v>25</v>
      </c>
      <c r="D512" s="1">
        <v>0</v>
      </c>
      <c r="E512" s="1">
        <v>94.94</v>
      </c>
      <c r="F512" s="1">
        <v>0</v>
      </c>
      <c r="G512" s="1">
        <v>-1566.519</v>
      </c>
      <c r="H512" s="1">
        <v>0</v>
      </c>
      <c r="I512" s="1">
        <v>217.00700000000001</v>
      </c>
    </row>
    <row r="513" spans="1:9" hidden="1" x14ac:dyDescent="0.25">
      <c r="A513" s="1" t="s">
        <v>158</v>
      </c>
      <c r="B513" s="1" t="s">
        <v>60</v>
      </c>
      <c r="C513" s="1" t="s">
        <v>10</v>
      </c>
      <c r="D513" s="1">
        <v>0</v>
      </c>
      <c r="E513" s="1">
        <v>94.94</v>
      </c>
      <c r="F513" s="1">
        <v>0</v>
      </c>
      <c r="G513" s="1">
        <v>-1566.519</v>
      </c>
      <c r="H513" s="1">
        <v>0</v>
      </c>
      <c r="I513" s="1">
        <v>596.76900000000001</v>
      </c>
    </row>
    <row r="514" spans="1:9" hidden="1" x14ac:dyDescent="0.25">
      <c r="A514" s="1" t="s">
        <v>158</v>
      </c>
      <c r="B514" s="1" t="s">
        <v>61</v>
      </c>
      <c r="C514" s="1" t="s">
        <v>25</v>
      </c>
      <c r="D514" s="1">
        <v>0</v>
      </c>
      <c r="E514" s="1">
        <v>94.94</v>
      </c>
      <c r="F514" s="1">
        <v>0</v>
      </c>
      <c r="G514" s="1">
        <v>-1281.6969999999999</v>
      </c>
      <c r="H514" s="1">
        <v>0</v>
      </c>
      <c r="I514" s="1">
        <v>217.00700000000001</v>
      </c>
    </row>
    <row r="515" spans="1:9" hidden="1" x14ac:dyDescent="0.25">
      <c r="A515" s="1" t="s">
        <v>158</v>
      </c>
      <c r="B515" s="1" t="s">
        <v>61</v>
      </c>
      <c r="C515" s="1" t="s">
        <v>10</v>
      </c>
      <c r="D515" s="1">
        <v>0</v>
      </c>
      <c r="E515" s="1">
        <v>94.94</v>
      </c>
      <c r="F515" s="1">
        <v>0</v>
      </c>
      <c r="G515" s="1">
        <v>-1281.6969999999999</v>
      </c>
      <c r="H515" s="1">
        <v>0</v>
      </c>
      <c r="I515" s="1">
        <v>596.76900000000001</v>
      </c>
    </row>
    <row r="516" spans="1:9" hidden="1" x14ac:dyDescent="0.25">
      <c r="A516" s="1" t="s">
        <v>158</v>
      </c>
      <c r="B516" s="1" t="s">
        <v>62</v>
      </c>
      <c r="C516" s="1" t="s">
        <v>25</v>
      </c>
      <c r="D516" s="1">
        <v>0</v>
      </c>
      <c r="E516" s="1">
        <v>0</v>
      </c>
      <c r="F516" s="1">
        <v>-114.76</v>
      </c>
      <c r="G516" s="1">
        <v>-2272.248</v>
      </c>
      <c r="H516" s="1">
        <v>262.30900000000003</v>
      </c>
      <c r="I516" s="1">
        <v>0</v>
      </c>
    </row>
    <row r="517" spans="1:9" hidden="1" x14ac:dyDescent="0.25">
      <c r="A517" s="1" t="s">
        <v>158</v>
      </c>
      <c r="B517" s="1" t="s">
        <v>62</v>
      </c>
      <c r="C517" s="1" t="s">
        <v>10</v>
      </c>
      <c r="D517" s="1">
        <v>0</v>
      </c>
      <c r="E517" s="1">
        <v>0</v>
      </c>
      <c r="F517" s="1">
        <v>-114.76</v>
      </c>
      <c r="G517" s="1">
        <v>-2272.248</v>
      </c>
      <c r="H517" s="1">
        <v>721.34900000000005</v>
      </c>
      <c r="I517" s="1">
        <v>0</v>
      </c>
    </row>
    <row r="518" spans="1:9" hidden="1" x14ac:dyDescent="0.25">
      <c r="A518" s="1" t="s">
        <v>158</v>
      </c>
      <c r="B518" s="1" t="s">
        <v>63</v>
      </c>
      <c r="C518" s="1" t="s">
        <v>25</v>
      </c>
      <c r="D518" s="1">
        <v>0</v>
      </c>
      <c r="E518" s="1">
        <v>0</v>
      </c>
      <c r="F518" s="1">
        <v>-114.76</v>
      </c>
      <c r="G518" s="1">
        <v>-1859.1120000000001</v>
      </c>
      <c r="H518" s="1">
        <v>262.30900000000003</v>
      </c>
      <c r="I518" s="1">
        <v>0</v>
      </c>
    </row>
    <row r="519" spans="1:9" hidden="1" x14ac:dyDescent="0.25">
      <c r="A519" s="1" t="s">
        <v>158</v>
      </c>
      <c r="B519" s="1" t="s">
        <v>63</v>
      </c>
      <c r="C519" s="1" t="s">
        <v>10</v>
      </c>
      <c r="D519" s="1">
        <v>0</v>
      </c>
      <c r="E519" s="1">
        <v>0</v>
      </c>
      <c r="F519" s="1">
        <v>-114.76</v>
      </c>
      <c r="G519" s="1">
        <v>-1859.1120000000001</v>
      </c>
      <c r="H519" s="1">
        <v>721.34900000000005</v>
      </c>
      <c r="I519" s="1">
        <v>0</v>
      </c>
    </row>
    <row r="520" spans="1:9" hidden="1" x14ac:dyDescent="0.25">
      <c r="A520" s="1" t="s">
        <v>158</v>
      </c>
      <c r="B520" s="1" t="s">
        <v>64</v>
      </c>
      <c r="C520" s="1" t="s">
        <v>25</v>
      </c>
      <c r="D520" s="1">
        <v>0</v>
      </c>
      <c r="E520" s="1">
        <v>0</v>
      </c>
      <c r="F520" s="1">
        <v>114.76</v>
      </c>
      <c r="G520" s="1">
        <v>2272.248</v>
      </c>
      <c r="H520" s="1">
        <v>-262.30900000000003</v>
      </c>
      <c r="I520" s="1">
        <v>0</v>
      </c>
    </row>
    <row r="521" spans="1:9" hidden="1" x14ac:dyDescent="0.25">
      <c r="A521" s="1" t="s">
        <v>158</v>
      </c>
      <c r="B521" s="1" t="s">
        <v>64</v>
      </c>
      <c r="C521" s="1" t="s">
        <v>10</v>
      </c>
      <c r="D521" s="1">
        <v>0</v>
      </c>
      <c r="E521" s="1">
        <v>0</v>
      </c>
      <c r="F521" s="1">
        <v>114.76</v>
      </c>
      <c r="G521" s="1">
        <v>2272.248</v>
      </c>
      <c r="H521" s="1">
        <v>-721.34900000000005</v>
      </c>
      <c r="I521" s="1">
        <v>0</v>
      </c>
    </row>
    <row r="522" spans="1:9" hidden="1" x14ac:dyDescent="0.25">
      <c r="A522" s="1" t="s">
        <v>158</v>
      </c>
      <c r="B522" s="1" t="s">
        <v>65</v>
      </c>
      <c r="C522" s="1" t="s">
        <v>25</v>
      </c>
      <c r="D522" s="1">
        <v>0</v>
      </c>
      <c r="E522" s="1">
        <v>0</v>
      </c>
      <c r="F522" s="1">
        <v>114.76</v>
      </c>
      <c r="G522" s="1">
        <v>1859.1120000000001</v>
      </c>
      <c r="H522" s="1">
        <v>-262.30900000000003</v>
      </c>
      <c r="I522" s="1">
        <v>0</v>
      </c>
    </row>
    <row r="523" spans="1:9" hidden="1" x14ac:dyDescent="0.25">
      <c r="A523" s="1" t="s">
        <v>158</v>
      </c>
      <c r="B523" s="1" t="s">
        <v>65</v>
      </c>
      <c r="C523" s="1" t="s">
        <v>10</v>
      </c>
      <c r="D523" s="1">
        <v>0</v>
      </c>
      <c r="E523" s="1">
        <v>0</v>
      </c>
      <c r="F523" s="1">
        <v>114.76</v>
      </c>
      <c r="G523" s="1">
        <v>1859.1120000000001</v>
      </c>
      <c r="H523" s="1">
        <v>-721.34900000000005</v>
      </c>
      <c r="I523" s="1">
        <v>0</v>
      </c>
    </row>
    <row r="524" spans="1:9" hidden="1" x14ac:dyDescent="0.25">
      <c r="A524" s="1" t="s">
        <v>158</v>
      </c>
      <c r="B524" s="1" t="s">
        <v>66</v>
      </c>
      <c r="C524" s="1" t="s">
        <v>25</v>
      </c>
      <c r="D524" s="1">
        <v>0</v>
      </c>
      <c r="E524" s="1">
        <v>-316.47000000000003</v>
      </c>
      <c r="F524" s="1">
        <v>0</v>
      </c>
      <c r="G524" s="1">
        <v>5221.7299999999996</v>
      </c>
      <c r="H524" s="1">
        <v>0</v>
      </c>
      <c r="I524" s="1">
        <v>-723.35699999999997</v>
      </c>
    </row>
    <row r="525" spans="1:9" hidden="1" x14ac:dyDescent="0.25">
      <c r="A525" s="1" t="s">
        <v>158</v>
      </c>
      <c r="B525" s="1" t="s">
        <v>66</v>
      </c>
      <c r="C525" s="1" t="s">
        <v>10</v>
      </c>
      <c r="D525" s="1">
        <v>0</v>
      </c>
      <c r="E525" s="1">
        <v>-316.47000000000003</v>
      </c>
      <c r="F525" s="1">
        <v>0</v>
      </c>
      <c r="G525" s="1">
        <v>5221.7299999999996</v>
      </c>
      <c r="H525" s="1">
        <v>0</v>
      </c>
      <c r="I525" s="1">
        <v>-1989.231</v>
      </c>
    </row>
    <row r="526" spans="1:9" hidden="1" x14ac:dyDescent="0.25">
      <c r="A526" s="1" t="s">
        <v>158</v>
      </c>
      <c r="B526" s="1" t="s">
        <v>67</v>
      </c>
      <c r="C526" s="1" t="s">
        <v>25</v>
      </c>
      <c r="D526" s="1">
        <v>0</v>
      </c>
      <c r="E526" s="1">
        <v>-316.47000000000003</v>
      </c>
      <c r="F526" s="1">
        <v>0</v>
      </c>
      <c r="G526" s="1">
        <v>4272.3249999999998</v>
      </c>
      <c r="H526" s="1">
        <v>0</v>
      </c>
      <c r="I526" s="1">
        <v>-723.35699999999997</v>
      </c>
    </row>
    <row r="527" spans="1:9" hidden="1" x14ac:dyDescent="0.25">
      <c r="A527" s="1" t="s">
        <v>158</v>
      </c>
      <c r="B527" s="1" t="s">
        <v>67</v>
      </c>
      <c r="C527" s="1" t="s">
        <v>10</v>
      </c>
      <c r="D527" s="1">
        <v>0</v>
      </c>
      <c r="E527" s="1">
        <v>-316.47000000000003</v>
      </c>
      <c r="F527" s="1">
        <v>0</v>
      </c>
      <c r="G527" s="1">
        <v>4272.3249999999998</v>
      </c>
      <c r="H527" s="1">
        <v>0</v>
      </c>
      <c r="I527" s="1">
        <v>-1989.231</v>
      </c>
    </row>
    <row r="528" spans="1:9" hidden="1" x14ac:dyDescent="0.25">
      <c r="A528" s="1" t="s">
        <v>158</v>
      </c>
      <c r="B528" s="1" t="s">
        <v>68</v>
      </c>
      <c r="C528" s="1" t="s">
        <v>25</v>
      </c>
      <c r="D528" s="1">
        <v>0</v>
      </c>
      <c r="E528" s="1">
        <v>316.47000000000003</v>
      </c>
      <c r="F528" s="1">
        <v>0</v>
      </c>
      <c r="G528" s="1">
        <v>-5221.7299999999996</v>
      </c>
      <c r="H528" s="1">
        <v>0</v>
      </c>
      <c r="I528" s="1">
        <v>723.35699999999997</v>
      </c>
    </row>
    <row r="529" spans="1:9" hidden="1" x14ac:dyDescent="0.25">
      <c r="A529" s="1" t="s">
        <v>158</v>
      </c>
      <c r="B529" s="1" t="s">
        <v>68</v>
      </c>
      <c r="C529" s="1" t="s">
        <v>10</v>
      </c>
      <c r="D529" s="1">
        <v>0</v>
      </c>
      <c r="E529" s="1">
        <v>316.47000000000003</v>
      </c>
      <c r="F529" s="1">
        <v>0</v>
      </c>
      <c r="G529" s="1">
        <v>-5221.7299999999996</v>
      </c>
      <c r="H529" s="1">
        <v>0</v>
      </c>
      <c r="I529" s="1">
        <v>1989.231</v>
      </c>
    </row>
    <row r="530" spans="1:9" hidden="1" x14ac:dyDescent="0.25">
      <c r="A530" s="1" t="s">
        <v>158</v>
      </c>
      <c r="B530" s="1" t="s">
        <v>69</v>
      </c>
      <c r="C530" s="1" t="s">
        <v>25</v>
      </c>
      <c r="D530" s="1">
        <v>0</v>
      </c>
      <c r="E530" s="1">
        <v>316.47000000000003</v>
      </c>
      <c r="F530" s="1">
        <v>0</v>
      </c>
      <c r="G530" s="1">
        <v>-4272.3249999999998</v>
      </c>
      <c r="H530" s="1">
        <v>0</v>
      </c>
      <c r="I530" s="1">
        <v>723.35699999999997</v>
      </c>
    </row>
    <row r="531" spans="1:9" hidden="1" x14ac:dyDescent="0.25">
      <c r="A531" s="1" t="s">
        <v>158</v>
      </c>
      <c r="B531" s="1" t="s">
        <v>69</v>
      </c>
      <c r="C531" s="1" t="s">
        <v>10</v>
      </c>
      <c r="D531" s="1">
        <v>0</v>
      </c>
      <c r="E531" s="1">
        <v>316.47000000000003</v>
      </c>
      <c r="F531" s="1">
        <v>0</v>
      </c>
      <c r="G531" s="1">
        <v>-4272.3249999999998</v>
      </c>
      <c r="H531" s="1">
        <v>0</v>
      </c>
      <c r="I531" s="1">
        <v>1989.231</v>
      </c>
    </row>
    <row r="532" spans="1:9" hidden="1" x14ac:dyDescent="0.25">
      <c r="A532" s="1" t="s">
        <v>158</v>
      </c>
      <c r="B532" s="1" t="s">
        <v>70</v>
      </c>
      <c r="C532" s="1" t="s">
        <v>25</v>
      </c>
      <c r="D532" s="1">
        <v>0</v>
      </c>
      <c r="E532" s="1">
        <v>0</v>
      </c>
      <c r="F532" s="1">
        <v>-382.53</v>
      </c>
      <c r="G532" s="1">
        <v>-7574.16</v>
      </c>
      <c r="H532" s="1">
        <v>874.36199999999997</v>
      </c>
      <c r="I532" s="1">
        <v>0</v>
      </c>
    </row>
    <row r="533" spans="1:9" hidden="1" x14ac:dyDescent="0.25">
      <c r="A533" s="1" t="s">
        <v>158</v>
      </c>
      <c r="B533" s="1" t="s">
        <v>70</v>
      </c>
      <c r="C533" s="1" t="s">
        <v>10</v>
      </c>
      <c r="D533" s="1">
        <v>0</v>
      </c>
      <c r="E533" s="1">
        <v>0</v>
      </c>
      <c r="F533" s="1">
        <v>-382.53</v>
      </c>
      <c r="G533" s="1">
        <v>-7574.16</v>
      </c>
      <c r="H533" s="1">
        <v>2404.4949999999999</v>
      </c>
      <c r="I533" s="1">
        <v>0</v>
      </c>
    </row>
    <row r="534" spans="1:9" hidden="1" x14ac:dyDescent="0.25">
      <c r="A534" s="1" t="s">
        <v>158</v>
      </c>
      <c r="B534" s="1" t="s">
        <v>71</v>
      </c>
      <c r="C534" s="1" t="s">
        <v>25</v>
      </c>
      <c r="D534" s="1">
        <v>0</v>
      </c>
      <c r="E534" s="1">
        <v>0</v>
      </c>
      <c r="F534" s="1">
        <v>-382.53</v>
      </c>
      <c r="G534" s="1">
        <v>-6197.04</v>
      </c>
      <c r="H534" s="1">
        <v>874.36199999999997</v>
      </c>
      <c r="I534" s="1">
        <v>0</v>
      </c>
    </row>
    <row r="535" spans="1:9" hidden="1" x14ac:dyDescent="0.25">
      <c r="A535" s="1" t="s">
        <v>158</v>
      </c>
      <c r="B535" s="1" t="s">
        <v>71</v>
      </c>
      <c r="C535" s="1" t="s">
        <v>10</v>
      </c>
      <c r="D535" s="1">
        <v>0</v>
      </c>
      <c r="E535" s="1">
        <v>0</v>
      </c>
      <c r="F535" s="1">
        <v>-382.53</v>
      </c>
      <c r="G535" s="1">
        <v>-6197.04</v>
      </c>
      <c r="H535" s="1">
        <v>2404.4949999999999</v>
      </c>
      <c r="I535" s="1">
        <v>0</v>
      </c>
    </row>
    <row r="536" spans="1:9" hidden="1" x14ac:dyDescent="0.25">
      <c r="A536" s="1" t="s">
        <v>158</v>
      </c>
      <c r="B536" s="1" t="s">
        <v>72</v>
      </c>
      <c r="C536" s="1" t="s">
        <v>25</v>
      </c>
      <c r="D536" s="1">
        <v>0</v>
      </c>
      <c r="E536" s="1">
        <v>0</v>
      </c>
      <c r="F536" s="1">
        <v>382.53</v>
      </c>
      <c r="G536" s="1">
        <v>7574.16</v>
      </c>
      <c r="H536" s="1">
        <v>-874.36199999999997</v>
      </c>
      <c r="I536" s="1">
        <v>0</v>
      </c>
    </row>
    <row r="537" spans="1:9" hidden="1" x14ac:dyDescent="0.25">
      <c r="A537" s="1" t="s">
        <v>158</v>
      </c>
      <c r="B537" s="1" t="s">
        <v>72</v>
      </c>
      <c r="C537" s="1" t="s">
        <v>10</v>
      </c>
      <c r="D537" s="1">
        <v>0</v>
      </c>
      <c r="E537" s="1">
        <v>0</v>
      </c>
      <c r="F537" s="1">
        <v>382.53</v>
      </c>
      <c r="G537" s="1">
        <v>7574.16</v>
      </c>
      <c r="H537" s="1">
        <v>-2404.4949999999999</v>
      </c>
      <c r="I537" s="1">
        <v>0</v>
      </c>
    </row>
    <row r="538" spans="1:9" hidden="1" x14ac:dyDescent="0.25">
      <c r="A538" s="1" t="s">
        <v>158</v>
      </c>
      <c r="B538" s="1" t="s">
        <v>73</v>
      </c>
      <c r="C538" s="1" t="s">
        <v>25</v>
      </c>
      <c r="D538" s="1">
        <v>0</v>
      </c>
      <c r="E538" s="1">
        <v>0</v>
      </c>
      <c r="F538" s="1">
        <v>382.53</v>
      </c>
      <c r="G538" s="1">
        <v>6197.04</v>
      </c>
      <c r="H538" s="1">
        <v>-874.36199999999997</v>
      </c>
      <c r="I538" s="1">
        <v>0</v>
      </c>
    </row>
    <row r="539" spans="1:9" hidden="1" x14ac:dyDescent="0.25">
      <c r="A539" s="1" t="s">
        <v>158</v>
      </c>
      <c r="B539" s="1" t="s">
        <v>73</v>
      </c>
      <c r="C539" s="1" t="s">
        <v>10</v>
      </c>
      <c r="D539" s="1">
        <v>0</v>
      </c>
      <c r="E539" s="1">
        <v>0</v>
      </c>
      <c r="F539" s="1">
        <v>382.53</v>
      </c>
      <c r="G539" s="1">
        <v>6197.04</v>
      </c>
      <c r="H539" s="1">
        <v>-2404.4949999999999</v>
      </c>
      <c r="I539" s="1">
        <v>0</v>
      </c>
    </row>
    <row r="540" spans="1:9" hidden="1" x14ac:dyDescent="0.25">
      <c r="A540" s="1" t="s">
        <v>158</v>
      </c>
      <c r="B540" s="1" t="s">
        <v>74</v>
      </c>
      <c r="C540" s="1" t="s">
        <v>25</v>
      </c>
      <c r="D540" s="1">
        <v>0</v>
      </c>
      <c r="E540" s="1">
        <v>-316.47000000000003</v>
      </c>
      <c r="F540" s="1">
        <v>0</v>
      </c>
      <c r="G540" s="1">
        <v>5221.7299999999996</v>
      </c>
      <c r="H540" s="1">
        <v>0</v>
      </c>
      <c r="I540" s="1">
        <v>-723.35699999999997</v>
      </c>
    </row>
    <row r="541" spans="1:9" hidden="1" x14ac:dyDescent="0.25">
      <c r="A541" s="1" t="s">
        <v>158</v>
      </c>
      <c r="B541" s="1" t="s">
        <v>74</v>
      </c>
      <c r="C541" s="1" t="s">
        <v>10</v>
      </c>
      <c r="D541" s="1">
        <v>0</v>
      </c>
      <c r="E541" s="1">
        <v>-316.47000000000003</v>
      </c>
      <c r="F541" s="1">
        <v>0</v>
      </c>
      <c r="G541" s="1">
        <v>5221.7299999999996</v>
      </c>
      <c r="H541" s="1">
        <v>0</v>
      </c>
      <c r="I541" s="1">
        <v>-1989.231</v>
      </c>
    </row>
    <row r="542" spans="1:9" hidden="1" x14ac:dyDescent="0.25">
      <c r="A542" s="1" t="s">
        <v>158</v>
      </c>
      <c r="B542" s="1" t="s">
        <v>75</v>
      </c>
      <c r="C542" s="1" t="s">
        <v>25</v>
      </c>
      <c r="D542" s="1">
        <v>0</v>
      </c>
      <c r="E542" s="1">
        <v>-316.47000000000003</v>
      </c>
      <c r="F542" s="1">
        <v>0</v>
      </c>
      <c r="G542" s="1">
        <v>4272.3249999999998</v>
      </c>
      <c r="H542" s="1">
        <v>0</v>
      </c>
      <c r="I542" s="1">
        <v>-723.35699999999997</v>
      </c>
    </row>
    <row r="543" spans="1:9" hidden="1" x14ac:dyDescent="0.25">
      <c r="A543" s="1" t="s">
        <v>158</v>
      </c>
      <c r="B543" s="1" t="s">
        <v>75</v>
      </c>
      <c r="C543" s="1" t="s">
        <v>10</v>
      </c>
      <c r="D543" s="1">
        <v>0</v>
      </c>
      <c r="E543" s="1">
        <v>-316.47000000000003</v>
      </c>
      <c r="F543" s="1">
        <v>0</v>
      </c>
      <c r="G543" s="1">
        <v>4272.3249999999998</v>
      </c>
      <c r="H543" s="1">
        <v>0</v>
      </c>
      <c r="I543" s="1">
        <v>-1989.231</v>
      </c>
    </row>
    <row r="544" spans="1:9" hidden="1" x14ac:dyDescent="0.25">
      <c r="A544" s="1" t="s">
        <v>158</v>
      </c>
      <c r="B544" s="1" t="s">
        <v>76</v>
      </c>
      <c r="C544" s="1" t="s">
        <v>25</v>
      </c>
      <c r="D544" s="1">
        <v>0</v>
      </c>
      <c r="E544" s="1">
        <v>316.47000000000003</v>
      </c>
      <c r="F544" s="1">
        <v>0</v>
      </c>
      <c r="G544" s="1">
        <v>-5221.7299999999996</v>
      </c>
      <c r="H544" s="1">
        <v>0</v>
      </c>
      <c r="I544" s="1">
        <v>723.35699999999997</v>
      </c>
    </row>
    <row r="545" spans="1:9" hidden="1" x14ac:dyDescent="0.25">
      <c r="A545" s="1" t="s">
        <v>158</v>
      </c>
      <c r="B545" s="1" t="s">
        <v>76</v>
      </c>
      <c r="C545" s="1" t="s">
        <v>10</v>
      </c>
      <c r="D545" s="1">
        <v>0</v>
      </c>
      <c r="E545" s="1">
        <v>316.47000000000003</v>
      </c>
      <c r="F545" s="1">
        <v>0</v>
      </c>
      <c r="G545" s="1">
        <v>-5221.7299999999996</v>
      </c>
      <c r="H545" s="1">
        <v>0</v>
      </c>
      <c r="I545" s="1">
        <v>1989.231</v>
      </c>
    </row>
    <row r="546" spans="1:9" hidden="1" x14ac:dyDescent="0.25">
      <c r="A546" s="1" t="s">
        <v>158</v>
      </c>
      <c r="B546" s="1" t="s">
        <v>77</v>
      </c>
      <c r="C546" s="1" t="s">
        <v>25</v>
      </c>
      <c r="D546" s="1">
        <v>0</v>
      </c>
      <c r="E546" s="1">
        <v>316.47000000000003</v>
      </c>
      <c r="F546" s="1">
        <v>0</v>
      </c>
      <c r="G546" s="1">
        <v>-4272.3249999999998</v>
      </c>
      <c r="H546" s="1">
        <v>0</v>
      </c>
      <c r="I546" s="1">
        <v>723.35699999999997</v>
      </c>
    </row>
    <row r="547" spans="1:9" hidden="1" x14ac:dyDescent="0.25">
      <c r="A547" s="1" t="s">
        <v>158</v>
      </c>
      <c r="B547" s="1" t="s">
        <v>77</v>
      </c>
      <c r="C547" s="1" t="s">
        <v>10</v>
      </c>
      <c r="D547" s="1">
        <v>0</v>
      </c>
      <c r="E547" s="1">
        <v>316.47000000000003</v>
      </c>
      <c r="F547" s="1">
        <v>0</v>
      </c>
      <c r="G547" s="1">
        <v>-4272.3249999999998</v>
      </c>
      <c r="H547" s="1">
        <v>0</v>
      </c>
      <c r="I547" s="1">
        <v>1989.231</v>
      </c>
    </row>
    <row r="548" spans="1:9" hidden="1" x14ac:dyDescent="0.25">
      <c r="A548" s="1" t="s">
        <v>158</v>
      </c>
      <c r="B548" s="1" t="s">
        <v>78</v>
      </c>
      <c r="C548" s="1" t="s">
        <v>25</v>
      </c>
      <c r="D548" s="1">
        <v>0</v>
      </c>
      <c r="E548" s="1">
        <v>0</v>
      </c>
      <c r="F548" s="1">
        <v>-382.53</v>
      </c>
      <c r="G548" s="1">
        <v>-7574.16</v>
      </c>
      <c r="H548" s="1">
        <v>874.36199999999997</v>
      </c>
      <c r="I548" s="1">
        <v>0</v>
      </c>
    </row>
    <row r="549" spans="1:9" hidden="1" x14ac:dyDescent="0.25">
      <c r="A549" s="1" t="s">
        <v>158</v>
      </c>
      <c r="B549" s="1" t="s">
        <v>78</v>
      </c>
      <c r="C549" s="1" t="s">
        <v>10</v>
      </c>
      <c r="D549" s="1">
        <v>0</v>
      </c>
      <c r="E549" s="1">
        <v>0</v>
      </c>
      <c r="F549" s="1">
        <v>-382.53</v>
      </c>
      <c r="G549" s="1">
        <v>-7574.16</v>
      </c>
      <c r="H549" s="1">
        <v>2404.4949999999999</v>
      </c>
      <c r="I549" s="1">
        <v>0</v>
      </c>
    </row>
    <row r="550" spans="1:9" hidden="1" x14ac:dyDescent="0.25">
      <c r="A550" s="1" t="s">
        <v>158</v>
      </c>
      <c r="B550" s="1" t="s">
        <v>79</v>
      </c>
      <c r="C550" s="1" t="s">
        <v>25</v>
      </c>
      <c r="D550" s="1">
        <v>0</v>
      </c>
      <c r="E550" s="1">
        <v>0</v>
      </c>
      <c r="F550" s="1">
        <v>-382.53</v>
      </c>
      <c r="G550" s="1">
        <v>-6197.04</v>
      </c>
      <c r="H550" s="1">
        <v>874.36199999999997</v>
      </c>
      <c r="I550" s="1">
        <v>0</v>
      </c>
    </row>
    <row r="551" spans="1:9" hidden="1" x14ac:dyDescent="0.25">
      <c r="A551" s="1" t="s">
        <v>158</v>
      </c>
      <c r="B551" s="1" t="s">
        <v>79</v>
      </c>
      <c r="C551" s="1" t="s">
        <v>10</v>
      </c>
      <c r="D551" s="1">
        <v>0</v>
      </c>
      <c r="E551" s="1">
        <v>0</v>
      </c>
      <c r="F551" s="1">
        <v>-382.53</v>
      </c>
      <c r="G551" s="1">
        <v>-6197.04</v>
      </c>
      <c r="H551" s="1">
        <v>2404.4949999999999</v>
      </c>
      <c r="I551" s="1">
        <v>0</v>
      </c>
    </row>
    <row r="552" spans="1:9" hidden="1" x14ac:dyDescent="0.25">
      <c r="A552" s="1" t="s">
        <v>158</v>
      </c>
      <c r="B552" s="1" t="s">
        <v>80</v>
      </c>
      <c r="C552" s="1" t="s">
        <v>25</v>
      </c>
      <c r="D552" s="1">
        <v>0</v>
      </c>
      <c r="E552" s="1">
        <v>0</v>
      </c>
      <c r="F552" s="1">
        <v>382.53</v>
      </c>
      <c r="G552" s="1">
        <v>7574.16</v>
      </c>
      <c r="H552" s="1">
        <v>-874.36199999999997</v>
      </c>
      <c r="I552" s="1">
        <v>0</v>
      </c>
    </row>
    <row r="553" spans="1:9" hidden="1" x14ac:dyDescent="0.25">
      <c r="A553" s="1" t="s">
        <v>158</v>
      </c>
      <c r="B553" s="1" t="s">
        <v>80</v>
      </c>
      <c r="C553" s="1" t="s">
        <v>10</v>
      </c>
      <c r="D553" s="1">
        <v>0</v>
      </c>
      <c r="E553" s="1">
        <v>0</v>
      </c>
      <c r="F553" s="1">
        <v>382.53</v>
      </c>
      <c r="G553" s="1">
        <v>7574.16</v>
      </c>
      <c r="H553" s="1">
        <v>-2404.4949999999999</v>
      </c>
      <c r="I553" s="1">
        <v>0</v>
      </c>
    </row>
    <row r="554" spans="1:9" hidden="1" x14ac:dyDescent="0.25">
      <c r="A554" s="1" t="s">
        <v>158</v>
      </c>
      <c r="B554" s="1" t="s">
        <v>81</v>
      </c>
      <c r="C554" s="1" t="s">
        <v>25</v>
      </c>
      <c r="D554" s="1">
        <v>0</v>
      </c>
      <c r="E554" s="1">
        <v>0</v>
      </c>
      <c r="F554" s="1">
        <v>382.53</v>
      </c>
      <c r="G554" s="1">
        <v>6197.04</v>
      </c>
      <c r="H554" s="1">
        <v>-874.36199999999997</v>
      </c>
      <c r="I554" s="1">
        <v>0</v>
      </c>
    </row>
    <row r="555" spans="1:9" hidden="1" x14ac:dyDescent="0.25">
      <c r="A555" s="1" t="s">
        <v>158</v>
      </c>
      <c r="B555" s="1" t="s">
        <v>81</v>
      </c>
      <c r="C555" s="1" t="s">
        <v>10</v>
      </c>
      <c r="D555" s="1">
        <v>0</v>
      </c>
      <c r="E555" s="1">
        <v>0</v>
      </c>
      <c r="F555" s="1">
        <v>382.53</v>
      </c>
      <c r="G555" s="1">
        <v>6197.04</v>
      </c>
      <c r="H555" s="1">
        <v>-2404.4949999999999</v>
      </c>
      <c r="I555" s="1">
        <v>0</v>
      </c>
    </row>
    <row r="556" spans="1:9" hidden="1" x14ac:dyDescent="0.25">
      <c r="A556" s="1" t="s">
        <v>158</v>
      </c>
      <c r="B556" s="1" t="s">
        <v>82</v>
      </c>
      <c r="C556" s="1" t="s">
        <v>25</v>
      </c>
      <c r="D556" s="1">
        <v>0</v>
      </c>
      <c r="E556" s="1">
        <v>-94.94</v>
      </c>
      <c r="F556" s="1">
        <v>0</v>
      </c>
      <c r="G556" s="1">
        <v>1566.519</v>
      </c>
      <c r="H556" s="1">
        <v>0</v>
      </c>
      <c r="I556" s="1">
        <v>-217.00700000000001</v>
      </c>
    </row>
    <row r="557" spans="1:9" hidden="1" x14ac:dyDescent="0.25">
      <c r="A557" s="1" t="s">
        <v>158</v>
      </c>
      <c r="B557" s="1" t="s">
        <v>82</v>
      </c>
      <c r="C557" s="1" t="s">
        <v>10</v>
      </c>
      <c r="D557" s="1">
        <v>0</v>
      </c>
      <c r="E557" s="1">
        <v>-94.94</v>
      </c>
      <c r="F557" s="1">
        <v>0</v>
      </c>
      <c r="G557" s="1">
        <v>1566.519</v>
      </c>
      <c r="H557" s="1">
        <v>0</v>
      </c>
      <c r="I557" s="1">
        <v>-596.76900000000001</v>
      </c>
    </row>
    <row r="558" spans="1:9" hidden="1" x14ac:dyDescent="0.25">
      <c r="A558" s="1" t="s">
        <v>158</v>
      </c>
      <c r="B558" s="1" t="s">
        <v>83</v>
      </c>
      <c r="C558" s="1" t="s">
        <v>25</v>
      </c>
      <c r="D558" s="1">
        <v>0</v>
      </c>
      <c r="E558" s="1">
        <v>-94.94</v>
      </c>
      <c r="F558" s="1">
        <v>0</v>
      </c>
      <c r="G558" s="1">
        <v>1281.6969999999999</v>
      </c>
      <c r="H558" s="1">
        <v>0</v>
      </c>
      <c r="I558" s="1">
        <v>-217.00700000000001</v>
      </c>
    </row>
    <row r="559" spans="1:9" hidden="1" x14ac:dyDescent="0.25">
      <c r="A559" s="1" t="s">
        <v>158</v>
      </c>
      <c r="B559" s="1" t="s">
        <v>83</v>
      </c>
      <c r="C559" s="1" t="s">
        <v>10</v>
      </c>
      <c r="D559" s="1">
        <v>0</v>
      </c>
      <c r="E559" s="1">
        <v>-94.94</v>
      </c>
      <c r="F559" s="1">
        <v>0</v>
      </c>
      <c r="G559" s="1">
        <v>1281.6969999999999</v>
      </c>
      <c r="H559" s="1">
        <v>0</v>
      </c>
      <c r="I559" s="1">
        <v>-596.76900000000001</v>
      </c>
    </row>
    <row r="560" spans="1:9" hidden="1" x14ac:dyDescent="0.25">
      <c r="A560" s="1" t="s">
        <v>158</v>
      </c>
      <c r="B560" s="1" t="s">
        <v>84</v>
      </c>
      <c r="C560" s="1" t="s">
        <v>25</v>
      </c>
      <c r="D560" s="1">
        <v>0</v>
      </c>
      <c r="E560" s="1">
        <v>94.94</v>
      </c>
      <c r="F560" s="1">
        <v>0</v>
      </c>
      <c r="G560" s="1">
        <v>-1566.519</v>
      </c>
      <c r="H560" s="1">
        <v>0</v>
      </c>
      <c r="I560" s="1">
        <v>217.00700000000001</v>
      </c>
    </row>
    <row r="561" spans="1:9" hidden="1" x14ac:dyDescent="0.25">
      <c r="A561" s="1" t="s">
        <v>158</v>
      </c>
      <c r="B561" s="1" t="s">
        <v>84</v>
      </c>
      <c r="C561" s="1" t="s">
        <v>10</v>
      </c>
      <c r="D561" s="1">
        <v>0</v>
      </c>
      <c r="E561" s="1">
        <v>94.94</v>
      </c>
      <c r="F561" s="1">
        <v>0</v>
      </c>
      <c r="G561" s="1">
        <v>-1566.519</v>
      </c>
      <c r="H561" s="1">
        <v>0</v>
      </c>
      <c r="I561" s="1">
        <v>596.76900000000001</v>
      </c>
    </row>
    <row r="562" spans="1:9" hidden="1" x14ac:dyDescent="0.25">
      <c r="A562" s="1" t="s">
        <v>158</v>
      </c>
      <c r="B562" s="1" t="s">
        <v>85</v>
      </c>
      <c r="C562" s="1" t="s">
        <v>25</v>
      </c>
      <c r="D562" s="1">
        <v>0</v>
      </c>
      <c r="E562" s="1">
        <v>94.94</v>
      </c>
      <c r="F562" s="1">
        <v>0</v>
      </c>
      <c r="G562" s="1">
        <v>-1281.6969999999999</v>
      </c>
      <c r="H562" s="1">
        <v>0</v>
      </c>
      <c r="I562" s="1">
        <v>217.00700000000001</v>
      </c>
    </row>
    <row r="563" spans="1:9" hidden="1" x14ac:dyDescent="0.25">
      <c r="A563" s="1" t="s">
        <v>158</v>
      </c>
      <c r="B563" s="1" t="s">
        <v>85</v>
      </c>
      <c r="C563" s="1" t="s">
        <v>10</v>
      </c>
      <c r="D563" s="1">
        <v>0</v>
      </c>
      <c r="E563" s="1">
        <v>94.94</v>
      </c>
      <c r="F563" s="1">
        <v>0</v>
      </c>
      <c r="G563" s="1">
        <v>-1281.6969999999999</v>
      </c>
      <c r="H563" s="1">
        <v>0</v>
      </c>
      <c r="I563" s="1">
        <v>596.76900000000001</v>
      </c>
    </row>
    <row r="564" spans="1:9" hidden="1" x14ac:dyDescent="0.25">
      <c r="A564" s="1" t="s">
        <v>158</v>
      </c>
      <c r="B564" s="1" t="s">
        <v>86</v>
      </c>
      <c r="C564" s="1" t="s">
        <v>25</v>
      </c>
      <c r="D564" s="1">
        <v>0</v>
      </c>
      <c r="E564" s="1">
        <v>0</v>
      </c>
      <c r="F564" s="1">
        <v>-114.76</v>
      </c>
      <c r="G564" s="1">
        <v>-2272.248</v>
      </c>
      <c r="H564" s="1">
        <v>262.30900000000003</v>
      </c>
      <c r="I564" s="1">
        <v>0</v>
      </c>
    </row>
    <row r="565" spans="1:9" hidden="1" x14ac:dyDescent="0.25">
      <c r="A565" s="1" t="s">
        <v>158</v>
      </c>
      <c r="B565" s="1" t="s">
        <v>86</v>
      </c>
      <c r="C565" s="1" t="s">
        <v>10</v>
      </c>
      <c r="D565" s="1">
        <v>0</v>
      </c>
      <c r="E565" s="1">
        <v>0</v>
      </c>
      <c r="F565" s="1">
        <v>-114.76</v>
      </c>
      <c r="G565" s="1">
        <v>-2272.248</v>
      </c>
      <c r="H565" s="1">
        <v>721.34900000000005</v>
      </c>
      <c r="I565" s="1">
        <v>0</v>
      </c>
    </row>
    <row r="566" spans="1:9" hidden="1" x14ac:dyDescent="0.25">
      <c r="A566" s="1" t="s">
        <v>158</v>
      </c>
      <c r="B566" s="1" t="s">
        <v>87</v>
      </c>
      <c r="C566" s="1" t="s">
        <v>25</v>
      </c>
      <c r="D566" s="1">
        <v>0</v>
      </c>
      <c r="E566" s="1">
        <v>0</v>
      </c>
      <c r="F566" s="1">
        <v>-114.76</v>
      </c>
      <c r="G566" s="1">
        <v>-1859.1120000000001</v>
      </c>
      <c r="H566" s="1">
        <v>262.30900000000003</v>
      </c>
      <c r="I566" s="1">
        <v>0</v>
      </c>
    </row>
    <row r="567" spans="1:9" hidden="1" x14ac:dyDescent="0.25">
      <c r="A567" s="1" t="s">
        <v>158</v>
      </c>
      <c r="B567" s="1" t="s">
        <v>87</v>
      </c>
      <c r="C567" s="1" t="s">
        <v>10</v>
      </c>
      <c r="D567" s="1">
        <v>0</v>
      </c>
      <c r="E567" s="1">
        <v>0</v>
      </c>
      <c r="F567" s="1">
        <v>-114.76</v>
      </c>
      <c r="G567" s="1">
        <v>-1859.1120000000001</v>
      </c>
      <c r="H567" s="1">
        <v>721.34900000000005</v>
      </c>
      <c r="I567" s="1">
        <v>0</v>
      </c>
    </row>
    <row r="568" spans="1:9" hidden="1" x14ac:dyDescent="0.25">
      <c r="A568" s="1" t="s">
        <v>158</v>
      </c>
      <c r="B568" s="1" t="s">
        <v>88</v>
      </c>
      <c r="C568" s="1" t="s">
        <v>25</v>
      </c>
      <c r="D568" s="1">
        <v>0</v>
      </c>
      <c r="E568" s="1">
        <v>0</v>
      </c>
      <c r="F568" s="1">
        <v>114.76</v>
      </c>
      <c r="G568" s="1">
        <v>2272.248</v>
      </c>
      <c r="H568" s="1">
        <v>-262.30900000000003</v>
      </c>
      <c r="I568" s="1">
        <v>0</v>
      </c>
    </row>
    <row r="569" spans="1:9" hidden="1" x14ac:dyDescent="0.25">
      <c r="A569" s="1" t="s">
        <v>158</v>
      </c>
      <c r="B569" s="1" t="s">
        <v>88</v>
      </c>
      <c r="C569" s="1" t="s">
        <v>10</v>
      </c>
      <c r="D569" s="1">
        <v>0</v>
      </c>
      <c r="E569" s="1">
        <v>0</v>
      </c>
      <c r="F569" s="1">
        <v>114.76</v>
      </c>
      <c r="G569" s="1">
        <v>2272.248</v>
      </c>
      <c r="H569" s="1">
        <v>-721.34900000000005</v>
      </c>
      <c r="I569" s="1">
        <v>0</v>
      </c>
    </row>
    <row r="570" spans="1:9" hidden="1" x14ac:dyDescent="0.25">
      <c r="A570" s="1" t="s">
        <v>158</v>
      </c>
      <c r="B570" s="1" t="s">
        <v>89</v>
      </c>
      <c r="C570" s="1" t="s">
        <v>25</v>
      </c>
      <c r="D570" s="1">
        <v>0</v>
      </c>
      <c r="E570" s="1">
        <v>0</v>
      </c>
      <c r="F570" s="1">
        <v>114.76</v>
      </c>
      <c r="G570" s="1">
        <v>1859.1120000000001</v>
      </c>
      <c r="H570" s="1">
        <v>-262.30900000000003</v>
      </c>
      <c r="I570" s="1">
        <v>0</v>
      </c>
    </row>
    <row r="571" spans="1:9" hidden="1" x14ac:dyDescent="0.25">
      <c r="A571" s="1" t="s">
        <v>158</v>
      </c>
      <c r="B571" s="1" t="s">
        <v>89</v>
      </c>
      <c r="C571" s="1" t="s">
        <v>10</v>
      </c>
      <c r="D571" s="1">
        <v>0</v>
      </c>
      <c r="E571" s="1">
        <v>0</v>
      </c>
      <c r="F571" s="1">
        <v>114.76</v>
      </c>
      <c r="G571" s="1">
        <v>1859.1120000000001</v>
      </c>
      <c r="H571" s="1">
        <v>-721.34900000000005</v>
      </c>
      <c r="I571" s="1">
        <v>0</v>
      </c>
    </row>
    <row r="572" spans="1:9" hidden="1" x14ac:dyDescent="0.25">
      <c r="A572" s="1" t="s">
        <v>158</v>
      </c>
      <c r="B572" s="1" t="s">
        <v>90</v>
      </c>
      <c r="C572" s="1" t="s">
        <v>25</v>
      </c>
      <c r="D572" s="1">
        <v>0</v>
      </c>
      <c r="E572" s="1">
        <v>-94.94</v>
      </c>
      <c r="F572" s="1">
        <v>0</v>
      </c>
      <c r="G572" s="1">
        <v>1566.519</v>
      </c>
      <c r="H572" s="1">
        <v>0</v>
      </c>
      <c r="I572" s="1">
        <v>-217.00700000000001</v>
      </c>
    </row>
    <row r="573" spans="1:9" hidden="1" x14ac:dyDescent="0.25">
      <c r="A573" s="1" t="s">
        <v>158</v>
      </c>
      <c r="B573" s="1" t="s">
        <v>90</v>
      </c>
      <c r="C573" s="1" t="s">
        <v>10</v>
      </c>
      <c r="D573" s="1">
        <v>0</v>
      </c>
      <c r="E573" s="1">
        <v>-94.94</v>
      </c>
      <c r="F573" s="1">
        <v>0</v>
      </c>
      <c r="G573" s="1">
        <v>1566.519</v>
      </c>
      <c r="H573" s="1">
        <v>0</v>
      </c>
      <c r="I573" s="1">
        <v>-596.76900000000001</v>
      </c>
    </row>
    <row r="574" spans="1:9" hidden="1" x14ac:dyDescent="0.25">
      <c r="A574" s="1" t="s">
        <v>158</v>
      </c>
      <c r="B574" s="1" t="s">
        <v>91</v>
      </c>
      <c r="C574" s="1" t="s">
        <v>25</v>
      </c>
      <c r="D574" s="1">
        <v>0</v>
      </c>
      <c r="E574" s="1">
        <v>-94.94</v>
      </c>
      <c r="F574" s="1">
        <v>0</v>
      </c>
      <c r="G574" s="1">
        <v>1281.6969999999999</v>
      </c>
      <c r="H574" s="1">
        <v>0</v>
      </c>
      <c r="I574" s="1">
        <v>-217.00700000000001</v>
      </c>
    </row>
    <row r="575" spans="1:9" hidden="1" x14ac:dyDescent="0.25">
      <c r="A575" s="1" t="s">
        <v>158</v>
      </c>
      <c r="B575" s="1" t="s">
        <v>91</v>
      </c>
      <c r="C575" s="1" t="s">
        <v>10</v>
      </c>
      <c r="D575" s="1">
        <v>0</v>
      </c>
      <c r="E575" s="1">
        <v>-94.94</v>
      </c>
      <c r="F575" s="1">
        <v>0</v>
      </c>
      <c r="G575" s="1">
        <v>1281.6969999999999</v>
      </c>
      <c r="H575" s="1">
        <v>0</v>
      </c>
      <c r="I575" s="1">
        <v>-596.76900000000001</v>
      </c>
    </row>
    <row r="576" spans="1:9" hidden="1" x14ac:dyDescent="0.25">
      <c r="A576" s="1" t="s">
        <v>158</v>
      </c>
      <c r="B576" s="1" t="s">
        <v>92</v>
      </c>
      <c r="C576" s="1" t="s">
        <v>25</v>
      </c>
      <c r="D576" s="1">
        <v>0</v>
      </c>
      <c r="E576" s="1">
        <v>94.94</v>
      </c>
      <c r="F576" s="1">
        <v>0</v>
      </c>
      <c r="G576" s="1">
        <v>-1566.519</v>
      </c>
      <c r="H576" s="1">
        <v>0</v>
      </c>
      <c r="I576" s="1">
        <v>217.00700000000001</v>
      </c>
    </row>
    <row r="577" spans="1:9" hidden="1" x14ac:dyDescent="0.25">
      <c r="A577" s="1" t="s">
        <v>158</v>
      </c>
      <c r="B577" s="1" t="s">
        <v>92</v>
      </c>
      <c r="C577" s="1" t="s">
        <v>10</v>
      </c>
      <c r="D577" s="1">
        <v>0</v>
      </c>
      <c r="E577" s="1">
        <v>94.94</v>
      </c>
      <c r="F577" s="1">
        <v>0</v>
      </c>
      <c r="G577" s="1">
        <v>-1566.519</v>
      </c>
      <c r="H577" s="1">
        <v>0</v>
      </c>
      <c r="I577" s="1">
        <v>596.76900000000001</v>
      </c>
    </row>
    <row r="578" spans="1:9" hidden="1" x14ac:dyDescent="0.25">
      <c r="A578" s="1" t="s">
        <v>158</v>
      </c>
      <c r="B578" s="1" t="s">
        <v>93</v>
      </c>
      <c r="C578" s="1" t="s">
        <v>25</v>
      </c>
      <c r="D578" s="1">
        <v>0</v>
      </c>
      <c r="E578" s="1">
        <v>94.94</v>
      </c>
      <c r="F578" s="1">
        <v>0</v>
      </c>
      <c r="G578" s="1">
        <v>-1281.6969999999999</v>
      </c>
      <c r="H578" s="1">
        <v>0</v>
      </c>
      <c r="I578" s="1">
        <v>217.00700000000001</v>
      </c>
    </row>
    <row r="579" spans="1:9" hidden="1" x14ac:dyDescent="0.25">
      <c r="A579" s="1" t="s">
        <v>158</v>
      </c>
      <c r="B579" s="1" t="s">
        <v>93</v>
      </c>
      <c r="C579" s="1" t="s">
        <v>10</v>
      </c>
      <c r="D579" s="1">
        <v>0</v>
      </c>
      <c r="E579" s="1">
        <v>94.94</v>
      </c>
      <c r="F579" s="1">
        <v>0</v>
      </c>
      <c r="G579" s="1">
        <v>-1281.6969999999999</v>
      </c>
      <c r="H579" s="1">
        <v>0</v>
      </c>
      <c r="I579" s="1">
        <v>596.76900000000001</v>
      </c>
    </row>
    <row r="580" spans="1:9" hidden="1" x14ac:dyDescent="0.25">
      <c r="A580" s="1" t="s">
        <v>158</v>
      </c>
      <c r="B580" s="1" t="s">
        <v>94</v>
      </c>
      <c r="C580" s="1" t="s">
        <v>25</v>
      </c>
      <c r="D580" s="1">
        <v>0</v>
      </c>
      <c r="E580" s="1">
        <v>0</v>
      </c>
      <c r="F580" s="1">
        <v>-114.76</v>
      </c>
      <c r="G580" s="1">
        <v>-2272.248</v>
      </c>
      <c r="H580" s="1">
        <v>262.30900000000003</v>
      </c>
      <c r="I580" s="1">
        <v>0</v>
      </c>
    </row>
    <row r="581" spans="1:9" hidden="1" x14ac:dyDescent="0.25">
      <c r="A581" s="1" t="s">
        <v>158</v>
      </c>
      <c r="B581" s="1" t="s">
        <v>94</v>
      </c>
      <c r="C581" s="1" t="s">
        <v>10</v>
      </c>
      <c r="D581" s="1">
        <v>0</v>
      </c>
      <c r="E581" s="1">
        <v>0</v>
      </c>
      <c r="F581" s="1">
        <v>-114.76</v>
      </c>
      <c r="G581" s="1">
        <v>-2272.248</v>
      </c>
      <c r="H581" s="1">
        <v>721.34900000000005</v>
      </c>
      <c r="I581" s="1">
        <v>0</v>
      </c>
    </row>
    <row r="582" spans="1:9" hidden="1" x14ac:dyDescent="0.25">
      <c r="A582" s="1" t="s">
        <v>158</v>
      </c>
      <c r="B582" s="1" t="s">
        <v>95</v>
      </c>
      <c r="C582" s="1" t="s">
        <v>25</v>
      </c>
      <c r="D582" s="1">
        <v>0</v>
      </c>
      <c r="E582" s="1">
        <v>0</v>
      </c>
      <c r="F582" s="1">
        <v>-114.76</v>
      </c>
      <c r="G582" s="1">
        <v>-1859.1120000000001</v>
      </c>
      <c r="H582" s="1">
        <v>262.30900000000003</v>
      </c>
      <c r="I582" s="1">
        <v>0</v>
      </c>
    </row>
    <row r="583" spans="1:9" hidden="1" x14ac:dyDescent="0.25">
      <c r="A583" s="1" t="s">
        <v>158</v>
      </c>
      <c r="B583" s="1" t="s">
        <v>95</v>
      </c>
      <c r="C583" s="1" t="s">
        <v>10</v>
      </c>
      <c r="D583" s="1">
        <v>0</v>
      </c>
      <c r="E583" s="1">
        <v>0</v>
      </c>
      <c r="F583" s="1">
        <v>-114.76</v>
      </c>
      <c r="G583" s="1">
        <v>-1859.1120000000001</v>
      </c>
      <c r="H583" s="1">
        <v>721.34900000000005</v>
      </c>
      <c r="I583" s="1">
        <v>0</v>
      </c>
    </row>
    <row r="584" spans="1:9" hidden="1" x14ac:dyDescent="0.25">
      <c r="A584" s="1" t="s">
        <v>158</v>
      </c>
      <c r="B584" s="1" t="s">
        <v>96</v>
      </c>
      <c r="C584" s="1" t="s">
        <v>25</v>
      </c>
      <c r="D584" s="1">
        <v>0</v>
      </c>
      <c r="E584" s="1">
        <v>0</v>
      </c>
      <c r="F584" s="1">
        <v>114.76</v>
      </c>
      <c r="G584" s="1">
        <v>2272.248</v>
      </c>
      <c r="H584" s="1">
        <v>-262.30900000000003</v>
      </c>
      <c r="I584" s="1">
        <v>0</v>
      </c>
    </row>
    <row r="585" spans="1:9" hidden="1" x14ac:dyDescent="0.25">
      <c r="A585" s="1" t="s">
        <v>158</v>
      </c>
      <c r="B585" s="1" t="s">
        <v>96</v>
      </c>
      <c r="C585" s="1" t="s">
        <v>10</v>
      </c>
      <c r="D585" s="1">
        <v>0</v>
      </c>
      <c r="E585" s="1">
        <v>0</v>
      </c>
      <c r="F585" s="1">
        <v>114.76</v>
      </c>
      <c r="G585" s="1">
        <v>2272.248</v>
      </c>
      <c r="H585" s="1">
        <v>-721.34900000000005</v>
      </c>
      <c r="I585" s="1">
        <v>0</v>
      </c>
    </row>
    <row r="586" spans="1:9" hidden="1" x14ac:dyDescent="0.25">
      <c r="A586" s="1" t="s">
        <v>158</v>
      </c>
      <c r="B586" s="1" t="s">
        <v>97</v>
      </c>
      <c r="C586" s="1" t="s">
        <v>25</v>
      </c>
      <c r="D586" s="1">
        <v>0</v>
      </c>
      <c r="E586" s="1">
        <v>0</v>
      </c>
      <c r="F586" s="1">
        <v>114.76</v>
      </c>
      <c r="G586" s="1">
        <v>1859.1120000000001</v>
      </c>
      <c r="H586" s="1">
        <v>-262.30900000000003</v>
      </c>
      <c r="I586" s="1">
        <v>0</v>
      </c>
    </row>
    <row r="587" spans="1:9" hidden="1" x14ac:dyDescent="0.25">
      <c r="A587" s="1" t="s">
        <v>158</v>
      </c>
      <c r="B587" s="1" t="s">
        <v>97</v>
      </c>
      <c r="C587" s="1" t="s">
        <v>10</v>
      </c>
      <c r="D587" s="1">
        <v>0</v>
      </c>
      <c r="E587" s="1">
        <v>0</v>
      </c>
      <c r="F587" s="1">
        <v>114.76</v>
      </c>
      <c r="G587" s="1">
        <v>1859.1120000000001</v>
      </c>
      <c r="H587" s="1">
        <v>-721.34900000000005</v>
      </c>
      <c r="I587" s="1">
        <v>0</v>
      </c>
    </row>
    <row r="588" spans="1:9" hidden="1" x14ac:dyDescent="0.25">
      <c r="A588" s="1" t="s">
        <v>158</v>
      </c>
      <c r="B588" s="1" t="s">
        <v>14</v>
      </c>
      <c r="C588" s="1" t="s">
        <v>25</v>
      </c>
      <c r="D588" s="1">
        <v>0</v>
      </c>
      <c r="E588" s="1">
        <v>194.35</v>
      </c>
      <c r="F588" s="1">
        <v>0</v>
      </c>
      <c r="G588" s="1">
        <v>3282.768</v>
      </c>
      <c r="H588" s="1">
        <v>0</v>
      </c>
      <c r="I588" s="1">
        <v>546.28399999999999</v>
      </c>
    </row>
    <row r="589" spans="1:9" hidden="1" x14ac:dyDescent="0.25">
      <c r="A589" s="1" t="s">
        <v>158</v>
      </c>
      <c r="B589" s="1" t="s">
        <v>14</v>
      </c>
      <c r="C589" s="1" t="s">
        <v>10</v>
      </c>
      <c r="D589" s="1">
        <v>0</v>
      </c>
      <c r="E589" s="1">
        <v>194.35</v>
      </c>
      <c r="F589" s="1">
        <v>0</v>
      </c>
      <c r="G589" s="1">
        <v>3282.768</v>
      </c>
      <c r="H589" s="1">
        <v>0</v>
      </c>
      <c r="I589" s="1">
        <v>1271.7080000000001</v>
      </c>
    </row>
    <row r="590" spans="1:9" hidden="1" x14ac:dyDescent="0.25">
      <c r="A590" s="1" t="s">
        <v>158</v>
      </c>
      <c r="B590" s="1" t="s">
        <v>98</v>
      </c>
      <c r="C590" s="1" t="s">
        <v>25</v>
      </c>
      <c r="D590" s="1">
        <v>0</v>
      </c>
      <c r="E590" s="1">
        <v>-194.35</v>
      </c>
      <c r="F590" s="1">
        <v>0</v>
      </c>
      <c r="G590" s="1">
        <v>-3282.768</v>
      </c>
      <c r="H590" s="1">
        <v>0</v>
      </c>
      <c r="I590" s="1">
        <v>-546.28399999999999</v>
      </c>
    </row>
    <row r="591" spans="1:9" hidden="1" x14ac:dyDescent="0.25">
      <c r="A591" s="1" t="s">
        <v>158</v>
      </c>
      <c r="B591" s="1" t="s">
        <v>98</v>
      </c>
      <c r="C591" s="1" t="s">
        <v>10</v>
      </c>
      <c r="D591" s="1">
        <v>0</v>
      </c>
      <c r="E591" s="1">
        <v>-194.35</v>
      </c>
      <c r="F591" s="1">
        <v>0</v>
      </c>
      <c r="G591" s="1">
        <v>-3282.768</v>
      </c>
      <c r="H591" s="1">
        <v>0</v>
      </c>
      <c r="I591" s="1">
        <v>-1271.7080000000001</v>
      </c>
    </row>
    <row r="592" spans="1:9" hidden="1" x14ac:dyDescent="0.25">
      <c r="A592" s="1" t="s">
        <v>158</v>
      </c>
      <c r="B592" s="1" t="s">
        <v>15</v>
      </c>
      <c r="C592" s="1" t="s">
        <v>25</v>
      </c>
      <c r="D592" s="1">
        <v>0</v>
      </c>
      <c r="E592" s="1">
        <v>0</v>
      </c>
      <c r="F592" s="1">
        <v>483.2</v>
      </c>
      <c r="G592" s="1">
        <v>9609.9860000000008</v>
      </c>
      <c r="H592" s="1">
        <v>1163.6300000000001</v>
      </c>
      <c r="I592" s="1">
        <v>0</v>
      </c>
    </row>
    <row r="593" spans="1:9" hidden="1" x14ac:dyDescent="0.25">
      <c r="A593" s="1" t="s">
        <v>158</v>
      </c>
      <c r="B593" s="1" t="s">
        <v>15</v>
      </c>
      <c r="C593" s="1" t="s">
        <v>10</v>
      </c>
      <c r="D593" s="1">
        <v>0</v>
      </c>
      <c r="E593" s="1">
        <v>0</v>
      </c>
      <c r="F593" s="1">
        <v>483.2</v>
      </c>
      <c r="G593" s="1">
        <v>9609.9860000000008</v>
      </c>
      <c r="H593" s="1">
        <v>3071.299</v>
      </c>
      <c r="I593" s="1">
        <v>0</v>
      </c>
    </row>
    <row r="594" spans="1:9" hidden="1" x14ac:dyDescent="0.25">
      <c r="A594" s="1" t="s">
        <v>158</v>
      </c>
      <c r="B594" s="1" t="s">
        <v>99</v>
      </c>
      <c r="C594" s="1" t="s">
        <v>25</v>
      </c>
      <c r="D594" s="1">
        <v>0</v>
      </c>
      <c r="E594" s="1">
        <v>0</v>
      </c>
      <c r="F594" s="1">
        <v>-483.2</v>
      </c>
      <c r="G594" s="1">
        <v>-9609.9860000000008</v>
      </c>
      <c r="H594" s="1">
        <v>-1163.6300000000001</v>
      </c>
      <c r="I594" s="1">
        <v>0</v>
      </c>
    </row>
    <row r="595" spans="1:9" hidden="1" x14ac:dyDescent="0.25">
      <c r="A595" s="1" t="s">
        <v>158</v>
      </c>
      <c r="B595" s="1" t="s">
        <v>99</v>
      </c>
      <c r="C595" s="1" t="s">
        <v>10</v>
      </c>
      <c r="D595" s="1">
        <v>0</v>
      </c>
      <c r="E595" s="1">
        <v>0</v>
      </c>
      <c r="F595" s="1">
        <v>-483.2</v>
      </c>
      <c r="G595" s="1">
        <v>-9609.9860000000008</v>
      </c>
      <c r="H595" s="1">
        <v>-3071.299</v>
      </c>
      <c r="I595" s="1">
        <v>0</v>
      </c>
    </row>
    <row r="596" spans="1:9" hidden="1" x14ac:dyDescent="0.25">
      <c r="A596" s="1" t="s">
        <v>158</v>
      </c>
      <c r="B596" s="1" t="s">
        <v>100</v>
      </c>
      <c r="C596" s="1" t="s">
        <v>25</v>
      </c>
      <c r="D596" s="1">
        <v>0</v>
      </c>
      <c r="E596" s="1">
        <v>194.35</v>
      </c>
      <c r="F596" s="1">
        <v>0</v>
      </c>
      <c r="G596" s="1">
        <v>3282.768</v>
      </c>
      <c r="H596" s="1">
        <v>0</v>
      </c>
      <c r="I596" s="1">
        <v>546.28399999999999</v>
      </c>
    </row>
    <row r="597" spans="1:9" hidden="1" x14ac:dyDescent="0.25">
      <c r="A597" s="1" t="s">
        <v>158</v>
      </c>
      <c r="B597" s="1" t="s">
        <v>100</v>
      </c>
      <c r="C597" s="1" t="s">
        <v>10</v>
      </c>
      <c r="D597" s="1">
        <v>0</v>
      </c>
      <c r="E597" s="1">
        <v>194.35</v>
      </c>
      <c r="F597" s="1">
        <v>0</v>
      </c>
      <c r="G597" s="1">
        <v>3282.768</v>
      </c>
      <c r="H597" s="1">
        <v>0</v>
      </c>
      <c r="I597" s="1">
        <v>1271.7080000000001</v>
      </c>
    </row>
    <row r="598" spans="1:9" hidden="1" x14ac:dyDescent="0.25">
      <c r="A598" s="1" t="s">
        <v>158</v>
      </c>
      <c r="B598" s="1" t="s">
        <v>101</v>
      </c>
      <c r="C598" s="1" t="s">
        <v>25</v>
      </c>
      <c r="D598" s="1">
        <v>0</v>
      </c>
      <c r="E598" s="1">
        <v>-194.35</v>
      </c>
      <c r="F598" s="1">
        <v>0</v>
      </c>
      <c r="G598" s="1">
        <v>-3282.768</v>
      </c>
      <c r="H598" s="1">
        <v>0</v>
      </c>
      <c r="I598" s="1">
        <v>-546.28399999999999</v>
      </c>
    </row>
    <row r="599" spans="1:9" hidden="1" x14ac:dyDescent="0.25">
      <c r="A599" s="1" t="s">
        <v>158</v>
      </c>
      <c r="B599" s="1" t="s">
        <v>101</v>
      </c>
      <c r="C599" s="1" t="s">
        <v>10</v>
      </c>
      <c r="D599" s="1">
        <v>0</v>
      </c>
      <c r="E599" s="1">
        <v>-194.35</v>
      </c>
      <c r="F599" s="1">
        <v>0</v>
      </c>
      <c r="G599" s="1">
        <v>-3282.768</v>
      </c>
      <c r="H599" s="1">
        <v>0</v>
      </c>
      <c r="I599" s="1">
        <v>-1271.7080000000001</v>
      </c>
    </row>
    <row r="600" spans="1:9" hidden="1" x14ac:dyDescent="0.25">
      <c r="A600" s="1" t="s">
        <v>158</v>
      </c>
      <c r="B600" s="1" t="s">
        <v>102</v>
      </c>
      <c r="C600" s="1" t="s">
        <v>25</v>
      </c>
      <c r="D600" s="1">
        <v>0</v>
      </c>
      <c r="E600" s="1">
        <v>194.35</v>
      </c>
      <c r="F600" s="1">
        <v>0</v>
      </c>
      <c r="G600" s="1">
        <v>3282.768</v>
      </c>
      <c r="H600" s="1">
        <v>0</v>
      </c>
      <c r="I600" s="1">
        <v>546.28399999999999</v>
      </c>
    </row>
    <row r="601" spans="1:9" hidden="1" x14ac:dyDescent="0.25">
      <c r="A601" s="1" t="s">
        <v>158</v>
      </c>
      <c r="B601" s="1" t="s">
        <v>102</v>
      </c>
      <c r="C601" s="1" t="s">
        <v>10</v>
      </c>
      <c r="D601" s="1">
        <v>0</v>
      </c>
      <c r="E601" s="1">
        <v>194.35</v>
      </c>
      <c r="F601" s="1">
        <v>0</v>
      </c>
      <c r="G601" s="1">
        <v>3282.768</v>
      </c>
      <c r="H601" s="1">
        <v>0</v>
      </c>
      <c r="I601" s="1">
        <v>1271.7080000000001</v>
      </c>
    </row>
    <row r="602" spans="1:9" hidden="1" x14ac:dyDescent="0.25">
      <c r="A602" s="1" t="s">
        <v>158</v>
      </c>
      <c r="B602" s="1" t="s">
        <v>103</v>
      </c>
      <c r="C602" s="1" t="s">
        <v>25</v>
      </c>
      <c r="D602" s="1">
        <v>0</v>
      </c>
      <c r="E602" s="1">
        <v>-194.35</v>
      </c>
      <c r="F602" s="1">
        <v>0</v>
      </c>
      <c r="G602" s="1">
        <v>-3282.768</v>
      </c>
      <c r="H602" s="1">
        <v>0</v>
      </c>
      <c r="I602" s="1">
        <v>-546.28399999999999</v>
      </c>
    </row>
    <row r="603" spans="1:9" hidden="1" x14ac:dyDescent="0.25">
      <c r="A603" s="1" t="s">
        <v>158</v>
      </c>
      <c r="B603" s="1" t="s">
        <v>103</v>
      </c>
      <c r="C603" s="1" t="s">
        <v>10</v>
      </c>
      <c r="D603" s="1">
        <v>0</v>
      </c>
      <c r="E603" s="1">
        <v>-194.35</v>
      </c>
      <c r="F603" s="1">
        <v>0</v>
      </c>
      <c r="G603" s="1">
        <v>-3282.768</v>
      </c>
      <c r="H603" s="1">
        <v>0</v>
      </c>
      <c r="I603" s="1">
        <v>-1271.7080000000001</v>
      </c>
    </row>
    <row r="604" spans="1:9" hidden="1" x14ac:dyDescent="0.25">
      <c r="A604" s="1" t="s">
        <v>158</v>
      </c>
      <c r="B604" s="1" t="s">
        <v>104</v>
      </c>
      <c r="C604" s="1" t="s">
        <v>25</v>
      </c>
      <c r="D604" s="1">
        <v>0</v>
      </c>
      <c r="E604" s="1">
        <v>0</v>
      </c>
      <c r="F604" s="1">
        <v>483.2</v>
      </c>
      <c r="G604" s="1">
        <v>9609.9860000000008</v>
      </c>
      <c r="H604" s="1">
        <v>1163.6300000000001</v>
      </c>
      <c r="I604" s="1">
        <v>0</v>
      </c>
    </row>
    <row r="605" spans="1:9" hidden="1" x14ac:dyDescent="0.25">
      <c r="A605" s="1" t="s">
        <v>158</v>
      </c>
      <c r="B605" s="1" t="s">
        <v>104</v>
      </c>
      <c r="C605" s="1" t="s">
        <v>10</v>
      </c>
      <c r="D605" s="1">
        <v>0</v>
      </c>
      <c r="E605" s="1">
        <v>0</v>
      </c>
      <c r="F605" s="1">
        <v>483.2</v>
      </c>
      <c r="G605" s="1">
        <v>9609.9860000000008</v>
      </c>
      <c r="H605" s="1">
        <v>3071.299</v>
      </c>
      <c r="I605" s="1">
        <v>0</v>
      </c>
    </row>
    <row r="606" spans="1:9" hidden="1" x14ac:dyDescent="0.25">
      <c r="A606" s="1" t="s">
        <v>158</v>
      </c>
      <c r="B606" s="1" t="s">
        <v>105</v>
      </c>
      <c r="C606" s="1" t="s">
        <v>25</v>
      </c>
      <c r="D606" s="1">
        <v>0</v>
      </c>
      <c r="E606" s="1">
        <v>0</v>
      </c>
      <c r="F606" s="1">
        <v>-483.2</v>
      </c>
      <c r="G606" s="1">
        <v>-9609.9860000000008</v>
      </c>
      <c r="H606" s="1">
        <v>-1163.6300000000001</v>
      </c>
      <c r="I606" s="1">
        <v>0</v>
      </c>
    </row>
    <row r="607" spans="1:9" hidden="1" x14ac:dyDescent="0.25">
      <c r="A607" s="1" t="s">
        <v>158</v>
      </c>
      <c r="B607" s="1" t="s">
        <v>105</v>
      </c>
      <c r="C607" s="1" t="s">
        <v>10</v>
      </c>
      <c r="D607" s="1">
        <v>0</v>
      </c>
      <c r="E607" s="1">
        <v>0</v>
      </c>
      <c r="F607" s="1">
        <v>-483.2</v>
      </c>
      <c r="G607" s="1">
        <v>-9609.9860000000008</v>
      </c>
      <c r="H607" s="1">
        <v>-3071.299</v>
      </c>
      <c r="I607" s="1">
        <v>0</v>
      </c>
    </row>
    <row r="608" spans="1:9" hidden="1" x14ac:dyDescent="0.25">
      <c r="A608" s="1" t="s">
        <v>158</v>
      </c>
      <c r="B608" s="1" t="s">
        <v>106</v>
      </c>
      <c r="C608" s="1" t="s">
        <v>25</v>
      </c>
      <c r="D608" s="1">
        <v>0</v>
      </c>
      <c r="E608" s="1">
        <v>0</v>
      </c>
      <c r="F608" s="1">
        <v>483.2</v>
      </c>
      <c r="G608" s="1">
        <v>9609.9860000000008</v>
      </c>
      <c r="H608" s="1">
        <v>1163.6300000000001</v>
      </c>
      <c r="I608" s="1">
        <v>0</v>
      </c>
    </row>
    <row r="609" spans="1:9" hidden="1" x14ac:dyDescent="0.25">
      <c r="A609" s="1" t="s">
        <v>158</v>
      </c>
      <c r="B609" s="1" t="s">
        <v>106</v>
      </c>
      <c r="C609" s="1" t="s">
        <v>10</v>
      </c>
      <c r="D609" s="1">
        <v>0</v>
      </c>
      <c r="E609" s="1">
        <v>0</v>
      </c>
      <c r="F609" s="1">
        <v>483.2</v>
      </c>
      <c r="G609" s="1">
        <v>9609.9860000000008</v>
      </c>
      <c r="H609" s="1">
        <v>3071.299</v>
      </c>
      <c r="I609" s="1">
        <v>0</v>
      </c>
    </row>
    <row r="610" spans="1:9" hidden="1" x14ac:dyDescent="0.25">
      <c r="A610" s="1" t="s">
        <v>158</v>
      </c>
      <c r="B610" s="1" t="s">
        <v>107</v>
      </c>
      <c r="C610" s="1" t="s">
        <v>25</v>
      </c>
      <c r="D610" s="1">
        <v>0</v>
      </c>
      <c r="E610" s="1">
        <v>0</v>
      </c>
      <c r="F610" s="1">
        <v>-483.2</v>
      </c>
      <c r="G610" s="1">
        <v>-9609.9860000000008</v>
      </c>
      <c r="H610" s="1">
        <v>-1163.6300000000001</v>
      </c>
      <c r="I610" s="1">
        <v>0</v>
      </c>
    </row>
    <row r="611" spans="1:9" hidden="1" x14ac:dyDescent="0.25">
      <c r="A611" s="1" t="s">
        <v>158</v>
      </c>
      <c r="B611" s="1" t="s">
        <v>107</v>
      </c>
      <c r="C611" s="1" t="s">
        <v>10</v>
      </c>
      <c r="D611" s="1">
        <v>0</v>
      </c>
      <c r="E611" s="1">
        <v>0</v>
      </c>
      <c r="F611" s="1">
        <v>-483.2</v>
      </c>
      <c r="G611" s="1">
        <v>-9609.9860000000008</v>
      </c>
      <c r="H611" s="1">
        <v>-3071.299</v>
      </c>
      <c r="I611" s="1">
        <v>0</v>
      </c>
    </row>
    <row r="612" spans="1:9" hidden="1" x14ac:dyDescent="0.25">
      <c r="A612" s="1" t="s">
        <v>158</v>
      </c>
      <c r="B612" s="1" t="s">
        <v>108</v>
      </c>
      <c r="C612" s="1" t="s">
        <v>25</v>
      </c>
      <c r="D612" s="1">
        <v>0</v>
      </c>
      <c r="E612" s="1">
        <v>58.3</v>
      </c>
      <c r="F612" s="1">
        <v>0</v>
      </c>
      <c r="G612" s="1">
        <v>984.83</v>
      </c>
      <c r="H612" s="1">
        <v>0</v>
      </c>
      <c r="I612" s="1">
        <v>163.88499999999999</v>
      </c>
    </row>
    <row r="613" spans="1:9" hidden="1" x14ac:dyDescent="0.25">
      <c r="A613" s="1" t="s">
        <v>158</v>
      </c>
      <c r="B613" s="1" t="s">
        <v>108</v>
      </c>
      <c r="C613" s="1" t="s">
        <v>10</v>
      </c>
      <c r="D613" s="1">
        <v>0</v>
      </c>
      <c r="E613" s="1">
        <v>58.3</v>
      </c>
      <c r="F613" s="1">
        <v>0</v>
      </c>
      <c r="G613" s="1">
        <v>984.83</v>
      </c>
      <c r="H613" s="1">
        <v>0</v>
      </c>
      <c r="I613" s="1">
        <v>381.512</v>
      </c>
    </row>
    <row r="614" spans="1:9" hidden="1" x14ac:dyDescent="0.25">
      <c r="A614" s="1" t="s">
        <v>158</v>
      </c>
      <c r="B614" s="1" t="s">
        <v>109</v>
      </c>
      <c r="C614" s="1" t="s">
        <v>25</v>
      </c>
      <c r="D614" s="1">
        <v>0</v>
      </c>
      <c r="E614" s="1">
        <v>-58.3</v>
      </c>
      <c r="F614" s="1">
        <v>0</v>
      </c>
      <c r="G614" s="1">
        <v>-984.83</v>
      </c>
      <c r="H614" s="1">
        <v>0</v>
      </c>
      <c r="I614" s="1">
        <v>-163.88499999999999</v>
      </c>
    </row>
    <row r="615" spans="1:9" hidden="1" x14ac:dyDescent="0.25">
      <c r="A615" s="1" t="s">
        <v>158</v>
      </c>
      <c r="B615" s="1" t="s">
        <v>109</v>
      </c>
      <c r="C615" s="1" t="s">
        <v>10</v>
      </c>
      <c r="D615" s="1">
        <v>0</v>
      </c>
      <c r="E615" s="1">
        <v>-58.3</v>
      </c>
      <c r="F615" s="1">
        <v>0</v>
      </c>
      <c r="G615" s="1">
        <v>-984.83</v>
      </c>
      <c r="H615" s="1">
        <v>0</v>
      </c>
      <c r="I615" s="1">
        <v>-381.512</v>
      </c>
    </row>
    <row r="616" spans="1:9" hidden="1" x14ac:dyDescent="0.25">
      <c r="A616" s="1" t="s">
        <v>158</v>
      </c>
      <c r="B616" s="1" t="s">
        <v>110</v>
      </c>
      <c r="C616" s="1" t="s">
        <v>25</v>
      </c>
      <c r="D616" s="1">
        <v>0</v>
      </c>
      <c r="E616" s="1">
        <v>58.3</v>
      </c>
      <c r="F616" s="1">
        <v>0</v>
      </c>
      <c r="G616" s="1">
        <v>984.83</v>
      </c>
      <c r="H616" s="1">
        <v>0</v>
      </c>
      <c r="I616" s="1">
        <v>163.88499999999999</v>
      </c>
    </row>
    <row r="617" spans="1:9" hidden="1" x14ac:dyDescent="0.25">
      <c r="A617" s="1" t="s">
        <v>158</v>
      </c>
      <c r="B617" s="1" t="s">
        <v>110</v>
      </c>
      <c r="C617" s="1" t="s">
        <v>10</v>
      </c>
      <c r="D617" s="1">
        <v>0</v>
      </c>
      <c r="E617" s="1">
        <v>58.3</v>
      </c>
      <c r="F617" s="1">
        <v>0</v>
      </c>
      <c r="G617" s="1">
        <v>984.83</v>
      </c>
      <c r="H617" s="1">
        <v>0</v>
      </c>
      <c r="I617" s="1">
        <v>381.512</v>
      </c>
    </row>
    <row r="618" spans="1:9" hidden="1" x14ac:dyDescent="0.25">
      <c r="A618" s="1" t="s">
        <v>158</v>
      </c>
      <c r="B618" s="1" t="s">
        <v>111</v>
      </c>
      <c r="C618" s="1" t="s">
        <v>25</v>
      </c>
      <c r="D618" s="1">
        <v>0</v>
      </c>
      <c r="E618" s="1">
        <v>-58.3</v>
      </c>
      <c r="F618" s="1">
        <v>0</v>
      </c>
      <c r="G618" s="1">
        <v>-984.83</v>
      </c>
      <c r="H618" s="1">
        <v>0</v>
      </c>
      <c r="I618" s="1">
        <v>-163.88499999999999</v>
      </c>
    </row>
    <row r="619" spans="1:9" hidden="1" x14ac:dyDescent="0.25">
      <c r="A619" s="1" t="s">
        <v>158</v>
      </c>
      <c r="B619" s="1" t="s">
        <v>111</v>
      </c>
      <c r="C619" s="1" t="s">
        <v>10</v>
      </c>
      <c r="D619" s="1">
        <v>0</v>
      </c>
      <c r="E619" s="1">
        <v>-58.3</v>
      </c>
      <c r="F619" s="1">
        <v>0</v>
      </c>
      <c r="G619" s="1">
        <v>-984.83</v>
      </c>
      <c r="H619" s="1">
        <v>0</v>
      </c>
      <c r="I619" s="1">
        <v>-381.512</v>
      </c>
    </row>
    <row r="620" spans="1:9" hidden="1" x14ac:dyDescent="0.25">
      <c r="A620" s="1" t="s">
        <v>158</v>
      </c>
      <c r="B620" s="1" t="s">
        <v>112</v>
      </c>
      <c r="C620" s="1" t="s">
        <v>25</v>
      </c>
      <c r="D620" s="1">
        <v>0</v>
      </c>
      <c r="E620" s="1">
        <v>0</v>
      </c>
      <c r="F620" s="1">
        <v>144.96</v>
      </c>
      <c r="G620" s="1">
        <v>2882.9960000000001</v>
      </c>
      <c r="H620" s="1">
        <v>349.089</v>
      </c>
      <c r="I620" s="1">
        <v>0</v>
      </c>
    </row>
    <row r="621" spans="1:9" hidden="1" x14ac:dyDescent="0.25">
      <c r="A621" s="1" t="s">
        <v>158</v>
      </c>
      <c r="B621" s="1" t="s">
        <v>112</v>
      </c>
      <c r="C621" s="1" t="s">
        <v>10</v>
      </c>
      <c r="D621" s="1">
        <v>0</v>
      </c>
      <c r="E621" s="1">
        <v>0</v>
      </c>
      <c r="F621" s="1">
        <v>144.96</v>
      </c>
      <c r="G621" s="1">
        <v>2882.9960000000001</v>
      </c>
      <c r="H621" s="1">
        <v>921.39</v>
      </c>
      <c r="I621" s="1">
        <v>0</v>
      </c>
    </row>
    <row r="622" spans="1:9" hidden="1" x14ac:dyDescent="0.25">
      <c r="A622" s="1" t="s">
        <v>158</v>
      </c>
      <c r="B622" s="1" t="s">
        <v>113</v>
      </c>
      <c r="C622" s="1" t="s">
        <v>25</v>
      </c>
      <c r="D622" s="1">
        <v>0</v>
      </c>
      <c r="E622" s="1">
        <v>0</v>
      </c>
      <c r="F622" s="1">
        <v>-144.96</v>
      </c>
      <c r="G622" s="1">
        <v>-2882.9960000000001</v>
      </c>
      <c r="H622" s="1">
        <v>-349.089</v>
      </c>
      <c r="I622" s="1">
        <v>0</v>
      </c>
    </row>
    <row r="623" spans="1:9" hidden="1" x14ac:dyDescent="0.25">
      <c r="A623" s="1" t="s">
        <v>158</v>
      </c>
      <c r="B623" s="1" t="s">
        <v>113</v>
      </c>
      <c r="C623" s="1" t="s">
        <v>10</v>
      </c>
      <c r="D623" s="1">
        <v>0</v>
      </c>
      <c r="E623" s="1">
        <v>0</v>
      </c>
      <c r="F623" s="1">
        <v>-144.96</v>
      </c>
      <c r="G623" s="1">
        <v>-2882.9960000000001</v>
      </c>
      <c r="H623" s="1">
        <v>-921.39</v>
      </c>
      <c r="I623" s="1">
        <v>0</v>
      </c>
    </row>
    <row r="624" spans="1:9" hidden="1" x14ac:dyDescent="0.25">
      <c r="A624" s="1" t="s">
        <v>158</v>
      </c>
      <c r="B624" s="1" t="s">
        <v>114</v>
      </c>
      <c r="C624" s="1" t="s">
        <v>25</v>
      </c>
      <c r="D624" s="1">
        <v>0</v>
      </c>
      <c r="E624" s="1">
        <v>0</v>
      </c>
      <c r="F624" s="1">
        <v>144.96</v>
      </c>
      <c r="G624" s="1">
        <v>2882.9960000000001</v>
      </c>
      <c r="H624" s="1">
        <v>349.089</v>
      </c>
      <c r="I624" s="1">
        <v>0</v>
      </c>
    </row>
    <row r="625" spans="1:9" hidden="1" x14ac:dyDescent="0.25">
      <c r="A625" s="1" t="s">
        <v>158</v>
      </c>
      <c r="B625" s="1" t="s">
        <v>114</v>
      </c>
      <c r="C625" s="1" t="s">
        <v>10</v>
      </c>
      <c r="D625" s="1">
        <v>0</v>
      </c>
      <c r="E625" s="1">
        <v>0</v>
      </c>
      <c r="F625" s="1">
        <v>144.96</v>
      </c>
      <c r="G625" s="1">
        <v>2882.9960000000001</v>
      </c>
      <c r="H625" s="1">
        <v>921.39</v>
      </c>
      <c r="I625" s="1">
        <v>0</v>
      </c>
    </row>
    <row r="626" spans="1:9" hidden="1" x14ac:dyDescent="0.25">
      <c r="A626" s="1" t="s">
        <v>158</v>
      </c>
      <c r="B626" s="1" t="s">
        <v>115</v>
      </c>
      <c r="C626" s="1" t="s">
        <v>25</v>
      </c>
      <c r="D626" s="1">
        <v>0</v>
      </c>
      <c r="E626" s="1">
        <v>0</v>
      </c>
      <c r="F626" s="1">
        <v>-144.96</v>
      </c>
      <c r="G626" s="1">
        <v>-2882.9960000000001</v>
      </c>
      <c r="H626" s="1">
        <v>-349.089</v>
      </c>
      <c r="I626" s="1">
        <v>0</v>
      </c>
    </row>
    <row r="627" spans="1:9" hidden="1" x14ac:dyDescent="0.25">
      <c r="A627" s="1" t="s">
        <v>158</v>
      </c>
      <c r="B627" s="1" t="s">
        <v>115</v>
      </c>
      <c r="C627" s="1" t="s">
        <v>10</v>
      </c>
      <c r="D627" s="1">
        <v>0</v>
      </c>
      <c r="E627" s="1">
        <v>0</v>
      </c>
      <c r="F627" s="1">
        <v>-144.96</v>
      </c>
      <c r="G627" s="1">
        <v>-2882.9960000000001</v>
      </c>
      <c r="H627" s="1">
        <v>-921.39</v>
      </c>
      <c r="I627" s="1">
        <v>0</v>
      </c>
    </row>
    <row r="628" spans="1:9" hidden="1" x14ac:dyDescent="0.25">
      <c r="A628" s="1" t="s">
        <v>158</v>
      </c>
      <c r="B628" s="1" t="s">
        <v>116</v>
      </c>
      <c r="C628" s="1" t="s">
        <v>25</v>
      </c>
      <c r="D628" s="1">
        <v>0</v>
      </c>
      <c r="E628" s="1">
        <v>194.35</v>
      </c>
      <c r="F628" s="1">
        <v>0</v>
      </c>
      <c r="G628" s="1">
        <v>3282.768</v>
      </c>
      <c r="H628" s="1">
        <v>0</v>
      </c>
      <c r="I628" s="1">
        <v>546.28399999999999</v>
      </c>
    </row>
    <row r="629" spans="1:9" hidden="1" x14ac:dyDescent="0.25">
      <c r="A629" s="1" t="s">
        <v>158</v>
      </c>
      <c r="B629" s="1" t="s">
        <v>116</v>
      </c>
      <c r="C629" s="1" t="s">
        <v>10</v>
      </c>
      <c r="D629" s="1">
        <v>0</v>
      </c>
      <c r="E629" s="1">
        <v>194.35</v>
      </c>
      <c r="F629" s="1">
        <v>0</v>
      </c>
      <c r="G629" s="1">
        <v>3282.768</v>
      </c>
      <c r="H629" s="1">
        <v>0</v>
      </c>
      <c r="I629" s="1">
        <v>1271.7080000000001</v>
      </c>
    </row>
    <row r="630" spans="1:9" hidden="1" x14ac:dyDescent="0.25">
      <c r="A630" s="1" t="s">
        <v>158</v>
      </c>
      <c r="B630" s="1" t="s">
        <v>117</v>
      </c>
      <c r="C630" s="1" t="s">
        <v>25</v>
      </c>
      <c r="D630" s="1">
        <v>0</v>
      </c>
      <c r="E630" s="1">
        <v>-194.35</v>
      </c>
      <c r="F630" s="1">
        <v>0</v>
      </c>
      <c r="G630" s="1">
        <v>-3282.768</v>
      </c>
      <c r="H630" s="1">
        <v>0</v>
      </c>
      <c r="I630" s="1">
        <v>-546.28399999999999</v>
      </c>
    </row>
    <row r="631" spans="1:9" hidden="1" x14ac:dyDescent="0.25">
      <c r="A631" s="1" t="s">
        <v>158</v>
      </c>
      <c r="B631" s="1" t="s">
        <v>117</v>
      </c>
      <c r="C631" s="1" t="s">
        <v>10</v>
      </c>
      <c r="D631" s="1">
        <v>0</v>
      </c>
      <c r="E631" s="1">
        <v>-194.35</v>
      </c>
      <c r="F631" s="1">
        <v>0</v>
      </c>
      <c r="G631" s="1">
        <v>-3282.768</v>
      </c>
      <c r="H631" s="1">
        <v>0</v>
      </c>
      <c r="I631" s="1">
        <v>-1271.7080000000001</v>
      </c>
    </row>
    <row r="632" spans="1:9" hidden="1" x14ac:dyDescent="0.25">
      <c r="A632" s="1" t="s">
        <v>158</v>
      </c>
      <c r="B632" s="1" t="s">
        <v>118</v>
      </c>
      <c r="C632" s="1" t="s">
        <v>25</v>
      </c>
      <c r="D632" s="1">
        <v>0</v>
      </c>
      <c r="E632" s="1">
        <v>194.35</v>
      </c>
      <c r="F632" s="1">
        <v>0</v>
      </c>
      <c r="G632" s="1">
        <v>3282.768</v>
      </c>
      <c r="H632" s="1">
        <v>0</v>
      </c>
      <c r="I632" s="1">
        <v>546.28399999999999</v>
      </c>
    </row>
    <row r="633" spans="1:9" hidden="1" x14ac:dyDescent="0.25">
      <c r="A633" s="1" t="s">
        <v>158</v>
      </c>
      <c r="B633" s="1" t="s">
        <v>118</v>
      </c>
      <c r="C633" s="1" t="s">
        <v>10</v>
      </c>
      <c r="D633" s="1">
        <v>0</v>
      </c>
      <c r="E633" s="1">
        <v>194.35</v>
      </c>
      <c r="F633" s="1">
        <v>0</v>
      </c>
      <c r="G633" s="1">
        <v>3282.768</v>
      </c>
      <c r="H633" s="1">
        <v>0</v>
      </c>
      <c r="I633" s="1">
        <v>1271.7080000000001</v>
      </c>
    </row>
    <row r="634" spans="1:9" hidden="1" x14ac:dyDescent="0.25">
      <c r="A634" s="1" t="s">
        <v>158</v>
      </c>
      <c r="B634" s="1" t="s">
        <v>119</v>
      </c>
      <c r="C634" s="1" t="s">
        <v>25</v>
      </c>
      <c r="D634" s="1">
        <v>0</v>
      </c>
      <c r="E634" s="1">
        <v>-194.35</v>
      </c>
      <c r="F634" s="1">
        <v>0</v>
      </c>
      <c r="G634" s="1">
        <v>-3282.768</v>
      </c>
      <c r="H634" s="1">
        <v>0</v>
      </c>
      <c r="I634" s="1">
        <v>-546.28399999999999</v>
      </c>
    </row>
    <row r="635" spans="1:9" hidden="1" x14ac:dyDescent="0.25">
      <c r="A635" s="1" t="s">
        <v>158</v>
      </c>
      <c r="B635" s="1" t="s">
        <v>119</v>
      </c>
      <c r="C635" s="1" t="s">
        <v>10</v>
      </c>
      <c r="D635" s="1">
        <v>0</v>
      </c>
      <c r="E635" s="1">
        <v>-194.35</v>
      </c>
      <c r="F635" s="1">
        <v>0</v>
      </c>
      <c r="G635" s="1">
        <v>-3282.768</v>
      </c>
      <c r="H635" s="1">
        <v>0</v>
      </c>
      <c r="I635" s="1">
        <v>-1271.7080000000001</v>
      </c>
    </row>
    <row r="636" spans="1:9" hidden="1" x14ac:dyDescent="0.25">
      <c r="A636" s="1" t="s">
        <v>158</v>
      </c>
      <c r="B636" s="1" t="s">
        <v>120</v>
      </c>
      <c r="C636" s="1" t="s">
        <v>25</v>
      </c>
      <c r="D636" s="1">
        <v>0</v>
      </c>
      <c r="E636" s="1">
        <v>0</v>
      </c>
      <c r="F636" s="1">
        <v>483.2</v>
      </c>
      <c r="G636" s="1">
        <v>9609.9860000000008</v>
      </c>
      <c r="H636" s="1">
        <v>1163.6300000000001</v>
      </c>
      <c r="I636" s="1">
        <v>0</v>
      </c>
    </row>
    <row r="637" spans="1:9" hidden="1" x14ac:dyDescent="0.25">
      <c r="A637" s="1" t="s">
        <v>158</v>
      </c>
      <c r="B637" s="1" t="s">
        <v>120</v>
      </c>
      <c r="C637" s="1" t="s">
        <v>10</v>
      </c>
      <c r="D637" s="1">
        <v>0</v>
      </c>
      <c r="E637" s="1">
        <v>0</v>
      </c>
      <c r="F637" s="1">
        <v>483.2</v>
      </c>
      <c r="G637" s="1">
        <v>9609.9860000000008</v>
      </c>
      <c r="H637" s="1">
        <v>3071.299</v>
      </c>
      <c r="I637" s="1">
        <v>0</v>
      </c>
    </row>
    <row r="638" spans="1:9" hidden="1" x14ac:dyDescent="0.25">
      <c r="A638" s="1" t="s">
        <v>158</v>
      </c>
      <c r="B638" s="1" t="s">
        <v>121</v>
      </c>
      <c r="C638" s="1" t="s">
        <v>25</v>
      </c>
      <c r="D638" s="1">
        <v>0</v>
      </c>
      <c r="E638" s="1">
        <v>0</v>
      </c>
      <c r="F638" s="1">
        <v>-483.2</v>
      </c>
      <c r="G638" s="1">
        <v>-9609.9860000000008</v>
      </c>
      <c r="H638" s="1">
        <v>-1163.6300000000001</v>
      </c>
      <c r="I638" s="1">
        <v>0</v>
      </c>
    </row>
    <row r="639" spans="1:9" hidden="1" x14ac:dyDescent="0.25">
      <c r="A639" s="1" t="s">
        <v>158</v>
      </c>
      <c r="B639" s="1" t="s">
        <v>121</v>
      </c>
      <c r="C639" s="1" t="s">
        <v>10</v>
      </c>
      <c r="D639" s="1">
        <v>0</v>
      </c>
      <c r="E639" s="1">
        <v>0</v>
      </c>
      <c r="F639" s="1">
        <v>-483.2</v>
      </c>
      <c r="G639" s="1">
        <v>-9609.9860000000008</v>
      </c>
      <c r="H639" s="1">
        <v>-3071.299</v>
      </c>
      <c r="I639" s="1">
        <v>0</v>
      </c>
    </row>
    <row r="640" spans="1:9" hidden="1" x14ac:dyDescent="0.25">
      <c r="A640" s="1" t="s">
        <v>158</v>
      </c>
      <c r="B640" s="1" t="s">
        <v>122</v>
      </c>
      <c r="C640" s="1" t="s">
        <v>25</v>
      </c>
      <c r="D640" s="1">
        <v>0</v>
      </c>
      <c r="E640" s="1">
        <v>0</v>
      </c>
      <c r="F640" s="1">
        <v>483.2</v>
      </c>
      <c r="G640" s="1">
        <v>9609.9860000000008</v>
      </c>
      <c r="H640" s="1">
        <v>1163.6300000000001</v>
      </c>
      <c r="I640" s="1">
        <v>0</v>
      </c>
    </row>
    <row r="641" spans="1:9" hidden="1" x14ac:dyDescent="0.25">
      <c r="A641" s="1" t="s">
        <v>158</v>
      </c>
      <c r="B641" s="1" t="s">
        <v>122</v>
      </c>
      <c r="C641" s="1" t="s">
        <v>10</v>
      </c>
      <c r="D641" s="1">
        <v>0</v>
      </c>
      <c r="E641" s="1">
        <v>0</v>
      </c>
      <c r="F641" s="1">
        <v>483.2</v>
      </c>
      <c r="G641" s="1">
        <v>9609.9860000000008</v>
      </c>
      <c r="H641" s="1">
        <v>3071.299</v>
      </c>
      <c r="I641" s="1">
        <v>0</v>
      </c>
    </row>
    <row r="642" spans="1:9" hidden="1" x14ac:dyDescent="0.25">
      <c r="A642" s="1" t="s">
        <v>158</v>
      </c>
      <c r="B642" s="1" t="s">
        <v>123</v>
      </c>
      <c r="C642" s="1" t="s">
        <v>25</v>
      </c>
      <c r="D642" s="1">
        <v>0</v>
      </c>
      <c r="E642" s="1">
        <v>0</v>
      </c>
      <c r="F642" s="1">
        <v>-483.2</v>
      </c>
      <c r="G642" s="1">
        <v>-9609.9860000000008</v>
      </c>
      <c r="H642" s="1">
        <v>-1163.6300000000001</v>
      </c>
      <c r="I642" s="1">
        <v>0</v>
      </c>
    </row>
    <row r="643" spans="1:9" hidden="1" x14ac:dyDescent="0.25">
      <c r="A643" s="1" t="s">
        <v>158</v>
      </c>
      <c r="B643" s="1" t="s">
        <v>123</v>
      </c>
      <c r="C643" s="1" t="s">
        <v>10</v>
      </c>
      <c r="D643" s="1">
        <v>0</v>
      </c>
      <c r="E643" s="1">
        <v>0</v>
      </c>
      <c r="F643" s="1">
        <v>-483.2</v>
      </c>
      <c r="G643" s="1">
        <v>-9609.9860000000008</v>
      </c>
      <c r="H643" s="1">
        <v>-3071.299</v>
      </c>
      <c r="I643" s="1">
        <v>0</v>
      </c>
    </row>
    <row r="644" spans="1:9" hidden="1" x14ac:dyDescent="0.25">
      <c r="A644" s="1" t="s">
        <v>158</v>
      </c>
      <c r="B644" s="1" t="s">
        <v>124</v>
      </c>
      <c r="C644" s="1" t="s">
        <v>25</v>
      </c>
      <c r="D644" s="1">
        <v>0</v>
      </c>
      <c r="E644" s="1">
        <v>58.3</v>
      </c>
      <c r="F644" s="1">
        <v>0</v>
      </c>
      <c r="G644" s="1">
        <v>984.83</v>
      </c>
      <c r="H644" s="1">
        <v>0</v>
      </c>
      <c r="I644" s="1">
        <v>163.88499999999999</v>
      </c>
    </row>
    <row r="645" spans="1:9" hidden="1" x14ac:dyDescent="0.25">
      <c r="A645" s="1" t="s">
        <v>158</v>
      </c>
      <c r="B645" s="1" t="s">
        <v>124</v>
      </c>
      <c r="C645" s="1" t="s">
        <v>10</v>
      </c>
      <c r="D645" s="1">
        <v>0</v>
      </c>
      <c r="E645" s="1">
        <v>58.3</v>
      </c>
      <c r="F645" s="1">
        <v>0</v>
      </c>
      <c r="G645" s="1">
        <v>984.83</v>
      </c>
      <c r="H645" s="1">
        <v>0</v>
      </c>
      <c r="I645" s="1">
        <v>381.512</v>
      </c>
    </row>
    <row r="646" spans="1:9" hidden="1" x14ac:dyDescent="0.25">
      <c r="A646" s="1" t="s">
        <v>158</v>
      </c>
      <c r="B646" s="1" t="s">
        <v>125</v>
      </c>
      <c r="C646" s="1" t="s">
        <v>25</v>
      </c>
      <c r="D646" s="1">
        <v>0</v>
      </c>
      <c r="E646" s="1">
        <v>-58.3</v>
      </c>
      <c r="F646" s="1">
        <v>0</v>
      </c>
      <c r="G646" s="1">
        <v>-984.83</v>
      </c>
      <c r="H646" s="1">
        <v>0</v>
      </c>
      <c r="I646" s="1">
        <v>-163.88499999999999</v>
      </c>
    </row>
    <row r="647" spans="1:9" hidden="1" x14ac:dyDescent="0.25">
      <c r="A647" s="1" t="s">
        <v>158</v>
      </c>
      <c r="B647" s="1" t="s">
        <v>125</v>
      </c>
      <c r="C647" s="1" t="s">
        <v>10</v>
      </c>
      <c r="D647" s="1">
        <v>0</v>
      </c>
      <c r="E647" s="1">
        <v>-58.3</v>
      </c>
      <c r="F647" s="1">
        <v>0</v>
      </c>
      <c r="G647" s="1">
        <v>-984.83</v>
      </c>
      <c r="H647" s="1">
        <v>0</v>
      </c>
      <c r="I647" s="1">
        <v>-381.512</v>
      </c>
    </row>
    <row r="648" spans="1:9" hidden="1" x14ac:dyDescent="0.25">
      <c r="A648" s="1" t="s">
        <v>158</v>
      </c>
      <c r="B648" s="1" t="s">
        <v>126</v>
      </c>
      <c r="C648" s="1" t="s">
        <v>25</v>
      </c>
      <c r="D648" s="1">
        <v>0</v>
      </c>
      <c r="E648" s="1">
        <v>58.3</v>
      </c>
      <c r="F648" s="1">
        <v>0</v>
      </c>
      <c r="G648" s="1">
        <v>984.83</v>
      </c>
      <c r="H648" s="1">
        <v>0</v>
      </c>
      <c r="I648" s="1">
        <v>163.88499999999999</v>
      </c>
    </row>
    <row r="649" spans="1:9" hidden="1" x14ac:dyDescent="0.25">
      <c r="A649" s="1" t="s">
        <v>158</v>
      </c>
      <c r="B649" s="1" t="s">
        <v>126</v>
      </c>
      <c r="C649" s="1" t="s">
        <v>10</v>
      </c>
      <c r="D649" s="1">
        <v>0</v>
      </c>
      <c r="E649" s="1">
        <v>58.3</v>
      </c>
      <c r="F649" s="1">
        <v>0</v>
      </c>
      <c r="G649" s="1">
        <v>984.83</v>
      </c>
      <c r="H649" s="1">
        <v>0</v>
      </c>
      <c r="I649" s="1">
        <v>381.512</v>
      </c>
    </row>
    <row r="650" spans="1:9" hidden="1" x14ac:dyDescent="0.25">
      <c r="A650" s="1" t="s">
        <v>158</v>
      </c>
      <c r="B650" s="1" t="s">
        <v>127</v>
      </c>
      <c r="C650" s="1" t="s">
        <v>25</v>
      </c>
      <c r="D650" s="1">
        <v>0</v>
      </c>
      <c r="E650" s="1">
        <v>-58.3</v>
      </c>
      <c r="F650" s="1">
        <v>0</v>
      </c>
      <c r="G650" s="1">
        <v>-984.83</v>
      </c>
      <c r="H650" s="1">
        <v>0</v>
      </c>
      <c r="I650" s="1">
        <v>-163.88499999999999</v>
      </c>
    </row>
    <row r="651" spans="1:9" hidden="1" x14ac:dyDescent="0.25">
      <c r="A651" s="1" t="s">
        <v>158</v>
      </c>
      <c r="B651" s="1" t="s">
        <v>127</v>
      </c>
      <c r="C651" s="1" t="s">
        <v>10</v>
      </c>
      <c r="D651" s="1">
        <v>0</v>
      </c>
      <c r="E651" s="1">
        <v>-58.3</v>
      </c>
      <c r="F651" s="1">
        <v>0</v>
      </c>
      <c r="G651" s="1">
        <v>-984.83</v>
      </c>
      <c r="H651" s="1">
        <v>0</v>
      </c>
      <c r="I651" s="1">
        <v>-381.512</v>
      </c>
    </row>
    <row r="652" spans="1:9" hidden="1" x14ac:dyDescent="0.25">
      <c r="A652" s="1" t="s">
        <v>158</v>
      </c>
      <c r="B652" s="1" t="s">
        <v>128</v>
      </c>
      <c r="C652" s="1" t="s">
        <v>25</v>
      </c>
      <c r="D652" s="1">
        <v>0</v>
      </c>
      <c r="E652" s="1">
        <v>0</v>
      </c>
      <c r="F652" s="1">
        <v>144.96</v>
      </c>
      <c r="G652" s="1">
        <v>2882.9960000000001</v>
      </c>
      <c r="H652" s="1">
        <v>349.089</v>
      </c>
      <c r="I652" s="1">
        <v>0</v>
      </c>
    </row>
    <row r="653" spans="1:9" hidden="1" x14ac:dyDescent="0.25">
      <c r="A653" s="1" t="s">
        <v>158</v>
      </c>
      <c r="B653" s="1" t="s">
        <v>128</v>
      </c>
      <c r="C653" s="1" t="s">
        <v>10</v>
      </c>
      <c r="D653" s="1">
        <v>0</v>
      </c>
      <c r="E653" s="1">
        <v>0</v>
      </c>
      <c r="F653" s="1">
        <v>144.96</v>
      </c>
      <c r="G653" s="1">
        <v>2882.9960000000001</v>
      </c>
      <c r="H653" s="1">
        <v>921.39</v>
      </c>
      <c r="I653" s="1">
        <v>0</v>
      </c>
    </row>
    <row r="654" spans="1:9" hidden="1" x14ac:dyDescent="0.25">
      <c r="A654" s="1" t="s">
        <v>158</v>
      </c>
      <c r="B654" s="1" t="s">
        <v>129</v>
      </c>
      <c r="C654" s="1" t="s">
        <v>25</v>
      </c>
      <c r="D654" s="1">
        <v>0</v>
      </c>
      <c r="E654" s="1">
        <v>0</v>
      </c>
      <c r="F654" s="1">
        <v>-144.96</v>
      </c>
      <c r="G654" s="1">
        <v>-2882.9960000000001</v>
      </c>
      <c r="H654" s="1">
        <v>-349.089</v>
      </c>
      <c r="I654" s="1">
        <v>0</v>
      </c>
    </row>
    <row r="655" spans="1:9" hidden="1" x14ac:dyDescent="0.25">
      <c r="A655" s="1" t="s">
        <v>158</v>
      </c>
      <c r="B655" s="1" t="s">
        <v>129</v>
      </c>
      <c r="C655" s="1" t="s">
        <v>10</v>
      </c>
      <c r="D655" s="1">
        <v>0</v>
      </c>
      <c r="E655" s="1">
        <v>0</v>
      </c>
      <c r="F655" s="1">
        <v>-144.96</v>
      </c>
      <c r="G655" s="1">
        <v>-2882.9960000000001</v>
      </c>
      <c r="H655" s="1">
        <v>-921.39</v>
      </c>
      <c r="I655" s="1">
        <v>0</v>
      </c>
    </row>
    <row r="656" spans="1:9" hidden="1" x14ac:dyDescent="0.25">
      <c r="A656" s="1" t="s">
        <v>158</v>
      </c>
      <c r="B656" s="1" t="s">
        <v>130</v>
      </c>
      <c r="C656" s="1" t="s">
        <v>25</v>
      </c>
      <c r="D656" s="1">
        <v>0</v>
      </c>
      <c r="E656" s="1">
        <v>0</v>
      </c>
      <c r="F656" s="1">
        <v>144.96</v>
      </c>
      <c r="G656" s="1">
        <v>2882.9960000000001</v>
      </c>
      <c r="H656" s="1">
        <v>349.089</v>
      </c>
      <c r="I656" s="1">
        <v>0</v>
      </c>
    </row>
    <row r="657" spans="1:9" hidden="1" x14ac:dyDescent="0.25">
      <c r="A657" s="1" t="s">
        <v>158</v>
      </c>
      <c r="B657" s="1" t="s">
        <v>130</v>
      </c>
      <c r="C657" s="1" t="s">
        <v>10</v>
      </c>
      <c r="D657" s="1">
        <v>0</v>
      </c>
      <c r="E657" s="1">
        <v>0</v>
      </c>
      <c r="F657" s="1">
        <v>144.96</v>
      </c>
      <c r="G657" s="1">
        <v>2882.9960000000001</v>
      </c>
      <c r="H657" s="1">
        <v>921.39</v>
      </c>
      <c r="I657" s="1">
        <v>0</v>
      </c>
    </row>
    <row r="658" spans="1:9" hidden="1" x14ac:dyDescent="0.25">
      <c r="A658" s="1" t="s">
        <v>158</v>
      </c>
      <c r="B658" s="1" t="s">
        <v>131</v>
      </c>
      <c r="C658" s="1" t="s">
        <v>25</v>
      </c>
      <c r="D658" s="1">
        <v>0</v>
      </c>
      <c r="E658" s="1">
        <v>0</v>
      </c>
      <c r="F658" s="1">
        <v>-144.96</v>
      </c>
      <c r="G658" s="1">
        <v>-2882.9960000000001</v>
      </c>
      <c r="H658" s="1">
        <v>-349.089</v>
      </c>
      <c r="I658" s="1">
        <v>0</v>
      </c>
    </row>
    <row r="659" spans="1:9" hidden="1" x14ac:dyDescent="0.25">
      <c r="A659" s="1" t="s">
        <v>158</v>
      </c>
      <c r="B659" s="1" t="s">
        <v>131</v>
      </c>
      <c r="C659" s="1" t="s">
        <v>10</v>
      </c>
      <c r="D659" s="1">
        <v>0</v>
      </c>
      <c r="E659" s="1">
        <v>0</v>
      </c>
      <c r="F659" s="1">
        <v>-144.96</v>
      </c>
      <c r="G659" s="1">
        <v>-2882.9960000000001</v>
      </c>
      <c r="H659" s="1">
        <v>-921.39</v>
      </c>
      <c r="I659" s="1">
        <v>0</v>
      </c>
    </row>
    <row r="660" spans="1:9" hidden="1" x14ac:dyDescent="0.25">
      <c r="A660" s="1" t="s">
        <v>158</v>
      </c>
      <c r="B660" s="1" t="s">
        <v>132</v>
      </c>
      <c r="C660" s="1" t="s">
        <v>25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</row>
    <row r="661" spans="1:9" hidden="1" x14ac:dyDescent="0.25">
      <c r="A661" s="1" t="s">
        <v>158</v>
      </c>
      <c r="B661" s="1" t="s">
        <v>132</v>
      </c>
      <c r="C661" s="1" t="s">
        <v>10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</row>
    <row r="662" spans="1:9" hidden="1" x14ac:dyDescent="0.25">
      <c r="A662" s="1" t="s">
        <v>158</v>
      </c>
      <c r="B662" s="1" t="s">
        <v>133</v>
      </c>
      <c r="C662" s="1" t="s">
        <v>25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</row>
    <row r="663" spans="1:9" hidden="1" x14ac:dyDescent="0.25">
      <c r="A663" s="1" t="s">
        <v>158</v>
      </c>
      <c r="B663" s="1" t="s">
        <v>133</v>
      </c>
      <c r="C663" s="1" t="s">
        <v>10</v>
      </c>
      <c r="D663" s="1">
        <v>0</v>
      </c>
      <c r="E663" s="1">
        <v>0</v>
      </c>
      <c r="F663" s="1">
        <v>0</v>
      </c>
      <c r="G663" s="1">
        <v>0</v>
      </c>
      <c r="H663" s="1">
        <v>0</v>
      </c>
      <c r="I663" s="1">
        <v>0</v>
      </c>
    </row>
    <row r="664" spans="1:9" hidden="1" x14ac:dyDescent="0.25">
      <c r="A664" s="1" t="s">
        <v>158</v>
      </c>
      <c r="B664" s="1" t="s">
        <v>134</v>
      </c>
      <c r="C664" s="1" t="s">
        <v>25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</row>
    <row r="665" spans="1:9" hidden="1" x14ac:dyDescent="0.25">
      <c r="A665" s="1" t="s">
        <v>158</v>
      </c>
      <c r="B665" s="1" t="s">
        <v>134</v>
      </c>
      <c r="C665" s="1" t="s">
        <v>10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</row>
    <row r="666" spans="1:9" hidden="1" x14ac:dyDescent="0.25">
      <c r="A666" s="1" t="s">
        <v>158</v>
      </c>
      <c r="B666" s="1" t="s">
        <v>135</v>
      </c>
      <c r="C666" s="1" t="s">
        <v>25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</row>
    <row r="667" spans="1:9" hidden="1" x14ac:dyDescent="0.25">
      <c r="A667" s="1" t="s">
        <v>158</v>
      </c>
      <c r="B667" s="1" t="s">
        <v>135</v>
      </c>
      <c r="C667" s="1" t="s">
        <v>10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</row>
    <row r="668" spans="1:9" hidden="1" x14ac:dyDescent="0.25">
      <c r="A668" s="1" t="s">
        <v>158</v>
      </c>
      <c r="B668" s="1" t="s">
        <v>136</v>
      </c>
      <c r="C668" s="1" t="s">
        <v>25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</row>
    <row r="669" spans="1:9" hidden="1" x14ac:dyDescent="0.25">
      <c r="A669" s="1" t="s">
        <v>158</v>
      </c>
      <c r="B669" s="1" t="s">
        <v>136</v>
      </c>
      <c r="C669" s="1" t="s">
        <v>10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</row>
    <row r="670" spans="1:9" hidden="1" x14ac:dyDescent="0.25">
      <c r="A670" s="1" t="s">
        <v>158</v>
      </c>
      <c r="B670" s="1" t="s">
        <v>137</v>
      </c>
      <c r="C670" s="1" t="s">
        <v>25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</row>
    <row r="671" spans="1:9" hidden="1" x14ac:dyDescent="0.25">
      <c r="A671" s="1" t="s">
        <v>158</v>
      </c>
      <c r="B671" s="1" t="s">
        <v>137</v>
      </c>
      <c r="C671" s="1" t="s">
        <v>10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</row>
    <row r="672" spans="1:9" hidden="1" x14ac:dyDescent="0.25">
      <c r="A672" s="1" t="s">
        <v>158</v>
      </c>
      <c r="B672" s="1" t="s">
        <v>138</v>
      </c>
      <c r="C672" s="1" t="s">
        <v>25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</row>
    <row r="673" spans="1:9" hidden="1" x14ac:dyDescent="0.25">
      <c r="A673" s="1" t="s">
        <v>158</v>
      </c>
      <c r="B673" s="1" t="s">
        <v>138</v>
      </c>
      <c r="C673" s="1" t="s">
        <v>10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</row>
    <row r="674" spans="1:9" hidden="1" x14ac:dyDescent="0.25">
      <c r="A674" s="1" t="s">
        <v>158</v>
      </c>
      <c r="B674" s="1" t="s">
        <v>139</v>
      </c>
      <c r="C674" s="1" t="s">
        <v>25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</row>
    <row r="675" spans="1:9" hidden="1" x14ac:dyDescent="0.25">
      <c r="A675" s="1" t="s">
        <v>158</v>
      </c>
      <c r="B675" s="1" t="s">
        <v>139</v>
      </c>
      <c r="C675" s="1" t="s">
        <v>10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</row>
    <row r="676" spans="1:9" hidden="1" x14ac:dyDescent="0.25">
      <c r="A676" s="1" t="s">
        <v>158</v>
      </c>
      <c r="B676" s="1" t="s">
        <v>140</v>
      </c>
      <c r="C676" s="1" t="s">
        <v>25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</row>
    <row r="677" spans="1:9" hidden="1" x14ac:dyDescent="0.25">
      <c r="A677" s="1" t="s">
        <v>158</v>
      </c>
      <c r="B677" s="1" t="s">
        <v>140</v>
      </c>
      <c r="C677" s="1" t="s">
        <v>10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</row>
    <row r="678" spans="1:9" hidden="1" x14ac:dyDescent="0.25">
      <c r="A678" s="1" t="s">
        <v>158</v>
      </c>
      <c r="B678" s="1" t="s">
        <v>141</v>
      </c>
      <c r="C678" s="1" t="s">
        <v>25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</row>
    <row r="679" spans="1:9" hidden="1" x14ac:dyDescent="0.25">
      <c r="A679" s="1" t="s">
        <v>158</v>
      </c>
      <c r="B679" s="1" t="s">
        <v>141</v>
      </c>
      <c r="C679" s="1" t="s">
        <v>10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</row>
    <row r="680" spans="1:9" hidden="1" x14ac:dyDescent="0.25">
      <c r="A680" s="1" t="s">
        <v>158</v>
      </c>
      <c r="B680" s="1" t="s">
        <v>142</v>
      </c>
      <c r="C680" s="1" t="s">
        <v>25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</row>
    <row r="681" spans="1:9" hidden="1" x14ac:dyDescent="0.25">
      <c r="A681" s="1" t="s">
        <v>158</v>
      </c>
      <c r="B681" s="1" t="s">
        <v>142</v>
      </c>
      <c r="C681" s="1" t="s">
        <v>10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</row>
    <row r="682" spans="1:9" hidden="1" x14ac:dyDescent="0.25">
      <c r="A682" s="1" t="s">
        <v>158</v>
      </c>
      <c r="B682" s="1" t="s">
        <v>143</v>
      </c>
      <c r="C682" s="1" t="s">
        <v>25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</row>
    <row r="683" spans="1:9" hidden="1" x14ac:dyDescent="0.25">
      <c r="A683" s="1" t="s">
        <v>158</v>
      </c>
      <c r="B683" s="1" t="s">
        <v>143</v>
      </c>
      <c r="C683" s="1" t="s">
        <v>10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</row>
    <row r="684" spans="1:9" hidden="1" x14ac:dyDescent="0.25">
      <c r="A684" s="1" t="s">
        <v>158</v>
      </c>
      <c r="B684" s="1" t="s">
        <v>144</v>
      </c>
      <c r="C684" s="1" t="s">
        <v>25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</row>
    <row r="685" spans="1:9" hidden="1" x14ac:dyDescent="0.25">
      <c r="A685" s="1" t="s">
        <v>158</v>
      </c>
      <c r="B685" s="1" t="s">
        <v>144</v>
      </c>
      <c r="C685" s="1" t="s">
        <v>10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</row>
    <row r="686" spans="1:9" hidden="1" x14ac:dyDescent="0.25">
      <c r="A686" s="1" t="s">
        <v>158</v>
      </c>
      <c r="B686" s="1" t="s">
        <v>145</v>
      </c>
      <c r="C686" s="1" t="s">
        <v>25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</row>
    <row r="687" spans="1:9" hidden="1" x14ac:dyDescent="0.25">
      <c r="A687" s="1" t="s">
        <v>158</v>
      </c>
      <c r="B687" s="1" t="s">
        <v>145</v>
      </c>
      <c r="C687" s="1" t="s">
        <v>10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</row>
    <row r="688" spans="1:9" hidden="1" x14ac:dyDescent="0.25">
      <c r="A688" s="1" t="s">
        <v>158</v>
      </c>
      <c r="B688" s="1" t="s">
        <v>146</v>
      </c>
      <c r="C688" s="1" t="s">
        <v>25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</row>
    <row r="689" spans="1:9" hidden="1" x14ac:dyDescent="0.25">
      <c r="A689" s="1" t="s">
        <v>158</v>
      </c>
      <c r="B689" s="1" t="s">
        <v>146</v>
      </c>
      <c r="C689" s="1" t="s">
        <v>10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</row>
    <row r="690" spans="1:9" hidden="1" x14ac:dyDescent="0.25">
      <c r="A690" s="1" t="s">
        <v>158</v>
      </c>
      <c r="B690" s="1" t="s">
        <v>147</v>
      </c>
      <c r="C690" s="1" t="s">
        <v>25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</row>
    <row r="691" spans="1:9" hidden="1" x14ac:dyDescent="0.25">
      <c r="A691" s="1" t="s">
        <v>158</v>
      </c>
      <c r="B691" s="1" t="s">
        <v>147</v>
      </c>
      <c r="C691" s="1" t="s">
        <v>10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</row>
    <row r="692" spans="1:9" hidden="1" x14ac:dyDescent="0.25">
      <c r="A692" s="1" t="s">
        <v>158</v>
      </c>
      <c r="B692" s="1" t="s">
        <v>159</v>
      </c>
      <c r="C692" s="1" t="s">
        <v>25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</row>
    <row r="693" spans="1:9" hidden="1" x14ac:dyDescent="0.25">
      <c r="A693" s="1" t="s">
        <v>158</v>
      </c>
      <c r="B693" s="1" t="s">
        <v>159</v>
      </c>
      <c r="C693" s="1" t="s">
        <v>10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</row>
    <row r="694" spans="1:9" hidden="1" x14ac:dyDescent="0.25">
      <c r="A694" s="1" t="s">
        <v>158</v>
      </c>
      <c r="B694" s="1" t="s">
        <v>160</v>
      </c>
      <c r="C694" s="1" t="s">
        <v>25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</row>
    <row r="695" spans="1:9" hidden="1" x14ac:dyDescent="0.25">
      <c r="A695" s="1" t="s">
        <v>158</v>
      </c>
      <c r="B695" s="1" t="s">
        <v>160</v>
      </c>
      <c r="C695" s="1" t="s">
        <v>10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</row>
    <row r="696" spans="1:9" hidden="1" x14ac:dyDescent="0.25">
      <c r="A696" s="1" t="s">
        <v>158</v>
      </c>
      <c r="B696" s="1" t="s">
        <v>161</v>
      </c>
      <c r="C696" s="1" t="s">
        <v>25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</row>
    <row r="697" spans="1:9" hidden="1" x14ac:dyDescent="0.25">
      <c r="A697" s="1" t="s">
        <v>158</v>
      </c>
      <c r="B697" s="1" t="s">
        <v>161</v>
      </c>
      <c r="C697" s="1" t="s">
        <v>10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</row>
    <row r="698" spans="1:9" hidden="1" x14ac:dyDescent="0.25">
      <c r="A698" s="1" t="s">
        <v>158</v>
      </c>
      <c r="B698" s="1" t="s">
        <v>162</v>
      </c>
      <c r="C698" s="1" t="s">
        <v>25</v>
      </c>
      <c r="D698" s="1">
        <v>0</v>
      </c>
      <c r="E698" s="1">
        <v>-443.06</v>
      </c>
      <c r="F698" s="1">
        <v>0</v>
      </c>
      <c r="G698" s="1">
        <v>7310.4229999999998</v>
      </c>
      <c r="H698" s="1">
        <v>0</v>
      </c>
      <c r="I698" s="1">
        <v>-1012.699</v>
      </c>
    </row>
    <row r="699" spans="1:9" hidden="1" x14ac:dyDescent="0.25">
      <c r="A699" s="1" t="s">
        <v>158</v>
      </c>
      <c r="B699" s="1" t="s">
        <v>162</v>
      </c>
      <c r="C699" s="1" t="s">
        <v>10</v>
      </c>
      <c r="D699" s="1">
        <v>0</v>
      </c>
      <c r="E699" s="1">
        <v>-443.06</v>
      </c>
      <c r="F699" s="1">
        <v>0</v>
      </c>
      <c r="G699" s="1">
        <v>7310.4229999999998</v>
      </c>
      <c r="H699" s="1">
        <v>0</v>
      </c>
      <c r="I699" s="1">
        <v>-2784.9229999999998</v>
      </c>
    </row>
    <row r="700" spans="1:9" hidden="1" x14ac:dyDescent="0.25">
      <c r="A700" s="1" t="s">
        <v>158</v>
      </c>
      <c r="B700" s="1" t="s">
        <v>163</v>
      </c>
      <c r="C700" s="1" t="s">
        <v>25</v>
      </c>
      <c r="D700" s="1">
        <v>0</v>
      </c>
      <c r="E700" s="1">
        <v>-443.06</v>
      </c>
      <c r="F700" s="1">
        <v>0</v>
      </c>
      <c r="G700" s="1">
        <v>5981.2550000000001</v>
      </c>
      <c r="H700" s="1">
        <v>0</v>
      </c>
      <c r="I700" s="1">
        <v>-1012.699</v>
      </c>
    </row>
    <row r="701" spans="1:9" hidden="1" x14ac:dyDescent="0.25">
      <c r="A701" s="1" t="s">
        <v>158</v>
      </c>
      <c r="B701" s="1" t="s">
        <v>163</v>
      </c>
      <c r="C701" s="1" t="s">
        <v>10</v>
      </c>
      <c r="D701" s="1">
        <v>0</v>
      </c>
      <c r="E701" s="1">
        <v>-443.06</v>
      </c>
      <c r="F701" s="1">
        <v>0</v>
      </c>
      <c r="G701" s="1">
        <v>5981.2550000000001</v>
      </c>
      <c r="H701" s="1">
        <v>0</v>
      </c>
      <c r="I701" s="1">
        <v>-2784.9229999999998</v>
      </c>
    </row>
    <row r="702" spans="1:9" hidden="1" x14ac:dyDescent="0.25">
      <c r="A702" s="1" t="s">
        <v>158</v>
      </c>
      <c r="B702" s="1" t="s">
        <v>164</v>
      </c>
      <c r="C702" s="1" t="s">
        <v>25</v>
      </c>
      <c r="D702" s="1">
        <v>0</v>
      </c>
      <c r="E702" s="1">
        <v>443.06</v>
      </c>
      <c r="F702" s="1">
        <v>0</v>
      </c>
      <c r="G702" s="1">
        <v>-7310.4229999999998</v>
      </c>
      <c r="H702" s="1">
        <v>0</v>
      </c>
      <c r="I702" s="1">
        <v>1012.699</v>
      </c>
    </row>
    <row r="703" spans="1:9" hidden="1" x14ac:dyDescent="0.25">
      <c r="A703" s="1" t="s">
        <v>158</v>
      </c>
      <c r="B703" s="1" t="s">
        <v>164</v>
      </c>
      <c r="C703" s="1" t="s">
        <v>10</v>
      </c>
      <c r="D703" s="1">
        <v>0</v>
      </c>
      <c r="E703" s="1">
        <v>443.06</v>
      </c>
      <c r="F703" s="1">
        <v>0</v>
      </c>
      <c r="G703" s="1">
        <v>-7310.4229999999998</v>
      </c>
      <c r="H703" s="1">
        <v>0</v>
      </c>
      <c r="I703" s="1">
        <v>2784.9229999999998</v>
      </c>
    </row>
    <row r="704" spans="1:9" hidden="1" x14ac:dyDescent="0.25">
      <c r="A704" s="1" t="s">
        <v>158</v>
      </c>
      <c r="B704" s="1" t="s">
        <v>165</v>
      </c>
      <c r="C704" s="1" t="s">
        <v>25</v>
      </c>
      <c r="D704" s="1">
        <v>0</v>
      </c>
      <c r="E704" s="1">
        <v>443.06</v>
      </c>
      <c r="F704" s="1">
        <v>0</v>
      </c>
      <c r="G704" s="1">
        <v>-5981.2550000000001</v>
      </c>
      <c r="H704" s="1">
        <v>0</v>
      </c>
      <c r="I704" s="1">
        <v>1012.699</v>
      </c>
    </row>
    <row r="705" spans="1:9" hidden="1" x14ac:dyDescent="0.25">
      <c r="A705" s="1" t="s">
        <v>158</v>
      </c>
      <c r="B705" s="1" t="s">
        <v>165</v>
      </c>
      <c r="C705" s="1" t="s">
        <v>10</v>
      </c>
      <c r="D705" s="1">
        <v>0</v>
      </c>
      <c r="E705" s="1">
        <v>443.06</v>
      </c>
      <c r="F705" s="1">
        <v>0</v>
      </c>
      <c r="G705" s="1">
        <v>-5981.2550000000001</v>
      </c>
      <c r="H705" s="1">
        <v>0</v>
      </c>
      <c r="I705" s="1">
        <v>2784.9229999999998</v>
      </c>
    </row>
    <row r="706" spans="1:9" hidden="1" x14ac:dyDescent="0.25">
      <c r="A706" s="1" t="s">
        <v>158</v>
      </c>
      <c r="B706" s="1" t="s">
        <v>166</v>
      </c>
      <c r="C706" s="1" t="s">
        <v>25</v>
      </c>
      <c r="D706" s="1">
        <v>0</v>
      </c>
      <c r="E706" s="1">
        <v>0</v>
      </c>
      <c r="F706" s="1">
        <v>-535.54999999999995</v>
      </c>
      <c r="G706" s="1">
        <v>-10603.824000000001</v>
      </c>
      <c r="H706" s="1">
        <v>1224.107</v>
      </c>
      <c r="I706" s="1">
        <v>0</v>
      </c>
    </row>
    <row r="707" spans="1:9" hidden="1" x14ac:dyDescent="0.25">
      <c r="A707" s="1" t="s">
        <v>158</v>
      </c>
      <c r="B707" s="1" t="s">
        <v>166</v>
      </c>
      <c r="C707" s="1" t="s">
        <v>10</v>
      </c>
      <c r="D707" s="1">
        <v>0</v>
      </c>
      <c r="E707" s="1">
        <v>0</v>
      </c>
      <c r="F707" s="1">
        <v>-535.54999999999995</v>
      </c>
      <c r="G707" s="1">
        <v>-10603.824000000001</v>
      </c>
      <c r="H707" s="1">
        <v>3366.2930000000001</v>
      </c>
      <c r="I707" s="1">
        <v>0</v>
      </c>
    </row>
    <row r="708" spans="1:9" hidden="1" x14ac:dyDescent="0.25">
      <c r="A708" s="1" t="s">
        <v>158</v>
      </c>
      <c r="B708" s="1" t="s">
        <v>167</v>
      </c>
      <c r="C708" s="1" t="s">
        <v>25</v>
      </c>
      <c r="D708" s="1">
        <v>0</v>
      </c>
      <c r="E708" s="1">
        <v>0</v>
      </c>
      <c r="F708" s="1">
        <v>-535.54999999999995</v>
      </c>
      <c r="G708" s="1">
        <v>-8675.8559999999998</v>
      </c>
      <c r="H708" s="1">
        <v>1224.107</v>
      </c>
      <c r="I708" s="1">
        <v>0</v>
      </c>
    </row>
    <row r="709" spans="1:9" hidden="1" x14ac:dyDescent="0.25">
      <c r="A709" s="1" t="s">
        <v>158</v>
      </c>
      <c r="B709" s="1" t="s">
        <v>167</v>
      </c>
      <c r="C709" s="1" t="s">
        <v>10</v>
      </c>
      <c r="D709" s="1">
        <v>0</v>
      </c>
      <c r="E709" s="1">
        <v>0</v>
      </c>
      <c r="F709" s="1">
        <v>-535.54999999999995</v>
      </c>
      <c r="G709" s="1">
        <v>-8675.8559999999998</v>
      </c>
      <c r="H709" s="1">
        <v>3366.2930000000001</v>
      </c>
      <c r="I709" s="1">
        <v>0</v>
      </c>
    </row>
    <row r="710" spans="1:9" hidden="1" x14ac:dyDescent="0.25">
      <c r="A710" s="1" t="s">
        <v>158</v>
      </c>
      <c r="B710" s="1" t="s">
        <v>168</v>
      </c>
      <c r="C710" s="1" t="s">
        <v>25</v>
      </c>
      <c r="D710" s="1">
        <v>0</v>
      </c>
      <c r="E710" s="1">
        <v>0</v>
      </c>
      <c r="F710" s="1">
        <v>535.54999999999995</v>
      </c>
      <c r="G710" s="1">
        <v>10603.824000000001</v>
      </c>
      <c r="H710" s="1">
        <v>-1224.107</v>
      </c>
      <c r="I710" s="1">
        <v>0</v>
      </c>
    </row>
    <row r="711" spans="1:9" hidden="1" x14ac:dyDescent="0.25">
      <c r="A711" s="1" t="s">
        <v>158</v>
      </c>
      <c r="B711" s="1" t="s">
        <v>168</v>
      </c>
      <c r="C711" s="1" t="s">
        <v>10</v>
      </c>
      <c r="D711" s="1">
        <v>0</v>
      </c>
      <c r="E711" s="1">
        <v>0</v>
      </c>
      <c r="F711" s="1">
        <v>535.54999999999995</v>
      </c>
      <c r="G711" s="1">
        <v>10603.824000000001</v>
      </c>
      <c r="H711" s="1">
        <v>-3366.2930000000001</v>
      </c>
      <c r="I711" s="1">
        <v>0</v>
      </c>
    </row>
    <row r="712" spans="1:9" hidden="1" x14ac:dyDescent="0.25">
      <c r="A712" s="1" t="s">
        <v>158</v>
      </c>
      <c r="B712" s="1" t="s">
        <v>169</v>
      </c>
      <c r="C712" s="1" t="s">
        <v>25</v>
      </c>
      <c r="D712" s="1">
        <v>0</v>
      </c>
      <c r="E712" s="1">
        <v>0</v>
      </c>
      <c r="F712" s="1">
        <v>535.54999999999995</v>
      </c>
      <c r="G712" s="1">
        <v>8675.8559999999998</v>
      </c>
      <c r="H712" s="1">
        <v>-1224.107</v>
      </c>
      <c r="I712" s="1">
        <v>0</v>
      </c>
    </row>
    <row r="713" spans="1:9" hidden="1" x14ac:dyDescent="0.25">
      <c r="A713" s="1" t="s">
        <v>158</v>
      </c>
      <c r="B713" s="1" t="s">
        <v>169</v>
      </c>
      <c r="C713" s="1" t="s">
        <v>10</v>
      </c>
      <c r="D713" s="1">
        <v>0</v>
      </c>
      <c r="E713" s="1">
        <v>0</v>
      </c>
      <c r="F713" s="1">
        <v>535.54999999999995</v>
      </c>
      <c r="G713" s="1">
        <v>8675.8559999999998</v>
      </c>
      <c r="H713" s="1">
        <v>-3366.2930000000001</v>
      </c>
      <c r="I713" s="1">
        <v>0</v>
      </c>
    </row>
    <row r="714" spans="1:9" hidden="1" x14ac:dyDescent="0.25">
      <c r="A714" s="1" t="s">
        <v>158</v>
      </c>
      <c r="B714" s="1" t="s">
        <v>170</v>
      </c>
      <c r="C714" s="1" t="s">
        <v>25</v>
      </c>
      <c r="D714" s="1">
        <v>0</v>
      </c>
      <c r="E714" s="1">
        <v>-443.06</v>
      </c>
      <c r="F714" s="1">
        <v>0</v>
      </c>
      <c r="G714" s="1">
        <v>7310.4229999999998</v>
      </c>
      <c r="H714" s="1">
        <v>0</v>
      </c>
      <c r="I714" s="1">
        <v>-1012.699</v>
      </c>
    </row>
    <row r="715" spans="1:9" hidden="1" x14ac:dyDescent="0.25">
      <c r="A715" s="1" t="s">
        <v>158</v>
      </c>
      <c r="B715" s="1" t="s">
        <v>170</v>
      </c>
      <c r="C715" s="1" t="s">
        <v>10</v>
      </c>
      <c r="D715" s="1">
        <v>0</v>
      </c>
      <c r="E715" s="1">
        <v>-443.06</v>
      </c>
      <c r="F715" s="1">
        <v>0</v>
      </c>
      <c r="G715" s="1">
        <v>7310.4229999999998</v>
      </c>
      <c r="H715" s="1">
        <v>0</v>
      </c>
      <c r="I715" s="1">
        <v>-2784.9229999999998</v>
      </c>
    </row>
    <row r="716" spans="1:9" hidden="1" x14ac:dyDescent="0.25">
      <c r="A716" s="1" t="s">
        <v>158</v>
      </c>
      <c r="B716" s="1" t="s">
        <v>171</v>
      </c>
      <c r="C716" s="1" t="s">
        <v>25</v>
      </c>
      <c r="D716" s="1">
        <v>0</v>
      </c>
      <c r="E716" s="1">
        <v>-443.06</v>
      </c>
      <c r="F716" s="1">
        <v>0</v>
      </c>
      <c r="G716" s="1">
        <v>5981.2550000000001</v>
      </c>
      <c r="H716" s="1">
        <v>0</v>
      </c>
      <c r="I716" s="1">
        <v>-1012.699</v>
      </c>
    </row>
    <row r="717" spans="1:9" hidden="1" x14ac:dyDescent="0.25">
      <c r="A717" s="1" t="s">
        <v>158</v>
      </c>
      <c r="B717" s="1" t="s">
        <v>171</v>
      </c>
      <c r="C717" s="1" t="s">
        <v>10</v>
      </c>
      <c r="D717" s="1">
        <v>0</v>
      </c>
      <c r="E717" s="1">
        <v>-443.06</v>
      </c>
      <c r="F717" s="1">
        <v>0</v>
      </c>
      <c r="G717" s="1">
        <v>5981.2550000000001</v>
      </c>
      <c r="H717" s="1">
        <v>0</v>
      </c>
      <c r="I717" s="1">
        <v>-2784.9229999999998</v>
      </c>
    </row>
    <row r="718" spans="1:9" hidden="1" x14ac:dyDescent="0.25">
      <c r="A718" s="1" t="s">
        <v>158</v>
      </c>
      <c r="B718" s="1" t="s">
        <v>172</v>
      </c>
      <c r="C718" s="1" t="s">
        <v>25</v>
      </c>
      <c r="D718" s="1">
        <v>0</v>
      </c>
      <c r="E718" s="1">
        <v>443.06</v>
      </c>
      <c r="F718" s="1">
        <v>0</v>
      </c>
      <c r="G718" s="1">
        <v>-7310.4229999999998</v>
      </c>
      <c r="H718" s="1">
        <v>0</v>
      </c>
      <c r="I718" s="1">
        <v>1012.699</v>
      </c>
    </row>
    <row r="719" spans="1:9" hidden="1" x14ac:dyDescent="0.25">
      <c r="A719" s="1" t="s">
        <v>158</v>
      </c>
      <c r="B719" s="1" t="s">
        <v>172</v>
      </c>
      <c r="C719" s="1" t="s">
        <v>10</v>
      </c>
      <c r="D719" s="1">
        <v>0</v>
      </c>
      <c r="E719" s="1">
        <v>443.06</v>
      </c>
      <c r="F719" s="1">
        <v>0</v>
      </c>
      <c r="G719" s="1">
        <v>-7310.4229999999998</v>
      </c>
      <c r="H719" s="1">
        <v>0</v>
      </c>
      <c r="I719" s="1">
        <v>2784.9229999999998</v>
      </c>
    </row>
    <row r="720" spans="1:9" hidden="1" x14ac:dyDescent="0.25">
      <c r="A720" s="1" t="s">
        <v>158</v>
      </c>
      <c r="B720" s="1" t="s">
        <v>173</v>
      </c>
      <c r="C720" s="1" t="s">
        <v>25</v>
      </c>
      <c r="D720" s="1">
        <v>0</v>
      </c>
      <c r="E720" s="1">
        <v>443.06</v>
      </c>
      <c r="F720" s="1">
        <v>0</v>
      </c>
      <c r="G720" s="1">
        <v>-5981.2550000000001</v>
      </c>
      <c r="H720" s="1">
        <v>0</v>
      </c>
      <c r="I720" s="1">
        <v>1012.699</v>
      </c>
    </row>
    <row r="721" spans="1:9" hidden="1" x14ac:dyDescent="0.25">
      <c r="A721" s="1" t="s">
        <v>158</v>
      </c>
      <c r="B721" s="1" t="s">
        <v>173</v>
      </c>
      <c r="C721" s="1" t="s">
        <v>10</v>
      </c>
      <c r="D721" s="1">
        <v>0</v>
      </c>
      <c r="E721" s="1">
        <v>443.06</v>
      </c>
      <c r="F721" s="1">
        <v>0</v>
      </c>
      <c r="G721" s="1">
        <v>-5981.2550000000001</v>
      </c>
      <c r="H721" s="1">
        <v>0</v>
      </c>
      <c r="I721" s="1">
        <v>2784.9229999999998</v>
      </c>
    </row>
    <row r="722" spans="1:9" hidden="1" x14ac:dyDescent="0.25">
      <c r="A722" s="1" t="s">
        <v>158</v>
      </c>
      <c r="B722" s="1" t="s">
        <v>174</v>
      </c>
      <c r="C722" s="1" t="s">
        <v>25</v>
      </c>
      <c r="D722" s="1">
        <v>0</v>
      </c>
      <c r="E722" s="1">
        <v>0</v>
      </c>
      <c r="F722" s="1">
        <v>-535.54999999999995</v>
      </c>
      <c r="G722" s="1">
        <v>-10603.824000000001</v>
      </c>
      <c r="H722" s="1">
        <v>1224.107</v>
      </c>
      <c r="I722" s="1">
        <v>0</v>
      </c>
    </row>
    <row r="723" spans="1:9" hidden="1" x14ac:dyDescent="0.25">
      <c r="A723" s="1" t="s">
        <v>158</v>
      </c>
      <c r="B723" s="1" t="s">
        <v>174</v>
      </c>
      <c r="C723" s="1" t="s">
        <v>10</v>
      </c>
      <c r="D723" s="1">
        <v>0</v>
      </c>
      <c r="E723" s="1">
        <v>0</v>
      </c>
      <c r="F723" s="1">
        <v>-535.54999999999995</v>
      </c>
      <c r="G723" s="1">
        <v>-10603.824000000001</v>
      </c>
      <c r="H723" s="1">
        <v>3366.2930000000001</v>
      </c>
      <c r="I723" s="1">
        <v>0</v>
      </c>
    </row>
    <row r="724" spans="1:9" hidden="1" x14ac:dyDescent="0.25">
      <c r="A724" s="1" t="s">
        <v>158</v>
      </c>
      <c r="B724" s="1" t="s">
        <v>175</v>
      </c>
      <c r="C724" s="1" t="s">
        <v>25</v>
      </c>
      <c r="D724" s="1">
        <v>0</v>
      </c>
      <c r="E724" s="1">
        <v>0</v>
      </c>
      <c r="F724" s="1">
        <v>-535.54999999999995</v>
      </c>
      <c r="G724" s="1">
        <v>-8675.8559999999998</v>
      </c>
      <c r="H724" s="1">
        <v>1224.107</v>
      </c>
      <c r="I724" s="1">
        <v>0</v>
      </c>
    </row>
    <row r="725" spans="1:9" hidden="1" x14ac:dyDescent="0.25">
      <c r="A725" s="1" t="s">
        <v>158</v>
      </c>
      <c r="B725" s="1" t="s">
        <v>175</v>
      </c>
      <c r="C725" s="1" t="s">
        <v>10</v>
      </c>
      <c r="D725" s="1">
        <v>0</v>
      </c>
      <c r="E725" s="1">
        <v>0</v>
      </c>
      <c r="F725" s="1">
        <v>-535.54999999999995</v>
      </c>
      <c r="G725" s="1">
        <v>-8675.8559999999998</v>
      </c>
      <c r="H725" s="1">
        <v>3366.2930000000001</v>
      </c>
      <c r="I725" s="1">
        <v>0</v>
      </c>
    </row>
    <row r="726" spans="1:9" hidden="1" x14ac:dyDescent="0.25">
      <c r="A726" s="1" t="s">
        <v>158</v>
      </c>
      <c r="B726" s="1" t="s">
        <v>176</v>
      </c>
      <c r="C726" s="1" t="s">
        <v>25</v>
      </c>
      <c r="D726" s="1">
        <v>0</v>
      </c>
      <c r="E726" s="1">
        <v>0</v>
      </c>
      <c r="F726" s="1">
        <v>535.54999999999995</v>
      </c>
      <c r="G726" s="1">
        <v>10603.824000000001</v>
      </c>
      <c r="H726" s="1">
        <v>-1224.107</v>
      </c>
      <c r="I726" s="1">
        <v>0</v>
      </c>
    </row>
    <row r="727" spans="1:9" hidden="1" x14ac:dyDescent="0.25">
      <c r="A727" s="1" t="s">
        <v>158</v>
      </c>
      <c r="B727" s="1" t="s">
        <v>176</v>
      </c>
      <c r="C727" s="1" t="s">
        <v>10</v>
      </c>
      <c r="D727" s="1">
        <v>0</v>
      </c>
      <c r="E727" s="1">
        <v>0</v>
      </c>
      <c r="F727" s="1">
        <v>535.54999999999995</v>
      </c>
      <c r="G727" s="1">
        <v>10603.824000000001</v>
      </c>
      <c r="H727" s="1">
        <v>-3366.2930000000001</v>
      </c>
      <c r="I727" s="1">
        <v>0</v>
      </c>
    </row>
    <row r="728" spans="1:9" hidden="1" x14ac:dyDescent="0.25">
      <c r="A728" s="1" t="s">
        <v>158</v>
      </c>
      <c r="B728" s="1" t="s">
        <v>177</v>
      </c>
      <c r="C728" s="1" t="s">
        <v>25</v>
      </c>
      <c r="D728" s="1">
        <v>0</v>
      </c>
      <c r="E728" s="1">
        <v>0</v>
      </c>
      <c r="F728" s="1">
        <v>535.54999999999995</v>
      </c>
      <c r="G728" s="1">
        <v>8675.8559999999998</v>
      </c>
      <c r="H728" s="1">
        <v>-1224.107</v>
      </c>
      <c r="I728" s="1">
        <v>0</v>
      </c>
    </row>
    <row r="729" spans="1:9" hidden="1" x14ac:dyDescent="0.25">
      <c r="A729" s="1" t="s">
        <v>158</v>
      </c>
      <c r="B729" s="1" t="s">
        <v>177</v>
      </c>
      <c r="C729" s="1" t="s">
        <v>10</v>
      </c>
      <c r="D729" s="1">
        <v>0</v>
      </c>
      <c r="E729" s="1">
        <v>0</v>
      </c>
      <c r="F729" s="1">
        <v>535.54999999999995</v>
      </c>
      <c r="G729" s="1">
        <v>8675.8559999999998</v>
      </c>
      <c r="H729" s="1">
        <v>-3366.2930000000001</v>
      </c>
      <c r="I729" s="1">
        <v>0</v>
      </c>
    </row>
    <row r="730" spans="1:9" hidden="1" x14ac:dyDescent="0.25">
      <c r="A730" s="1" t="s">
        <v>158</v>
      </c>
      <c r="B730" s="1" t="s">
        <v>178</v>
      </c>
      <c r="C730" s="1" t="s">
        <v>25</v>
      </c>
      <c r="D730" s="1">
        <v>0</v>
      </c>
      <c r="E730" s="1">
        <v>-132.91999999999999</v>
      </c>
      <c r="F730" s="1">
        <v>0</v>
      </c>
      <c r="G730" s="1">
        <v>2193.127</v>
      </c>
      <c r="H730" s="1">
        <v>0</v>
      </c>
      <c r="I730" s="1">
        <v>-303.81</v>
      </c>
    </row>
    <row r="731" spans="1:9" hidden="1" x14ac:dyDescent="0.25">
      <c r="A731" s="1" t="s">
        <v>158</v>
      </c>
      <c r="B731" s="1" t="s">
        <v>178</v>
      </c>
      <c r="C731" s="1" t="s">
        <v>10</v>
      </c>
      <c r="D731" s="1">
        <v>0</v>
      </c>
      <c r="E731" s="1">
        <v>-132.91999999999999</v>
      </c>
      <c r="F731" s="1">
        <v>0</v>
      </c>
      <c r="G731" s="1">
        <v>2193.127</v>
      </c>
      <c r="H731" s="1">
        <v>0</v>
      </c>
      <c r="I731" s="1">
        <v>-835.47699999999998</v>
      </c>
    </row>
    <row r="732" spans="1:9" hidden="1" x14ac:dyDescent="0.25">
      <c r="A732" s="1" t="s">
        <v>158</v>
      </c>
      <c r="B732" s="1" t="s">
        <v>179</v>
      </c>
      <c r="C732" s="1" t="s">
        <v>25</v>
      </c>
      <c r="D732" s="1">
        <v>0</v>
      </c>
      <c r="E732" s="1">
        <v>-132.91999999999999</v>
      </c>
      <c r="F732" s="1">
        <v>0</v>
      </c>
      <c r="G732" s="1">
        <v>1794.376</v>
      </c>
      <c r="H732" s="1">
        <v>0</v>
      </c>
      <c r="I732" s="1">
        <v>-303.81</v>
      </c>
    </row>
    <row r="733" spans="1:9" hidden="1" x14ac:dyDescent="0.25">
      <c r="A733" s="1" t="s">
        <v>158</v>
      </c>
      <c r="B733" s="1" t="s">
        <v>179</v>
      </c>
      <c r="C733" s="1" t="s">
        <v>10</v>
      </c>
      <c r="D733" s="1">
        <v>0</v>
      </c>
      <c r="E733" s="1">
        <v>-132.91999999999999</v>
      </c>
      <c r="F733" s="1">
        <v>0</v>
      </c>
      <c r="G733" s="1">
        <v>1794.376</v>
      </c>
      <c r="H733" s="1">
        <v>0</v>
      </c>
      <c r="I733" s="1">
        <v>-835.47699999999998</v>
      </c>
    </row>
    <row r="734" spans="1:9" hidden="1" x14ac:dyDescent="0.25">
      <c r="A734" s="1" t="s">
        <v>158</v>
      </c>
      <c r="B734" s="1" t="s">
        <v>180</v>
      </c>
      <c r="C734" s="1" t="s">
        <v>25</v>
      </c>
      <c r="D734" s="1">
        <v>0</v>
      </c>
      <c r="E734" s="1">
        <v>132.91999999999999</v>
      </c>
      <c r="F734" s="1">
        <v>0</v>
      </c>
      <c r="G734" s="1">
        <v>-2193.127</v>
      </c>
      <c r="H734" s="1">
        <v>0</v>
      </c>
      <c r="I734" s="1">
        <v>303.81</v>
      </c>
    </row>
    <row r="735" spans="1:9" hidden="1" x14ac:dyDescent="0.25">
      <c r="A735" s="1" t="s">
        <v>158</v>
      </c>
      <c r="B735" s="1" t="s">
        <v>180</v>
      </c>
      <c r="C735" s="1" t="s">
        <v>10</v>
      </c>
      <c r="D735" s="1">
        <v>0</v>
      </c>
      <c r="E735" s="1">
        <v>132.91999999999999</v>
      </c>
      <c r="F735" s="1">
        <v>0</v>
      </c>
      <c r="G735" s="1">
        <v>-2193.127</v>
      </c>
      <c r="H735" s="1">
        <v>0</v>
      </c>
      <c r="I735" s="1">
        <v>835.47699999999998</v>
      </c>
    </row>
    <row r="736" spans="1:9" hidden="1" x14ac:dyDescent="0.25">
      <c r="A736" s="1" t="s">
        <v>158</v>
      </c>
      <c r="B736" s="1" t="s">
        <v>181</v>
      </c>
      <c r="C736" s="1" t="s">
        <v>25</v>
      </c>
      <c r="D736" s="1">
        <v>0</v>
      </c>
      <c r="E736" s="1">
        <v>132.91999999999999</v>
      </c>
      <c r="F736" s="1">
        <v>0</v>
      </c>
      <c r="G736" s="1">
        <v>-1794.376</v>
      </c>
      <c r="H736" s="1">
        <v>0</v>
      </c>
      <c r="I736" s="1">
        <v>303.81</v>
      </c>
    </row>
    <row r="737" spans="1:9" hidden="1" x14ac:dyDescent="0.25">
      <c r="A737" s="1" t="s">
        <v>158</v>
      </c>
      <c r="B737" s="1" t="s">
        <v>181</v>
      </c>
      <c r="C737" s="1" t="s">
        <v>10</v>
      </c>
      <c r="D737" s="1">
        <v>0</v>
      </c>
      <c r="E737" s="1">
        <v>132.91999999999999</v>
      </c>
      <c r="F737" s="1">
        <v>0</v>
      </c>
      <c r="G737" s="1">
        <v>-1794.376</v>
      </c>
      <c r="H737" s="1">
        <v>0</v>
      </c>
      <c r="I737" s="1">
        <v>835.47699999999998</v>
      </c>
    </row>
    <row r="738" spans="1:9" hidden="1" x14ac:dyDescent="0.25">
      <c r="A738" s="1" t="s">
        <v>158</v>
      </c>
      <c r="B738" s="1" t="s">
        <v>182</v>
      </c>
      <c r="C738" s="1" t="s">
        <v>25</v>
      </c>
      <c r="D738" s="1">
        <v>0</v>
      </c>
      <c r="E738" s="1">
        <v>0</v>
      </c>
      <c r="F738" s="1">
        <v>-160.66</v>
      </c>
      <c r="G738" s="1">
        <v>-3181.1469999999999</v>
      </c>
      <c r="H738" s="1">
        <v>367.23200000000003</v>
      </c>
      <c r="I738" s="1">
        <v>0</v>
      </c>
    </row>
    <row r="739" spans="1:9" hidden="1" x14ac:dyDescent="0.25">
      <c r="A739" s="1" t="s">
        <v>158</v>
      </c>
      <c r="B739" s="1" t="s">
        <v>182</v>
      </c>
      <c r="C739" s="1" t="s">
        <v>10</v>
      </c>
      <c r="D739" s="1">
        <v>0</v>
      </c>
      <c r="E739" s="1">
        <v>0</v>
      </c>
      <c r="F739" s="1">
        <v>-160.66</v>
      </c>
      <c r="G739" s="1">
        <v>-3181.1469999999999</v>
      </c>
      <c r="H739" s="1">
        <v>1009.888</v>
      </c>
      <c r="I739" s="1">
        <v>0</v>
      </c>
    </row>
    <row r="740" spans="1:9" hidden="1" x14ac:dyDescent="0.25">
      <c r="A740" s="1" t="s">
        <v>158</v>
      </c>
      <c r="B740" s="1" t="s">
        <v>183</v>
      </c>
      <c r="C740" s="1" t="s">
        <v>25</v>
      </c>
      <c r="D740" s="1">
        <v>0</v>
      </c>
      <c r="E740" s="1">
        <v>0</v>
      </c>
      <c r="F740" s="1">
        <v>-160.66</v>
      </c>
      <c r="G740" s="1">
        <v>-2602.7570000000001</v>
      </c>
      <c r="H740" s="1">
        <v>367.23200000000003</v>
      </c>
      <c r="I740" s="1">
        <v>0</v>
      </c>
    </row>
    <row r="741" spans="1:9" hidden="1" x14ac:dyDescent="0.25">
      <c r="A741" s="1" t="s">
        <v>158</v>
      </c>
      <c r="B741" s="1" t="s">
        <v>183</v>
      </c>
      <c r="C741" s="1" t="s">
        <v>10</v>
      </c>
      <c r="D741" s="1">
        <v>0</v>
      </c>
      <c r="E741" s="1">
        <v>0</v>
      </c>
      <c r="F741" s="1">
        <v>-160.66</v>
      </c>
      <c r="G741" s="1">
        <v>-2602.7570000000001</v>
      </c>
      <c r="H741" s="1">
        <v>1009.888</v>
      </c>
      <c r="I741" s="1">
        <v>0</v>
      </c>
    </row>
    <row r="742" spans="1:9" hidden="1" x14ac:dyDescent="0.25">
      <c r="A742" s="1" t="s">
        <v>158</v>
      </c>
      <c r="B742" s="1" t="s">
        <v>184</v>
      </c>
      <c r="C742" s="1" t="s">
        <v>25</v>
      </c>
      <c r="D742" s="1">
        <v>0</v>
      </c>
      <c r="E742" s="1">
        <v>0</v>
      </c>
      <c r="F742" s="1">
        <v>160.66</v>
      </c>
      <c r="G742" s="1">
        <v>3181.1469999999999</v>
      </c>
      <c r="H742" s="1">
        <v>-367.23200000000003</v>
      </c>
      <c r="I742" s="1">
        <v>0</v>
      </c>
    </row>
    <row r="743" spans="1:9" hidden="1" x14ac:dyDescent="0.25">
      <c r="A743" s="1" t="s">
        <v>158</v>
      </c>
      <c r="B743" s="1" t="s">
        <v>184</v>
      </c>
      <c r="C743" s="1" t="s">
        <v>10</v>
      </c>
      <c r="D743" s="1">
        <v>0</v>
      </c>
      <c r="E743" s="1">
        <v>0</v>
      </c>
      <c r="F743" s="1">
        <v>160.66</v>
      </c>
      <c r="G743" s="1">
        <v>3181.1469999999999</v>
      </c>
      <c r="H743" s="1">
        <v>-1009.888</v>
      </c>
      <c r="I743" s="1">
        <v>0</v>
      </c>
    </row>
    <row r="744" spans="1:9" hidden="1" x14ac:dyDescent="0.25">
      <c r="A744" s="1" t="s">
        <v>158</v>
      </c>
      <c r="B744" s="1" t="s">
        <v>185</v>
      </c>
      <c r="C744" s="1" t="s">
        <v>25</v>
      </c>
      <c r="D744" s="1">
        <v>0</v>
      </c>
      <c r="E744" s="1">
        <v>0</v>
      </c>
      <c r="F744" s="1">
        <v>160.66</v>
      </c>
      <c r="G744" s="1">
        <v>2602.7570000000001</v>
      </c>
      <c r="H744" s="1">
        <v>-367.23200000000003</v>
      </c>
      <c r="I744" s="1">
        <v>0</v>
      </c>
    </row>
    <row r="745" spans="1:9" hidden="1" x14ac:dyDescent="0.25">
      <c r="A745" s="1" t="s">
        <v>158</v>
      </c>
      <c r="B745" s="1" t="s">
        <v>185</v>
      </c>
      <c r="C745" s="1" t="s">
        <v>10</v>
      </c>
      <c r="D745" s="1">
        <v>0</v>
      </c>
      <c r="E745" s="1">
        <v>0</v>
      </c>
      <c r="F745" s="1">
        <v>160.66</v>
      </c>
      <c r="G745" s="1">
        <v>2602.7570000000001</v>
      </c>
      <c r="H745" s="1">
        <v>-1009.888</v>
      </c>
      <c r="I745" s="1">
        <v>0</v>
      </c>
    </row>
    <row r="746" spans="1:9" hidden="1" x14ac:dyDescent="0.25">
      <c r="A746" s="1" t="s">
        <v>158</v>
      </c>
      <c r="B746" s="1" t="s">
        <v>186</v>
      </c>
      <c r="C746" s="1" t="s">
        <v>25</v>
      </c>
      <c r="D746" s="1">
        <v>0</v>
      </c>
      <c r="E746" s="1">
        <v>-132.91999999999999</v>
      </c>
      <c r="F746" s="1">
        <v>0</v>
      </c>
      <c r="G746" s="1">
        <v>2193.127</v>
      </c>
      <c r="H746" s="1">
        <v>0</v>
      </c>
      <c r="I746" s="1">
        <v>-303.81</v>
      </c>
    </row>
    <row r="747" spans="1:9" hidden="1" x14ac:dyDescent="0.25">
      <c r="A747" s="1" t="s">
        <v>158</v>
      </c>
      <c r="B747" s="1" t="s">
        <v>186</v>
      </c>
      <c r="C747" s="1" t="s">
        <v>10</v>
      </c>
      <c r="D747" s="1">
        <v>0</v>
      </c>
      <c r="E747" s="1">
        <v>-132.91999999999999</v>
      </c>
      <c r="F747" s="1">
        <v>0</v>
      </c>
      <c r="G747" s="1">
        <v>2193.127</v>
      </c>
      <c r="H747" s="1">
        <v>0</v>
      </c>
      <c r="I747" s="1">
        <v>-835.47699999999998</v>
      </c>
    </row>
    <row r="748" spans="1:9" hidden="1" x14ac:dyDescent="0.25">
      <c r="A748" s="1" t="s">
        <v>158</v>
      </c>
      <c r="B748" s="1" t="s">
        <v>187</v>
      </c>
      <c r="C748" s="1" t="s">
        <v>25</v>
      </c>
      <c r="D748" s="1">
        <v>0</v>
      </c>
      <c r="E748" s="1">
        <v>-132.91999999999999</v>
      </c>
      <c r="F748" s="1">
        <v>0</v>
      </c>
      <c r="G748" s="1">
        <v>1794.376</v>
      </c>
      <c r="H748" s="1">
        <v>0</v>
      </c>
      <c r="I748" s="1">
        <v>-303.81</v>
      </c>
    </row>
    <row r="749" spans="1:9" hidden="1" x14ac:dyDescent="0.25">
      <c r="A749" s="1" t="s">
        <v>158</v>
      </c>
      <c r="B749" s="1" t="s">
        <v>187</v>
      </c>
      <c r="C749" s="1" t="s">
        <v>10</v>
      </c>
      <c r="D749" s="1">
        <v>0</v>
      </c>
      <c r="E749" s="1">
        <v>-132.91999999999999</v>
      </c>
      <c r="F749" s="1">
        <v>0</v>
      </c>
      <c r="G749" s="1">
        <v>1794.376</v>
      </c>
      <c r="H749" s="1">
        <v>0</v>
      </c>
      <c r="I749" s="1">
        <v>-835.47699999999998</v>
      </c>
    </row>
    <row r="750" spans="1:9" hidden="1" x14ac:dyDescent="0.25">
      <c r="A750" s="1" t="s">
        <v>158</v>
      </c>
      <c r="B750" s="1" t="s">
        <v>188</v>
      </c>
      <c r="C750" s="1" t="s">
        <v>25</v>
      </c>
      <c r="D750" s="1">
        <v>0</v>
      </c>
      <c r="E750" s="1">
        <v>132.91999999999999</v>
      </c>
      <c r="F750" s="1">
        <v>0</v>
      </c>
      <c r="G750" s="1">
        <v>-2193.127</v>
      </c>
      <c r="H750" s="1">
        <v>0</v>
      </c>
      <c r="I750" s="1">
        <v>303.81</v>
      </c>
    </row>
    <row r="751" spans="1:9" hidden="1" x14ac:dyDescent="0.25">
      <c r="A751" s="1" t="s">
        <v>158</v>
      </c>
      <c r="B751" s="1" t="s">
        <v>188</v>
      </c>
      <c r="C751" s="1" t="s">
        <v>10</v>
      </c>
      <c r="D751" s="1">
        <v>0</v>
      </c>
      <c r="E751" s="1">
        <v>132.91999999999999</v>
      </c>
      <c r="F751" s="1">
        <v>0</v>
      </c>
      <c r="G751" s="1">
        <v>-2193.127</v>
      </c>
      <c r="H751" s="1">
        <v>0</v>
      </c>
      <c r="I751" s="1">
        <v>835.47699999999998</v>
      </c>
    </row>
    <row r="752" spans="1:9" hidden="1" x14ac:dyDescent="0.25">
      <c r="A752" s="1" t="s">
        <v>158</v>
      </c>
      <c r="B752" s="1" t="s">
        <v>189</v>
      </c>
      <c r="C752" s="1" t="s">
        <v>25</v>
      </c>
      <c r="D752" s="1">
        <v>0</v>
      </c>
      <c r="E752" s="1">
        <v>132.91999999999999</v>
      </c>
      <c r="F752" s="1">
        <v>0</v>
      </c>
      <c r="G752" s="1">
        <v>-1794.376</v>
      </c>
      <c r="H752" s="1">
        <v>0</v>
      </c>
      <c r="I752" s="1">
        <v>303.81</v>
      </c>
    </row>
    <row r="753" spans="1:9" hidden="1" x14ac:dyDescent="0.25">
      <c r="A753" s="1" t="s">
        <v>158</v>
      </c>
      <c r="B753" s="1" t="s">
        <v>189</v>
      </c>
      <c r="C753" s="1" t="s">
        <v>10</v>
      </c>
      <c r="D753" s="1">
        <v>0</v>
      </c>
      <c r="E753" s="1">
        <v>132.91999999999999</v>
      </c>
      <c r="F753" s="1">
        <v>0</v>
      </c>
      <c r="G753" s="1">
        <v>-1794.376</v>
      </c>
      <c r="H753" s="1">
        <v>0</v>
      </c>
      <c r="I753" s="1">
        <v>835.47699999999998</v>
      </c>
    </row>
    <row r="754" spans="1:9" hidden="1" x14ac:dyDescent="0.25">
      <c r="A754" s="1" t="s">
        <v>158</v>
      </c>
      <c r="B754" s="1" t="s">
        <v>190</v>
      </c>
      <c r="C754" s="1" t="s">
        <v>25</v>
      </c>
      <c r="D754" s="1">
        <v>0</v>
      </c>
      <c r="E754" s="1">
        <v>0</v>
      </c>
      <c r="F754" s="1">
        <v>-160.66</v>
      </c>
      <c r="G754" s="1">
        <v>-3181.1469999999999</v>
      </c>
      <c r="H754" s="1">
        <v>367.23200000000003</v>
      </c>
      <c r="I754" s="1">
        <v>0</v>
      </c>
    </row>
    <row r="755" spans="1:9" hidden="1" x14ac:dyDescent="0.25">
      <c r="A755" s="1" t="s">
        <v>158</v>
      </c>
      <c r="B755" s="1" t="s">
        <v>190</v>
      </c>
      <c r="C755" s="1" t="s">
        <v>10</v>
      </c>
      <c r="D755" s="1">
        <v>0</v>
      </c>
      <c r="E755" s="1">
        <v>0</v>
      </c>
      <c r="F755" s="1">
        <v>-160.66</v>
      </c>
      <c r="G755" s="1">
        <v>-3181.1469999999999</v>
      </c>
      <c r="H755" s="1">
        <v>1009.888</v>
      </c>
      <c r="I755" s="1">
        <v>0</v>
      </c>
    </row>
    <row r="756" spans="1:9" hidden="1" x14ac:dyDescent="0.25">
      <c r="A756" s="1" t="s">
        <v>158</v>
      </c>
      <c r="B756" s="1" t="s">
        <v>191</v>
      </c>
      <c r="C756" s="1" t="s">
        <v>25</v>
      </c>
      <c r="D756" s="1">
        <v>0</v>
      </c>
      <c r="E756" s="1">
        <v>0</v>
      </c>
      <c r="F756" s="1">
        <v>-160.66</v>
      </c>
      <c r="G756" s="1">
        <v>-2602.7570000000001</v>
      </c>
      <c r="H756" s="1">
        <v>367.23200000000003</v>
      </c>
      <c r="I756" s="1">
        <v>0</v>
      </c>
    </row>
    <row r="757" spans="1:9" hidden="1" x14ac:dyDescent="0.25">
      <c r="A757" s="1" t="s">
        <v>158</v>
      </c>
      <c r="B757" s="1" t="s">
        <v>191</v>
      </c>
      <c r="C757" s="1" t="s">
        <v>10</v>
      </c>
      <c r="D757" s="1">
        <v>0</v>
      </c>
      <c r="E757" s="1">
        <v>0</v>
      </c>
      <c r="F757" s="1">
        <v>-160.66</v>
      </c>
      <c r="G757" s="1">
        <v>-2602.7570000000001</v>
      </c>
      <c r="H757" s="1">
        <v>1009.888</v>
      </c>
      <c r="I757" s="1">
        <v>0</v>
      </c>
    </row>
    <row r="758" spans="1:9" hidden="1" x14ac:dyDescent="0.25">
      <c r="A758" s="1" t="s">
        <v>158</v>
      </c>
      <c r="B758" s="1" t="s">
        <v>192</v>
      </c>
      <c r="C758" s="1" t="s">
        <v>25</v>
      </c>
      <c r="D758" s="1">
        <v>0</v>
      </c>
      <c r="E758" s="1">
        <v>0</v>
      </c>
      <c r="F758" s="1">
        <v>160.66</v>
      </c>
      <c r="G758" s="1">
        <v>3181.1469999999999</v>
      </c>
      <c r="H758" s="1">
        <v>-367.23200000000003</v>
      </c>
      <c r="I758" s="1">
        <v>0</v>
      </c>
    </row>
    <row r="759" spans="1:9" hidden="1" x14ac:dyDescent="0.25">
      <c r="A759" s="1" t="s">
        <v>158</v>
      </c>
      <c r="B759" s="1" t="s">
        <v>192</v>
      </c>
      <c r="C759" s="1" t="s">
        <v>10</v>
      </c>
      <c r="D759" s="1">
        <v>0</v>
      </c>
      <c r="E759" s="1">
        <v>0</v>
      </c>
      <c r="F759" s="1">
        <v>160.66</v>
      </c>
      <c r="G759" s="1">
        <v>3181.1469999999999</v>
      </c>
      <c r="H759" s="1">
        <v>-1009.888</v>
      </c>
      <c r="I759" s="1">
        <v>0</v>
      </c>
    </row>
    <row r="760" spans="1:9" hidden="1" x14ac:dyDescent="0.25">
      <c r="A760" s="1" t="s">
        <v>158</v>
      </c>
      <c r="B760" s="1" t="s">
        <v>193</v>
      </c>
      <c r="C760" s="1" t="s">
        <v>25</v>
      </c>
      <c r="D760" s="1">
        <v>0</v>
      </c>
      <c r="E760" s="1">
        <v>0</v>
      </c>
      <c r="F760" s="1">
        <v>160.66</v>
      </c>
      <c r="G760" s="1">
        <v>2602.7570000000001</v>
      </c>
      <c r="H760" s="1">
        <v>-367.23200000000003</v>
      </c>
      <c r="I760" s="1">
        <v>0</v>
      </c>
    </row>
    <row r="761" spans="1:9" hidden="1" x14ac:dyDescent="0.25">
      <c r="A761" s="1" t="s">
        <v>158</v>
      </c>
      <c r="B761" s="1" t="s">
        <v>193</v>
      </c>
      <c r="C761" s="1" t="s">
        <v>10</v>
      </c>
      <c r="D761" s="1">
        <v>0</v>
      </c>
      <c r="E761" s="1">
        <v>0</v>
      </c>
      <c r="F761" s="1">
        <v>160.66</v>
      </c>
      <c r="G761" s="1">
        <v>2602.7570000000001</v>
      </c>
      <c r="H761" s="1">
        <v>-1009.888</v>
      </c>
      <c r="I761" s="1">
        <v>0</v>
      </c>
    </row>
    <row r="762" spans="1:9" hidden="1" x14ac:dyDescent="0.25">
      <c r="A762" s="1" t="s">
        <v>158</v>
      </c>
      <c r="B762" s="1" t="s">
        <v>194</v>
      </c>
      <c r="C762" s="1" t="s">
        <v>25</v>
      </c>
      <c r="D762" s="1">
        <v>0</v>
      </c>
      <c r="E762" s="1">
        <v>-443.06</v>
      </c>
      <c r="F762" s="1">
        <v>0</v>
      </c>
      <c r="G762" s="1">
        <v>7310.4229999999998</v>
      </c>
      <c r="H762" s="1">
        <v>0</v>
      </c>
      <c r="I762" s="1">
        <v>-1012.699</v>
      </c>
    </row>
    <row r="763" spans="1:9" hidden="1" x14ac:dyDescent="0.25">
      <c r="A763" s="1" t="s">
        <v>158</v>
      </c>
      <c r="B763" s="1" t="s">
        <v>194</v>
      </c>
      <c r="C763" s="1" t="s">
        <v>10</v>
      </c>
      <c r="D763" s="1">
        <v>0</v>
      </c>
      <c r="E763" s="1">
        <v>-443.06</v>
      </c>
      <c r="F763" s="1">
        <v>0</v>
      </c>
      <c r="G763" s="1">
        <v>7310.4229999999998</v>
      </c>
      <c r="H763" s="1">
        <v>0</v>
      </c>
      <c r="I763" s="1">
        <v>-2784.9229999999998</v>
      </c>
    </row>
    <row r="764" spans="1:9" hidden="1" x14ac:dyDescent="0.25">
      <c r="A764" s="1" t="s">
        <v>158</v>
      </c>
      <c r="B764" s="1" t="s">
        <v>195</v>
      </c>
      <c r="C764" s="1" t="s">
        <v>25</v>
      </c>
      <c r="D764" s="1">
        <v>0</v>
      </c>
      <c r="E764" s="1">
        <v>-443.06</v>
      </c>
      <c r="F764" s="1">
        <v>0</v>
      </c>
      <c r="G764" s="1">
        <v>5981.2550000000001</v>
      </c>
      <c r="H764" s="1">
        <v>0</v>
      </c>
      <c r="I764" s="1">
        <v>-1012.699</v>
      </c>
    </row>
    <row r="765" spans="1:9" hidden="1" x14ac:dyDescent="0.25">
      <c r="A765" s="1" t="s">
        <v>158</v>
      </c>
      <c r="B765" s="1" t="s">
        <v>195</v>
      </c>
      <c r="C765" s="1" t="s">
        <v>10</v>
      </c>
      <c r="D765" s="1">
        <v>0</v>
      </c>
      <c r="E765" s="1">
        <v>-443.06</v>
      </c>
      <c r="F765" s="1">
        <v>0</v>
      </c>
      <c r="G765" s="1">
        <v>5981.2550000000001</v>
      </c>
      <c r="H765" s="1">
        <v>0</v>
      </c>
      <c r="I765" s="1">
        <v>-2784.9229999999998</v>
      </c>
    </row>
    <row r="766" spans="1:9" hidden="1" x14ac:dyDescent="0.25">
      <c r="A766" s="1" t="s">
        <v>158</v>
      </c>
      <c r="B766" s="1" t="s">
        <v>196</v>
      </c>
      <c r="C766" s="1" t="s">
        <v>25</v>
      </c>
      <c r="D766" s="1">
        <v>0</v>
      </c>
      <c r="E766" s="1">
        <v>443.06</v>
      </c>
      <c r="F766" s="1">
        <v>0</v>
      </c>
      <c r="G766" s="1">
        <v>-7310.4229999999998</v>
      </c>
      <c r="H766" s="1">
        <v>0</v>
      </c>
      <c r="I766" s="1">
        <v>1012.699</v>
      </c>
    </row>
    <row r="767" spans="1:9" hidden="1" x14ac:dyDescent="0.25">
      <c r="A767" s="1" t="s">
        <v>158</v>
      </c>
      <c r="B767" s="1" t="s">
        <v>196</v>
      </c>
      <c r="C767" s="1" t="s">
        <v>10</v>
      </c>
      <c r="D767" s="1">
        <v>0</v>
      </c>
      <c r="E767" s="1">
        <v>443.06</v>
      </c>
      <c r="F767" s="1">
        <v>0</v>
      </c>
      <c r="G767" s="1">
        <v>-7310.4229999999998</v>
      </c>
      <c r="H767" s="1">
        <v>0</v>
      </c>
      <c r="I767" s="1">
        <v>2784.9229999999998</v>
      </c>
    </row>
    <row r="768" spans="1:9" hidden="1" x14ac:dyDescent="0.25">
      <c r="A768" s="1" t="s">
        <v>158</v>
      </c>
      <c r="B768" s="1" t="s">
        <v>197</v>
      </c>
      <c r="C768" s="1" t="s">
        <v>25</v>
      </c>
      <c r="D768" s="1">
        <v>0</v>
      </c>
      <c r="E768" s="1">
        <v>443.06</v>
      </c>
      <c r="F768" s="1">
        <v>0</v>
      </c>
      <c r="G768" s="1">
        <v>-5981.2550000000001</v>
      </c>
      <c r="H768" s="1">
        <v>0</v>
      </c>
      <c r="I768" s="1">
        <v>1012.699</v>
      </c>
    </row>
    <row r="769" spans="1:9" hidden="1" x14ac:dyDescent="0.25">
      <c r="A769" s="1" t="s">
        <v>158</v>
      </c>
      <c r="B769" s="1" t="s">
        <v>197</v>
      </c>
      <c r="C769" s="1" t="s">
        <v>10</v>
      </c>
      <c r="D769" s="1">
        <v>0</v>
      </c>
      <c r="E769" s="1">
        <v>443.06</v>
      </c>
      <c r="F769" s="1">
        <v>0</v>
      </c>
      <c r="G769" s="1">
        <v>-5981.2550000000001</v>
      </c>
      <c r="H769" s="1">
        <v>0</v>
      </c>
      <c r="I769" s="1">
        <v>2784.9229999999998</v>
      </c>
    </row>
    <row r="770" spans="1:9" hidden="1" x14ac:dyDescent="0.25">
      <c r="A770" s="1" t="s">
        <v>158</v>
      </c>
      <c r="B770" s="1" t="s">
        <v>198</v>
      </c>
      <c r="C770" s="1" t="s">
        <v>25</v>
      </c>
      <c r="D770" s="1">
        <v>0</v>
      </c>
      <c r="E770" s="1">
        <v>0</v>
      </c>
      <c r="F770" s="1">
        <v>-535.54999999999995</v>
      </c>
      <c r="G770" s="1">
        <v>-10603.824000000001</v>
      </c>
      <c r="H770" s="1">
        <v>1224.107</v>
      </c>
      <c r="I770" s="1">
        <v>0</v>
      </c>
    </row>
    <row r="771" spans="1:9" hidden="1" x14ac:dyDescent="0.25">
      <c r="A771" s="1" t="s">
        <v>158</v>
      </c>
      <c r="B771" s="1" t="s">
        <v>198</v>
      </c>
      <c r="C771" s="1" t="s">
        <v>10</v>
      </c>
      <c r="D771" s="1">
        <v>0</v>
      </c>
      <c r="E771" s="1">
        <v>0</v>
      </c>
      <c r="F771" s="1">
        <v>-535.54999999999995</v>
      </c>
      <c r="G771" s="1">
        <v>-10603.824000000001</v>
      </c>
      <c r="H771" s="1">
        <v>3366.2930000000001</v>
      </c>
      <c r="I771" s="1">
        <v>0</v>
      </c>
    </row>
    <row r="772" spans="1:9" hidden="1" x14ac:dyDescent="0.25">
      <c r="A772" s="1" t="s">
        <v>158</v>
      </c>
      <c r="B772" s="1" t="s">
        <v>199</v>
      </c>
      <c r="C772" s="1" t="s">
        <v>25</v>
      </c>
      <c r="D772" s="1">
        <v>0</v>
      </c>
      <c r="E772" s="1">
        <v>0</v>
      </c>
      <c r="F772" s="1">
        <v>-535.54999999999995</v>
      </c>
      <c r="G772" s="1">
        <v>-8675.8559999999998</v>
      </c>
      <c r="H772" s="1">
        <v>1224.107</v>
      </c>
      <c r="I772" s="1">
        <v>0</v>
      </c>
    </row>
    <row r="773" spans="1:9" hidden="1" x14ac:dyDescent="0.25">
      <c r="A773" s="1" t="s">
        <v>158</v>
      </c>
      <c r="B773" s="1" t="s">
        <v>199</v>
      </c>
      <c r="C773" s="1" t="s">
        <v>10</v>
      </c>
      <c r="D773" s="1">
        <v>0</v>
      </c>
      <c r="E773" s="1">
        <v>0</v>
      </c>
      <c r="F773" s="1">
        <v>-535.54999999999995</v>
      </c>
      <c r="G773" s="1">
        <v>-8675.8559999999998</v>
      </c>
      <c r="H773" s="1">
        <v>3366.2930000000001</v>
      </c>
      <c r="I773" s="1">
        <v>0</v>
      </c>
    </row>
    <row r="774" spans="1:9" hidden="1" x14ac:dyDescent="0.25">
      <c r="A774" s="1" t="s">
        <v>158</v>
      </c>
      <c r="B774" s="1" t="s">
        <v>200</v>
      </c>
      <c r="C774" s="1" t="s">
        <v>25</v>
      </c>
      <c r="D774" s="1">
        <v>0</v>
      </c>
      <c r="E774" s="1">
        <v>0</v>
      </c>
      <c r="F774" s="1">
        <v>535.54999999999995</v>
      </c>
      <c r="G774" s="1">
        <v>10603.824000000001</v>
      </c>
      <c r="H774" s="1">
        <v>-1224.107</v>
      </c>
      <c r="I774" s="1">
        <v>0</v>
      </c>
    </row>
    <row r="775" spans="1:9" hidden="1" x14ac:dyDescent="0.25">
      <c r="A775" s="1" t="s">
        <v>158</v>
      </c>
      <c r="B775" s="1" t="s">
        <v>200</v>
      </c>
      <c r="C775" s="1" t="s">
        <v>10</v>
      </c>
      <c r="D775" s="1">
        <v>0</v>
      </c>
      <c r="E775" s="1">
        <v>0</v>
      </c>
      <c r="F775" s="1">
        <v>535.54999999999995</v>
      </c>
      <c r="G775" s="1">
        <v>10603.824000000001</v>
      </c>
      <c r="H775" s="1">
        <v>-3366.2930000000001</v>
      </c>
      <c r="I775" s="1">
        <v>0</v>
      </c>
    </row>
    <row r="776" spans="1:9" hidden="1" x14ac:dyDescent="0.25">
      <c r="A776" s="1" t="s">
        <v>158</v>
      </c>
      <c r="B776" s="1" t="s">
        <v>201</v>
      </c>
      <c r="C776" s="1" t="s">
        <v>25</v>
      </c>
      <c r="D776" s="1">
        <v>0</v>
      </c>
      <c r="E776" s="1">
        <v>0</v>
      </c>
      <c r="F776" s="1">
        <v>535.54999999999995</v>
      </c>
      <c r="G776" s="1">
        <v>8675.8559999999998</v>
      </c>
      <c r="H776" s="1">
        <v>-1224.107</v>
      </c>
      <c r="I776" s="1">
        <v>0</v>
      </c>
    </row>
    <row r="777" spans="1:9" hidden="1" x14ac:dyDescent="0.25">
      <c r="A777" s="1" t="s">
        <v>158</v>
      </c>
      <c r="B777" s="1" t="s">
        <v>201</v>
      </c>
      <c r="C777" s="1" t="s">
        <v>10</v>
      </c>
      <c r="D777" s="1">
        <v>0</v>
      </c>
      <c r="E777" s="1">
        <v>0</v>
      </c>
      <c r="F777" s="1">
        <v>535.54999999999995</v>
      </c>
      <c r="G777" s="1">
        <v>8675.8559999999998</v>
      </c>
      <c r="H777" s="1">
        <v>-3366.2930000000001</v>
      </c>
      <c r="I777" s="1">
        <v>0</v>
      </c>
    </row>
    <row r="778" spans="1:9" hidden="1" x14ac:dyDescent="0.25">
      <c r="A778" s="1" t="s">
        <v>158</v>
      </c>
      <c r="B778" s="1" t="s">
        <v>202</v>
      </c>
      <c r="C778" s="1" t="s">
        <v>25</v>
      </c>
      <c r="D778" s="1">
        <v>0</v>
      </c>
      <c r="E778" s="1">
        <v>-443.06</v>
      </c>
      <c r="F778" s="1">
        <v>0</v>
      </c>
      <c r="G778" s="1">
        <v>7310.4229999999998</v>
      </c>
      <c r="H778" s="1">
        <v>0</v>
      </c>
      <c r="I778" s="1">
        <v>-1012.699</v>
      </c>
    </row>
    <row r="779" spans="1:9" hidden="1" x14ac:dyDescent="0.25">
      <c r="A779" s="1" t="s">
        <v>158</v>
      </c>
      <c r="B779" s="1" t="s">
        <v>202</v>
      </c>
      <c r="C779" s="1" t="s">
        <v>10</v>
      </c>
      <c r="D779" s="1">
        <v>0</v>
      </c>
      <c r="E779" s="1">
        <v>-443.06</v>
      </c>
      <c r="F779" s="1">
        <v>0</v>
      </c>
      <c r="G779" s="1">
        <v>7310.4229999999998</v>
      </c>
      <c r="H779" s="1">
        <v>0</v>
      </c>
      <c r="I779" s="1">
        <v>-2784.9229999999998</v>
      </c>
    </row>
    <row r="780" spans="1:9" hidden="1" x14ac:dyDescent="0.25">
      <c r="A780" s="1" t="s">
        <v>158</v>
      </c>
      <c r="B780" s="1" t="s">
        <v>203</v>
      </c>
      <c r="C780" s="1" t="s">
        <v>25</v>
      </c>
      <c r="D780" s="1">
        <v>0</v>
      </c>
      <c r="E780" s="1">
        <v>-443.06</v>
      </c>
      <c r="F780" s="1">
        <v>0</v>
      </c>
      <c r="G780" s="1">
        <v>5981.2550000000001</v>
      </c>
      <c r="H780" s="1">
        <v>0</v>
      </c>
      <c r="I780" s="1">
        <v>-1012.699</v>
      </c>
    </row>
    <row r="781" spans="1:9" hidden="1" x14ac:dyDescent="0.25">
      <c r="A781" s="1" t="s">
        <v>158</v>
      </c>
      <c r="B781" s="1" t="s">
        <v>203</v>
      </c>
      <c r="C781" s="1" t="s">
        <v>10</v>
      </c>
      <c r="D781" s="1">
        <v>0</v>
      </c>
      <c r="E781" s="1">
        <v>-443.06</v>
      </c>
      <c r="F781" s="1">
        <v>0</v>
      </c>
      <c r="G781" s="1">
        <v>5981.2550000000001</v>
      </c>
      <c r="H781" s="1">
        <v>0</v>
      </c>
      <c r="I781" s="1">
        <v>-2784.9229999999998</v>
      </c>
    </row>
    <row r="782" spans="1:9" hidden="1" x14ac:dyDescent="0.25">
      <c r="A782" s="1" t="s">
        <v>158</v>
      </c>
      <c r="B782" s="1" t="s">
        <v>204</v>
      </c>
      <c r="C782" s="1" t="s">
        <v>25</v>
      </c>
      <c r="D782" s="1">
        <v>0</v>
      </c>
      <c r="E782" s="1">
        <v>443.06</v>
      </c>
      <c r="F782" s="1">
        <v>0</v>
      </c>
      <c r="G782" s="1">
        <v>-7310.4229999999998</v>
      </c>
      <c r="H782" s="1">
        <v>0</v>
      </c>
      <c r="I782" s="1">
        <v>1012.699</v>
      </c>
    </row>
    <row r="783" spans="1:9" hidden="1" x14ac:dyDescent="0.25">
      <c r="A783" s="1" t="s">
        <v>158</v>
      </c>
      <c r="B783" s="1" t="s">
        <v>204</v>
      </c>
      <c r="C783" s="1" t="s">
        <v>10</v>
      </c>
      <c r="D783" s="1">
        <v>0</v>
      </c>
      <c r="E783" s="1">
        <v>443.06</v>
      </c>
      <c r="F783" s="1">
        <v>0</v>
      </c>
      <c r="G783" s="1">
        <v>-7310.4229999999998</v>
      </c>
      <c r="H783" s="1">
        <v>0</v>
      </c>
      <c r="I783" s="1">
        <v>2784.9229999999998</v>
      </c>
    </row>
    <row r="784" spans="1:9" hidden="1" x14ac:dyDescent="0.25">
      <c r="A784" s="1" t="s">
        <v>158</v>
      </c>
      <c r="B784" s="1" t="s">
        <v>205</v>
      </c>
      <c r="C784" s="1" t="s">
        <v>25</v>
      </c>
      <c r="D784" s="1">
        <v>0</v>
      </c>
      <c r="E784" s="1">
        <v>443.06</v>
      </c>
      <c r="F784" s="1">
        <v>0</v>
      </c>
      <c r="G784" s="1">
        <v>-5981.2550000000001</v>
      </c>
      <c r="H784" s="1">
        <v>0</v>
      </c>
      <c r="I784" s="1">
        <v>1012.699</v>
      </c>
    </row>
    <row r="785" spans="1:9" hidden="1" x14ac:dyDescent="0.25">
      <c r="A785" s="1" t="s">
        <v>158</v>
      </c>
      <c r="B785" s="1" t="s">
        <v>205</v>
      </c>
      <c r="C785" s="1" t="s">
        <v>10</v>
      </c>
      <c r="D785" s="1">
        <v>0</v>
      </c>
      <c r="E785" s="1">
        <v>443.06</v>
      </c>
      <c r="F785" s="1">
        <v>0</v>
      </c>
      <c r="G785" s="1">
        <v>-5981.2550000000001</v>
      </c>
      <c r="H785" s="1">
        <v>0</v>
      </c>
      <c r="I785" s="1">
        <v>2784.9229999999998</v>
      </c>
    </row>
    <row r="786" spans="1:9" hidden="1" x14ac:dyDescent="0.25">
      <c r="A786" s="1" t="s">
        <v>158</v>
      </c>
      <c r="B786" s="1" t="s">
        <v>206</v>
      </c>
      <c r="C786" s="1" t="s">
        <v>25</v>
      </c>
      <c r="D786" s="1">
        <v>0</v>
      </c>
      <c r="E786" s="1">
        <v>0</v>
      </c>
      <c r="F786" s="1">
        <v>-535.54999999999995</v>
      </c>
      <c r="G786" s="1">
        <v>-10603.824000000001</v>
      </c>
      <c r="H786" s="1">
        <v>1224.107</v>
      </c>
      <c r="I786" s="1">
        <v>0</v>
      </c>
    </row>
    <row r="787" spans="1:9" hidden="1" x14ac:dyDescent="0.25">
      <c r="A787" s="1" t="s">
        <v>158</v>
      </c>
      <c r="B787" s="1" t="s">
        <v>206</v>
      </c>
      <c r="C787" s="1" t="s">
        <v>10</v>
      </c>
      <c r="D787" s="1">
        <v>0</v>
      </c>
      <c r="E787" s="1">
        <v>0</v>
      </c>
      <c r="F787" s="1">
        <v>-535.54999999999995</v>
      </c>
      <c r="G787" s="1">
        <v>-10603.824000000001</v>
      </c>
      <c r="H787" s="1">
        <v>3366.2930000000001</v>
      </c>
      <c r="I787" s="1">
        <v>0</v>
      </c>
    </row>
    <row r="788" spans="1:9" hidden="1" x14ac:dyDescent="0.25">
      <c r="A788" s="1" t="s">
        <v>158</v>
      </c>
      <c r="B788" s="1" t="s">
        <v>207</v>
      </c>
      <c r="C788" s="1" t="s">
        <v>25</v>
      </c>
      <c r="D788" s="1">
        <v>0</v>
      </c>
      <c r="E788" s="1">
        <v>0</v>
      </c>
      <c r="F788" s="1">
        <v>-535.54999999999995</v>
      </c>
      <c r="G788" s="1">
        <v>-8675.8559999999998</v>
      </c>
      <c r="H788" s="1">
        <v>1224.107</v>
      </c>
      <c r="I788" s="1">
        <v>0</v>
      </c>
    </row>
    <row r="789" spans="1:9" hidden="1" x14ac:dyDescent="0.25">
      <c r="A789" s="1" t="s">
        <v>158</v>
      </c>
      <c r="B789" s="1" t="s">
        <v>207</v>
      </c>
      <c r="C789" s="1" t="s">
        <v>10</v>
      </c>
      <c r="D789" s="1">
        <v>0</v>
      </c>
      <c r="E789" s="1">
        <v>0</v>
      </c>
      <c r="F789" s="1">
        <v>-535.54999999999995</v>
      </c>
      <c r="G789" s="1">
        <v>-8675.8559999999998</v>
      </c>
      <c r="H789" s="1">
        <v>3366.2930000000001</v>
      </c>
      <c r="I789" s="1">
        <v>0</v>
      </c>
    </row>
    <row r="790" spans="1:9" hidden="1" x14ac:dyDescent="0.25">
      <c r="A790" s="1" t="s">
        <v>158</v>
      </c>
      <c r="B790" s="1" t="s">
        <v>208</v>
      </c>
      <c r="C790" s="1" t="s">
        <v>25</v>
      </c>
      <c r="D790" s="1">
        <v>0</v>
      </c>
      <c r="E790" s="1">
        <v>0</v>
      </c>
      <c r="F790" s="1">
        <v>535.54999999999995</v>
      </c>
      <c r="G790" s="1">
        <v>10603.824000000001</v>
      </c>
      <c r="H790" s="1">
        <v>-1224.107</v>
      </c>
      <c r="I790" s="1">
        <v>0</v>
      </c>
    </row>
    <row r="791" spans="1:9" hidden="1" x14ac:dyDescent="0.25">
      <c r="A791" s="1" t="s">
        <v>158</v>
      </c>
      <c r="B791" s="1" t="s">
        <v>208</v>
      </c>
      <c r="C791" s="1" t="s">
        <v>10</v>
      </c>
      <c r="D791" s="1">
        <v>0</v>
      </c>
      <c r="E791" s="1">
        <v>0</v>
      </c>
      <c r="F791" s="1">
        <v>535.54999999999995</v>
      </c>
      <c r="G791" s="1">
        <v>10603.824000000001</v>
      </c>
      <c r="H791" s="1">
        <v>-3366.2930000000001</v>
      </c>
      <c r="I791" s="1">
        <v>0</v>
      </c>
    </row>
    <row r="792" spans="1:9" hidden="1" x14ac:dyDescent="0.25">
      <c r="A792" s="1" t="s">
        <v>158</v>
      </c>
      <c r="B792" s="1" t="s">
        <v>209</v>
      </c>
      <c r="C792" s="1" t="s">
        <v>25</v>
      </c>
      <c r="D792" s="1">
        <v>0</v>
      </c>
      <c r="E792" s="1">
        <v>0</v>
      </c>
      <c r="F792" s="1">
        <v>535.54999999999995</v>
      </c>
      <c r="G792" s="1">
        <v>8675.8559999999998</v>
      </c>
      <c r="H792" s="1">
        <v>-1224.107</v>
      </c>
      <c r="I792" s="1">
        <v>0</v>
      </c>
    </row>
    <row r="793" spans="1:9" hidden="1" x14ac:dyDescent="0.25">
      <c r="A793" s="1" t="s">
        <v>158</v>
      </c>
      <c r="B793" s="1" t="s">
        <v>209</v>
      </c>
      <c r="C793" s="1" t="s">
        <v>10</v>
      </c>
      <c r="D793" s="1">
        <v>0</v>
      </c>
      <c r="E793" s="1">
        <v>0</v>
      </c>
      <c r="F793" s="1">
        <v>535.54999999999995</v>
      </c>
      <c r="G793" s="1">
        <v>8675.8559999999998</v>
      </c>
      <c r="H793" s="1">
        <v>-3366.2930000000001</v>
      </c>
      <c r="I793" s="1">
        <v>0</v>
      </c>
    </row>
    <row r="794" spans="1:9" hidden="1" x14ac:dyDescent="0.25">
      <c r="A794" s="1" t="s">
        <v>158</v>
      </c>
      <c r="B794" s="1" t="s">
        <v>210</v>
      </c>
      <c r="C794" s="1" t="s">
        <v>25</v>
      </c>
      <c r="D794" s="1">
        <v>0</v>
      </c>
      <c r="E794" s="1">
        <v>-132.91999999999999</v>
      </c>
      <c r="F794" s="1">
        <v>0</v>
      </c>
      <c r="G794" s="1">
        <v>2193.127</v>
      </c>
      <c r="H794" s="1">
        <v>0</v>
      </c>
      <c r="I794" s="1">
        <v>-303.81</v>
      </c>
    </row>
    <row r="795" spans="1:9" hidden="1" x14ac:dyDescent="0.25">
      <c r="A795" s="1" t="s">
        <v>158</v>
      </c>
      <c r="B795" s="1" t="s">
        <v>210</v>
      </c>
      <c r="C795" s="1" t="s">
        <v>10</v>
      </c>
      <c r="D795" s="1">
        <v>0</v>
      </c>
      <c r="E795" s="1">
        <v>-132.91999999999999</v>
      </c>
      <c r="F795" s="1">
        <v>0</v>
      </c>
      <c r="G795" s="1">
        <v>2193.127</v>
      </c>
      <c r="H795" s="1">
        <v>0</v>
      </c>
      <c r="I795" s="1">
        <v>-835.47699999999998</v>
      </c>
    </row>
    <row r="796" spans="1:9" hidden="1" x14ac:dyDescent="0.25">
      <c r="A796" s="1" t="s">
        <v>158</v>
      </c>
      <c r="B796" s="1" t="s">
        <v>211</v>
      </c>
      <c r="C796" s="1" t="s">
        <v>25</v>
      </c>
      <c r="D796" s="1">
        <v>0</v>
      </c>
      <c r="E796" s="1">
        <v>-132.91999999999999</v>
      </c>
      <c r="F796" s="1">
        <v>0</v>
      </c>
      <c r="G796" s="1">
        <v>1794.376</v>
      </c>
      <c r="H796" s="1">
        <v>0</v>
      </c>
      <c r="I796" s="1">
        <v>-303.81</v>
      </c>
    </row>
    <row r="797" spans="1:9" hidden="1" x14ac:dyDescent="0.25">
      <c r="A797" s="1" t="s">
        <v>158</v>
      </c>
      <c r="B797" s="1" t="s">
        <v>211</v>
      </c>
      <c r="C797" s="1" t="s">
        <v>10</v>
      </c>
      <c r="D797" s="1">
        <v>0</v>
      </c>
      <c r="E797" s="1">
        <v>-132.91999999999999</v>
      </c>
      <c r="F797" s="1">
        <v>0</v>
      </c>
      <c r="G797" s="1">
        <v>1794.376</v>
      </c>
      <c r="H797" s="1">
        <v>0</v>
      </c>
      <c r="I797" s="1">
        <v>-835.47699999999998</v>
      </c>
    </row>
    <row r="798" spans="1:9" hidden="1" x14ac:dyDescent="0.25">
      <c r="A798" s="1" t="s">
        <v>158</v>
      </c>
      <c r="B798" s="1" t="s">
        <v>212</v>
      </c>
      <c r="C798" s="1" t="s">
        <v>25</v>
      </c>
      <c r="D798" s="1">
        <v>0</v>
      </c>
      <c r="E798" s="1">
        <v>132.91999999999999</v>
      </c>
      <c r="F798" s="1">
        <v>0</v>
      </c>
      <c r="G798" s="1">
        <v>-2193.127</v>
      </c>
      <c r="H798" s="1">
        <v>0</v>
      </c>
      <c r="I798" s="1">
        <v>303.81</v>
      </c>
    </row>
    <row r="799" spans="1:9" hidden="1" x14ac:dyDescent="0.25">
      <c r="A799" s="1" t="s">
        <v>158</v>
      </c>
      <c r="B799" s="1" t="s">
        <v>212</v>
      </c>
      <c r="C799" s="1" t="s">
        <v>10</v>
      </c>
      <c r="D799" s="1">
        <v>0</v>
      </c>
      <c r="E799" s="1">
        <v>132.91999999999999</v>
      </c>
      <c r="F799" s="1">
        <v>0</v>
      </c>
      <c r="G799" s="1">
        <v>-2193.127</v>
      </c>
      <c r="H799" s="1">
        <v>0</v>
      </c>
      <c r="I799" s="1">
        <v>835.47699999999998</v>
      </c>
    </row>
    <row r="800" spans="1:9" hidden="1" x14ac:dyDescent="0.25">
      <c r="A800" s="1" t="s">
        <v>158</v>
      </c>
      <c r="B800" s="1" t="s">
        <v>213</v>
      </c>
      <c r="C800" s="1" t="s">
        <v>25</v>
      </c>
      <c r="D800" s="1">
        <v>0</v>
      </c>
      <c r="E800" s="1">
        <v>132.91999999999999</v>
      </c>
      <c r="F800" s="1">
        <v>0</v>
      </c>
      <c r="G800" s="1">
        <v>-1794.376</v>
      </c>
      <c r="H800" s="1">
        <v>0</v>
      </c>
      <c r="I800" s="1">
        <v>303.81</v>
      </c>
    </row>
    <row r="801" spans="1:9" hidden="1" x14ac:dyDescent="0.25">
      <c r="A801" s="1" t="s">
        <v>158</v>
      </c>
      <c r="B801" s="1" t="s">
        <v>213</v>
      </c>
      <c r="C801" s="1" t="s">
        <v>10</v>
      </c>
      <c r="D801" s="1">
        <v>0</v>
      </c>
      <c r="E801" s="1">
        <v>132.91999999999999</v>
      </c>
      <c r="F801" s="1">
        <v>0</v>
      </c>
      <c r="G801" s="1">
        <v>-1794.376</v>
      </c>
      <c r="H801" s="1">
        <v>0</v>
      </c>
      <c r="I801" s="1">
        <v>835.47699999999998</v>
      </c>
    </row>
    <row r="802" spans="1:9" hidden="1" x14ac:dyDescent="0.25">
      <c r="A802" s="1" t="s">
        <v>158</v>
      </c>
      <c r="B802" s="1" t="s">
        <v>214</v>
      </c>
      <c r="C802" s="1" t="s">
        <v>25</v>
      </c>
      <c r="D802" s="1">
        <v>0</v>
      </c>
      <c r="E802" s="1">
        <v>0</v>
      </c>
      <c r="F802" s="1">
        <v>-160.66</v>
      </c>
      <c r="G802" s="1">
        <v>-3181.1469999999999</v>
      </c>
      <c r="H802" s="1">
        <v>367.23200000000003</v>
      </c>
      <c r="I802" s="1">
        <v>0</v>
      </c>
    </row>
    <row r="803" spans="1:9" hidden="1" x14ac:dyDescent="0.25">
      <c r="A803" s="1" t="s">
        <v>158</v>
      </c>
      <c r="B803" s="1" t="s">
        <v>214</v>
      </c>
      <c r="C803" s="1" t="s">
        <v>10</v>
      </c>
      <c r="D803" s="1">
        <v>0</v>
      </c>
      <c r="E803" s="1">
        <v>0</v>
      </c>
      <c r="F803" s="1">
        <v>-160.66</v>
      </c>
      <c r="G803" s="1">
        <v>-3181.1469999999999</v>
      </c>
      <c r="H803" s="1">
        <v>1009.888</v>
      </c>
      <c r="I803" s="1">
        <v>0</v>
      </c>
    </row>
    <row r="804" spans="1:9" hidden="1" x14ac:dyDescent="0.25">
      <c r="A804" s="1" t="s">
        <v>158</v>
      </c>
      <c r="B804" s="1" t="s">
        <v>215</v>
      </c>
      <c r="C804" s="1" t="s">
        <v>25</v>
      </c>
      <c r="D804" s="1">
        <v>0</v>
      </c>
      <c r="E804" s="1">
        <v>0</v>
      </c>
      <c r="F804" s="1">
        <v>-160.66</v>
      </c>
      <c r="G804" s="1">
        <v>-2602.7570000000001</v>
      </c>
      <c r="H804" s="1">
        <v>367.23200000000003</v>
      </c>
      <c r="I804" s="1">
        <v>0</v>
      </c>
    </row>
    <row r="805" spans="1:9" hidden="1" x14ac:dyDescent="0.25">
      <c r="A805" s="1" t="s">
        <v>158</v>
      </c>
      <c r="B805" s="1" t="s">
        <v>215</v>
      </c>
      <c r="C805" s="1" t="s">
        <v>10</v>
      </c>
      <c r="D805" s="1">
        <v>0</v>
      </c>
      <c r="E805" s="1">
        <v>0</v>
      </c>
      <c r="F805" s="1">
        <v>-160.66</v>
      </c>
      <c r="G805" s="1">
        <v>-2602.7570000000001</v>
      </c>
      <c r="H805" s="1">
        <v>1009.888</v>
      </c>
      <c r="I805" s="1">
        <v>0</v>
      </c>
    </row>
    <row r="806" spans="1:9" hidden="1" x14ac:dyDescent="0.25">
      <c r="A806" s="1" t="s">
        <v>158</v>
      </c>
      <c r="B806" s="1" t="s">
        <v>216</v>
      </c>
      <c r="C806" s="1" t="s">
        <v>25</v>
      </c>
      <c r="D806" s="1">
        <v>0</v>
      </c>
      <c r="E806" s="1">
        <v>0</v>
      </c>
      <c r="F806" s="1">
        <v>160.66</v>
      </c>
      <c r="G806" s="1">
        <v>3181.1469999999999</v>
      </c>
      <c r="H806" s="1">
        <v>-367.23200000000003</v>
      </c>
      <c r="I806" s="1">
        <v>0</v>
      </c>
    </row>
    <row r="807" spans="1:9" hidden="1" x14ac:dyDescent="0.25">
      <c r="A807" s="1" t="s">
        <v>158</v>
      </c>
      <c r="B807" s="1" t="s">
        <v>216</v>
      </c>
      <c r="C807" s="1" t="s">
        <v>10</v>
      </c>
      <c r="D807" s="1">
        <v>0</v>
      </c>
      <c r="E807" s="1">
        <v>0</v>
      </c>
      <c r="F807" s="1">
        <v>160.66</v>
      </c>
      <c r="G807" s="1">
        <v>3181.1469999999999</v>
      </c>
      <c r="H807" s="1">
        <v>-1009.888</v>
      </c>
      <c r="I807" s="1">
        <v>0</v>
      </c>
    </row>
    <row r="808" spans="1:9" hidden="1" x14ac:dyDescent="0.25">
      <c r="A808" s="1" t="s">
        <v>158</v>
      </c>
      <c r="B808" s="1" t="s">
        <v>217</v>
      </c>
      <c r="C808" s="1" t="s">
        <v>25</v>
      </c>
      <c r="D808" s="1">
        <v>0</v>
      </c>
      <c r="E808" s="1">
        <v>0</v>
      </c>
      <c r="F808" s="1">
        <v>160.66</v>
      </c>
      <c r="G808" s="1">
        <v>2602.7570000000001</v>
      </c>
      <c r="H808" s="1">
        <v>-367.23200000000003</v>
      </c>
      <c r="I808" s="1">
        <v>0</v>
      </c>
    </row>
    <row r="809" spans="1:9" hidden="1" x14ac:dyDescent="0.25">
      <c r="A809" s="1" t="s">
        <v>158</v>
      </c>
      <c r="B809" s="1" t="s">
        <v>217</v>
      </c>
      <c r="C809" s="1" t="s">
        <v>10</v>
      </c>
      <c r="D809" s="1">
        <v>0</v>
      </c>
      <c r="E809" s="1">
        <v>0</v>
      </c>
      <c r="F809" s="1">
        <v>160.66</v>
      </c>
      <c r="G809" s="1">
        <v>2602.7570000000001</v>
      </c>
      <c r="H809" s="1">
        <v>-1009.888</v>
      </c>
      <c r="I809" s="1">
        <v>0</v>
      </c>
    </row>
    <row r="810" spans="1:9" hidden="1" x14ac:dyDescent="0.25">
      <c r="A810" s="1" t="s">
        <v>158</v>
      </c>
      <c r="B810" s="1" t="s">
        <v>218</v>
      </c>
      <c r="C810" s="1" t="s">
        <v>25</v>
      </c>
      <c r="D810" s="1">
        <v>0</v>
      </c>
      <c r="E810" s="1">
        <v>-132.91999999999999</v>
      </c>
      <c r="F810" s="1">
        <v>0</v>
      </c>
      <c r="G810" s="1">
        <v>2193.127</v>
      </c>
      <c r="H810" s="1">
        <v>0</v>
      </c>
      <c r="I810" s="1">
        <v>-303.81</v>
      </c>
    </row>
    <row r="811" spans="1:9" hidden="1" x14ac:dyDescent="0.25">
      <c r="A811" s="1" t="s">
        <v>158</v>
      </c>
      <c r="B811" s="1" t="s">
        <v>218</v>
      </c>
      <c r="C811" s="1" t="s">
        <v>10</v>
      </c>
      <c r="D811" s="1">
        <v>0</v>
      </c>
      <c r="E811" s="1">
        <v>-132.91999999999999</v>
      </c>
      <c r="F811" s="1">
        <v>0</v>
      </c>
      <c r="G811" s="1">
        <v>2193.127</v>
      </c>
      <c r="H811" s="1">
        <v>0</v>
      </c>
      <c r="I811" s="1">
        <v>-835.47699999999998</v>
      </c>
    </row>
    <row r="812" spans="1:9" hidden="1" x14ac:dyDescent="0.25">
      <c r="A812" s="1" t="s">
        <v>158</v>
      </c>
      <c r="B812" s="1" t="s">
        <v>219</v>
      </c>
      <c r="C812" s="1" t="s">
        <v>25</v>
      </c>
      <c r="D812" s="1">
        <v>0</v>
      </c>
      <c r="E812" s="1">
        <v>-132.91999999999999</v>
      </c>
      <c r="F812" s="1">
        <v>0</v>
      </c>
      <c r="G812" s="1">
        <v>1794.376</v>
      </c>
      <c r="H812" s="1">
        <v>0</v>
      </c>
      <c r="I812" s="1">
        <v>-303.81</v>
      </c>
    </row>
    <row r="813" spans="1:9" hidden="1" x14ac:dyDescent="0.25">
      <c r="A813" s="1" t="s">
        <v>158</v>
      </c>
      <c r="B813" s="1" t="s">
        <v>219</v>
      </c>
      <c r="C813" s="1" t="s">
        <v>10</v>
      </c>
      <c r="D813" s="1">
        <v>0</v>
      </c>
      <c r="E813" s="1">
        <v>-132.91999999999999</v>
      </c>
      <c r="F813" s="1">
        <v>0</v>
      </c>
      <c r="G813" s="1">
        <v>1794.376</v>
      </c>
      <c r="H813" s="1">
        <v>0</v>
      </c>
      <c r="I813" s="1">
        <v>-835.47699999999998</v>
      </c>
    </row>
    <row r="814" spans="1:9" hidden="1" x14ac:dyDescent="0.25">
      <c r="A814" s="1" t="s">
        <v>158</v>
      </c>
      <c r="B814" s="1" t="s">
        <v>220</v>
      </c>
      <c r="C814" s="1" t="s">
        <v>25</v>
      </c>
      <c r="D814" s="1">
        <v>0</v>
      </c>
      <c r="E814" s="1">
        <v>132.91999999999999</v>
      </c>
      <c r="F814" s="1">
        <v>0</v>
      </c>
      <c r="G814" s="1">
        <v>-2193.127</v>
      </c>
      <c r="H814" s="1">
        <v>0</v>
      </c>
      <c r="I814" s="1">
        <v>303.81</v>
      </c>
    </row>
    <row r="815" spans="1:9" hidden="1" x14ac:dyDescent="0.25">
      <c r="A815" s="1" t="s">
        <v>158</v>
      </c>
      <c r="B815" s="1" t="s">
        <v>220</v>
      </c>
      <c r="C815" s="1" t="s">
        <v>10</v>
      </c>
      <c r="D815" s="1">
        <v>0</v>
      </c>
      <c r="E815" s="1">
        <v>132.91999999999999</v>
      </c>
      <c r="F815" s="1">
        <v>0</v>
      </c>
      <c r="G815" s="1">
        <v>-2193.127</v>
      </c>
      <c r="H815" s="1">
        <v>0</v>
      </c>
      <c r="I815" s="1">
        <v>835.47699999999998</v>
      </c>
    </row>
    <row r="816" spans="1:9" hidden="1" x14ac:dyDescent="0.25">
      <c r="A816" s="1" t="s">
        <v>158</v>
      </c>
      <c r="B816" s="1" t="s">
        <v>221</v>
      </c>
      <c r="C816" s="1" t="s">
        <v>25</v>
      </c>
      <c r="D816" s="1">
        <v>0</v>
      </c>
      <c r="E816" s="1">
        <v>132.91999999999999</v>
      </c>
      <c r="F816" s="1">
        <v>0</v>
      </c>
      <c r="G816" s="1">
        <v>-1794.376</v>
      </c>
      <c r="H816" s="1">
        <v>0</v>
      </c>
      <c r="I816" s="1">
        <v>303.81</v>
      </c>
    </row>
    <row r="817" spans="1:9" hidden="1" x14ac:dyDescent="0.25">
      <c r="A817" s="1" t="s">
        <v>158</v>
      </c>
      <c r="B817" s="1" t="s">
        <v>221</v>
      </c>
      <c r="C817" s="1" t="s">
        <v>10</v>
      </c>
      <c r="D817" s="1">
        <v>0</v>
      </c>
      <c r="E817" s="1">
        <v>132.91999999999999</v>
      </c>
      <c r="F817" s="1">
        <v>0</v>
      </c>
      <c r="G817" s="1">
        <v>-1794.376</v>
      </c>
      <c r="H817" s="1">
        <v>0</v>
      </c>
      <c r="I817" s="1">
        <v>835.47699999999998</v>
      </c>
    </row>
    <row r="818" spans="1:9" hidden="1" x14ac:dyDescent="0.25">
      <c r="A818" s="1" t="s">
        <v>158</v>
      </c>
      <c r="B818" s="1" t="s">
        <v>222</v>
      </c>
      <c r="C818" s="1" t="s">
        <v>25</v>
      </c>
      <c r="D818" s="1">
        <v>0</v>
      </c>
      <c r="E818" s="1">
        <v>0</v>
      </c>
      <c r="F818" s="1">
        <v>-160.66</v>
      </c>
      <c r="G818" s="1">
        <v>-3181.1469999999999</v>
      </c>
      <c r="H818" s="1">
        <v>367.23200000000003</v>
      </c>
      <c r="I818" s="1">
        <v>0</v>
      </c>
    </row>
    <row r="819" spans="1:9" hidden="1" x14ac:dyDescent="0.25">
      <c r="A819" s="1" t="s">
        <v>158</v>
      </c>
      <c r="B819" s="1" t="s">
        <v>222</v>
      </c>
      <c r="C819" s="1" t="s">
        <v>10</v>
      </c>
      <c r="D819" s="1">
        <v>0</v>
      </c>
      <c r="E819" s="1">
        <v>0</v>
      </c>
      <c r="F819" s="1">
        <v>-160.66</v>
      </c>
      <c r="G819" s="1">
        <v>-3181.1469999999999</v>
      </c>
      <c r="H819" s="1">
        <v>1009.888</v>
      </c>
      <c r="I819" s="1">
        <v>0</v>
      </c>
    </row>
    <row r="820" spans="1:9" hidden="1" x14ac:dyDescent="0.25">
      <c r="A820" s="1" t="s">
        <v>158</v>
      </c>
      <c r="B820" s="1" t="s">
        <v>223</v>
      </c>
      <c r="C820" s="1" t="s">
        <v>25</v>
      </c>
      <c r="D820" s="1">
        <v>0</v>
      </c>
      <c r="E820" s="1">
        <v>0</v>
      </c>
      <c r="F820" s="1">
        <v>-160.66</v>
      </c>
      <c r="G820" s="1">
        <v>-2602.7570000000001</v>
      </c>
      <c r="H820" s="1">
        <v>367.23200000000003</v>
      </c>
      <c r="I820" s="1">
        <v>0</v>
      </c>
    </row>
    <row r="821" spans="1:9" hidden="1" x14ac:dyDescent="0.25">
      <c r="A821" s="1" t="s">
        <v>158</v>
      </c>
      <c r="B821" s="1" t="s">
        <v>223</v>
      </c>
      <c r="C821" s="1" t="s">
        <v>10</v>
      </c>
      <c r="D821" s="1">
        <v>0</v>
      </c>
      <c r="E821" s="1">
        <v>0</v>
      </c>
      <c r="F821" s="1">
        <v>-160.66</v>
      </c>
      <c r="G821" s="1">
        <v>-2602.7570000000001</v>
      </c>
      <c r="H821" s="1">
        <v>1009.888</v>
      </c>
      <c r="I821" s="1">
        <v>0</v>
      </c>
    </row>
    <row r="822" spans="1:9" hidden="1" x14ac:dyDescent="0.25">
      <c r="A822" s="1" t="s">
        <v>158</v>
      </c>
      <c r="B822" s="1" t="s">
        <v>224</v>
      </c>
      <c r="C822" s="1" t="s">
        <v>25</v>
      </c>
      <c r="D822" s="1">
        <v>0</v>
      </c>
      <c r="E822" s="1">
        <v>0</v>
      </c>
      <c r="F822" s="1">
        <v>160.66</v>
      </c>
      <c r="G822" s="1">
        <v>3181.1469999999999</v>
      </c>
      <c r="H822" s="1">
        <v>-367.23200000000003</v>
      </c>
      <c r="I822" s="1">
        <v>0</v>
      </c>
    </row>
    <row r="823" spans="1:9" hidden="1" x14ac:dyDescent="0.25">
      <c r="A823" s="1" t="s">
        <v>158</v>
      </c>
      <c r="B823" s="1" t="s">
        <v>224</v>
      </c>
      <c r="C823" s="1" t="s">
        <v>10</v>
      </c>
      <c r="D823" s="1">
        <v>0</v>
      </c>
      <c r="E823" s="1">
        <v>0</v>
      </c>
      <c r="F823" s="1">
        <v>160.66</v>
      </c>
      <c r="G823" s="1">
        <v>3181.1469999999999</v>
      </c>
      <c r="H823" s="1">
        <v>-1009.888</v>
      </c>
      <c r="I823" s="1">
        <v>0</v>
      </c>
    </row>
    <row r="824" spans="1:9" hidden="1" x14ac:dyDescent="0.25">
      <c r="A824" s="1" t="s">
        <v>158</v>
      </c>
      <c r="B824" s="1" t="s">
        <v>225</v>
      </c>
      <c r="C824" s="1" t="s">
        <v>25</v>
      </c>
      <c r="D824" s="1">
        <v>0</v>
      </c>
      <c r="E824" s="1">
        <v>0</v>
      </c>
      <c r="F824" s="1">
        <v>160.66</v>
      </c>
      <c r="G824" s="1">
        <v>2602.7570000000001</v>
      </c>
      <c r="H824" s="1">
        <v>-367.23200000000003</v>
      </c>
      <c r="I824" s="1">
        <v>0</v>
      </c>
    </row>
    <row r="825" spans="1:9" hidden="1" x14ac:dyDescent="0.25">
      <c r="A825" s="1" t="s">
        <v>158</v>
      </c>
      <c r="B825" s="1" t="s">
        <v>225</v>
      </c>
      <c r="C825" s="1" t="s">
        <v>10</v>
      </c>
      <c r="D825" s="1">
        <v>0</v>
      </c>
      <c r="E825" s="1">
        <v>0</v>
      </c>
      <c r="F825" s="1">
        <v>160.66</v>
      </c>
      <c r="G825" s="1">
        <v>2602.7570000000001</v>
      </c>
      <c r="H825" s="1">
        <v>-1009.888</v>
      </c>
      <c r="I825" s="1">
        <v>0</v>
      </c>
    </row>
    <row r="826" spans="1:9" hidden="1" x14ac:dyDescent="0.25">
      <c r="A826" s="1" t="s">
        <v>158</v>
      </c>
      <c r="B826" s="1" t="s">
        <v>327</v>
      </c>
      <c r="C826" s="1" t="s">
        <v>25</v>
      </c>
      <c r="D826" s="1">
        <v>0</v>
      </c>
      <c r="E826" s="1">
        <v>0</v>
      </c>
      <c r="F826" s="1">
        <v>0</v>
      </c>
      <c r="G826" s="1">
        <v>0</v>
      </c>
      <c r="H826" s="1">
        <v>0</v>
      </c>
      <c r="I826" s="1">
        <v>0</v>
      </c>
    </row>
    <row r="827" spans="1:9" hidden="1" x14ac:dyDescent="0.25">
      <c r="A827" s="1" t="s">
        <v>158</v>
      </c>
      <c r="B827" s="1" t="s">
        <v>327</v>
      </c>
      <c r="C827" s="1" t="s">
        <v>10</v>
      </c>
      <c r="D827" s="1">
        <v>0</v>
      </c>
      <c r="E827" s="1">
        <v>0</v>
      </c>
      <c r="F827" s="1">
        <v>0</v>
      </c>
      <c r="G827" s="1">
        <v>0</v>
      </c>
      <c r="H827" s="1">
        <v>0</v>
      </c>
      <c r="I827" s="1">
        <v>0</v>
      </c>
    </row>
    <row r="828" spans="1:9" hidden="1" x14ac:dyDescent="0.25">
      <c r="A828" s="1" t="s">
        <v>158</v>
      </c>
      <c r="B828" s="1" t="s">
        <v>328</v>
      </c>
      <c r="C828" s="1" t="s">
        <v>25</v>
      </c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</row>
    <row r="829" spans="1:9" hidden="1" x14ac:dyDescent="0.25">
      <c r="A829" s="1" t="s">
        <v>158</v>
      </c>
      <c r="B829" s="1" t="s">
        <v>328</v>
      </c>
      <c r="C829" s="1" t="s">
        <v>10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</row>
    <row r="830" spans="1:9" hidden="1" x14ac:dyDescent="0.25">
      <c r="A830" s="1" t="s">
        <v>24</v>
      </c>
      <c r="B830" s="1" t="s">
        <v>9</v>
      </c>
      <c r="C830" s="1" t="s">
        <v>25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</row>
    <row r="831" spans="1:9" hidden="1" x14ac:dyDescent="0.25">
      <c r="A831" s="1" t="s">
        <v>24</v>
      </c>
      <c r="B831" s="1" t="s">
        <v>9</v>
      </c>
      <c r="C831" s="1" t="s">
        <v>10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</row>
    <row r="832" spans="1:9" hidden="1" x14ac:dyDescent="0.25">
      <c r="A832" s="1" t="s">
        <v>24</v>
      </c>
      <c r="B832" s="1" t="s">
        <v>26</v>
      </c>
      <c r="C832" s="1" t="s">
        <v>25</v>
      </c>
      <c r="D832" s="1">
        <v>0</v>
      </c>
      <c r="E832" s="1">
        <v>0</v>
      </c>
      <c r="F832" s="1">
        <v>0</v>
      </c>
      <c r="G832" s="1">
        <v>0</v>
      </c>
      <c r="H832" s="1">
        <v>0</v>
      </c>
      <c r="I832" s="1">
        <v>0</v>
      </c>
    </row>
    <row r="833" spans="1:9" hidden="1" x14ac:dyDescent="0.25">
      <c r="A833" s="1" t="s">
        <v>24</v>
      </c>
      <c r="B833" s="1" t="s">
        <v>26</v>
      </c>
      <c r="C833" s="1" t="s">
        <v>10</v>
      </c>
      <c r="D833" s="1">
        <v>0</v>
      </c>
      <c r="E833" s="1">
        <v>0</v>
      </c>
      <c r="F833" s="1">
        <v>0</v>
      </c>
      <c r="G833" s="1">
        <v>0</v>
      </c>
      <c r="H833" s="1">
        <v>0</v>
      </c>
      <c r="I833" s="1">
        <v>0</v>
      </c>
    </row>
    <row r="834" spans="1:9" hidden="1" x14ac:dyDescent="0.25">
      <c r="A834" s="1" t="s">
        <v>24</v>
      </c>
      <c r="B834" s="1" t="s">
        <v>20</v>
      </c>
      <c r="C834" s="1" t="s">
        <v>25</v>
      </c>
      <c r="D834" s="1">
        <v>0</v>
      </c>
      <c r="E834" s="1">
        <v>-406.89</v>
      </c>
      <c r="F834" s="1">
        <v>0</v>
      </c>
      <c r="G834" s="1">
        <v>6713.6530000000002</v>
      </c>
      <c r="H834" s="1">
        <v>0</v>
      </c>
      <c r="I834" s="1">
        <v>-1989.231</v>
      </c>
    </row>
    <row r="835" spans="1:9" hidden="1" x14ac:dyDescent="0.25">
      <c r="A835" s="1" t="s">
        <v>24</v>
      </c>
      <c r="B835" s="1" t="s">
        <v>20</v>
      </c>
      <c r="C835" s="1" t="s">
        <v>10</v>
      </c>
      <c r="D835" s="1">
        <v>0</v>
      </c>
      <c r="E835" s="1">
        <v>-406.89</v>
      </c>
      <c r="F835" s="1">
        <v>0</v>
      </c>
      <c r="G835" s="1">
        <v>6713.6530000000002</v>
      </c>
      <c r="H835" s="1">
        <v>0</v>
      </c>
      <c r="I835" s="1">
        <v>-3616.7829999999999</v>
      </c>
    </row>
    <row r="836" spans="1:9" hidden="1" x14ac:dyDescent="0.25">
      <c r="A836" s="1" t="s">
        <v>24</v>
      </c>
      <c r="B836" s="1" t="s">
        <v>21</v>
      </c>
      <c r="C836" s="1" t="s">
        <v>25</v>
      </c>
      <c r="D836" s="1">
        <v>0</v>
      </c>
      <c r="E836" s="1">
        <v>-406.89</v>
      </c>
      <c r="F836" s="1">
        <v>0</v>
      </c>
      <c r="G836" s="1">
        <v>5492.9889999999996</v>
      </c>
      <c r="H836" s="1">
        <v>0</v>
      </c>
      <c r="I836" s="1">
        <v>-1989.231</v>
      </c>
    </row>
    <row r="837" spans="1:9" hidden="1" x14ac:dyDescent="0.25">
      <c r="A837" s="1" t="s">
        <v>24</v>
      </c>
      <c r="B837" s="1" t="s">
        <v>21</v>
      </c>
      <c r="C837" s="1" t="s">
        <v>10</v>
      </c>
      <c r="D837" s="1">
        <v>0</v>
      </c>
      <c r="E837" s="1">
        <v>-406.89</v>
      </c>
      <c r="F837" s="1">
        <v>0</v>
      </c>
      <c r="G837" s="1">
        <v>5492.9889999999996</v>
      </c>
      <c r="H837" s="1">
        <v>0</v>
      </c>
      <c r="I837" s="1">
        <v>-3616.7829999999999</v>
      </c>
    </row>
    <row r="838" spans="1:9" hidden="1" x14ac:dyDescent="0.25">
      <c r="A838" s="1" t="s">
        <v>24</v>
      </c>
      <c r="B838" s="1" t="s">
        <v>22</v>
      </c>
      <c r="C838" s="1" t="s">
        <v>25</v>
      </c>
      <c r="D838" s="1">
        <v>0</v>
      </c>
      <c r="E838" s="1">
        <v>0</v>
      </c>
      <c r="F838" s="1">
        <v>-491.83</v>
      </c>
      <c r="G838" s="1">
        <v>-9738.2049999999999</v>
      </c>
      <c r="H838" s="1">
        <v>2404.4949999999999</v>
      </c>
      <c r="I838" s="1">
        <v>0</v>
      </c>
    </row>
    <row r="839" spans="1:9" hidden="1" x14ac:dyDescent="0.25">
      <c r="A839" s="1" t="s">
        <v>24</v>
      </c>
      <c r="B839" s="1" t="s">
        <v>22</v>
      </c>
      <c r="C839" s="1" t="s">
        <v>10</v>
      </c>
      <c r="D839" s="1">
        <v>0</v>
      </c>
      <c r="E839" s="1">
        <v>0</v>
      </c>
      <c r="F839" s="1">
        <v>-491.83</v>
      </c>
      <c r="G839" s="1">
        <v>-9738.2049999999999</v>
      </c>
      <c r="H839" s="1">
        <v>4371.8090000000002</v>
      </c>
      <c r="I839" s="1">
        <v>0</v>
      </c>
    </row>
    <row r="840" spans="1:9" hidden="1" x14ac:dyDescent="0.25">
      <c r="A840" s="1" t="s">
        <v>24</v>
      </c>
      <c r="B840" s="1" t="s">
        <v>23</v>
      </c>
      <c r="C840" s="1" t="s">
        <v>25</v>
      </c>
      <c r="D840" s="1">
        <v>0</v>
      </c>
      <c r="E840" s="1">
        <v>0</v>
      </c>
      <c r="F840" s="1">
        <v>-491.83</v>
      </c>
      <c r="G840" s="1">
        <v>-7967.6229999999996</v>
      </c>
      <c r="H840" s="1">
        <v>2404.4949999999999</v>
      </c>
      <c r="I840" s="1">
        <v>0</v>
      </c>
    </row>
    <row r="841" spans="1:9" hidden="1" x14ac:dyDescent="0.25">
      <c r="A841" s="1" t="s">
        <v>24</v>
      </c>
      <c r="B841" s="1" t="s">
        <v>23</v>
      </c>
      <c r="C841" s="1" t="s">
        <v>10</v>
      </c>
      <c r="D841" s="1">
        <v>0</v>
      </c>
      <c r="E841" s="1">
        <v>0</v>
      </c>
      <c r="F841" s="1">
        <v>-491.83</v>
      </c>
      <c r="G841" s="1">
        <v>-7967.6229999999996</v>
      </c>
      <c r="H841" s="1">
        <v>4371.8090000000002</v>
      </c>
      <c r="I841" s="1">
        <v>0</v>
      </c>
    </row>
    <row r="842" spans="1:9" hidden="1" x14ac:dyDescent="0.25">
      <c r="A842" s="1" t="s">
        <v>24</v>
      </c>
      <c r="B842" s="1" t="s">
        <v>321</v>
      </c>
      <c r="C842" s="1" t="s">
        <v>25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24</v>
      </c>
      <c r="B843" s="1" t="s">
        <v>321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24</v>
      </c>
      <c r="B844" s="1" t="s">
        <v>322</v>
      </c>
      <c r="C844" s="1" t="s">
        <v>25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24</v>
      </c>
      <c r="B845" s="1" t="s">
        <v>322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24</v>
      </c>
      <c r="B846" s="1" t="s">
        <v>323</v>
      </c>
      <c r="C846" s="1" t="s">
        <v>25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24</v>
      </c>
      <c r="B847" s="1" t="s">
        <v>323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24</v>
      </c>
      <c r="B848" s="1" t="s">
        <v>324</v>
      </c>
      <c r="C848" s="1" t="s">
        <v>25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24</v>
      </c>
      <c r="B849" s="1" t="s">
        <v>324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24</v>
      </c>
      <c r="B850" s="1" t="s">
        <v>325</v>
      </c>
      <c r="C850" s="1" t="s">
        <v>25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24</v>
      </c>
      <c r="B851" s="1" t="s">
        <v>325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24</v>
      </c>
      <c r="B852" s="1" t="s">
        <v>326</v>
      </c>
      <c r="C852" s="1" t="s">
        <v>25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24</v>
      </c>
      <c r="B853" s="1" t="s">
        <v>326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24</v>
      </c>
      <c r="B854" s="1" t="s">
        <v>27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27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28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28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29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29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30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30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11</v>
      </c>
      <c r="C862" s="1" t="s">
        <v>25</v>
      </c>
      <c r="D862" s="1">
        <v>0</v>
      </c>
      <c r="E862" s="1">
        <v>191.7</v>
      </c>
      <c r="F862" s="1">
        <v>0</v>
      </c>
      <c r="G862" s="1">
        <v>3312.6089999999999</v>
      </c>
      <c r="H862" s="1">
        <v>0</v>
      </c>
      <c r="I862" s="1">
        <v>1018.086</v>
      </c>
    </row>
    <row r="863" spans="1:9" hidden="1" x14ac:dyDescent="0.25">
      <c r="A863" s="1" t="s">
        <v>24</v>
      </c>
      <c r="B863" s="1" t="s">
        <v>11</v>
      </c>
      <c r="C863" s="1" t="s">
        <v>10</v>
      </c>
      <c r="D863" s="1">
        <v>0</v>
      </c>
      <c r="E863" s="1">
        <v>191.7</v>
      </c>
      <c r="F863" s="1">
        <v>0</v>
      </c>
      <c r="G863" s="1">
        <v>3312.6089999999999</v>
      </c>
      <c r="H863" s="1">
        <v>0</v>
      </c>
      <c r="I863" s="1">
        <v>1689.4649999999999</v>
      </c>
    </row>
    <row r="864" spans="1:9" hidden="1" x14ac:dyDescent="0.25">
      <c r="A864" s="1" t="s">
        <v>24</v>
      </c>
      <c r="B864" s="1" t="s">
        <v>12</v>
      </c>
      <c r="C864" s="1" t="s">
        <v>25</v>
      </c>
      <c r="D864" s="1">
        <v>0</v>
      </c>
      <c r="E864" s="1">
        <v>0</v>
      </c>
      <c r="F864" s="1">
        <v>503.47</v>
      </c>
      <c r="G864" s="1">
        <v>10086.433000000001</v>
      </c>
      <c r="H864" s="1">
        <v>2556.8760000000002</v>
      </c>
      <c r="I864" s="1">
        <v>0</v>
      </c>
    </row>
    <row r="865" spans="1:9" hidden="1" x14ac:dyDescent="0.25">
      <c r="A865" s="1" t="s">
        <v>24</v>
      </c>
      <c r="B865" s="1" t="s">
        <v>12</v>
      </c>
      <c r="C865" s="1" t="s">
        <v>10</v>
      </c>
      <c r="D865" s="1">
        <v>0</v>
      </c>
      <c r="E865" s="1">
        <v>0</v>
      </c>
      <c r="F865" s="1">
        <v>503.47</v>
      </c>
      <c r="G865" s="1">
        <v>10086.433000000001</v>
      </c>
      <c r="H865" s="1">
        <v>4515.5739999999996</v>
      </c>
      <c r="I865" s="1">
        <v>0</v>
      </c>
    </row>
    <row r="866" spans="1:9" hidden="1" x14ac:dyDescent="0.25">
      <c r="A866" s="1" t="s">
        <v>24</v>
      </c>
      <c r="B866" s="1" t="s">
        <v>13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13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31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31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32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32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33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33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34</v>
      </c>
      <c r="C874" s="1" t="s">
        <v>25</v>
      </c>
      <c r="D874" s="1">
        <v>0</v>
      </c>
      <c r="E874" s="1">
        <v>-406.89</v>
      </c>
      <c r="F874" s="1">
        <v>0</v>
      </c>
      <c r="G874" s="1">
        <v>6713.6530000000002</v>
      </c>
      <c r="H874" s="1">
        <v>0</v>
      </c>
      <c r="I874" s="1">
        <v>-1989.231</v>
      </c>
    </row>
    <row r="875" spans="1:9" hidden="1" x14ac:dyDescent="0.25">
      <c r="A875" s="1" t="s">
        <v>24</v>
      </c>
      <c r="B875" s="1" t="s">
        <v>34</v>
      </c>
      <c r="C875" s="1" t="s">
        <v>10</v>
      </c>
      <c r="D875" s="1">
        <v>0</v>
      </c>
      <c r="E875" s="1">
        <v>-406.89</v>
      </c>
      <c r="F875" s="1">
        <v>0</v>
      </c>
      <c r="G875" s="1">
        <v>6713.6530000000002</v>
      </c>
      <c r="H875" s="1">
        <v>0</v>
      </c>
      <c r="I875" s="1">
        <v>-3616.7829999999999</v>
      </c>
    </row>
    <row r="876" spans="1:9" hidden="1" x14ac:dyDescent="0.25">
      <c r="A876" s="1" t="s">
        <v>24</v>
      </c>
      <c r="B876" s="1" t="s">
        <v>35</v>
      </c>
      <c r="C876" s="1" t="s">
        <v>25</v>
      </c>
      <c r="D876" s="1">
        <v>0</v>
      </c>
      <c r="E876" s="1">
        <v>-406.89</v>
      </c>
      <c r="F876" s="1">
        <v>0</v>
      </c>
      <c r="G876" s="1">
        <v>5492.9889999999996</v>
      </c>
      <c r="H876" s="1">
        <v>0</v>
      </c>
      <c r="I876" s="1">
        <v>-1989.231</v>
      </c>
    </row>
    <row r="877" spans="1:9" hidden="1" x14ac:dyDescent="0.25">
      <c r="A877" s="1" t="s">
        <v>24</v>
      </c>
      <c r="B877" s="1" t="s">
        <v>35</v>
      </c>
      <c r="C877" s="1" t="s">
        <v>10</v>
      </c>
      <c r="D877" s="1">
        <v>0</v>
      </c>
      <c r="E877" s="1">
        <v>-406.89</v>
      </c>
      <c r="F877" s="1">
        <v>0</v>
      </c>
      <c r="G877" s="1">
        <v>5492.9889999999996</v>
      </c>
      <c r="H877" s="1">
        <v>0</v>
      </c>
      <c r="I877" s="1">
        <v>-3616.7829999999999</v>
      </c>
    </row>
    <row r="878" spans="1:9" hidden="1" x14ac:dyDescent="0.25">
      <c r="A878" s="1" t="s">
        <v>24</v>
      </c>
      <c r="B878" s="1" t="s">
        <v>36</v>
      </c>
      <c r="C878" s="1" t="s">
        <v>25</v>
      </c>
      <c r="D878" s="1">
        <v>0</v>
      </c>
      <c r="E878" s="1">
        <v>406.89</v>
      </c>
      <c r="F878" s="1">
        <v>0</v>
      </c>
      <c r="G878" s="1">
        <v>-6713.6530000000002</v>
      </c>
      <c r="H878" s="1">
        <v>0</v>
      </c>
      <c r="I878" s="1">
        <v>1989.231</v>
      </c>
    </row>
    <row r="879" spans="1:9" hidden="1" x14ac:dyDescent="0.25">
      <c r="A879" s="1" t="s">
        <v>24</v>
      </c>
      <c r="B879" s="1" t="s">
        <v>36</v>
      </c>
      <c r="C879" s="1" t="s">
        <v>10</v>
      </c>
      <c r="D879" s="1">
        <v>0</v>
      </c>
      <c r="E879" s="1">
        <v>406.89</v>
      </c>
      <c r="F879" s="1">
        <v>0</v>
      </c>
      <c r="G879" s="1">
        <v>-6713.6530000000002</v>
      </c>
      <c r="H879" s="1">
        <v>0</v>
      </c>
      <c r="I879" s="1">
        <v>3616.7829999999999</v>
      </c>
    </row>
    <row r="880" spans="1:9" hidden="1" x14ac:dyDescent="0.25">
      <c r="A880" s="1" t="s">
        <v>24</v>
      </c>
      <c r="B880" s="1" t="s">
        <v>37</v>
      </c>
      <c r="C880" s="1" t="s">
        <v>25</v>
      </c>
      <c r="D880" s="1">
        <v>0</v>
      </c>
      <c r="E880" s="1">
        <v>406.89</v>
      </c>
      <c r="F880" s="1">
        <v>0</v>
      </c>
      <c r="G880" s="1">
        <v>-5492.9889999999996</v>
      </c>
      <c r="H880" s="1">
        <v>0</v>
      </c>
      <c r="I880" s="1">
        <v>1989.231</v>
      </c>
    </row>
    <row r="881" spans="1:9" hidden="1" x14ac:dyDescent="0.25">
      <c r="A881" s="1" t="s">
        <v>24</v>
      </c>
      <c r="B881" s="1" t="s">
        <v>37</v>
      </c>
      <c r="C881" s="1" t="s">
        <v>10</v>
      </c>
      <c r="D881" s="1">
        <v>0</v>
      </c>
      <c r="E881" s="1">
        <v>406.89</v>
      </c>
      <c r="F881" s="1">
        <v>0</v>
      </c>
      <c r="G881" s="1">
        <v>-5492.9889999999996</v>
      </c>
      <c r="H881" s="1">
        <v>0</v>
      </c>
      <c r="I881" s="1">
        <v>3616.7829999999999</v>
      </c>
    </row>
    <row r="882" spans="1:9" hidden="1" x14ac:dyDescent="0.25">
      <c r="A882" s="1" t="s">
        <v>24</v>
      </c>
      <c r="B882" s="1" t="s">
        <v>38</v>
      </c>
      <c r="C882" s="1" t="s">
        <v>25</v>
      </c>
      <c r="D882" s="1">
        <v>0</v>
      </c>
      <c r="E882" s="1">
        <v>0</v>
      </c>
      <c r="F882" s="1">
        <v>-491.83</v>
      </c>
      <c r="G882" s="1">
        <v>-9738.2049999999999</v>
      </c>
      <c r="H882" s="1">
        <v>2404.4949999999999</v>
      </c>
      <c r="I882" s="1">
        <v>0</v>
      </c>
    </row>
    <row r="883" spans="1:9" hidden="1" x14ac:dyDescent="0.25">
      <c r="A883" s="1" t="s">
        <v>24</v>
      </c>
      <c r="B883" s="1" t="s">
        <v>38</v>
      </c>
      <c r="C883" s="1" t="s">
        <v>10</v>
      </c>
      <c r="D883" s="1">
        <v>0</v>
      </c>
      <c r="E883" s="1">
        <v>0</v>
      </c>
      <c r="F883" s="1">
        <v>-491.83</v>
      </c>
      <c r="G883" s="1">
        <v>-9738.2049999999999</v>
      </c>
      <c r="H883" s="1">
        <v>4371.8090000000002</v>
      </c>
      <c r="I883" s="1">
        <v>0</v>
      </c>
    </row>
    <row r="884" spans="1:9" hidden="1" x14ac:dyDescent="0.25">
      <c r="A884" s="1" t="s">
        <v>24</v>
      </c>
      <c r="B884" s="1" t="s">
        <v>39</v>
      </c>
      <c r="C884" s="1" t="s">
        <v>25</v>
      </c>
      <c r="D884" s="1">
        <v>0</v>
      </c>
      <c r="E884" s="1">
        <v>0</v>
      </c>
      <c r="F884" s="1">
        <v>-491.83</v>
      </c>
      <c r="G884" s="1">
        <v>-7967.6229999999996</v>
      </c>
      <c r="H884" s="1">
        <v>2404.4949999999999</v>
      </c>
      <c r="I884" s="1">
        <v>0</v>
      </c>
    </row>
    <row r="885" spans="1:9" hidden="1" x14ac:dyDescent="0.25">
      <c r="A885" s="1" t="s">
        <v>24</v>
      </c>
      <c r="B885" s="1" t="s">
        <v>39</v>
      </c>
      <c r="C885" s="1" t="s">
        <v>10</v>
      </c>
      <c r="D885" s="1">
        <v>0</v>
      </c>
      <c r="E885" s="1">
        <v>0</v>
      </c>
      <c r="F885" s="1">
        <v>-491.83</v>
      </c>
      <c r="G885" s="1">
        <v>-7967.6229999999996</v>
      </c>
      <c r="H885" s="1">
        <v>4371.8090000000002</v>
      </c>
      <c r="I885" s="1">
        <v>0</v>
      </c>
    </row>
    <row r="886" spans="1:9" hidden="1" x14ac:dyDescent="0.25">
      <c r="A886" s="1" t="s">
        <v>24</v>
      </c>
      <c r="B886" s="1" t="s">
        <v>40</v>
      </c>
      <c r="C886" s="1" t="s">
        <v>25</v>
      </c>
      <c r="D886" s="1">
        <v>0</v>
      </c>
      <c r="E886" s="1">
        <v>0</v>
      </c>
      <c r="F886" s="1">
        <v>491.83</v>
      </c>
      <c r="G886" s="1">
        <v>9738.2049999999999</v>
      </c>
      <c r="H886" s="1">
        <v>-2404.4949999999999</v>
      </c>
      <c r="I886" s="1">
        <v>0</v>
      </c>
    </row>
    <row r="887" spans="1:9" hidden="1" x14ac:dyDescent="0.25">
      <c r="A887" s="1" t="s">
        <v>24</v>
      </c>
      <c r="B887" s="1" t="s">
        <v>40</v>
      </c>
      <c r="C887" s="1" t="s">
        <v>10</v>
      </c>
      <c r="D887" s="1">
        <v>0</v>
      </c>
      <c r="E887" s="1">
        <v>0</v>
      </c>
      <c r="F887" s="1">
        <v>491.83</v>
      </c>
      <c r="G887" s="1">
        <v>9738.2049999999999</v>
      </c>
      <c r="H887" s="1">
        <v>-4371.8090000000002</v>
      </c>
      <c r="I887" s="1">
        <v>0</v>
      </c>
    </row>
    <row r="888" spans="1:9" hidden="1" x14ac:dyDescent="0.25">
      <c r="A888" s="1" t="s">
        <v>24</v>
      </c>
      <c r="B888" s="1" t="s">
        <v>41</v>
      </c>
      <c r="C888" s="1" t="s">
        <v>25</v>
      </c>
      <c r="D888" s="1">
        <v>0</v>
      </c>
      <c r="E888" s="1">
        <v>0</v>
      </c>
      <c r="F888" s="1">
        <v>491.83</v>
      </c>
      <c r="G888" s="1">
        <v>7967.6229999999996</v>
      </c>
      <c r="H888" s="1">
        <v>-2404.4949999999999</v>
      </c>
      <c r="I888" s="1">
        <v>0</v>
      </c>
    </row>
    <row r="889" spans="1:9" hidden="1" x14ac:dyDescent="0.25">
      <c r="A889" s="1" t="s">
        <v>24</v>
      </c>
      <c r="B889" s="1" t="s">
        <v>41</v>
      </c>
      <c r="C889" s="1" t="s">
        <v>10</v>
      </c>
      <c r="D889" s="1">
        <v>0</v>
      </c>
      <c r="E889" s="1">
        <v>0</v>
      </c>
      <c r="F889" s="1">
        <v>491.83</v>
      </c>
      <c r="G889" s="1">
        <v>7967.6229999999996</v>
      </c>
      <c r="H889" s="1">
        <v>-4371.8090000000002</v>
      </c>
      <c r="I889" s="1">
        <v>0</v>
      </c>
    </row>
    <row r="890" spans="1:9" hidden="1" x14ac:dyDescent="0.25">
      <c r="A890" s="1" t="s">
        <v>24</v>
      </c>
      <c r="B890" s="1" t="s">
        <v>42</v>
      </c>
      <c r="C890" s="1" t="s">
        <v>25</v>
      </c>
      <c r="D890" s="1">
        <v>0</v>
      </c>
      <c r="E890" s="1">
        <v>-406.89</v>
      </c>
      <c r="F890" s="1">
        <v>0</v>
      </c>
      <c r="G890" s="1">
        <v>6713.6530000000002</v>
      </c>
      <c r="H890" s="1">
        <v>0</v>
      </c>
      <c r="I890" s="1">
        <v>-1989.231</v>
      </c>
    </row>
    <row r="891" spans="1:9" hidden="1" x14ac:dyDescent="0.25">
      <c r="A891" s="1" t="s">
        <v>24</v>
      </c>
      <c r="B891" s="1" t="s">
        <v>42</v>
      </c>
      <c r="C891" s="1" t="s">
        <v>10</v>
      </c>
      <c r="D891" s="1">
        <v>0</v>
      </c>
      <c r="E891" s="1">
        <v>-406.89</v>
      </c>
      <c r="F891" s="1">
        <v>0</v>
      </c>
      <c r="G891" s="1">
        <v>6713.6530000000002</v>
      </c>
      <c r="H891" s="1">
        <v>0</v>
      </c>
      <c r="I891" s="1">
        <v>-3616.7829999999999</v>
      </c>
    </row>
    <row r="892" spans="1:9" hidden="1" x14ac:dyDescent="0.25">
      <c r="A892" s="1" t="s">
        <v>24</v>
      </c>
      <c r="B892" s="1" t="s">
        <v>43</v>
      </c>
      <c r="C892" s="1" t="s">
        <v>25</v>
      </c>
      <c r="D892" s="1">
        <v>0</v>
      </c>
      <c r="E892" s="1">
        <v>-406.89</v>
      </c>
      <c r="F892" s="1">
        <v>0</v>
      </c>
      <c r="G892" s="1">
        <v>5492.9889999999996</v>
      </c>
      <c r="H892" s="1">
        <v>0</v>
      </c>
      <c r="I892" s="1">
        <v>-1989.231</v>
      </c>
    </row>
    <row r="893" spans="1:9" hidden="1" x14ac:dyDescent="0.25">
      <c r="A893" s="1" t="s">
        <v>24</v>
      </c>
      <c r="B893" s="1" t="s">
        <v>43</v>
      </c>
      <c r="C893" s="1" t="s">
        <v>10</v>
      </c>
      <c r="D893" s="1">
        <v>0</v>
      </c>
      <c r="E893" s="1">
        <v>-406.89</v>
      </c>
      <c r="F893" s="1">
        <v>0</v>
      </c>
      <c r="G893" s="1">
        <v>5492.9889999999996</v>
      </c>
      <c r="H893" s="1">
        <v>0</v>
      </c>
      <c r="I893" s="1">
        <v>-3616.7829999999999</v>
      </c>
    </row>
    <row r="894" spans="1:9" hidden="1" x14ac:dyDescent="0.25">
      <c r="A894" s="1" t="s">
        <v>24</v>
      </c>
      <c r="B894" s="1" t="s">
        <v>44</v>
      </c>
      <c r="C894" s="1" t="s">
        <v>25</v>
      </c>
      <c r="D894" s="1">
        <v>0</v>
      </c>
      <c r="E894" s="1">
        <v>406.89</v>
      </c>
      <c r="F894" s="1">
        <v>0</v>
      </c>
      <c r="G894" s="1">
        <v>-6713.6530000000002</v>
      </c>
      <c r="H894" s="1">
        <v>0</v>
      </c>
      <c r="I894" s="1">
        <v>1989.231</v>
      </c>
    </row>
    <row r="895" spans="1:9" hidden="1" x14ac:dyDescent="0.25">
      <c r="A895" s="1" t="s">
        <v>24</v>
      </c>
      <c r="B895" s="1" t="s">
        <v>44</v>
      </c>
      <c r="C895" s="1" t="s">
        <v>10</v>
      </c>
      <c r="D895" s="1">
        <v>0</v>
      </c>
      <c r="E895" s="1">
        <v>406.89</v>
      </c>
      <c r="F895" s="1">
        <v>0</v>
      </c>
      <c r="G895" s="1">
        <v>-6713.6530000000002</v>
      </c>
      <c r="H895" s="1">
        <v>0</v>
      </c>
      <c r="I895" s="1">
        <v>3616.7829999999999</v>
      </c>
    </row>
    <row r="896" spans="1:9" hidden="1" x14ac:dyDescent="0.25">
      <c r="A896" s="1" t="s">
        <v>24</v>
      </c>
      <c r="B896" s="1" t="s">
        <v>45</v>
      </c>
      <c r="C896" s="1" t="s">
        <v>25</v>
      </c>
      <c r="D896" s="1">
        <v>0</v>
      </c>
      <c r="E896" s="1">
        <v>406.89</v>
      </c>
      <c r="F896" s="1">
        <v>0</v>
      </c>
      <c r="G896" s="1">
        <v>-5492.9889999999996</v>
      </c>
      <c r="H896" s="1">
        <v>0</v>
      </c>
      <c r="I896" s="1">
        <v>1989.231</v>
      </c>
    </row>
    <row r="897" spans="1:9" hidden="1" x14ac:dyDescent="0.25">
      <c r="A897" s="1" t="s">
        <v>24</v>
      </c>
      <c r="B897" s="1" t="s">
        <v>45</v>
      </c>
      <c r="C897" s="1" t="s">
        <v>10</v>
      </c>
      <c r="D897" s="1">
        <v>0</v>
      </c>
      <c r="E897" s="1">
        <v>406.89</v>
      </c>
      <c r="F897" s="1">
        <v>0</v>
      </c>
      <c r="G897" s="1">
        <v>-5492.9889999999996</v>
      </c>
      <c r="H897" s="1">
        <v>0</v>
      </c>
      <c r="I897" s="1">
        <v>3616.7829999999999</v>
      </c>
    </row>
    <row r="898" spans="1:9" hidden="1" x14ac:dyDescent="0.25">
      <c r="A898" s="1" t="s">
        <v>24</v>
      </c>
      <c r="B898" s="1" t="s">
        <v>46</v>
      </c>
      <c r="C898" s="1" t="s">
        <v>25</v>
      </c>
      <c r="D898" s="1">
        <v>0</v>
      </c>
      <c r="E898" s="1">
        <v>0</v>
      </c>
      <c r="F898" s="1">
        <v>-491.83</v>
      </c>
      <c r="G898" s="1">
        <v>-9738.2049999999999</v>
      </c>
      <c r="H898" s="1">
        <v>2404.4949999999999</v>
      </c>
      <c r="I898" s="1">
        <v>0</v>
      </c>
    </row>
    <row r="899" spans="1:9" hidden="1" x14ac:dyDescent="0.25">
      <c r="A899" s="1" t="s">
        <v>24</v>
      </c>
      <c r="B899" s="1" t="s">
        <v>46</v>
      </c>
      <c r="C899" s="1" t="s">
        <v>10</v>
      </c>
      <c r="D899" s="1">
        <v>0</v>
      </c>
      <c r="E899" s="1">
        <v>0</v>
      </c>
      <c r="F899" s="1">
        <v>-491.83</v>
      </c>
      <c r="G899" s="1">
        <v>-9738.2049999999999</v>
      </c>
      <c r="H899" s="1">
        <v>4371.8090000000002</v>
      </c>
      <c r="I899" s="1">
        <v>0</v>
      </c>
    </row>
    <row r="900" spans="1:9" hidden="1" x14ac:dyDescent="0.25">
      <c r="A900" s="1" t="s">
        <v>24</v>
      </c>
      <c r="B900" s="1" t="s">
        <v>47</v>
      </c>
      <c r="C900" s="1" t="s">
        <v>25</v>
      </c>
      <c r="D900" s="1">
        <v>0</v>
      </c>
      <c r="E900" s="1">
        <v>0</v>
      </c>
      <c r="F900" s="1">
        <v>-491.83</v>
      </c>
      <c r="G900" s="1">
        <v>-7967.6229999999996</v>
      </c>
      <c r="H900" s="1">
        <v>2404.4949999999999</v>
      </c>
      <c r="I900" s="1">
        <v>0</v>
      </c>
    </row>
    <row r="901" spans="1:9" hidden="1" x14ac:dyDescent="0.25">
      <c r="A901" s="1" t="s">
        <v>24</v>
      </c>
      <c r="B901" s="1" t="s">
        <v>47</v>
      </c>
      <c r="C901" s="1" t="s">
        <v>10</v>
      </c>
      <c r="D901" s="1">
        <v>0</v>
      </c>
      <c r="E901" s="1">
        <v>0</v>
      </c>
      <c r="F901" s="1">
        <v>-491.83</v>
      </c>
      <c r="G901" s="1">
        <v>-7967.6229999999996</v>
      </c>
      <c r="H901" s="1">
        <v>4371.8090000000002</v>
      </c>
      <c r="I901" s="1">
        <v>0</v>
      </c>
    </row>
    <row r="902" spans="1:9" hidden="1" x14ac:dyDescent="0.25">
      <c r="A902" s="1" t="s">
        <v>24</v>
      </c>
      <c r="B902" s="1" t="s">
        <v>48</v>
      </c>
      <c r="C902" s="1" t="s">
        <v>25</v>
      </c>
      <c r="D902" s="1">
        <v>0</v>
      </c>
      <c r="E902" s="1">
        <v>0</v>
      </c>
      <c r="F902" s="1">
        <v>491.83</v>
      </c>
      <c r="G902" s="1">
        <v>9738.2049999999999</v>
      </c>
      <c r="H902" s="1">
        <v>-2404.4949999999999</v>
      </c>
      <c r="I902" s="1">
        <v>0</v>
      </c>
    </row>
    <row r="903" spans="1:9" hidden="1" x14ac:dyDescent="0.25">
      <c r="A903" s="1" t="s">
        <v>24</v>
      </c>
      <c r="B903" s="1" t="s">
        <v>48</v>
      </c>
      <c r="C903" s="1" t="s">
        <v>10</v>
      </c>
      <c r="D903" s="1">
        <v>0</v>
      </c>
      <c r="E903" s="1">
        <v>0</v>
      </c>
      <c r="F903" s="1">
        <v>491.83</v>
      </c>
      <c r="G903" s="1">
        <v>9738.2049999999999</v>
      </c>
      <c r="H903" s="1">
        <v>-4371.8090000000002</v>
      </c>
      <c r="I903" s="1">
        <v>0</v>
      </c>
    </row>
    <row r="904" spans="1:9" hidden="1" x14ac:dyDescent="0.25">
      <c r="A904" s="1" t="s">
        <v>24</v>
      </c>
      <c r="B904" s="1" t="s">
        <v>49</v>
      </c>
      <c r="C904" s="1" t="s">
        <v>25</v>
      </c>
      <c r="D904" s="1">
        <v>0</v>
      </c>
      <c r="E904" s="1">
        <v>0</v>
      </c>
      <c r="F904" s="1">
        <v>491.83</v>
      </c>
      <c r="G904" s="1">
        <v>7967.6229999999996</v>
      </c>
      <c r="H904" s="1">
        <v>-2404.4949999999999</v>
      </c>
      <c r="I904" s="1">
        <v>0</v>
      </c>
    </row>
    <row r="905" spans="1:9" hidden="1" x14ac:dyDescent="0.25">
      <c r="A905" s="1" t="s">
        <v>24</v>
      </c>
      <c r="B905" s="1" t="s">
        <v>49</v>
      </c>
      <c r="C905" s="1" t="s">
        <v>10</v>
      </c>
      <c r="D905" s="1">
        <v>0</v>
      </c>
      <c r="E905" s="1">
        <v>0</v>
      </c>
      <c r="F905" s="1">
        <v>491.83</v>
      </c>
      <c r="G905" s="1">
        <v>7967.6229999999996</v>
      </c>
      <c r="H905" s="1">
        <v>-4371.8090000000002</v>
      </c>
      <c r="I905" s="1">
        <v>0</v>
      </c>
    </row>
    <row r="906" spans="1:9" hidden="1" x14ac:dyDescent="0.25">
      <c r="A906" s="1" t="s">
        <v>24</v>
      </c>
      <c r="B906" s="1" t="s">
        <v>50</v>
      </c>
      <c r="C906" s="1" t="s">
        <v>25</v>
      </c>
      <c r="D906" s="1">
        <v>0</v>
      </c>
      <c r="E906" s="1">
        <v>-122.07</v>
      </c>
      <c r="F906" s="1">
        <v>0</v>
      </c>
      <c r="G906" s="1">
        <v>2014.096</v>
      </c>
      <c r="H906" s="1">
        <v>0</v>
      </c>
      <c r="I906" s="1">
        <v>-596.76900000000001</v>
      </c>
    </row>
    <row r="907" spans="1:9" hidden="1" x14ac:dyDescent="0.25">
      <c r="A907" s="1" t="s">
        <v>24</v>
      </c>
      <c r="B907" s="1" t="s">
        <v>50</v>
      </c>
      <c r="C907" s="1" t="s">
        <v>10</v>
      </c>
      <c r="D907" s="1">
        <v>0</v>
      </c>
      <c r="E907" s="1">
        <v>-122.07</v>
      </c>
      <c r="F907" s="1">
        <v>0</v>
      </c>
      <c r="G907" s="1">
        <v>2014.096</v>
      </c>
      <c r="H907" s="1">
        <v>0</v>
      </c>
      <c r="I907" s="1">
        <v>-1085.0350000000001</v>
      </c>
    </row>
    <row r="908" spans="1:9" hidden="1" x14ac:dyDescent="0.25">
      <c r="A908" s="1" t="s">
        <v>24</v>
      </c>
      <c r="B908" s="1" t="s">
        <v>51</v>
      </c>
      <c r="C908" s="1" t="s">
        <v>25</v>
      </c>
      <c r="D908" s="1">
        <v>0</v>
      </c>
      <c r="E908" s="1">
        <v>-122.07</v>
      </c>
      <c r="F908" s="1">
        <v>0</v>
      </c>
      <c r="G908" s="1">
        <v>1647.8969999999999</v>
      </c>
      <c r="H908" s="1">
        <v>0</v>
      </c>
      <c r="I908" s="1">
        <v>-596.76900000000001</v>
      </c>
    </row>
    <row r="909" spans="1:9" hidden="1" x14ac:dyDescent="0.25">
      <c r="A909" s="1" t="s">
        <v>24</v>
      </c>
      <c r="B909" s="1" t="s">
        <v>51</v>
      </c>
      <c r="C909" s="1" t="s">
        <v>10</v>
      </c>
      <c r="D909" s="1">
        <v>0</v>
      </c>
      <c r="E909" s="1">
        <v>-122.07</v>
      </c>
      <c r="F909" s="1">
        <v>0</v>
      </c>
      <c r="G909" s="1">
        <v>1647.8969999999999</v>
      </c>
      <c r="H909" s="1">
        <v>0</v>
      </c>
      <c r="I909" s="1">
        <v>-1085.0350000000001</v>
      </c>
    </row>
    <row r="910" spans="1:9" hidden="1" x14ac:dyDescent="0.25">
      <c r="A910" s="1" t="s">
        <v>24</v>
      </c>
      <c r="B910" s="1" t="s">
        <v>52</v>
      </c>
      <c r="C910" s="1" t="s">
        <v>25</v>
      </c>
      <c r="D910" s="1">
        <v>0</v>
      </c>
      <c r="E910" s="1">
        <v>122.07</v>
      </c>
      <c r="F910" s="1">
        <v>0</v>
      </c>
      <c r="G910" s="1">
        <v>-2014.096</v>
      </c>
      <c r="H910" s="1">
        <v>0</v>
      </c>
      <c r="I910" s="1">
        <v>596.76900000000001</v>
      </c>
    </row>
    <row r="911" spans="1:9" hidden="1" x14ac:dyDescent="0.25">
      <c r="A911" s="1" t="s">
        <v>24</v>
      </c>
      <c r="B911" s="1" t="s">
        <v>52</v>
      </c>
      <c r="C911" s="1" t="s">
        <v>10</v>
      </c>
      <c r="D911" s="1">
        <v>0</v>
      </c>
      <c r="E911" s="1">
        <v>122.07</v>
      </c>
      <c r="F911" s="1">
        <v>0</v>
      </c>
      <c r="G911" s="1">
        <v>-2014.096</v>
      </c>
      <c r="H911" s="1">
        <v>0</v>
      </c>
      <c r="I911" s="1">
        <v>1085.0350000000001</v>
      </c>
    </row>
    <row r="912" spans="1:9" hidden="1" x14ac:dyDescent="0.25">
      <c r="A912" s="1" t="s">
        <v>24</v>
      </c>
      <c r="B912" s="1" t="s">
        <v>53</v>
      </c>
      <c r="C912" s="1" t="s">
        <v>25</v>
      </c>
      <c r="D912" s="1">
        <v>0</v>
      </c>
      <c r="E912" s="1">
        <v>122.07</v>
      </c>
      <c r="F912" s="1">
        <v>0</v>
      </c>
      <c r="G912" s="1">
        <v>-1647.8969999999999</v>
      </c>
      <c r="H912" s="1">
        <v>0</v>
      </c>
      <c r="I912" s="1">
        <v>596.76900000000001</v>
      </c>
    </row>
    <row r="913" spans="1:9" hidden="1" x14ac:dyDescent="0.25">
      <c r="A913" s="1" t="s">
        <v>24</v>
      </c>
      <c r="B913" s="1" t="s">
        <v>53</v>
      </c>
      <c r="C913" s="1" t="s">
        <v>10</v>
      </c>
      <c r="D913" s="1">
        <v>0</v>
      </c>
      <c r="E913" s="1">
        <v>122.07</v>
      </c>
      <c r="F913" s="1">
        <v>0</v>
      </c>
      <c r="G913" s="1">
        <v>-1647.8969999999999</v>
      </c>
      <c r="H913" s="1">
        <v>0</v>
      </c>
      <c r="I913" s="1">
        <v>1085.0350000000001</v>
      </c>
    </row>
    <row r="914" spans="1:9" hidden="1" x14ac:dyDescent="0.25">
      <c r="A914" s="1" t="s">
        <v>24</v>
      </c>
      <c r="B914" s="1" t="s">
        <v>54</v>
      </c>
      <c r="C914" s="1" t="s">
        <v>25</v>
      </c>
      <c r="D914" s="1">
        <v>0</v>
      </c>
      <c r="E914" s="1">
        <v>0</v>
      </c>
      <c r="F914" s="1">
        <v>-147.55000000000001</v>
      </c>
      <c r="G914" s="1">
        <v>-2921.462</v>
      </c>
      <c r="H914" s="1">
        <v>721.34900000000005</v>
      </c>
      <c r="I914" s="1">
        <v>0</v>
      </c>
    </row>
    <row r="915" spans="1:9" hidden="1" x14ac:dyDescent="0.25">
      <c r="A915" s="1" t="s">
        <v>24</v>
      </c>
      <c r="B915" s="1" t="s">
        <v>54</v>
      </c>
      <c r="C915" s="1" t="s">
        <v>10</v>
      </c>
      <c r="D915" s="1">
        <v>0</v>
      </c>
      <c r="E915" s="1">
        <v>0</v>
      </c>
      <c r="F915" s="1">
        <v>-147.55000000000001</v>
      </c>
      <c r="G915" s="1">
        <v>-2921.462</v>
      </c>
      <c r="H915" s="1">
        <v>1311.5429999999999</v>
      </c>
      <c r="I915" s="1">
        <v>0</v>
      </c>
    </row>
    <row r="916" spans="1:9" hidden="1" x14ac:dyDescent="0.25">
      <c r="A916" s="1" t="s">
        <v>24</v>
      </c>
      <c r="B916" s="1" t="s">
        <v>55</v>
      </c>
      <c r="C916" s="1" t="s">
        <v>25</v>
      </c>
      <c r="D916" s="1">
        <v>0</v>
      </c>
      <c r="E916" s="1">
        <v>0</v>
      </c>
      <c r="F916" s="1">
        <v>-147.55000000000001</v>
      </c>
      <c r="G916" s="1">
        <v>-2390.2869999999998</v>
      </c>
      <c r="H916" s="1">
        <v>721.34900000000005</v>
      </c>
      <c r="I916" s="1">
        <v>0</v>
      </c>
    </row>
    <row r="917" spans="1:9" hidden="1" x14ac:dyDescent="0.25">
      <c r="A917" s="1" t="s">
        <v>24</v>
      </c>
      <c r="B917" s="1" t="s">
        <v>55</v>
      </c>
      <c r="C917" s="1" t="s">
        <v>10</v>
      </c>
      <c r="D917" s="1">
        <v>0</v>
      </c>
      <c r="E917" s="1">
        <v>0</v>
      </c>
      <c r="F917" s="1">
        <v>-147.55000000000001</v>
      </c>
      <c r="G917" s="1">
        <v>-2390.2869999999998</v>
      </c>
      <c r="H917" s="1">
        <v>1311.5429999999999</v>
      </c>
      <c r="I917" s="1">
        <v>0</v>
      </c>
    </row>
    <row r="918" spans="1:9" hidden="1" x14ac:dyDescent="0.25">
      <c r="A918" s="1" t="s">
        <v>24</v>
      </c>
      <c r="B918" s="1" t="s">
        <v>56</v>
      </c>
      <c r="C918" s="1" t="s">
        <v>25</v>
      </c>
      <c r="D918" s="1">
        <v>0</v>
      </c>
      <c r="E918" s="1">
        <v>0</v>
      </c>
      <c r="F918" s="1">
        <v>147.55000000000001</v>
      </c>
      <c r="G918" s="1">
        <v>2921.462</v>
      </c>
      <c r="H918" s="1">
        <v>-721.34900000000005</v>
      </c>
      <c r="I918" s="1">
        <v>0</v>
      </c>
    </row>
    <row r="919" spans="1:9" hidden="1" x14ac:dyDescent="0.25">
      <c r="A919" s="1" t="s">
        <v>24</v>
      </c>
      <c r="B919" s="1" t="s">
        <v>56</v>
      </c>
      <c r="C919" s="1" t="s">
        <v>10</v>
      </c>
      <c r="D919" s="1">
        <v>0</v>
      </c>
      <c r="E919" s="1">
        <v>0</v>
      </c>
      <c r="F919" s="1">
        <v>147.55000000000001</v>
      </c>
      <c r="G919" s="1">
        <v>2921.462</v>
      </c>
      <c r="H919" s="1">
        <v>-1311.5429999999999</v>
      </c>
      <c r="I919" s="1">
        <v>0</v>
      </c>
    </row>
    <row r="920" spans="1:9" hidden="1" x14ac:dyDescent="0.25">
      <c r="A920" s="1" t="s">
        <v>24</v>
      </c>
      <c r="B920" s="1" t="s">
        <v>57</v>
      </c>
      <c r="C920" s="1" t="s">
        <v>25</v>
      </c>
      <c r="D920" s="1">
        <v>0</v>
      </c>
      <c r="E920" s="1">
        <v>0</v>
      </c>
      <c r="F920" s="1">
        <v>147.55000000000001</v>
      </c>
      <c r="G920" s="1">
        <v>2390.2869999999998</v>
      </c>
      <c r="H920" s="1">
        <v>-721.34900000000005</v>
      </c>
      <c r="I920" s="1">
        <v>0</v>
      </c>
    </row>
    <row r="921" spans="1:9" hidden="1" x14ac:dyDescent="0.25">
      <c r="A921" s="1" t="s">
        <v>24</v>
      </c>
      <c r="B921" s="1" t="s">
        <v>57</v>
      </c>
      <c r="C921" s="1" t="s">
        <v>10</v>
      </c>
      <c r="D921" s="1">
        <v>0</v>
      </c>
      <c r="E921" s="1">
        <v>0</v>
      </c>
      <c r="F921" s="1">
        <v>147.55000000000001</v>
      </c>
      <c r="G921" s="1">
        <v>2390.2869999999998</v>
      </c>
      <c r="H921" s="1">
        <v>-1311.5429999999999</v>
      </c>
      <c r="I921" s="1">
        <v>0</v>
      </c>
    </row>
    <row r="922" spans="1:9" hidden="1" x14ac:dyDescent="0.25">
      <c r="A922" s="1" t="s">
        <v>24</v>
      </c>
      <c r="B922" s="1" t="s">
        <v>58</v>
      </c>
      <c r="C922" s="1" t="s">
        <v>25</v>
      </c>
      <c r="D922" s="1">
        <v>0</v>
      </c>
      <c r="E922" s="1">
        <v>-122.07</v>
      </c>
      <c r="F922" s="1">
        <v>0</v>
      </c>
      <c r="G922" s="1">
        <v>2014.096</v>
      </c>
      <c r="H922" s="1">
        <v>0</v>
      </c>
      <c r="I922" s="1">
        <v>-596.76900000000001</v>
      </c>
    </row>
    <row r="923" spans="1:9" hidden="1" x14ac:dyDescent="0.25">
      <c r="A923" s="1" t="s">
        <v>24</v>
      </c>
      <c r="B923" s="1" t="s">
        <v>58</v>
      </c>
      <c r="C923" s="1" t="s">
        <v>10</v>
      </c>
      <c r="D923" s="1">
        <v>0</v>
      </c>
      <c r="E923" s="1">
        <v>-122.07</v>
      </c>
      <c r="F923" s="1">
        <v>0</v>
      </c>
      <c r="G923" s="1">
        <v>2014.096</v>
      </c>
      <c r="H923" s="1">
        <v>0</v>
      </c>
      <c r="I923" s="1">
        <v>-1085.0350000000001</v>
      </c>
    </row>
    <row r="924" spans="1:9" hidden="1" x14ac:dyDescent="0.25">
      <c r="A924" s="1" t="s">
        <v>24</v>
      </c>
      <c r="B924" s="1" t="s">
        <v>59</v>
      </c>
      <c r="C924" s="1" t="s">
        <v>25</v>
      </c>
      <c r="D924" s="1">
        <v>0</v>
      </c>
      <c r="E924" s="1">
        <v>-122.07</v>
      </c>
      <c r="F924" s="1">
        <v>0</v>
      </c>
      <c r="G924" s="1">
        <v>1647.8969999999999</v>
      </c>
      <c r="H924" s="1">
        <v>0</v>
      </c>
      <c r="I924" s="1">
        <v>-596.76900000000001</v>
      </c>
    </row>
    <row r="925" spans="1:9" hidden="1" x14ac:dyDescent="0.25">
      <c r="A925" s="1" t="s">
        <v>24</v>
      </c>
      <c r="B925" s="1" t="s">
        <v>59</v>
      </c>
      <c r="C925" s="1" t="s">
        <v>10</v>
      </c>
      <c r="D925" s="1">
        <v>0</v>
      </c>
      <c r="E925" s="1">
        <v>-122.07</v>
      </c>
      <c r="F925" s="1">
        <v>0</v>
      </c>
      <c r="G925" s="1">
        <v>1647.8969999999999</v>
      </c>
      <c r="H925" s="1">
        <v>0</v>
      </c>
      <c r="I925" s="1">
        <v>-1085.0350000000001</v>
      </c>
    </row>
    <row r="926" spans="1:9" hidden="1" x14ac:dyDescent="0.25">
      <c r="A926" s="1" t="s">
        <v>24</v>
      </c>
      <c r="B926" s="1" t="s">
        <v>60</v>
      </c>
      <c r="C926" s="1" t="s">
        <v>25</v>
      </c>
      <c r="D926" s="1">
        <v>0</v>
      </c>
      <c r="E926" s="1">
        <v>122.07</v>
      </c>
      <c r="F926" s="1">
        <v>0</v>
      </c>
      <c r="G926" s="1">
        <v>-2014.096</v>
      </c>
      <c r="H926" s="1">
        <v>0</v>
      </c>
      <c r="I926" s="1">
        <v>596.76900000000001</v>
      </c>
    </row>
    <row r="927" spans="1:9" hidden="1" x14ac:dyDescent="0.25">
      <c r="A927" s="1" t="s">
        <v>24</v>
      </c>
      <c r="B927" s="1" t="s">
        <v>60</v>
      </c>
      <c r="C927" s="1" t="s">
        <v>10</v>
      </c>
      <c r="D927" s="1">
        <v>0</v>
      </c>
      <c r="E927" s="1">
        <v>122.07</v>
      </c>
      <c r="F927" s="1">
        <v>0</v>
      </c>
      <c r="G927" s="1">
        <v>-2014.096</v>
      </c>
      <c r="H927" s="1">
        <v>0</v>
      </c>
      <c r="I927" s="1">
        <v>1085.0350000000001</v>
      </c>
    </row>
    <row r="928" spans="1:9" hidden="1" x14ac:dyDescent="0.25">
      <c r="A928" s="1" t="s">
        <v>24</v>
      </c>
      <c r="B928" s="1" t="s">
        <v>61</v>
      </c>
      <c r="C928" s="1" t="s">
        <v>25</v>
      </c>
      <c r="D928" s="1">
        <v>0</v>
      </c>
      <c r="E928" s="1">
        <v>122.07</v>
      </c>
      <c r="F928" s="1">
        <v>0</v>
      </c>
      <c r="G928" s="1">
        <v>-1647.8969999999999</v>
      </c>
      <c r="H928" s="1">
        <v>0</v>
      </c>
      <c r="I928" s="1">
        <v>596.76900000000001</v>
      </c>
    </row>
    <row r="929" spans="1:9" hidden="1" x14ac:dyDescent="0.25">
      <c r="A929" s="1" t="s">
        <v>24</v>
      </c>
      <c r="B929" s="1" t="s">
        <v>61</v>
      </c>
      <c r="C929" s="1" t="s">
        <v>10</v>
      </c>
      <c r="D929" s="1">
        <v>0</v>
      </c>
      <c r="E929" s="1">
        <v>122.07</v>
      </c>
      <c r="F929" s="1">
        <v>0</v>
      </c>
      <c r="G929" s="1">
        <v>-1647.8969999999999</v>
      </c>
      <c r="H929" s="1">
        <v>0</v>
      </c>
      <c r="I929" s="1">
        <v>1085.0350000000001</v>
      </c>
    </row>
    <row r="930" spans="1:9" hidden="1" x14ac:dyDescent="0.25">
      <c r="A930" s="1" t="s">
        <v>24</v>
      </c>
      <c r="B930" s="1" t="s">
        <v>62</v>
      </c>
      <c r="C930" s="1" t="s">
        <v>25</v>
      </c>
      <c r="D930" s="1">
        <v>0</v>
      </c>
      <c r="E930" s="1">
        <v>0</v>
      </c>
      <c r="F930" s="1">
        <v>-147.55000000000001</v>
      </c>
      <c r="G930" s="1">
        <v>-2921.462</v>
      </c>
      <c r="H930" s="1">
        <v>721.34900000000005</v>
      </c>
      <c r="I930" s="1">
        <v>0</v>
      </c>
    </row>
    <row r="931" spans="1:9" hidden="1" x14ac:dyDescent="0.25">
      <c r="A931" s="1" t="s">
        <v>24</v>
      </c>
      <c r="B931" s="1" t="s">
        <v>62</v>
      </c>
      <c r="C931" s="1" t="s">
        <v>10</v>
      </c>
      <c r="D931" s="1">
        <v>0</v>
      </c>
      <c r="E931" s="1">
        <v>0</v>
      </c>
      <c r="F931" s="1">
        <v>-147.55000000000001</v>
      </c>
      <c r="G931" s="1">
        <v>-2921.462</v>
      </c>
      <c r="H931" s="1">
        <v>1311.5429999999999</v>
      </c>
      <c r="I931" s="1">
        <v>0</v>
      </c>
    </row>
    <row r="932" spans="1:9" hidden="1" x14ac:dyDescent="0.25">
      <c r="A932" s="1" t="s">
        <v>24</v>
      </c>
      <c r="B932" s="1" t="s">
        <v>63</v>
      </c>
      <c r="C932" s="1" t="s">
        <v>25</v>
      </c>
      <c r="D932" s="1">
        <v>0</v>
      </c>
      <c r="E932" s="1">
        <v>0</v>
      </c>
      <c r="F932" s="1">
        <v>-147.55000000000001</v>
      </c>
      <c r="G932" s="1">
        <v>-2390.2869999999998</v>
      </c>
      <c r="H932" s="1">
        <v>721.34900000000005</v>
      </c>
      <c r="I932" s="1">
        <v>0</v>
      </c>
    </row>
    <row r="933" spans="1:9" hidden="1" x14ac:dyDescent="0.25">
      <c r="A933" s="1" t="s">
        <v>24</v>
      </c>
      <c r="B933" s="1" t="s">
        <v>63</v>
      </c>
      <c r="C933" s="1" t="s">
        <v>10</v>
      </c>
      <c r="D933" s="1">
        <v>0</v>
      </c>
      <c r="E933" s="1">
        <v>0</v>
      </c>
      <c r="F933" s="1">
        <v>-147.55000000000001</v>
      </c>
      <c r="G933" s="1">
        <v>-2390.2869999999998</v>
      </c>
      <c r="H933" s="1">
        <v>1311.5429999999999</v>
      </c>
      <c r="I933" s="1">
        <v>0</v>
      </c>
    </row>
    <row r="934" spans="1:9" hidden="1" x14ac:dyDescent="0.25">
      <c r="A934" s="1" t="s">
        <v>24</v>
      </c>
      <c r="B934" s="1" t="s">
        <v>64</v>
      </c>
      <c r="C934" s="1" t="s">
        <v>25</v>
      </c>
      <c r="D934" s="1">
        <v>0</v>
      </c>
      <c r="E934" s="1">
        <v>0</v>
      </c>
      <c r="F934" s="1">
        <v>147.55000000000001</v>
      </c>
      <c r="G934" s="1">
        <v>2921.462</v>
      </c>
      <c r="H934" s="1">
        <v>-721.34900000000005</v>
      </c>
      <c r="I934" s="1">
        <v>0</v>
      </c>
    </row>
    <row r="935" spans="1:9" hidden="1" x14ac:dyDescent="0.25">
      <c r="A935" s="1" t="s">
        <v>24</v>
      </c>
      <c r="B935" s="1" t="s">
        <v>64</v>
      </c>
      <c r="C935" s="1" t="s">
        <v>10</v>
      </c>
      <c r="D935" s="1">
        <v>0</v>
      </c>
      <c r="E935" s="1">
        <v>0</v>
      </c>
      <c r="F935" s="1">
        <v>147.55000000000001</v>
      </c>
      <c r="G935" s="1">
        <v>2921.462</v>
      </c>
      <c r="H935" s="1">
        <v>-1311.5429999999999</v>
      </c>
      <c r="I935" s="1">
        <v>0</v>
      </c>
    </row>
    <row r="936" spans="1:9" hidden="1" x14ac:dyDescent="0.25">
      <c r="A936" s="1" t="s">
        <v>24</v>
      </c>
      <c r="B936" s="1" t="s">
        <v>65</v>
      </c>
      <c r="C936" s="1" t="s">
        <v>25</v>
      </c>
      <c r="D936" s="1">
        <v>0</v>
      </c>
      <c r="E936" s="1">
        <v>0</v>
      </c>
      <c r="F936" s="1">
        <v>147.55000000000001</v>
      </c>
      <c r="G936" s="1">
        <v>2390.2869999999998</v>
      </c>
      <c r="H936" s="1">
        <v>-721.34900000000005</v>
      </c>
      <c r="I936" s="1">
        <v>0</v>
      </c>
    </row>
    <row r="937" spans="1:9" hidden="1" x14ac:dyDescent="0.25">
      <c r="A937" s="1" t="s">
        <v>24</v>
      </c>
      <c r="B937" s="1" t="s">
        <v>65</v>
      </c>
      <c r="C937" s="1" t="s">
        <v>10</v>
      </c>
      <c r="D937" s="1">
        <v>0</v>
      </c>
      <c r="E937" s="1">
        <v>0</v>
      </c>
      <c r="F937" s="1">
        <v>147.55000000000001</v>
      </c>
      <c r="G937" s="1">
        <v>2390.2869999999998</v>
      </c>
      <c r="H937" s="1">
        <v>-1311.5429999999999</v>
      </c>
      <c r="I937" s="1">
        <v>0</v>
      </c>
    </row>
    <row r="938" spans="1:9" hidden="1" x14ac:dyDescent="0.25">
      <c r="A938" s="1" t="s">
        <v>24</v>
      </c>
      <c r="B938" s="1" t="s">
        <v>66</v>
      </c>
      <c r="C938" s="1" t="s">
        <v>25</v>
      </c>
      <c r="D938" s="1">
        <v>0</v>
      </c>
      <c r="E938" s="1">
        <v>-406.89</v>
      </c>
      <c r="F938" s="1">
        <v>0</v>
      </c>
      <c r="G938" s="1">
        <v>6713.6530000000002</v>
      </c>
      <c r="H938" s="1">
        <v>0</v>
      </c>
      <c r="I938" s="1">
        <v>-1989.231</v>
      </c>
    </row>
    <row r="939" spans="1:9" hidden="1" x14ac:dyDescent="0.25">
      <c r="A939" s="1" t="s">
        <v>24</v>
      </c>
      <c r="B939" s="1" t="s">
        <v>66</v>
      </c>
      <c r="C939" s="1" t="s">
        <v>10</v>
      </c>
      <c r="D939" s="1">
        <v>0</v>
      </c>
      <c r="E939" s="1">
        <v>-406.89</v>
      </c>
      <c r="F939" s="1">
        <v>0</v>
      </c>
      <c r="G939" s="1">
        <v>6713.6530000000002</v>
      </c>
      <c r="H939" s="1">
        <v>0</v>
      </c>
      <c r="I939" s="1">
        <v>-3616.7829999999999</v>
      </c>
    </row>
    <row r="940" spans="1:9" hidden="1" x14ac:dyDescent="0.25">
      <c r="A940" s="1" t="s">
        <v>24</v>
      </c>
      <c r="B940" s="1" t="s">
        <v>67</v>
      </c>
      <c r="C940" s="1" t="s">
        <v>25</v>
      </c>
      <c r="D940" s="1">
        <v>0</v>
      </c>
      <c r="E940" s="1">
        <v>-406.89</v>
      </c>
      <c r="F940" s="1">
        <v>0</v>
      </c>
      <c r="G940" s="1">
        <v>5492.9889999999996</v>
      </c>
      <c r="H940" s="1">
        <v>0</v>
      </c>
      <c r="I940" s="1">
        <v>-1989.231</v>
      </c>
    </row>
    <row r="941" spans="1:9" hidden="1" x14ac:dyDescent="0.25">
      <c r="A941" s="1" t="s">
        <v>24</v>
      </c>
      <c r="B941" s="1" t="s">
        <v>67</v>
      </c>
      <c r="C941" s="1" t="s">
        <v>10</v>
      </c>
      <c r="D941" s="1">
        <v>0</v>
      </c>
      <c r="E941" s="1">
        <v>-406.89</v>
      </c>
      <c r="F941" s="1">
        <v>0</v>
      </c>
      <c r="G941" s="1">
        <v>5492.9889999999996</v>
      </c>
      <c r="H941" s="1">
        <v>0</v>
      </c>
      <c r="I941" s="1">
        <v>-3616.7829999999999</v>
      </c>
    </row>
    <row r="942" spans="1:9" hidden="1" x14ac:dyDescent="0.25">
      <c r="A942" s="1" t="s">
        <v>24</v>
      </c>
      <c r="B942" s="1" t="s">
        <v>68</v>
      </c>
      <c r="C942" s="1" t="s">
        <v>25</v>
      </c>
      <c r="D942" s="1">
        <v>0</v>
      </c>
      <c r="E942" s="1">
        <v>406.89</v>
      </c>
      <c r="F942" s="1">
        <v>0</v>
      </c>
      <c r="G942" s="1">
        <v>-6713.6530000000002</v>
      </c>
      <c r="H942" s="1">
        <v>0</v>
      </c>
      <c r="I942" s="1">
        <v>1989.231</v>
      </c>
    </row>
    <row r="943" spans="1:9" hidden="1" x14ac:dyDescent="0.25">
      <c r="A943" s="1" t="s">
        <v>24</v>
      </c>
      <c r="B943" s="1" t="s">
        <v>68</v>
      </c>
      <c r="C943" s="1" t="s">
        <v>10</v>
      </c>
      <c r="D943" s="1">
        <v>0</v>
      </c>
      <c r="E943" s="1">
        <v>406.89</v>
      </c>
      <c r="F943" s="1">
        <v>0</v>
      </c>
      <c r="G943" s="1">
        <v>-6713.6530000000002</v>
      </c>
      <c r="H943" s="1">
        <v>0</v>
      </c>
      <c r="I943" s="1">
        <v>3616.7829999999999</v>
      </c>
    </row>
    <row r="944" spans="1:9" hidden="1" x14ac:dyDescent="0.25">
      <c r="A944" s="1" t="s">
        <v>24</v>
      </c>
      <c r="B944" s="1" t="s">
        <v>69</v>
      </c>
      <c r="C944" s="1" t="s">
        <v>25</v>
      </c>
      <c r="D944" s="1">
        <v>0</v>
      </c>
      <c r="E944" s="1">
        <v>406.89</v>
      </c>
      <c r="F944" s="1">
        <v>0</v>
      </c>
      <c r="G944" s="1">
        <v>-5492.9889999999996</v>
      </c>
      <c r="H944" s="1">
        <v>0</v>
      </c>
      <c r="I944" s="1">
        <v>1989.231</v>
      </c>
    </row>
    <row r="945" spans="1:9" hidden="1" x14ac:dyDescent="0.25">
      <c r="A945" s="1" t="s">
        <v>24</v>
      </c>
      <c r="B945" s="1" t="s">
        <v>69</v>
      </c>
      <c r="C945" s="1" t="s">
        <v>10</v>
      </c>
      <c r="D945" s="1">
        <v>0</v>
      </c>
      <c r="E945" s="1">
        <v>406.89</v>
      </c>
      <c r="F945" s="1">
        <v>0</v>
      </c>
      <c r="G945" s="1">
        <v>-5492.9889999999996</v>
      </c>
      <c r="H945" s="1">
        <v>0</v>
      </c>
      <c r="I945" s="1">
        <v>3616.7829999999999</v>
      </c>
    </row>
    <row r="946" spans="1:9" hidden="1" x14ac:dyDescent="0.25">
      <c r="A946" s="1" t="s">
        <v>24</v>
      </c>
      <c r="B946" s="1" t="s">
        <v>70</v>
      </c>
      <c r="C946" s="1" t="s">
        <v>25</v>
      </c>
      <c r="D946" s="1">
        <v>0</v>
      </c>
      <c r="E946" s="1">
        <v>0</v>
      </c>
      <c r="F946" s="1">
        <v>-491.83</v>
      </c>
      <c r="G946" s="1">
        <v>-9738.2049999999999</v>
      </c>
      <c r="H946" s="1">
        <v>2404.4949999999999</v>
      </c>
      <c r="I946" s="1">
        <v>0</v>
      </c>
    </row>
    <row r="947" spans="1:9" hidden="1" x14ac:dyDescent="0.25">
      <c r="A947" s="1" t="s">
        <v>24</v>
      </c>
      <c r="B947" s="1" t="s">
        <v>70</v>
      </c>
      <c r="C947" s="1" t="s">
        <v>10</v>
      </c>
      <c r="D947" s="1">
        <v>0</v>
      </c>
      <c r="E947" s="1">
        <v>0</v>
      </c>
      <c r="F947" s="1">
        <v>-491.83</v>
      </c>
      <c r="G947" s="1">
        <v>-9738.2049999999999</v>
      </c>
      <c r="H947" s="1">
        <v>4371.8090000000002</v>
      </c>
      <c r="I947" s="1">
        <v>0</v>
      </c>
    </row>
    <row r="948" spans="1:9" hidden="1" x14ac:dyDescent="0.25">
      <c r="A948" s="1" t="s">
        <v>24</v>
      </c>
      <c r="B948" s="1" t="s">
        <v>71</v>
      </c>
      <c r="C948" s="1" t="s">
        <v>25</v>
      </c>
      <c r="D948" s="1">
        <v>0</v>
      </c>
      <c r="E948" s="1">
        <v>0</v>
      </c>
      <c r="F948" s="1">
        <v>-491.83</v>
      </c>
      <c r="G948" s="1">
        <v>-7967.6229999999996</v>
      </c>
      <c r="H948" s="1">
        <v>2404.4949999999999</v>
      </c>
      <c r="I948" s="1">
        <v>0</v>
      </c>
    </row>
    <row r="949" spans="1:9" hidden="1" x14ac:dyDescent="0.25">
      <c r="A949" s="1" t="s">
        <v>24</v>
      </c>
      <c r="B949" s="1" t="s">
        <v>71</v>
      </c>
      <c r="C949" s="1" t="s">
        <v>10</v>
      </c>
      <c r="D949" s="1">
        <v>0</v>
      </c>
      <c r="E949" s="1">
        <v>0</v>
      </c>
      <c r="F949" s="1">
        <v>-491.83</v>
      </c>
      <c r="G949" s="1">
        <v>-7967.6229999999996</v>
      </c>
      <c r="H949" s="1">
        <v>4371.8090000000002</v>
      </c>
      <c r="I949" s="1">
        <v>0</v>
      </c>
    </row>
    <row r="950" spans="1:9" hidden="1" x14ac:dyDescent="0.25">
      <c r="A950" s="1" t="s">
        <v>24</v>
      </c>
      <c r="B950" s="1" t="s">
        <v>72</v>
      </c>
      <c r="C950" s="1" t="s">
        <v>25</v>
      </c>
      <c r="D950" s="1">
        <v>0</v>
      </c>
      <c r="E950" s="1">
        <v>0</v>
      </c>
      <c r="F950" s="1">
        <v>491.83</v>
      </c>
      <c r="G950" s="1">
        <v>9738.2049999999999</v>
      </c>
      <c r="H950" s="1">
        <v>-2404.4949999999999</v>
      </c>
      <c r="I950" s="1">
        <v>0</v>
      </c>
    </row>
    <row r="951" spans="1:9" hidden="1" x14ac:dyDescent="0.25">
      <c r="A951" s="1" t="s">
        <v>24</v>
      </c>
      <c r="B951" s="1" t="s">
        <v>72</v>
      </c>
      <c r="C951" s="1" t="s">
        <v>10</v>
      </c>
      <c r="D951" s="1">
        <v>0</v>
      </c>
      <c r="E951" s="1">
        <v>0</v>
      </c>
      <c r="F951" s="1">
        <v>491.83</v>
      </c>
      <c r="G951" s="1">
        <v>9738.2049999999999</v>
      </c>
      <c r="H951" s="1">
        <v>-4371.8090000000002</v>
      </c>
      <c r="I951" s="1">
        <v>0</v>
      </c>
    </row>
    <row r="952" spans="1:9" hidden="1" x14ac:dyDescent="0.25">
      <c r="A952" s="1" t="s">
        <v>24</v>
      </c>
      <c r="B952" s="1" t="s">
        <v>73</v>
      </c>
      <c r="C952" s="1" t="s">
        <v>25</v>
      </c>
      <c r="D952" s="1">
        <v>0</v>
      </c>
      <c r="E952" s="1">
        <v>0</v>
      </c>
      <c r="F952" s="1">
        <v>491.83</v>
      </c>
      <c r="G952" s="1">
        <v>7967.6229999999996</v>
      </c>
      <c r="H952" s="1">
        <v>-2404.4949999999999</v>
      </c>
      <c r="I952" s="1">
        <v>0</v>
      </c>
    </row>
    <row r="953" spans="1:9" hidden="1" x14ac:dyDescent="0.25">
      <c r="A953" s="1" t="s">
        <v>24</v>
      </c>
      <c r="B953" s="1" t="s">
        <v>73</v>
      </c>
      <c r="C953" s="1" t="s">
        <v>10</v>
      </c>
      <c r="D953" s="1">
        <v>0</v>
      </c>
      <c r="E953" s="1">
        <v>0</v>
      </c>
      <c r="F953" s="1">
        <v>491.83</v>
      </c>
      <c r="G953" s="1">
        <v>7967.6229999999996</v>
      </c>
      <c r="H953" s="1">
        <v>-4371.8090000000002</v>
      </c>
      <c r="I953" s="1">
        <v>0</v>
      </c>
    </row>
    <row r="954" spans="1:9" hidden="1" x14ac:dyDescent="0.25">
      <c r="A954" s="1" t="s">
        <v>24</v>
      </c>
      <c r="B954" s="1" t="s">
        <v>74</v>
      </c>
      <c r="C954" s="1" t="s">
        <v>25</v>
      </c>
      <c r="D954" s="1">
        <v>0</v>
      </c>
      <c r="E954" s="1">
        <v>-406.89</v>
      </c>
      <c r="F954" s="1">
        <v>0</v>
      </c>
      <c r="G954" s="1">
        <v>6713.6530000000002</v>
      </c>
      <c r="H954" s="1">
        <v>0</v>
      </c>
      <c r="I954" s="1">
        <v>-1989.231</v>
      </c>
    </row>
    <row r="955" spans="1:9" hidden="1" x14ac:dyDescent="0.25">
      <c r="A955" s="1" t="s">
        <v>24</v>
      </c>
      <c r="B955" s="1" t="s">
        <v>74</v>
      </c>
      <c r="C955" s="1" t="s">
        <v>10</v>
      </c>
      <c r="D955" s="1">
        <v>0</v>
      </c>
      <c r="E955" s="1">
        <v>-406.89</v>
      </c>
      <c r="F955" s="1">
        <v>0</v>
      </c>
      <c r="G955" s="1">
        <v>6713.6530000000002</v>
      </c>
      <c r="H955" s="1">
        <v>0</v>
      </c>
      <c r="I955" s="1">
        <v>-3616.7829999999999</v>
      </c>
    </row>
    <row r="956" spans="1:9" hidden="1" x14ac:dyDescent="0.25">
      <c r="A956" s="1" t="s">
        <v>24</v>
      </c>
      <c r="B956" s="1" t="s">
        <v>75</v>
      </c>
      <c r="C956" s="1" t="s">
        <v>25</v>
      </c>
      <c r="D956" s="1">
        <v>0</v>
      </c>
      <c r="E956" s="1">
        <v>-406.89</v>
      </c>
      <c r="F956" s="1">
        <v>0</v>
      </c>
      <c r="G956" s="1">
        <v>5492.9889999999996</v>
      </c>
      <c r="H956" s="1">
        <v>0</v>
      </c>
      <c r="I956" s="1">
        <v>-1989.231</v>
      </c>
    </row>
    <row r="957" spans="1:9" hidden="1" x14ac:dyDescent="0.25">
      <c r="A957" s="1" t="s">
        <v>24</v>
      </c>
      <c r="B957" s="1" t="s">
        <v>75</v>
      </c>
      <c r="C957" s="1" t="s">
        <v>10</v>
      </c>
      <c r="D957" s="1">
        <v>0</v>
      </c>
      <c r="E957" s="1">
        <v>-406.89</v>
      </c>
      <c r="F957" s="1">
        <v>0</v>
      </c>
      <c r="G957" s="1">
        <v>5492.9889999999996</v>
      </c>
      <c r="H957" s="1">
        <v>0</v>
      </c>
      <c r="I957" s="1">
        <v>-3616.7829999999999</v>
      </c>
    </row>
    <row r="958" spans="1:9" hidden="1" x14ac:dyDescent="0.25">
      <c r="A958" s="1" t="s">
        <v>24</v>
      </c>
      <c r="B958" s="1" t="s">
        <v>76</v>
      </c>
      <c r="C958" s="1" t="s">
        <v>25</v>
      </c>
      <c r="D958" s="1">
        <v>0</v>
      </c>
      <c r="E958" s="1">
        <v>406.89</v>
      </c>
      <c r="F958" s="1">
        <v>0</v>
      </c>
      <c r="G958" s="1">
        <v>-6713.6530000000002</v>
      </c>
      <c r="H958" s="1">
        <v>0</v>
      </c>
      <c r="I958" s="1">
        <v>1989.231</v>
      </c>
    </row>
    <row r="959" spans="1:9" hidden="1" x14ac:dyDescent="0.25">
      <c r="A959" s="1" t="s">
        <v>24</v>
      </c>
      <c r="B959" s="1" t="s">
        <v>76</v>
      </c>
      <c r="C959" s="1" t="s">
        <v>10</v>
      </c>
      <c r="D959" s="1">
        <v>0</v>
      </c>
      <c r="E959" s="1">
        <v>406.89</v>
      </c>
      <c r="F959" s="1">
        <v>0</v>
      </c>
      <c r="G959" s="1">
        <v>-6713.6530000000002</v>
      </c>
      <c r="H959" s="1">
        <v>0</v>
      </c>
      <c r="I959" s="1">
        <v>3616.7829999999999</v>
      </c>
    </row>
    <row r="960" spans="1:9" hidden="1" x14ac:dyDescent="0.25">
      <c r="A960" s="1" t="s">
        <v>24</v>
      </c>
      <c r="B960" s="1" t="s">
        <v>77</v>
      </c>
      <c r="C960" s="1" t="s">
        <v>25</v>
      </c>
      <c r="D960" s="1">
        <v>0</v>
      </c>
      <c r="E960" s="1">
        <v>406.89</v>
      </c>
      <c r="F960" s="1">
        <v>0</v>
      </c>
      <c r="G960" s="1">
        <v>-5492.9889999999996</v>
      </c>
      <c r="H960" s="1">
        <v>0</v>
      </c>
      <c r="I960" s="1">
        <v>1989.231</v>
      </c>
    </row>
    <row r="961" spans="1:9" hidden="1" x14ac:dyDescent="0.25">
      <c r="A961" s="1" t="s">
        <v>24</v>
      </c>
      <c r="B961" s="1" t="s">
        <v>77</v>
      </c>
      <c r="C961" s="1" t="s">
        <v>10</v>
      </c>
      <c r="D961" s="1">
        <v>0</v>
      </c>
      <c r="E961" s="1">
        <v>406.89</v>
      </c>
      <c r="F961" s="1">
        <v>0</v>
      </c>
      <c r="G961" s="1">
        <v>-5492.9889999999996</v>
      </c>
      <c r="H961" s="1">
        <v>0</v>
      </c>
      <c r="I961" s="1">
        <v>3616.7829999999999</v>
      </c>
    </row>
    <row r="962" spans="1:9" hidden="1" x14ac:dyDescent="0.25">
      <c r="A962" s="1" t="s">
        <v>24</v>
      </c>
      <c r="B962" s="1" t="s">
        <v>78</v>
      </c>
      <c r="C962" s="1" t="s">
        <v>25</v>
      </c>
      <c r="D962" s="1">
        <v>0</v>
      </c>
      <c r="E962" s="1">
        <v>0</v>
      </c>
      <c r="F962" s="1">
        <v>-491.83</v>
      </c>
      <c r="G962" s="1">
        <v>-9738.2049999999999</v>
      </c>
      <c r="H962" s="1">
        <v>2404.4949999999999</v>
      </c>
      <c r="I962" s="1">
        <v>0</v>
      </c>
    </row>
    <row r="963" spans="1:9" hidden="1" x14ac:dyDescent="0.25">
      <c r="A963" s="1" t="s">
        <v>24</v>
      </c>
      <c r="B963" s="1" t="s">
        <v>78</v>
      </c>
      <c r="C963" s="1" t="s">
        <v>10</v>
      </c>
      <c r="D963" s="1">
        <v>0</v>
      </c>
      <c r="E963" s="1">
        <v>0</v>
      </c>
      <c r="F963" s="1">
        <v>-491.83</v>
      </c>
      <c r="G963" s="1">
        <v>-9738.2049999999999</v>
      </c>
      <c r="H963" s="1">
        <v>4371.8090000000002</v>
      </c>
      <c r="I963" s="1">
        <v>0</v>
      </c>
    </row>
    <row r="964" spans="1:9" hidden="1" x14ac:dyDescent="0.25">
      <c r="A964" s="1" t="s">
        <v>24</v>
      </c>
      <c r="B964" s="1" t="s">
        <v>79</v>
      </c>
      <c r="C964" s="1" t="s">
        <v>25</v>
      </c>
      <c r="D964" s="1">
        <v>0</v>
      </c>
      <c r="E964" s="1">
        <v>0</v>
      </c>
      <c r="F964" s="1">
        <v>-491.83</v>
      </c>
      <c r="G964" s="1">
        <v>-7967.6229999999996</v>
      </c>
      <c r="H964" s="1">
        <v>2404.4949999999999</v>
      </c>
      <c r="I964" s="1">
        <v>0</v>
      </c>
    </row>
    <row r="965" spans="1:9" hidden="1" x14ac:dyDescent="0.25">
      <c r="A965" s="1" t="s">
        <v>24</v>
      </c>
      <c r="B965" s="1" t="s">
        <v>79</v>
      </c>
      <c r="C965" s="1" t="s">
        <v>10</v>
      </c>
      <c r="D965" s="1">
        <v>0</v>
      </c>
      <c r="E965" s="1">
        <v>0</v>
      </c>
      <c r="F965" s="1">
        <v>-491.83</v>
      </c>
      <c r="G965" s="1">
        <v>-7967.6229999999996</v>
      </c>
      <c r="H965" s="1">
        <v>4371.8090000000002</v>
      </c>
      <c r="I965" s="1">
        <v>0</v>
      </c>
    </row>
    <row r="966" spans="1:9" hidden="1" x14ac:dyDescent="0.25">
      <c r="A966" s="1" t="s">
        <v>24</v>
      </c>
      <c r="B966" s="1" t="s">
        <v>80</v>
      </c>
      <c r="C966" s="1" t="s">
        <v>25</v>
      </c>
      <c r="D966" s="1">
        <v>0</v>
      </c>
      <c r="E966" s="1">
        <v>0</v>
      </c>
      <c r="F966" s="1">
        <v>491.83</v>
      </c>
      <c r="G966" s="1">
        <v>9738.2049999999999</v>
      </c>
      <c r="H966" s="1">
        <v>-2404.4949999999999</v>
      </c>
      <c r="I966" s="1">
        <v>0</v>
      </c>
    </row>
    <row r="967" spans="1:9" hidden="1" x14ac:dyDescent="0.25">
      <c r="A967" s="1" t="s">
        <v>24</v>
      </c>
      <c r="B967" s="1" t="s">
        <v>80</v>
      </c>
      <c r="C967" s="1" t="s">
        <v>10</v>
      </c>
      <c r="D967" s="1">
        <v>0</v>
      </c>
      <c r="E967" s="1">
        <v>0</v>
      </c>
      <c r="F967" s="1">
        <v>491.83</v>
      </c>
      <c r="G967" s="1">
        <v>9738.2049999999999</v>
      </c>
      <c r="H967" s="1">
        <v>-4371.8090000000002</v>
      </c>
      <c r="I967" s="1">
        <v>0</v>
      </c>
    </row>
    <row r="968" spans="1:9" hidden="1" x14ac:dyDescent="0.25">
      <c r="A968" s="1" t="s">
        <v>24</v>
      </c>
      <c r="B968" s="1" t="s">
        <v>81</v>
      </c>
      <c r="C968" s="1" t="s">
        <v>25</v>
      </c>
      <c r="D968" s="1">
        <v>0</v>
      </c>
      <c r="E968" s="1">
        <v>0</v>
      </c>
      <c r="F968" s="1">
        <v>491.83</v>
      </c>
      <c r="G968" s="1">
        <v>7967.6229999999996</v>
      </c>
      <c r="H968" s="1">
        <v>-2404.4949999999999</v>
      </c>
      <c r="I968" s="1">
        <v>0</v>
      </c>
    </row>
    <row r="969" spans="1:9" hidden="1" x14ac:dyDescent="0.25">
      <c r="A969" s="1" t="s">
        <v>24</v>
      </c>
      <c r="B969" s="1" t="s">
        <v>81</v>
      </c>
      <c r="C969" s="1" t="s">
        <v>10</v>
      </c>
      <c r="D969" s="1">
        <v>0</v>
      </c>
      <c r="E969" s="1">
        <v>0</v>
      </c>
      <c r="F969" s="1">
        <v>491.83</v>
      </c>
      <c r="G969" s="1">
        <v>7967.6229999999996</v>
      </c>
      <c r="H969" s="1">
        <v>-4371.8090000000002</v>
      </c>
      <c r="I969" s="1">
        <v>0</v>
      </c>
    </row>
    <row r="970" spans="1:9" hidden="1" x14ac:dyDescent="0.25">
      <c r="A970" s="1" t="s">
        <v>24</v>
      </c>
      <c r="B970" s="1" t="s">
        <v>82</v>
      </c>
      <c r="C970" s="1" t="s">
        <v>25</v>
      </c>
      <c r="D970" s="1">
        <v>0</v>
      </c>
      <c r="E970" s="1">
        <v>-122.07</v>
      </c>
      <c r="F970" s="1">
        <v>0</v>
      </c>
      <c r="G970" s="1">
        <v>2014.096</v>
      </c>
      <c r="H970" s="1">
        <v>0</v>
      </c>
      <c r="I970" s="1">
        <v>-596.76900000000001</v>
      </c>
    </row>
    <row r="971" spans="1:9" hidden="1" x14ac:dyDescent="0.25">
      <c r="A971" s="1" t="s">
        <v>24</v>
      </c>
      <c r="B971" s="1" t="s">
        <v>82</v>
      </c>
      <c r="C971" s="1" t="s">
        <v>10</v>
      </c>
      <c r="D971" s="1">
        <v>0</v>
      </c>
      <c r="E971" s="1">
        <v>-122.07</v>
      </c>
      <c r="F971" s="1">
        <v>0</v>
      </c>
      <c r="G971" s="1">
        <v>2014.096</v>
      </c>
      <c r="H971" s="1">
        <v>0</v>
      </c>
      <c r="I971" s="1">
        <v>-1085.0350000000001</v>
      </c>
    </row>
    <row r="972" spans="1:9" hidden="1" x14ac:dyDescent="0.25">
      <c r="A972" s="1" t="s">
        <v>24</v>
      </c>
      <c r="B972" s="1" t="s">
        <v>83</v>
      </c>
      <c r="C972" s="1" t="s">
        <v>25</v>
      </c>
      <c r="D972" s="1">
        <v>0</v>
      </c>
      <c r="E972" s="1">
        <v>-122.07</v>
      </c>
      <c r="F972" s="1">
        <v>0</v>
      </c>
      <c r="G972" s="1">
        <v>1647.8969999999999</v>
      </c>
      <c r="H972" s="1">
        <v>0</v>
      </c>
      <c r="I972" s="1">
        <v>-596.76900000000001</v>
      </c>
    </row>
    <row r="973" spans="1:9" hidden="1" x14ac:dyDescent="0.25">
      <c r="A973" s="1" t="s">
        <v>24</v>
      </c>
      <c r="B973" s="1" t="s">
        <v>83</v>
      </c>
      <c r="C973" s="1" t="s">
        <v>10</v>
      </c>
      <c r="D973" s="1">
        <v>0</v>
      </c>
      <c r="E973" s="1">
        <v>-122.07</v>
      </c>
      <c r="F973" s="1">
        <v>0</v>
      </c>
      <c r="G973" s="1">
        <v>1647.8969999999999</v>
      </c>
      <c r="H973" s="1">
        <v>0</v>
      </c>
      <c r="I973" s="1">
        <v>-1085.0350000000001</v>
      </c>
    </row>
    <row r="974" spans="1:9" hidden="1" x14ac:dyDescent="0.25">
      <c r="A974" s="1" t="s">
        <v>24</v>
      </c>
      <c r="B974" s="1" t="s">
        <v>84</v>
      </c>
      <c r="C974" s="1" t="s">
        <v>25</v>
      </c>
      <c r="D974" s="1">
        <v>0</v>
      </c>
      <c r="E974" s="1">
        <v>122.07</v>
      </c>
      <c r="F974" s="1">
        <v>0</v>
      </c>
      <c r="G974" s="1">
        <v>-2014.096</v>
      </c>
      <c r="H974" s="1">
        <v>0</v>
      </c>
      <c r="I974" s="1">
        <v>596.76900000000001</v>
      </c>
    </row>
    <row r="975" spans="1:9" hidden="1" x14ac:dyDescent="0.25">
      <c r="A975" s="1" t="s">
        <v>24</v>
      </c>
      <c r="B975" s="1" t="s">
        <v>84</v>
      </c>
      <c r="C975" s="1" t="s">
        <v>10</v>
      </c>
      <c r="D975" s="1">
        <v>0</v>
      </c>
      <c r="E975" s="1">
        <v>122.07</v>
      </c>
      <c r="F975" s="1">
        <v>0</v>
      </c>
      <c r="G975" s="1">
        <v>-2014.096</v>
      </c>
      <c r="H975" s="1">
        <v>0</v>
      </c>
      <c r="I975" s="1">
        <v>1085.0350000000001</v>
      </c>
    </row>
    <row r="976" spans="1:9" hidden="1" x14ac:dyDescent="0.25">
      <c r="A976" s="1" t="s">
        <v>24</v>
      </c>
      <c r="B976" s="1" t="s">
        <v>85</v>
      </c>
      <c r="C976" s="1" t="s">
        <v>25</v>
      </c>
      <c r="D976" s="1">
        <v>0</v>
      </c>
      <c r="E976" s="1">
        <v>122.07</v>
      </c>
      <c r="F976" s="1">
        <v>0</v>
      </c>
      <c r="G976" s="1">
        <v>-1647.8969999999999</v>
      </c>
      <c r="H976" s="1">
        <v>0</v>
      </c>
      <c r="I976" s="1">
        <v>596.76900000000001</v>
      </c>
    </row>
    <row r="977" spans="1:9" hidden="1" x14ac:dyDescent="0.25">
      <c r="A977" s="1" t="s">
        <v>24</v>
      </c>
      <c r="B977" s="1" t="s">
        <v>85</v>
      </c>
      <c r="C977" s="1" t="s">
        <v>10</v>
      </c>
      <c r="D977" s="1">
        <v>0</v>
      </c>
      <c r="E977" s="1">
        <v>122.07</v>
      </c>
      <c r="F977" s="1">
        <v>0</v>
      </c>
      <c r="G977" s="1">
        <v>-1647.8969999999999</v>
      </c>
      <c r="H977" s="1">
        <v>0</v>
      </c>
      <c r="I977" s="1">
        <v>1085.0350000000001</v>
      </c>
    </row>
    <row r="978" spans="1:9" hidden="1" x14ac:dyDescent="0.25">
      <c r="A978" s="1" t="s">
        <v>24</v>
      </c>
      <c r="B978" s="1" t="s">
        <v>86</v>
      </c>
      <c r="C978" s="1" t="s">
        <v>25</v>
      </c>
      <c r="D978" s="1">
        <v>0</v>
      </c>
      <c r="E978" s="1">
        <v>0</v>
      </c>
      <c r="F978" s="1">
        <v>-147.55000000000001</v>
      </c>
      <c r="G978" s="1">
        <v>-2921.462</v>
      </c>
      <c r="H978" s="1">
        <v>721.34900000000005</v>
      </c>
      <c r="I978" s="1">
        <v>0</v>
      </c>
    </row>
    <row r="979" spans="1:9" hidden="1" x14ac:dyDescent="0.25">
      <c r="A979" s="1" t="s">
        <v>24</v>
      </c>
      <c r="B979" s="1" t="s">
        <v>86</v>
      </c>
      <c r="C979" s="1" t="s">
        <v>10</v>
      </c>
      <c r="D979" s="1">
        <v>0</v>
      </c>
      <c r="E979" s="1">
        <v>0</v>
      </c>
      <c r="F979" s="1">
        <v>-147.55000000000001</v>
      </c>
      <c r="G979" s="1">
        <v>-2921.462</v>
      </c>
      <c r="H979" s="1">
        <v>1311.5429999999999</v>
      </c>
      <c r="I979" s="1">
        <v>0</v>
      </c>
    </row>
    <row r="980" spans="1:9" hidden="1" x14ac:dyDescent="0.25">
      <c r="A980" s="1" t="s">
        <v>24</v>
      </c>
      <c r="B980" s="1" t="s">
        <v>87</v>
      </c>
      <c r="C980" s="1" t="s">
        <v>25</v>
      </c>
      <c r="D980" s="1">
        <v>0</v>
      </c>
      <c r="E980" s="1">
        <v>0</v>
      </c>
      <c r="F980" s="1">
        <v>-147.55000000000001</v>
      </c>
      <c r="G980" s="1">
        <v>-2390.2869999999998</v>
      </c>
      <c r="H980" s="1">
        <v>721.34900000000005</v>
      </c>
      <c r="I980" s="1">
        <v>0</v>
      </c>
    </row>
    <row r="981" spans="1:9" hidden="1" x14ac:dyDescent="0.25">
      <c r="A981" s="1" t="s">
        <v>24</v>
      </c>
      <c r="B981" s="1" t="s">
        <v>87</v>
      </c>
      <c r="C981" s="1" t="s">
        <v>10</v>
      </c>
      <c r="D981" s="1">
        <v>0</v>
      </c>
      <c r="E981" s="1">
        <v>0</v>
      </c>
      <c r="F981" s="1">
        <v>-147.55000000000001</v>
      </c>
      <c r="G981" s="1">
        <v>-2390.2869999999998</v>
      </c>
      <c r="H981" s="1">
        <v>1311.5429999999999</v>
      </c>
      <c r="I981" s="1">
        <v>0</v>
      </c>
    </row>
    <row r="982" spans="1:9" hidden="1" x14ac:dyDescent="0.25">
      <c r="A982" s="1" t="s">
        <v>24</v>
      </c>
      <c r="B982" s="1" t="s">
        <v>88</v>
      </c>
      <c r="C982" s="1" t="s">
        <v>25</v>
      </c>
      <c r="D982" s="1">
        <v>0</v>
      </c>
      <c r="E982" s="1">
        <v>0</v>
      </c>
      <c r="F982" s="1">
        <v>147.55000000000001</v>
      </c>
      <c r="G982" s="1">
        <v>2921.462</v>
      </c>
      <c r="H982" s="1">
        <v>-721.34900000000005</v>
      </c>
      <c r="I982" s="1">
        <v>0</v>
      </c>
    </row>
    <row r="983" spans="1:9" hidden="1" x14ac:dyDescent="0.25">
      <c r="A983" s="1" t="s">
        <v>24</v>
      </c>
      <c r="B983" s="1" t="s">
        <v>88</v>
      </c>
      <c r="C983" s="1" t="s">
        <v>10</v>
      </c>
      <c r="D983" s="1">
        <v>0</v>
      </c>
      <c r="E983" s="1">
        <v>0</v>
      </c>
      <c r="F983" s="1">
        <v>147.55000000000001</v>
      </c>
      <c r="G983" s="1">
        <v>2921.462</v>
      </c>
      <c r="H983" s="1">
        <v>-1311.5429999999999</v>
      </c>
      <c r="I983" s="1">
        <v>0</v>
      </c>
    </row>
    <row r="984" spans="1:9" hidden="1" x14ac:dyDescent="0.25">
      <c r="A984" s="1" t="s">
        <v>24</v>
      </c>
      <c r="B984" s="1" t="s">
        <v>89</v>
      </c>
      <c r="C984" s="1" t="s">
        <v>25</v>
      </c>
      <c r="D984" s="1">
        <v>0</v>
      </c>
      <c r="E984" s="1">
        <v>0</v>
      </c>
      <c r="F984" s="1">
        <v>147.55000000000001</v>
      </c>
      <c r="G984" s="1">
        <v>2390.2869999999998</v>
      </c>
      <c r="H984" s="1">
        <v>-721.34900000000005</v>
      </c>
      <c r="I984" s="1">
        <v>0</v>
      </c>
    </row>
    <row r="985" spans="1:9" hidden="1" x14ac:dyDescent="0.25">
      <c r="A985" s="1" t="s">
        <v>24</v>
      </c>
      <c r="B985" s="1" t="s">
        <v>89</v>
      </c>
      <c r="C985" s="1" t="s">
        <v>10</v>
      </c>
      <c r="D985" s="1">
        <v>0</v>
      </c>
      <c r="E985" s="1">
        <v>0</v>
      </c>
      <c r="F985" s="1">
        <v>147.55000000000001</v>
      </c>
      <c r="G985" s="1">
        <v>2390.2869999999998</v>
      </c>
      <c r="H985" s="1">
        <v>-1311.5429999999999</v>
      </c>
      <c r="I985" s="1">
        <v>0</v>
      </c>
    </row>
    <row r="986" spans="1:9" hidden="1" x14ac:dyDescent="0.25">
      <c r="A986" s="1" t="s">
        <v>24</v>
      </c>
      <c r="B986" s="1" t="s">
        <v>90</v>
      </c>
      <c r="C986" s="1" t="s">
        <v>25</v>
      </c>
      <c r="D986" s="1">
        <v>0</v>
      </c>
      <c r="E986" s="1">
        <v>-122.07</v>
      </c>
      <c r="F986" s="1">
        <v>0</v>
      </c>
      <c r="G986" s="1">
        <v>2014.096</v>
      </c>
      <c r="H986" s="1">
        <v>0</v>
      </c>
      <c r="I986" s="1">
        <v>-596.76900000000001</v>
      </c>
    </row>
    <row r="987" spans="1:9" hidden="1" x14ac:dyDescent="0.25">
      <c r="A987" s="1" t="s">
        <v>24</v>
      </c>
      <c r="B987" s="1" t="s">
        <v>90</v>
      </c>
      <c r="C987" s="1" t="s">
        <v>10</v>
      </c>
      <c r="D987" s="1">
        <v>0</v>
      </c>
      <c r="E987" s="1">
        <v>-122.07</v>
      </c>
      <c r="F987" s="1">
        <v>0</v>
      </c>
      <c r="G987" s="1">
        <v>2014.096</v>
      </c>
      <c r="H987" s="1">
        <v>0</v>
      </c>
      <c r="I987" s="1">
        <v>-1085.0350000000001</v>
      </c>
    </row>
    <row r="988" spans="1:9" hidden="1" x14ac:dyDescent="0.25">
      <c r="A988" s="1" t="s">
        <v>24</v>
      </c>
      <c r="B988" s="1" t="s">
        <v>91</v>
      </c>
      <c r="C988" s="1" t="s">
        <v>25</v>
      </c>
      <c r="D988" s="1">
        <v>0</v>
      </c>
      <c r="E988" s="1">
        <v>-122.07</v>
      </c>
      <c r="F988" s="1">
        <v>0</v>
      </c>
      <c r="G988" s="1">
        <v>1647.8969999999999</v>
      </c>
      <c r="H988" s="1">
        <v>0</v>
      </c>
      <c r="I988" s="1">
        <v>-596.76900000000001</v>
      </c>
    </row>
    <row r="989" spans="1:9" hidden="1" x14ac:dyDescent="0.25">
      <c r="A989" s="1" t="s">
        <v>24</v>
      </c>
      <c r="B989" s="1" t="s">
        <v>91</v>
      </c>
      <c r="C989" s="1" t="s">
        <v>10</v>
      </c>
      <c r="D989" s="1">
        <v>0</v>
      </c>
      <c r="E989" s="1">
        <v>-122.07</v>
      </c>
      <c r="F989" s="1">
        <v>0</v>
      </c>
      <c r="G989" s="1">
        <v>1647.8969999999999</v>
      </c>
      <c r="H989" s="1">
        <v>0</v>
      </c>
      <c r="I989" s="1">
        <v>-1085.0350000000001</v>
      </c>
    </row>
    <row r="990" spans="1:9" hidden="1" x14ac:dyDescent="0.25">
      <c r="A990" s="1" t="s">
        <v>24</v>
      </c>
      <c r="B990" s="1" t="s">
        <v>92</v>
      </c>
      <c r="C990" s="1" t="s">
        <v>25</v>
      </c>
      <c r="D990" s="1">
        <v>0</v>
      </c>
      <c r="E990" s="1">
        <v>122.07</v>
      </c>
      <c r="F990" s="1">
        <v>0</v>
      </c>
      <c r="G990" s="1">
        <v>-2014.096</v>
      </c>
      <c r="H990" s="1">
        <v>0</v>
      </c>
      <c r="I990" s="1">
        <v>596.76900000000001</v>
      </c>
    </row>
    <row r="991" spans="1:9" hidden="1" x14ac:dyDescent="0.25">
      <c r="A991" s="1" t="s">
        <v>24</v>
      </c>
      <c r="B991" s="1" t="s">
        <v>92</v>
      </c>
      <c r="C991" s="1" t="s">
        <v>10</v>
      </c>
      <c r="D991" s="1">
        <v>0</v>
      </c>
      <c r="E991" s="1">
        <v>122.07</v>
      </c>
      <c r="F991" s="1">
        <v>0</v>
      </c>
      <c r="G991" s="1">
        <v>-2014.096</v>
      </c>
      <c r="H991" s="1">
        <v>0</v>
      </c>
      <c r="I991" s="1">
        <v>1085.0350000000001</v>
      </c>
    </row>
    <row r="992" spans="1:9" hidden="1" x14ac:dyDescent="0.25">
      <c r="A992" s="1" t="s">
        <v>24</v>
      </c>
      <c r="B992" s="1" t="s">
        <v>93</v>
      </c>
      <c r="C992" s="1" t="s">
        <v>25</v>
      </c>
      <c r="D992" s="1">
        <v>0</v>
      </c>
      <c r="E992" s="1">
        <v>122.07</v>
      </c>
      <c r="F992" s="1">
        <v>0</v>
      </c>
      <c r="G992" s="1">
        <v>-1647.8969999999999</v>
      </c>
      <c r="H992" s="1">
        <v>0</v>
      </c>
      <c r="I992" s="1">
        <v>596.76900000000001</v>
      </c>
    </row>
    <row r="993" spans="1:9" hidden="1" x14ac:dyDescent="0.25">
      <c r="A993" s="1" t="s">
        <v>24</v>
      </c>
      <c r="B993" s="1" t="s">
        <v>93</v>
      </c>
      <c r="C993" s="1" t="s">
        <v>10</v>
      </c>
      <c r="D993" s="1">
        <v>0</v>
      </c>
      <c r="E993" s="1">
        <v>122.07</v>
      </c>
      <c r="F993" s="1">
        <v>0</v>
      </c>
      <c r="G993" s="1">
        <v>-1647.8969999999999</v>
      </c>
      <c r="H993" s="1">
        <v>0</v>
      </c>
      <c r="I993" s="1">
        <v>1085.0350000000001</v>
      </c>
    </row>
    <row r="994" spans="1:9" hidden="1" x14ac:dyDescent="0.25">
      <c r="A994" s="1" t="s">
        <v>24</v>
      </c>
      <c r="B994" s="1" t="s">
        <v>94</v>
      </c>
      <c r="C994" s="1" t="s">
        <v>25</v>
      </c>
      <c r="D994" s="1">
        <v>0</v>
      </c>
      <c r="E994" s="1">
        <v>0</v>
      </c>
      <c r="F994" s="1">
        <v>-147.55000000000001</v>
      </c>
      <c r="G994" s="1">
        <v>-2921.462</v>
      </c>
      <c r="H994" s="1">
        <v>721.34900000000005</v>
      </c>
      <c r="I994" s="1">
        <v>0</v>
      </c>
    </row>
    <row r="995" spans="1:9" hidden="1" x14ac:dyDescent="0.25">
      <c r="A995" s="1" t="s">
        <v>24</v>
      </c>
      <c r="B995" s="1" t="s">
        <v>94</v>
      </c>
      <c r="C995" s="1" t="s">
        <v>10</v>
      </c>
      <c r="D995" s="1">
        <v>0</v>
      </c>
      <c r="E995" s="1">
        <v>0</v>
      </c>
      <c r="F995" s="1">
        <v>-147.55000000000001</v>
      </c>
      <c r="G995" s="1">
        <v>-2921.462</v>
      </c>
      <c r="H995" s="1">
        <v>1311.5429999999999</v>
      </c>
      <c r="I995" s="1">
        <v>0</v>
      </c>
    </row>
    <row r="996" spans="1:9" hidden="1" x14ac:dyDescent="0.25">
      <c r="A996" s="1" t="s">
        <v>24</v>
      </c>
      <c r="B996" s="1" t="s">
        <v>95</v>
      </c>
      <c r="C996" s="1" t="s">
        <v>25</v>
      </c>
      <c r="D996" s="1">
        <v>0</v>
      </c>
      <c r="E996" s="1">
        <v>0</v>
      </c>
      <c r="F996" s="1">
        <v>-147.55000000000001</v>
      </c>
      <c r="G996" s="1">
        <v>-2390.2869999999998</v>
      </c>
      <c r="H996" s="1">
        <v>721.34900000000005</v>
      </c>
      <c r="I996" s="1">
        <v>0</v>
      </c>
    </row>
    <row r="997" spans="1:9" hidden="1" x14ac:dyDescent="0.25">
      <c r="A997" s="1" t="s">
        <v>24</v>
      </c>
      <c r="B997" s="1" t="s">
        <v>95</v>
      </c>
      <c r="C997" s="1" t="s">
        <v>10</v>
      </c>
      <c r="D997" s="1">
        <v>0</v>
      </c>
      <c r="E997" s="1">
        <v>0</v>
      </c>
      <c r="F997" s="1">
        <v>-147.55000000000001</v>
      </c>
      <c r="G997" s="1">
        <v>-2390.2869999999998</v>
      </c>
      <c r="H997" s="1">
        <v>1311.5429999999999</v>
      </c>
      <c r="I997" s="1">
        <v>0</v>
      </c>
    </row>
    <row r="998" spans="1:9" hidden="1" x14ac:dyDescent="0.25">
      <c r="A998" s="1" t="s">
        <v>24</v>
      </c>
      <c r="B998" s="1" t="s">
        <v>96</v>
      </c>
      <c r="C998" s="1" t="s">
        <v>25</v>
      </c>
      <c r="D998" s="1">
        <v>0</v>
      </c>
      <c r="E998" s="1">
        <v>0</v>
      </c>
      <c r="F998" s="1">
        <v>147.55000000000001</v>
      </c>
      <c r="G998" s="1">
        <v>2921.462</v>
      </c>
      <c r="H998" s="1">
        <v>-721.34900000000005</v>
      </c>
      <c r="I998" s="1">
        <v>0</v>
      </c>
    </row>
    <row r="999" spans="1:9" hidden="1" x14ac:dyDescent="0.25">
      <c r="A999" s="1" t="s">
        <v>24</v>
      </c>
      <c r="B999" s="1" t="s">
        <v>96</v>
      </c>
      <c r="C999" s="1" t="s">
        <v>10</v>
      </c>
      <c r="D999" s="1">
        <v>0</v>
      </c>
      <c r="E999" s="1">
        <v>0</v>
      </c>
      <c r="F999" s="1">
        <v>147.55000000000001</v>
      </c>
      <c r="G999" s="1">
        <v>2921.462</v>
      </c>
      <c r="H999" s="1">
        <v>-1311.5429999999999</v>
      </c>
      <c r="I999" s="1">
        <v>0</v>
      </c>
    </row>
    <row r="1000" spans="1:9" hidden="1" x14ac:dyDescent="0.25">
      <c r="A1000" s="1" t="s">
        <v>24</v>
      </c>
      <c r="B1000" s="1" t="s">
        <v>97</v>
      </c>
      <c r="C1000" s="1" t="s">
        <v>25</v>
      </c>
      <c r="D1000" s="1">
        <v>0</v>
      </c>
      <c r="E1000" s="1">
        <v>0</v>
      </c>
      <c r="F1000" s="1">
        <v>147.55000000000001</v>
      </c>
      <c r="G1000" s="1">
        <v>2390.2869999999998</v>
      </c>
      <c r="H1000" s="1">
        <v>-721.34900000000005</v>
      </c>
      <c r="I1000" s="1">
        <v>0</v>
      </c>
    </row>
    <row r="1001" spans="1:9" hidden="1" x14ac:dyDescent="0.25">
      <c r="A1001" s="1" t="s">
        <v>24</v>
      </c>
      <c r="B1001" s="1" t="s">
        <v>97</v>
      </c>
      <c r="C1001" s="1" t="s">
        <v>10</v>
      </c>
      <c r="D1001" s="1">
        <v>0</v>
      </c>
      <c r="E1001" s="1">
        <v>0</v>
      </c>
      <c r="F1001" s="1">
        <v>147.55000000000001</v>
      </c>
      <c r="G1001" s="1">
        <v>2390.2869999999998</v>
      </c>
      <c r="H1001" s="1">
        <v>-1311.5429999999999</v>
      </c>
      <c r="I1001" s="1">
        <v>0</v>
      </c>
    </row>
    <row r="1002" spans="1:9" hidden="1" x14ac:dyDescent="0.25">
      <c r="A1002" s="1" t="s">
        <v>24</v>
      </c>
      <c r="B1002" s="1" t="s">
        <v>14</v>
      </c>
      <c r="C1002" s="1" t="s">
        <v>25</v>
      </c>
      <c r="D1002" s="1">
        <v>0</v>
      </c>
      <c r="E1002" s="1">
        <v>239.45</v>
      </c>
      <c r="F1002" s="1">
        <v>0</v>
      </c>
      <c r="G1002" s="1">
        <v>4137.8370000000004</v>
      </c>
      <c r="H1002" s="1">
        <v>0</v>
      </c>
      <c r="I1002" s="1">
        <v>1271.7080000000001</v>
      </c>
    </row>
    <row r="1003" spans="1:9" hidden="1" x14ac:dyDescent="0.25">
      <c r="A1003" s="1" t="s">
        <v>24</v>
      </c>
      <c r="B1003" s="1" t="s">
        <v>14</v>
      </c>
      <c r="C1003" s="1" t="s">
        <v>10</v>
      </c>
      <c r="D1003" s="1">
        <v>0</v>
      </c>
      <c r="E1003" s="1">
        <v>239.45</v>
      </c>
      <c r="F1003" s="1">
        <v>0</v>
      </c>
      <c r="G1003" s="1">
        <v>4137.8370000000004</v>
      </c>
      <c r="H1003" s="1">
        <v>0</v>
      </c>
      <c r="I1003" s="1">
        <v>2110.34</v>
      </c>
    </row>
    <row r="1004" spans="1:9" hidden="1" x14ac:dyDescent="0.25">
      <c r="A1004" s="1" t="s">
        <v>24</v>
      </c>
      <c r="B1004" s="1" t="s">
        <v>98</v>
      </c>
      <c r="C1004" s="1" t="s">
        <v>25</v>
      </c>
      <c r="D1004" s="1">
        <v>0</v>
      </c>
      <c r="E1004" s="1">
        <v>-239.45</v>
      </c>
      <c r="F1004" s="1">
        <v>0</v>
      </c>
      <c r="G1004" s="1">
        <v>-4137.8370000000004</v>
      </c>
      <c r="H1004" s="1">
        <v>0</v>
      </c>
      <c r="I1004" s="1">
        <v>-1271.7080000000001</v>
      </c>
    </row>
    <row r="1005" spans="1:9" hidden="1" x14ac:dyDescent="0.25">
      <c r="A1005" s="1" t="s">
        <v>24</v>
      </c>
      <c r="B1005" s="1" t="s">
        <v>98</v>
      </c>
      <c r="C1005" s="1" t="s">
        <v>10</v>
      </c>
      <c r="D1005" s="1">
        <v>0</v>
      </c>
      <c r="E1005" s="1">
        <v>-239.45</v>
      </c>
      <c r="F1005" s="1">
        <v>0</v>
      </c>
      <c r="G1005" s="1">
        <v>-4137.8370000000004</v>
      </c>
      <c r="H1005" s="1">
        <v>0</v>
      </c>
      <c r="I1005" s="1">
        <v>-2110.34</v>
      </c>
    </row>
    <row r="1006" spans="1:9" hidden="1" x14ac:dyDescent="0.25">
      <c r="A1006" s="1" t="s">
        <v>24</v>
      </c>
      <c r="B1006" s="1" t="s">
        <v>15</v>
      </c>
      <c r="C1006" s="1" t="s">
        <v>25</v>
      </c>
      <c r="D1006" s="1">
        <v>0</v>
      </c>
      <c r="E1006" s="1">
        <v>0</v>
      </c>
      <c r="F1006" s="1">
        <v>604.76</v>
      </c>
      <c r="G1006" s="1">
        <v>12115.743</v>
      </c>
      <c r="H1006" s="1">
        <v>3071.299</v>
      </c>
      <c r="I1006" s="1">
        <v>0</v>
      </c>
    </row>
    <row r="1007" spans="1:9" hidden="1" x14ac:dyDescent="0.25">
      <c r="A1007" s="1" t="s">
        <v>24</v>
      </c>
      <c r="B1007" s="1" t="s">
        <v>15</v>
      </c>
      <c r="C1007" s="1" t="s">
        <v>10</v>
      </c>
      <c r="D1007" s="1">
        <v>0</v>
      </c>
      <c r="E1007" s="1">
        <v>0</v>
      </c>
      <c r="F1007" s="1">
        <v>604.76</v>
      </c>
      <c r="G1007" s="1">
        <v>12115.743</v>
      </c>
      <c r="H1007" s="1">
        <v>5424.0720000000001</v>
      </c>
      <c r="I1007" s="1">
        <v>0</v>
      </c>
    </row>
    <row r="1008" spans="1:9" hidden="1" x14ac:dyDescent="0.25">
      <c r="A1008" s="1" t="s">
        <v>24</v>
      </c>
      <c r="B1008" s="1" t="s">
        <v>99</v>
      </c>
      <c r="C1008" s="1" t="s">
        <v>25</v>
      </c>
      <c r="D1008" s="1">
        <v>0</v>
      </c>
      <c r="E1008" s="1">
        <v>0</v>
      </c>
      <c r="F1008" s="1">
        <v>-604.76</v>
      </c>
      <c r="G1008" s="1">
        <v>-12115.743</v>
      </c>
      <c r="H1008" s="1">
        <v>-3071.299</v>
      </c>
      <c r="I1008" s="1">
        <v>0</v>
      </c>
    </row>
    <row r="1009" spans="1:9" hidden="1" x14ac:dyDescent="0.25">
      <c r="A1009" s="1" t="s">
        <v>24</v>
      </c>
      <c r="B1009" s="1" t="s">
        <v>99</v>
      </c>
      <c r="C1009" s="1" t="s">
        <v>10</v>
      </c>
      <c r="D1009" s="1">
        <v>0</v>
      </c>
      <c r="E1009" s="1">
        <v>0</v>
      </c>
      <c r="F1009" s="1">
        <v>-604.76</v>
      </c>
      <c r="G1009" s="1">
        <v>-12115.743</v>
      </c>
      <c r="H1009" s="1">
        <v>-5424.0720000000001</v>
      </c>
      <c r="I1009" s="1">
        <v>0</v>
      </c>
    </row>
    <row r="1010" spans="1:9" hidden="1" x14ac:dyDescent="0.25">
      <c r="A1010" s="1" t="s">
        <v>24</v>
      </c>
      <c r="B1010" s="1" t="s">
        <v>100</v>
      </c>
      <c r="C1010" s="1" t="s">
        <v>25</v>
      </c>
      <c r="D1010" s="1">
        <v>0</v>
      </c>
      <c r="E1010" s="1">
        <v>239.45</v>
      </c>
      <c r="F1010" s="1">
        <v>0</v>
      </c>
      <c r="G1010" s="1">
        <v>4137.8370000000004</v>
      </c>
      <c r="H1010" s="1">
        <v>0</v>
      </c>
      <c r="I1010" s="1">
        <v>1271.7080000000001</v>
      </c>
    </row>
    <row r="1011" spans="1:9" hidden="1" x14ac:dyDescent="0.25">
      <c r="A1011" s="1" t="s">
        <v>24</v>
      </c>
      <c r="B1011" s="1" t="s">
        <v>100</v>
      </c>
      <c r="C1011" s="1" t="s">
        <v>10</v>
      </c>
      <c r="D1011" s="1">
        <v>0</v>
      </c>
      <c r="E1011" s="1">
        <v>239.45</v>
      </c>
      <c r="F1011" s="1">
        <v>0</v>
      </c>
      <c r="G1011" s="1">
        <v>4137.8370000000004</v>
      </c>
      <c r="H1011" s="1">
        <v>0</v>
      </c>
      <c r="I1011" s="1">
        <v>2110.34</v>
      </c>
    </row>
    <row r="1012" spans="1:9" hidden="1" x14ac:dyDescent="0.25">
      <c r="A1012" s="1" t="s">
        <v>24</v>
      </c>
      <c r="B1012" s="1" t="s">
        <v>101</v>
      </c>
      <c r="C1012" s="1" t="s">
        <v>25</v>
      </c>
      <c r="D1012" s="1">
        <v>0</v>
      </c>
      <c r="E1012" s="1">
        <v>-239.45</v>
      </c>
      <c r="F1012" s="1">
        <v>0</v>
      </c>
      <c r="G1012" s="1">
        <v>-4137.8370000000004</v>
      </c>
      <c r="H1012" s="1">
        <v>0</v>
      </c>
      <c r="I1012" s="1">
        <v>-1271.7080000000001</v>
      </c>
    </row>
    <row r="1013" spans="1:9" hidden="1" x14ac:dyDescent="0.25">
      <c r="A1013" s="1" t="s">
        <v>24</v>
      </c>
      <c r="B1013" s="1" t="s">
        <v>101</v>
      </c>
      <c r="C1013" s="1" t="s">
        <v>10</v>
      </c>
      <c r="D1013" s="1">
        <v>0</v>
      </c>
      <c r="E1013" s="1">
        <v>-239.45</v>
      </c>
      <c r="F1013" s="1">
        <v>0</v>
      </c>
      <c r="G1013" s="1">
        <v>-4137.8370000000004</v>
      </c>
      <c r="H1013" s="1">
        <v>0</v>
      </c>
      <c r="I1013" s="1">
        <v>-2110.34</v>
      </c>
    </row>
    <row r="1014" spans="1:9" hidden="1" x14ac:dyDescent="0.25">
      <c r="A1014" s="1" t="s">
        <v>24</v>
      </c>
      <c r="B1014" s="1" t="s">
        <v>102</v>
      </c>
      <c r="C1014" s="1" t="s">
        <v>25</v>
      </c>
      <c r="D1014" s="1">
        <v>0</v>
      </c>
      <c r="E1014" s="1">
        <v>239.45</v>
      </c>
      <c r="F1014" s="1">
        <v>0</v>
      </c>
      <c r="G1014" s="1">
        <v>4137.8370000000004</v>
      </c>
      <c r="H1014" s="1">
        <v>0</v>
      </c>
      <c r="I1014" s="1">
        <v>1271.7080000000001</v>
      </c>
    </row>
    <row r="1015" spans="1:9" hidden="1" x14ac:dyDescent="0.25">
      <c r="A1015" s="1" t="s">
        <v>24</v>
      </c>
      <c r="B1015" s="1" t="s">
        <v>102</v>
      </c>
      <c r="C1015" s="1" t="s">
        <v>10</v>
      </c>
      <c r="D1015" s="1">
        <v>0</v>
      </c>
      <c r="E1015" s="1">
        <v>239.45</v>
      </c>
      <c r="F1015" s="1">
        <v>0</v>
      </c>
      <c r="G1015" s="1">
        <v>4137.8370000000004</v>
      </c>
      <c r="H1015" s="1">
        <v>0</v>
      </c>
      <c r="I1015" s="1">
        <v>2110.34</v>
      </c>
    </row>
    <row r="1016" spans="1:9" hidden="1" x14ac:dyDescent="0.25">
      <c r="A1016" s="1" t="s">
        <v>24</v>
      </c>
      <c r="B1016" s="1" t="s">
        <v>103</v>
      </c>
      <c r="C1016" s="1" t="s">
        <v>25</v>
      </c>
      <c r="D1016" s="1">
        <v>0</v>
      </c>
      <c r="E1016" s="1">
        <v>-239.45</v>
      </c>
      <c r="F1016" s="1">
        <v>0</v>
      </c>
      <c r="G1016" s="1">
        <v>-4137.8370000000004</v>
      </c>
      <c r="H1016" s="1">
        <v>0</v>
      </c>
      <c r="I1016" s="1">
        <v>-1271.7080000000001</v>
      </c>
    </row>
    <row r="1017" spans="1:9" hidden="1" x14ac:dyDescent="0.25">
      <c r="A1017" s="1" t="s">
        <v>24</v>
      </c>
      <c r="B1017" s="1" t="s">
        <v>103</v>
      </c>
      <c r="C1017" s="1" t="s">
        <v>10</v>
      </c>
      <c r="D1017" s="1">
        <v>0</v>
      </c>
      <c r="E1017" s="1">
        <v>-239.45</v>
      </c>
      <c r="F1017" s="1">
        <v>0</v>
      </c>
      <c r="G1017" s="1">
        <v>-4137.8370000000004</v>
      </c>
      <c r="H1017" s="1">
        <v>0</v>
      </c>
      <c r="I1017" s="1">
        <v>-2110.34</v>
      </c>
    </row>
    <row r="1018" spans="1:9" hidden="1" x14ac:dyDescent="0.25">
      <c r="A1018" s="1" t="s">
        <v>24</v>
      </c>
      <c r="B1018" s="1" t="s">
        <v>104</v>
      </c>
      <c r="C1018" s="1" t="s">
        <v>25</v>
      </c>
      <c r="D1018" s="1">
        <v>0</v>
      </c>
      <c r="E1018" s="1">
        <v>0</v>
      </c>
      <c r="F1018" s="1">
        <v>604.76</v>
      </c>
      <c r="G1018" s="1">
        <v>12115.743</v>
      </c>
      <c r="H1018" s="1">
        <v>3071.299</v>
      </c>
      <c r="I1018" s="1">
        <v>0</v>
      </c>
    </row>
    <row r="1019" spans="1:9" hidden="1" x14ac:dyDescent="0.25">
      <c r="A1019" s="1" t="s">
        <v>24</v>
      </c>
      <c r="B1019" s="1" t="s">
        <v>104</v>
      </c>
      <c r="C1019" s="1" t="s">
        <v>10</v>
      </c>
      <c r="D1019" s="1">
        <v>0</v>
      </c>
      <c r="E1019" s="1">
        <v>0</v>
      </c>
      <c r="F1019" s="1">
        <v>604.76</v>
      </c>
      <c r="G1019" s="1">
        <v>12115.743</v>
      </c>
      <c r="H1019" s="1">
        <v>5424.0720000000001</v>
      </c>
      <c r="I1019" s="1">
        <v>0</v>
      </c>
    </row>
    <row r="1020" spans="1:9" hidden="1" x14ac:dyDescent="0.25">
      <c r="A1020" s="1" t="s">
        <v>24</v>
      </c>
      <c r="B1020" s="1" t="s">
        <v>105</v>
      </c>
      <c r="C1020" s="1" t="s">
        <v>25</v>
      </c>
      <c r="D1020" s="1">
        <v>0</v>
      </c>
      <c r="E1020" s="1">
        <v>0</v>
      </c>
      <c r="F1020" s="1">
        <v>-604.76</v>
      </c>
      <c r="G1020" s="1">
        <v>-12115.743</v>
      </c>
      <c r="H1020" s="1">
        <v>-3071.299</v>
      </c>
      <c r="I1020" s="1">
        <v>0</v>
      </c>
    </row>
    <row r="1021" spans="1:9" hidden="1" x14ac:dyDescent="0.25">
      <c r="A1021" s="1" t="s">
        <v>24</v>
      </c>
      <c r="B1021" s="1" t="s">
        <v>105</v>
      </c>
      <c r="C1021" s="1" t="s">
        <v>10</v>
      </c>
      <c r="D1021" s="1">
        <v>0</v>
      </c>
      <c r="E1021" s="1">
        <v>0</v>
      </c>
      <c r="F1021" s="1">
        <v>-604.76</v>
      </c>
      <c r="G1021" s="1">
        <v>-12115.743</v>
      </c>
      <c r="H1021" s="1">
        <v>-5424.0720000000001</v>
      </c>
      <c r="I1021" s="1">
        <v>0</v>
      </c>
    </row>
    <row r="1022" spans="1:9" hidden="1" x14ac:dyDescent="0.25">
      <c r="A1022" s="1" t="s">
        <v>24</v>
      </c>
      <c r="B1022" s="1" t="s">
        <v>106</v>
      </c>
      <c r="C1022" s="1" t="s">
        <v>25</v>
      </c>
      <c r="D1022" s="1">
        <v>0</v>
      </c>
      <c r="E1022" s="1">
        <v>0</v>
      </c>
      <c r="F1022" s="1">
        <v>604.76</v>
      </c>
      <c r="G1022" s="1">
        <v>12115.743</v>
      </c>
      <c r="H1022" s="1">
        <v>3071.299</v>
      </c>
      <c r="I1022" s="1">
        <v>0</v>
      </c>
    </row>
    <row r="1023" spans="1:9" hidden="1" x14ac:dyDescent="0.25">
      <c r="A1023" s="1" t="s">
        <v>24</v>
      </c>
      <c r="B1023" s="1" t="s">
        <v>106</v>
      </c>
      <c r="C1023" s="1" t="s">
        <v>10</v>
      </c>
      <c r="D1023" s="1">
        <v>0</v>
      </c>
      <c r="E1023" s="1">
        <v>0</v>
      </c>
      <c r="F1023" s="1">
        <v>604.76</v>
      </c>
      <c r="G1023" s="1">
        <v>12115.743</v>
      </c>
      <c r="H1023" s="1">
        <v>5424.0720000000001</v>
      </c>
      <c r="I1023" s="1">
        <v>0</v>
      </c>
    </row>
    <row r="1024" spans="1:9" hidden="1" x14ac:dyDescent="0.25">
      <c r="A1024" s="1" t="s">
        <v>24</v>
      </c>
      <c r="B1024" s="1" t="s">
        <v>107</v>
      </c>
      <c r="C1024" s="1" t="s">
        <v>25</v>
      </c>
      <c r="D1024" s="1">
        <v>0</v>
      </c>
      <c r="E1024" s="1">
        <v>0</v>
      </c>
      <c r="F1024" s="1">
        <v>-604.76</v>
      </c>
      <c r="G1024" s="1">
        <v>-12115.743</v>
      </c>
      <c r="H1024" s="1">
        <v>-3071.299</v>
      </c>
      <c r="I1024" s="1">
        <v>0</v>
      </c>
    </row>
    <row r="1025" spans="1:9" hidden="1" x14ac:dyDescent="0.25">
      <c r="A1025" s="1" t="s">
        <v>24</v>
      </c>
      <c r="B1025" s="1" t="s">
        <v>107</v>
      </c>
      <c r="C1025" s="1" t="s">
        <v>10</v>
      </c>
      <c r="D1025" s="1">
        <v>0</v>
      </c>
      <c r="E1025" s="1">
        <v>0</v>
      </c>
      <c r="F1025" s="1">
        <v>-604.76</v>
      </c>
      <c r="G1025" s="1">
        <v>-12115.743</v>
      </c>
      <c r="H1025" s="1">
        <v>-5424.0720000000001</v>
      </c>
      <c r="I1025" s="1">
        <v>0</v>
      </c>
    </row>
    <row r="1026" spans="1:9" hidden="1" x14ac:dyDescent="0.25">
      <c r="A1026" s="1" t="s">
        <v>24</v>
      </c>
      <c r="B1026" s="1" t="s">
        <v>108</v>
      </c>
      <c r="C1026" s="1" t="s">
        <v>25</v>
      </c>
      <c r="D1026" s="1">
        <v>0</v>
      </c>
      <c r="E1026" s="1">
        <v>71.84</v>
      </c>
      <c r="F1026" s="1">
        <v>0</v>
      </c>
      <c r="G1026" s="1">
        <v>1241.3510000000001</v>
      </c>
      <c r="H1026" s="1">
        <v>0</v>
      </c>
      <c r="I1026" s="1">
        <v>381.512</v>
      </c>
    </row>
    <row r="1027" spans="1:9" hidden="1" x14ac:dyDescent="0.25">
      <c r="A1027" s="1" t="s">
        <v>24</v>
      </c>
      <c r="B1027" s="1" t="s">
        <v>108</v>
      </c>
      <c r="C1027" s="1" t="s">
        <v>10</v>
      </c>
      <c r="D1027" s="1">
        <v>0</v>
      </c>
      <c r="E1027" s="1">
        <v>71.84</v>
      </c>
      <c r="F1027" s="1">
        <v>0</v>
      </c>
      <c r="G1027" s="1">
        <v>1241.3510000000001</v>
      </c>
      <c r="H1027" s="1">
        <v>0</v>
      </c>
      <c r="I1027" s="1">
        <v>633.10199999999998</v>
      </c>
    </row>
    <row r="1028" spans="1:9" hidden="1" x14ac:dyDescent="0.25">
      <c r="A1028" s="1" t="s">
        <v>24</v>
      </c>
      <c r="B1028" s="1" t="s">
        <v>109</v>
      </c>
      <c r="C1028" s="1" t="s">
        <v>25</v>
      </c>
      <c r="D1028" s="1">
        <v>0</v>
      </c>
      <c r="E1028" s="1">
        <v>-71.84</v>
      </c>
      <c r="F1028" s="1">
        <v>0</v>
      </c>
      <c r="G1028" s="1">
        <v>-1241.3510000000001</v>
      </c>
      <c r="H1028" s="1">
        <v>0</v>
      </c>
      <c r="I1028" s="1">
        <v>-381.512</v>
      </c>
    </row>
    <row r="1029" spans="1:9" hidden="1" x14ac:dyDescent="0.25">
      <c r="A1029" s="1" t="s">
        <v>24</v>
      </c>
      <c r="B1029" s="1" t="s">
        <v>109</v>
      </c>
      <c r="C1029" s="1" t="s">
        <v>10</v>
      </c>
      <c r="D1029" s="1">
        <v>0</v>
      </c>
      <c r="E1029" s="1">
        <v>-71.84</v>
      </c>
      <c r="F1029" s="1">
        <v>0</v>
      </c>
      <c r="G1029" s="1">
        <v>-1241.3510000000001</v>
      </c>
      <c r="H1029" s="1">
        <v>0</v>
      </c>
      <c r="I1029" s="1">
        <v>-633.10199999999998</v>
      </c>
    </row>
    <row r="1030" spans="1:9" hidden="1" x14ac:dyDescent="0.25">
      <c r="A1030" s="1" t="s">
        <v>24</v>
      </c>
      <c r="B1030" s="1" t="s">
        <v>110</v>
      </c>
      <c r="C1030" s="1" t="s">
        <v>25</v>
      </c>
      <c r="D1030" s="1">
        <v>0</v>
      </c>
      <c r="E1030" s="1">
        <v>71.84</v>
      </c>
      <c r="F1030" s="1">
        <v>0</v>
      </c>
      <c r="G1030" s="1">
        <v>1241.3510000000001</v>
      </c>
      <c r="H1030" s="1">
        <v>0</v>
      </c>
      <c r="I1030" s="1">
        <v>381.512</v>
      </c>
    </row>
    <row r="1031" spans="1:9" hidden="1" x14ac:dyDescent="0.25">
      <c r="A1031" s="1" t="s">
        <v>24</v>
      </c>
      <c r="B1031" s="1" t="s">
        <v>110</v>
      </c>
      <c r="C1031" s="1" t="s">
        <v>10</v>
      </c>
      <c r="D1031" s="1">
        <v>0</v>
      </c>
      <c r="E1031" s="1">
        <v>71.84</v>
      </c>
      <c r="F1031" s="1">
        <v>0</v>
      </c>
      <c r="G1031" s="1">
        <v>1241.3510000000001</v>
      </c>
      <c r="H1031" s="1">
        <v>0</v>
      </c>
      <c r="I1031" s="1">
        <v>633.10199999999998</v>
      </c>
    </row>
    <row r="1032" spans="1:9" hidden="1" x14ac:dyDescent="0.25">
      <c r="A1032" s="1" t="s">
        <v>24</v>
      </c>
      <c r="B1032" s="1" t="s">
        <v>111</v>
      </c>
      <c r="C1032" s="1" t="s">
        <v>25</v>
      </c>
      <c r="D1032" s="1">
        <v>0</v>
      </c>
      <c r="E1032" s="1">
        <v>-71.84</v>
      </c>
      <c r="F1032" s="1">
        <v>0</v>
      </c>
      <c r="G1032" s="1">
        <v>-1241.3510000000001</v>
      </c>
      <c r="H1032" s="1">
        <v>0</v>
      </c>
      <c r="I1032" s="1">
        <v>-381.512</v>
      </c>
    </row>
    <row r="1033" spans="1:9" hidden="1" x14ac:dyDescent="0.25">
      <c r="A1033" s="1" t="s">
        <v>24</v>
      </c>
      <c r="B1033" s="1" t="s">
        <v>111</v>
      </c>
      <c r="C1033" s="1" t="s">
        <v>10</v>
      </c>
      <c r="D1033" s="1">
        <v>0</v>
      </c>
      <c r="E1033" s="1">
        <v>-71.84</v>
      </c>
      <c r="F1033" s="1">
        <v>0</v>
      </c>
      <c r="G1033" s="1">
        <v>-1241.3510000000001</v>
      </c>
      <c r="H1033" s="1">
        <v>0</v>
      </c>
      <c r="I1033" s="1">
        <v>-633.10199999999998</v>
      </c>
    </row>
    <row r="1034" spans="1:9" hidden="1" x14ac:dyDescent="0.25">
      <c r="A1034" s="1" t="s">
        <v>24</v>
      </c>
      <c r="B1034" s="1" t="s">
        <v>112</v>
      </c>
      <c r="C1034" s="1" t="s">
        <v>25</v>
      </c>
      <c r="D1034" s="1">
        <v>0</v>
      </c>
      <c r="E1034" s="1">
        <v>0</v>
      </c>
      <c r="F1034" s="1">
        <v>181.43</v>
      </c>
      <c r="G1034" s="1">
        <v>3634.723</v>
      </c>
      <c r="H1034" s="1">
        <v>921.39</v>
      </c>
      <c r="I1034" s="1">
        <v>0</v>
      </c>
    </row>
    <row r="1035" spans="1:9" hidden="1" x14ac:dyDescent="0.25">
      <c r="A1035" s="1" t="s">
        <v>24</v>
      </c>
      <c r="B1035" s="1" t="s">
        <v>112</v>
      </c>
      <c r="C1035" s="1" t="s">
        <v>10</v>
      </c>
      <c r="D1035" s="1">
        <v>0</v>
      </c>
      <c r="E1035" s="1">
        <v>0</v>
      </c>
      <c r="F1035" s="1">
        <v>181.43</v>
      </c>
      <c r="G1035" s="1">
        <v>3634.723</v>
      </c>
      <c r="H1035" s="1">
        <v>1627.222</v>
      </c>
      <c r="I1035" s="1">
        <v>0</v>
      </c>
    </row>
    <row r="1036" spans="1:9" hidden="1" x14ac:dyDescent="0.25">
      <c r="A1036" s="1" t="s">
        <v>24</v>
      </c>
      <c r="B1036" s="1" t="s">
        <v>113</v>
      </c>
      <c r="C1036" s="1" t="s">
        <v>25</v>
      </c>
      <c r="D1036" s="1">
        <v>0</v>
      </c>
      <c r="E1036" s="1">
        <v>0</v>
      </c>
      <c r="F1036" s="1">
        <v>-181.43</v>
      </c>
      <c r="G1036" s="1">
        <v>-3634.723</v>
      </c>
      <c r="H1036" s="1">
        <v>-921.39</v>
      </c>
      <c r="I1036" s="1">
        <v>0</v>
      </c>
    </row>
    <row r="1037" spans="1:9" hidden="1" x14ac:dyDescent="0.25">
      <c r="A1037" s="1" t="s">
        <v>24</v>
      </c>
      <c r="B1037" s="1" t="s">
        <v>113</v>
      </c>
      <c r="C1037" s="1" t="s">
        <v>10</v>
      </c>
      <c r="D1037" s="1">
        <v>0</v>
      </c>
      <c r="E1037" s="1">
        <v>0</v>
      </c>
      <c r="F1037" s="1">
        <v>-181.43</v>
      </c>
      <c r="G1037" s="1">
        <v>-3634.723</v>
      </c>
      <c r="H1037" s="1">
        <v>-1627.222</v>
      </c>
      <c r="I1037" s="1">
        <v>0</v>
      </c>
    </row>
    <row r="1038" spans="1:9" hidden="1" x14ac:dyDescent="0.25">
      <c r="A1038" s="1" t="s">
        <v>24</v>
      </c>
      <c r="B1038" s="1" t="s">
        <v>114</v>
      </c>
      <c r="C1038" s="1" t="s">
        <v>25</v>
      </c>
      <c r="D1038" s="1">
        <v>0</v>
      </c>
      <c r="E1038" s="1">
        <v>0</v>
      </c>
      <c r="F1038" s="1">
        <v>181.43</v>
      </c>
      <c r="G1038" s="1">
        <v>3634.723</v>
      </c>
      <c r="H1038" s="1">
        <v>921.39</v>
      </c>
      <c r="I1038" s="1">
        <v>0</v>
      </c>
    </row>
    <row r="1039" spans="1:9" hidden="1" x14ac:dyDescent="0.25">
      <c r="A1039" s="1" t="s">
        <v>24</v>
      </c>
      <c r="B1039" s="1" t="s">
        <v>114</v>
      </c>
      <c r="C1039" s="1" t="s">
        <v>10</v>
      </c>
      <c r="D1039" s="1">
        <v>0</v>
      </c>
      <c r="E1039" s="1">
        <v>0</v>
      </c>
      <c r="F1039" s="1">
        <v>181.43</v>
      </c>
      <c r="G1039" s="1">
        <v>3634.723</v>
      </c>
      <c r="H1039" s="1">
        <v>1627.222</v>
      </c>
      <c r="I1039" s="1">
        <v>0</v>
      </c>
    </row>
    <row r="1040" spans="1:9" hidden="1" x14ac:dyDescent="0.25">
      <c r="A1040" s="1" t="s">
        <v>24</v>
      </c>
      <c r="B1040" s="1" t="s">
        <v>115</v>
      </c>
      <c r="C1040" s="1" t="s">
        <v>25</v>
      </c>
      <c r="D1040" s="1">
        <v>0</v>
      </c>
      <c r="E1040" s="1">
        <v>0</v>
      </c>
      <c r="F1040" s="1">
        <v>-181.43</v>
      </c>
      <c r="G1040" s="1">
        <v>-3634.723</v>
      </c>
      <c r="H1040" s="1">
        <v>-921.39</v>
      </c>
      <c r="I1040" s="1">
        <v>0</v>
      </c>
    </row>
    <row r="1041" spans="1:9" hidden="1" x14ac:dyDescent="0.25">
      <c r="A1041" s="1" t="s">
        <v>24</v>
      </c>
      <c r="B1041" s="1" t="s">
        <v>115</v>
      </c>
      <c r="C1041" s="1" t="s">
        <v>10</v>
      </c>
      <c r="D1041" s="1">
        <v>0</v>
      </c>
      <c r="E1041" s="1">
        <v>0</v>
      </c>
      <c r="F1041" s="1">
        <v>-181.43</v>
      </c>
      <c r="G1041" s="1">
        <v>-3634.723</v>
      </c>
      <c r="H1041" s="1">
        <v>-1627.222</v>
      </c>
      <c r="I1041" s="1">
        <v>0</v>
      </c>
    </row>
    <row r="1042" spans="1:9" hidden="1" x14ac:dyDescent="0.25">
      <c r="A1042" s="1" t="s">
        <v>24</v>
      </c>
      <c r="B1042" s="1" t="s">
        <v>116</v>
      </c>
      <c r="C1042" s="1" t="s">
        <v>25</v>
      </c>
      <c r="D1042" s="1">
        <v>0</v>
      </c>
      <c r="E1042" s="1">
        <v>239.45</v>
      </c>
      <c r="F1042" s="1">
        <v>0</v>
      </c>
      <c r="G1042" s="1">
        <v>4137.8370000000004</v>
      </c>
      <c r="H1042" s="1">
        <v>0</v>
      </c>
      <c r="I1042" s="1">
        <v>1271.7080000000001</v>
      </c>
    </row>
    <row r="1043" spans="1:9" hidden="1" x14ac:dyDescent="0.25">
      <c r="A1043" s="1" t="s">
        <v>24</v>
      </c>
      <c r="B1043" s="1" t="s">
        <v>116</v>
      </c>
      <c r="C1043" s="1" t="s">
        <v>10</v>
      </c>
      <c r="D1043" s="1">
        <v>0</v>
      </c>
      <c r="E1043" s="1">
        <v>239.45</v>
      </c>
      <c r="F1043" s="1">
        <v>0</v>
      </c>
      <c r="G1043" s="1">
        <v>4137.8370000000004</v>
      </c>
      <c r="H1043" s="1">
        <v>0</v>
      </c>
      <c r="I1043" s="1">
        <v>2110.34</v>
      </c>
    </row>
    <row r="1044" spans="1:9" hidden="1" x14ac:dyDescent="0.25">
      <c r="A1044" s="1" t="s">
        <v>24</v>
      </c>
      <c r="B1044" s="1" t="s">
        <v>117</v>
      </c>
      <c r="C1044" s="1" t="s">
        <v>25</v>
      </c>
      <c r="D1044" s="1">
        <v>0</v>
      </c>
      <c r="E1044" s="1">
        <v>-239.45</v>
      </c>
      <c r="F1044" s="1">
        <v>0</v>
      </c>
      <c r="G1044" s="1">
        <v>-4137.8370000000004</v>
      </c>
      <c r="H1044" s="1">
        <v>0</v>
      </c>
      <c r="I1044" s="1">
        <v>-1271.7080000000001</v>
      </c>
    </row>
    <row r="1045" spans="1:9" hidden="1" x14ac:dyDescent="0.25">
      <c r="A1045" s="1" t="s">
        <v>24</v>
      </c>
      <c r="B1045" s="1" t="s">
        <v>117</v>
      </c>
      <c r="C1045" s="1" t="s">
        <v>10</v>
      </c>
      <c r="D1045" s="1">
        <v>0</v>
      </c>
      <c r="E1045" s="1">
        <v>-239.45</v>
      </c>
      <c r="F1045" s="1">
        <v>0</v>
      </c>
      <c r="G1045" s="1">
        <v>-4137.8370000000004</v>
      </c>
      <c r="H1045" s="1">
        <v>0</v>
      </c>
      <c r="I1045" s="1">
        <v>-2110.34</v>
      </c>
    </row>
    <row r="1046" spans="1:9" hidden="1" x14ac:dyDescent="0.25">
      <c r="A1046" s="1" t="s">
        <v>24</v>
      </c>
      <c r="B1046" s="1" t="s">
        <v>118</v>
      </c>
      <c r="C1046" s="1" t="s">
        <v>25</v>
      </c>
      <c r="D1046" s="1">
        <v>0</v>
      </c>
      <c r="E1046" s="1">
        <v>239.45</v>
      </c>
      <c r="F1046" s="1">
        <v>0</v>
      </c>
      <c r="G1046" s="1">
        <v>4137.8370000000004</v>
      </c>
      <c r="H1046" s="1">
        <v>0</v>
      </c>
      <c r="I1046" s="1">
        <v>1271.7080000000001</v>
      </c>
    </row>
    <row r="1047" spans="1:9" hidden="1" x14ac:dyDescent="0.25">
      <c r="A1047" s="1" t="s">
        <v>24</v>
      </c>
      <c r="B1047" s="1" t="s">
        <v>118</v>
      </c>
      <c r="C1047" s="1" t="s">
        <v>10</v>
      </c>
      <c r="D1047" s="1">
        <v>0</v>
      </c>
      <c r="E1047" s="1">
        <v>239.45</v>
      </c>
      <c r="F1047" s="1">
        <v>0</v>
      </c>
      <c r="G1047" s="1">
        <v>4137.8370000000004</v>
      </c>
      <c r="H1047" s="1">
        <v>0</v>
      </c>
      <c r="I1047" s="1">
        <v>2110.34</v>
      </c>
    </row>
    <row r="1048" spans="1:9" hidden="1" x14ac:dyDescent="0.25">
      <c r="A1048" s="1" t="s">
        <v>24</v>
      </c>
      <c r="B1048" s="1" t="s">
        <v>119</v>
      </c>
      <c r="C1048" s="1" t="s">
        <v>25</v>
      </c>
      <c r="D1048" s="1">
        <v>0</v>
      </c>
      <c r="E1048" s="1">
        <v>-239.45</v>
      </c>
      <c r="F1048" s="1">
        <v>0</v>
      </c>
      <c r="G1048" s="1">
        <v>-4137.8370000000004</v>
      </c>
      <c r="H1048" s="1">
        <v>0</v>
      </c>
      <c r="I1048" s="1">
        <v>-1271.7080000000001</v>
      </c>
    </row>
    <row r="1049" spans="1:9" hidden="1" x14ac:dyDescent="0.25">
      <c r="A1049" s="1" t="s">
        <v>24</v>
      </c>
      <c r="B1049" s="1" t="s">
        <v>119</v>
      </c>
      <c r="C1049" s="1" t="s">
        <v>10</v>
      </c>
      <c r="D1049" s="1">
        <v>0</v>
      </c>
      <c r="E1049" s="1">
        <v>-239.45</v>
      </c>
      <c r="F1049" s="1">
        <v>0</v>
      </c>
      <c r="G1049" s="1">
        <v>-4137.8370000000004</v>
      </c>
      <c r="H1049" s="1">
        <v>0</v>
      </c>
      <c r="I1049" s="1">
        <v>-2110.34</v>
      </c>
    </row>
    <row r="1050" spans="1:9" hidden="1" x14ac:dyDescent="0.25">
      <c r="A1050" s="1" t="s">
        <v>24</v>
      </c>
      <c r="B1050" s="1" t="s">
        <v>120</v>
      </c>
      <c r="C1050" s="1" t="s">
        <v>25</v>
      </c>
      <c r="D1050" s="1">
        <v>0</v>
      </c>
      <c r="E1050" s="1">
        <v>0</v>
      </c>
      <c r="F1050" s="1">
        <v>604.76</v>
      </c>
      <c r="G1050" s="1">
        <v>12115.743</v>
      </c>
      <c r="H1050" s="1">
        <v>3071.299</v>
      </c>
      <c r="I1050" s="1">
        <v>0</v>
      </c>
    </row>
    <row r="1051" spans="1:9" hidden="1" x14ac:dyDescent="0.25">
      <c r="A1051" s="1" t="s">
        <v>24</v>
      </c>
      <c r="B1051" s="1" t="s">
        <v>120</v>
      </c>
      <c r="C1051" s="1" t="s">
        <v>10</v>
      </c>
      <c r="D1051" s="1">
        <v>0</v>
      </c>
      <c r="E1051" s="1">
        <v>0</v>
      </c>
      <c r="F1051" s="1">
        <v>604.76</v>
      </c>
      <c r="G1051" s="1">
        <v>12115.743</v>
      </c>
      <c r="H1051" s="1">
        <v>5424.0720000000001</v>
      </c>
      <c r="I1051" s="1">
        <v>0</v>
      </c>
    </row>
    <row r="1052" spans="1:9" hidden="1" x14ac:dyDescent="0.25">
      <c r="A1052" s="1" t="s">
        <v>24</v>
      </c>
      <c r="B1052" s="1" t="s">
        <v>121</v>
      </c>
      <c r="C1052" s="1" t="s">
        <v>25</v>
      </c>
      <c r="D1052" s="1">
        <v>0</v>
      </c>
      <c r="E1052" s="1">
        <v>0</v>
      </c>
      <c r="F1052" s="1">
        <v>-604.76</v>
      </c>
      <c r="G1052" s="1">
        <v>-12115.743</v>
      </c>
      <c r="H1052" s="1">
        <v>-3071.299</v>
      </c>
      <c r="I1052" s="1">
        <v>0</v>
      </c>
    </row>
    <row r="1053" spans="1:9" hidden="1" x14ac:dyDescent="0.25">
      <c r="A1053" s="1" t="s">
        <v>24</v>
      </c>
      <c r="B1053" s="1" t="s">
        <v>121</v>
      </c>
      <c r="C1053" s="1" t="s">
        <v>10</v>
      </c>
      <c r="D1053" s="1">
        <v>0</v>
      </c>
      <c r="E1053" s="1">
        <v>0</v>
      </c>
      <c r="F1053" s="1">
        <v>-604.76</v>
      </c>
      <c r="G1053" s="1">
        <v>-12115.743</v>
      </c>
      <c r="H1053" s="1">
        <v>-5424.0720000000001</v>
      </c>
      <c r="I1053" s="1">
        <v>0</v>
      </c>
    </row>
    <row r="1054" spans="1:9" hidden="1" x14ac:dyDescent="0.25">
      <c r="A1054" s="1" t="s">
        <v>24</v>
      </c>
      <c r="B1054" s="1" t="s">
        <v>122</v>
      </c>
      <c r="C1054" s="1" t="s">
        <v>25</v>
      </c>
      <c r="D1054" s="1">
        <v>0</v>
      </c>
      <c r="E1054" s="1">
        <v>0</v>
      </c>
      <c r="F1054" s="1">
        <v>604.76</v>
      </c>
      <c r="G1054" s="1">
        <v>12115.743</v>
      </c>
      <c r="H1054" s="1">
        <v>3071.299</v>
      </c>
      <c r="I1054" s="1">
        <v>0</v>
      </c>
    </row>
    <row r="1055" spans="1:9" hidden="1" x14ac:dyDescent="0.25">
      <c r="A1055" s="1" t="s">
        <v>24</v>
      </c>
      <c r="B1055" s="1" t="s">
        <v>122</v>
      </c>
      <c r="C1055" s="1" t="s">
        <v>10</v>
      </c>
      <c r="D1055" s="1">
        <v>0</v>
      </c>
      <c r="E1055" s="1">
        <v>0</v>
      </c>
      <c r="F1055" s="1">
        <v>604.76</v>
      </c>
      <c r="G1055" s="1">
        <v>12115.743</v>
      </c>
      <c r="H1055" s="1">
        <v>5424.0720000000001</v>
      </c>
      <c r="I1055" s="1">
        <v>0</v>
      </c>
    </row>
    <row r="1056" spans="1:9" hidden="1" x14ac:dyDescent="0.25">
      <c r="A1056" s="1" t="s">
        <v>24</v>
      </c>
      <c r="B1056" s="1" t="s">
        <v>123</v>
      </c>
      <c r="C1056" s="1" t="s">
        <v>25</v>
      </c>
      <c r="D1056" s="1">
        <v>0</v>
      </c>
      <c r="E1056" s="1">
        <v>0</v>
      </c>
      <c r="F1056" s="1">
        <v>-604.76</v>
      </c>
      <c r="G1056" s="1">
        <v>-12115.743</v>
      </c>
      <c r="H1056" s="1">
        <v>-3071.299</v>
      </c>
      <c r="I1056" s="1">
        <v>0</v>
      </c>
    </row>
    <row r="1057" spans="1:9" hidden="1" x14ac:dyDescent="0.25">
      <c r="A1057" s="1" t="s">
        <v>24</v>
      </c>
      <c r="B1057" s="1" t="s">
        <v>123</v>
      </c>
      <c r="C1057" s="1" t="s">
        <v>10</v>
      </c>
      <c r="D1057" s="1">
        <v>0</v>
      </c>
      <c r="E1057" s="1">
        <v>0</v>
      </c>
      <c r="F1057" s="1">
        <v>-604.76</v>
      </c>
      <c r="G1057" s="1">
        <v>-12115.743</v>
      </c>
      <c r="H1057" s="1">
        <v>-5424.0720000000001</v>
      </c>
      <c r="I1057" s="1">
        <v>0</v>
      </c>
    </row>
    <row r="1058" spans="1:9" hidden="1" x14ac:dyDescent="0.25">
      <c r="A1058" s="1" t="s">
        <v>24</v>
      </c>
      <c r="B1058" s="1" t="s">
        <v>124</v>
      </c>
      <c r="C1058" s="1" t="s">
        <v>25</v>
      </c>
      <c r="D1058" s="1">
        <v>0</v>
      </c>
      <c r="E1058" s="1">
        <v>71.84</v>
      </c>
      <c r="F1058" s="1">
        <v>0</v>
      </c>
      <c r="G1058" s="1">
        <v>1241.3510000000001</v>
      </c>
      <c r="H1058" s="1">
        <v>0</v>
      </c>
      <c r="I1058" s="1">
        <v>381.512</v>
      </c>
    </row>
    <row r="1059" spans="1:9" hidden="1" x14ac:dyDescent="0.25">
      <c r="A1059" s="1" t="s">
        <v>24</v>
      </c>
      <c r="B1059" s="1" t="s">
        <v>124</v>
      </c>
      <c r="C1059" s="1" t="s">
        <v>10</v>
      </c>
      <c r="D1059" s="1">
        <v>0</v>
      </c>
      <c r="E1059" s="1">
        <v>71.84</v>
      </c>
      <c r="F1059" s="1">
        <v>0</v>
      </c>
      <c r="G1059" s="1">
        <v>1241.3510000000001</v>
      </c>
      <c r="H1059" s="1">
        <v>0</v>
      </c>
      <c r="I1059" s="1">
        <v>633.10199999999998</v>
      </c>
    </row>
    <row r="1060" spans="1:9" hidden="1" x14ac:dyDescent="0.25">
      <c r="A1060" s="1" t="s">
        <v>24</v>
      </c>
      <c r="B1060" s="1" t="s">
        <v>125</v>
      </c>
      <c r="C1060" s="1" t="s">
        <v>25</v>
      </c>
      <c r="D1060" s="1">
        <v>0</v>
      </c>
      <c r="E1060" s="1">
        <v>-71.84</v>
      </c>
      <c r="F1060" s="1">
        <v>0</v>
      </c>
      <c r="G1060" s="1">
        <v>-1241.3510000000001</v>
      </c>
      <c r="H1060" s="1">
        <v>0</v>
      </c>
      <c r="I1060" s="1">
        <v>-381.512</v>
      </c>
    </row>
    <row r="1061" spans="1:9" hidden="1" x14ac:dyDescent="0.25">
      <c r="A1061" s="1" t="s">
        <v>24</v>
      </c>
      <c r="B1061" s="1" t="s">
        <v>125</v>
      </c>
      <c r="C1061" s="1" t="s">
        <v>10</v>
      </c>
      <c r="D1061" s="1">
        <v>0</v>
      </c>
      <c r="E1061" s="1">
        <v>-71.84</v>
      </c>
      <c r="F1061" s="1">
        <v>0</v>
      </c>
      <c r="G1061" s="1">
        <v>-1241.3510000000001</v>
      </c>
      <c r="H1061" s="1">
        <v>0</v>
      </c>
      <c r="I1061" s="1">
        <v>-633.10199999999998</v>
      </c>
    </row>
    <row r="1062" spans="1:9" hidden="1" x14ac:dyDescent="0.25">
      <c r="A1062" s="1" t="s">
        <v>24</v>
      </c>
      <c r="B1062" s="1" t="s">
        <v>126</v>
      </c>
      <c r="C1062" s="1" t="s">
        <v>25</v>
      </c>
      <c r="D1062" s="1">
        <v>0</v>
      </c>
      <c r="E1062" s="1">
        <v>71.84</v>
      </c>
      <c r="F1062" s="1">
        <v>0</v>
      </c>
      <c r="G1062" s="1">
        <v>1241.3510000000001</v>
      </c>
      <c r="H1062" s="1">
        <v>0</v>
      </c>
      <c r="I1062" s="1">
        <v>381.512</v>
      </c>
    </row>
    <row r="1063" spans="1:9" hidden="1" x14ac:dyDescent="0.25">
      <c r="A1063" s="1" t="s">
        <v>24</v>
      </c>
      <c r="B1063" s="1" t="s">
        <v>126</v>
      </c>
      <c r="C1063" s="1" t="s">
        <v>10</v>
      </c>
      <c r="D1063" s="1">
        <v>0</v>
      </c>
      <c r="E1063" s="1">
        <v>71.84</v>
      </c>
      <c r="F1063" s="1">
        <v>0</v>
      </c>
      <c r="G1063" s="1">
        <v>1241.3510000000001</v>
      </c>
      <c r="H1063" s="1">
        <v>0</v>
      </c>
      <c r="I1063" s="1">
        <v>633.10199999999998</v>
      </c>
    </row>
    <row r="1064" spans="1:9" hidden="1" x14ac:dyDescent="0.25">
      <c r="A1064" s="1" t="s">
        <v>24</v>
      </c>
      <c r="B1064" s="1" t="s">
        <v>127</v>
      </c>
      <c r="C1064" s="1" t="s">
        <v>25</v>
      </c>
      <c r="D1064" s="1">
        <v>0</v>
      </c>
      <c r="E1064" s="1">
        <v>-71.84</v>
      </c>
      <c r="F1064" s="1">
        <v>0</v>
      </c>
      <c r="G1064" s="1">
        <v>-1241.3510000000001</v>
      </c>
      <c r="H1064" s="1">
        <v>0</v>
      </c>
      <c r="I1064" s="1">
        <v>-381.512</v>
      </c>
    </row>
    <row r="1065" spans="1:9" hidden="1" x14ac:dyDescent="0.25">
      <c r="A1065" s="1" t="s">
        <v>24</v>
      </c>
      <c r="B1065" s="1" t="s">
        <v>127</v>
      </c>
      <c r="C1065" s="1" t="s">
        <v>10</v>
      </c>
      <c r="D1065" s="1">
        <v>0</v>
      </c>
      <c r="E1065" s="1">
        <v>-71.84</v>
      </c>
      <c r="F1065" s="1">
        <v>0</v>
      </c>
      <c r="G1065" s="1">
        <v>-1241.3510000000001</v>
      </c>
      <c r="H1065" s="1">
        <v>0</v>
      </c>
      <c r="I1065" s="1">
        <v>-633.10199999999998</v>
      </c>
    </row>
    <row r="1066" spans="1:9" hidden="1" x14ac:dyDescent="0.25">
      <c r="A1066" s="1" t="s">
        <v>24</v>
      </c>
      <c r="B1066" s="1" t="s">
        <v>128</v>
      </c>
      <c r="C1066" s="1" t="s">
        <v>25</v>
      </c>
      <c r="D1066" s="1">
        <v>0</v>
      </c>
      <c r="E1066" s="1">
        <v>0</v>
      </c>
      <c r="F1066" s="1">
        <v>181.43</v>
      </c>
      <c r="G1066" s="1">
        <v>3634.723</v>
      </c>
      <c r="H1066" s="1">
        <v>921.39</v>
      </c>
      <c r="I1066" s="1">
        <v>0</v>
      </c>
    </row>
    <row r="1067" spans="1:9" hidden="1" x14ac:dyDescent="0.25">
      <c r="A1067" s="1" t="s">
        <v>24</v>
      </c>
      <c r="B1067" s="1" t="s">
        <v>128</v>
      </c>
      <c r="C1067" s="1" t="s">
        <v>10</v>
      </c>
      <c r="D1067" s="1">
        <v>0</v>
      </c>
      <c r="E1067" s="1">
        <v>0</v>
      </c>
      <c r="F1067" s="1">
        <v>181.43</v>
      </c>
      <c r="G1067" s="1">
        <v>3634.723</v>
      </c>
      <c r="H1067" s="1">
        <v>1627.222</v>
      </c>
      <c r="I1067" s="1">
        <v>0</v>
      </c>
    </row>
    <row r="1068" spans="1:9" hidden="1" x14ac:dyDescent="0.25">
      <c r="A1068" s="1" t="s">
        <v>24</v>
      </c>
      <c r="B1068" s="1" t="s">
        <v>129</v>
      </c>
      <c r="C1068" s="1" t="s">
        <v>25</v>
      </c>
      <c r="D1068" s="1">
        <v>0</v>
      </c>
      <c r="E1068" s="1">
        <v>0</v>
      </c>
      <c r="F1068" s="1">
        <v>-181.43</v>
      </c>
      <c r="G1068" s="1">
        <v>-3634.723</v>
      </c>
      <c r="H1068" s="1">
        <v>-921.39</v>
      </c>
      <c r="I1068" s="1">
        <v>0</v>
      </c>
    </row>
    <row r="1069" spans="1:9" hidden="1" x14ac:dyDescent="0.25">
      <c r="A1069" s="1" t="s">
        <v>24</v>
      </c>
      <c r="B1069" s="1" t="s">
        <v>129</v>
      </c>
      <c r="C1069" s="1" t="s">
        <v>10</v>
      </c>
      <c r="D1069" s="1">
        <v>0</v>
      </c>
      <c r="E1069" s="1">
        <v>0</v>
      </c>
      <c r="F1069" s="1">
        <v>-181.43</v>
      </c>
      <c r="G1069" s="1">
        <v>-3634.723</v>
      </c>
      <c r="H1069" s="1">
        <v>-1627.222</v>
      </c>
      <c r="I1069" s="1">
        <v>0</v>
      </c>
    </row>
    <row r="1070" spans="1:9" hidden="1" x14ac:dyDescent="0.25">
      <c r="A1070" s="1" t="s">
        <v>24</v>
      </c>
      <c r="B1070" s="1" t="s">
        <v>130</v>
      </c>
      <c r="C1070" s="1" t="s">
        <v>25</v>
      </c>
      <c r="D1070" s="1">
        <v>0</v>
      </c>
      <c r="E1070" s="1">
        <v>0</v>
      </c>
      <c r="F1070" s="1">
        <v>181.43</v>
      </c>
      <c r="G1070" s="1">
        <v>3634.723</v>
      </c>
      <c r="H1070" s="1">
        <v>921.39</v>
      </c>
      <c r="I1070" s="1">
        <v>0</v>
      </c>
    </row>
    <row r="1071" spans="1:9" hidden="1" x14ac:dyDescent="0.25">
      <c r="A1071" s="1" t="s">
        <v>24</v>
      </c>
      <c r="B1071" s="1" t="s">
        <v>130</v>
      </c>
      <c r="C1071" s="1" t="s">
        <v>10</v>
      </c>
      <c r="D1071" s="1">
        <v>0</v>
      </c>
      <c r="E1071" s="1">
        <v>0</v>
      </c>
      <c r="F1071" s="1">
        <v>181.43</v>
      </c>
      <c r="G1071" s="1">
        <v>3634.723</v>
      </c>
      <c r="H1071" s="1">
        <v>1627.222</v>
      </c>
      <c r="I1071" s="1">
        <v>0</v>
      </c>
    </row>
    <row r="1072" spans="1:9" hidden="1" x14ac:dyDescent="0.25">
      <c r="A1072" s="1" t="s">
        <v>24</v>
      </c>
      <c r="B1072" s="1" t="s">
        <v>131</v>
      </c>
      <c r="C1072" s="1" t="s">
        <v>25</v>
      </c>
      <c r="D1072" s="1">
        <v>0</v>
      </c>
      <c r="E1072" s="1">
        <v>0</v>
      </c>
      <c r="F1072" s="1">
        <v>-181.43</v>
      </c>
      <c r="G1072" s="1">
        <v>-3634.723</v>
      </c>
      <c r="H1072" s="1">
        <v>-921.39</v>
      </c>
      <c r="I1072" s="1">
        <v>0</v>
      </c>
    </row>
    <row r="1073" spans="1:9" hidden="1" x14ac:dyDescent="0.25">
      <c r="A1073" s="1" t="s">
        <v>24</v>
      </c>
      <c r="B1073" s="1" t="s">
        <v>131</v>
      </c>
      <c r="C1073" s="1" t="s">
        <v>10</v>
      </c>
      <c r="D1073" s="1">
        <v>0</v>
      </c>
      <c r="E1073" s="1">
        <v>0</v>
      </c>
      <c r="F1073" s="1">
        <v>-181.43</v>
      </c>
      <c r="G1073" s="1">
        <v>-3634.723</v>
      </c>
      <c r="H1073" s="1">
        <v>-1627.222</v>
      </c>
      <c r="I1073" s="1">
        <v>0</v>
      </c>
    </row>
    <row r="1074" spans="1:9" hidden="1" x14ac:dyDescent="0.25">
      <c r="A1074" s="1" t="s">
        <v>24</v>
      </c>
      <c r="B1074" s="1" t="s">
        <v>132</v>
      </c>
      <c r="C1074" s="1" t="s">
        <v>25</v>
      </c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</row>
    <row r="1075" spans="1:9" hidden="1" x14ac:dyDescent="0.25">
      <c r="A1075" s="1" t="s">
        <v>24</v>
      </c>
      <c r="B1075" s="1" t="s">
        <v>132</v>
      </c>
      <c r="C1075" s="1" t="s">
        <v>10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</row>
    <row r="1076" spans="1:9" hidden="1" x14ac:dyDescent="0.25">
      <c r="A1076" s="1" t="s">
        <v>24</v>
      </c>
      <c r="B1076" s="1" t="s">
        <v>133</v>
      </c>
      <c r="C1076" s="1" t="s">
        <v>25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</row>
    <row r="1077" spans="1:9" hidden="1" x14ac:dyDescent="0.25">
      <c r="A1077" s="1" t="s">
        <v>24</v>
      </c>
      <c r="B1077" s="1" t="s">
        <v>133</v>
      </c>
      <c r="C1077" s="1" t="s">
        <v>10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</row>
    <row r="1078" spans="1:9" hidden="1" x14ac:dyDescent="0.25">
      <c r="A1078" s="1" t="s">
        <v>24</v>
      </c>
      <c r="B1078" s="1" t="s">
        <v>134</v>
      </c>
      <c r="C1078" s="1" t="s">
        <v>25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</row>
    <row r="1079" spans="1:9" hidden="1" x14ac:dyDescent="0.25">
      <c r="A1079" s="1" t="s">
        <v>24</v>
      </c>
      <c r="B1079" s="1" t="s">
        <v>134</v>
      </c>
      <c r="C1079" s="1" t="s">
        <v>10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</row>
    <row r="1080" spans="1:9" hidden="1" x14ac:dyDescent="0.25">
      <c r="A1080" s="1" t="s">
        <v>24</v>
      </c>
      <c r="B1080" s="1" t="s">
        <v>135</v>
      </c>
      <c r="C1080" s="1" t="s">
        <v>25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24</v>
      </c>
      <c r="B1081" s="1" t="s">
        <v>135</v>
      </c>
      <c r="C1081" s="1" t="s">
        <v>10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24</v>
      </c>
      <c r="B1082" s="1" t="s">
        <v>136</v>
      </c>
      <c r="C1082" s="1" t="s">
        <v>25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</row>
    <row r="1083" spans="1:9" hidden="1" x14ac:dyDescent="0.25">
      <c r="A1083" s="1" t="s">
        <v>24</v>
      </c>
      <c r="B1083" s="1" t="s">
        <v>136</v>
      </c>
      <c r="C1083" s="1" t="s">
        <v>10</v>
      </c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</row>
    <row r="1084" spans="1:9" hidden="1" x14ac:dyDescent="0.25">
      <c r="A1084" s="1" t="s">
        <v>24</v>
      </c>
      <c r="B1084" s="1" t="s">
        <v>137</v>
      </c>
      <c r="C1084" s="1" t="s">
        <v>25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</row>
    <row r="1085" spans="1:9" hidden="1" x14ac:dyDescent="0.25">
      <c r="A1085" s="1" t="s">
        <v>24</v>
      </c>
      <c r="B1085" s="1" t="s">
        <v>137</v>
      </c>
      <c r="C1085" s="1" t="s">
        <v>10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</row>
    <row r="1086" spans="1:9" hidden="1" x14ac:dyDescent="0.25">
      <c r="A1086" s="1" t="s">
        <v>24</v>
      </c>
      <c r="B1086" s="1" t="s">
        <v>138</v>
      </c>
      <c r="C1086" s="1" t="s">
        <v>25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</row>
    <row r="1087" spans="1:9" hidden="1" x14ac:dyDescent="0.25">
      <c r="A1087" s="1" t="s">
        <v>24</v>
      </c>
      <c r="B1087" s="1" t="s">
        <v>138</v>
      </c>
      <c r="C1087" s="1" t="s">
        <v>10</v>
      </c>
      <c r="D1087" s="1">
        <v>0</v>
      </c>
      <c r="E1087" s="1">
        <v>0</v>
      </c>
      <c r="F1087" s="1">
        <v>0</v>
      </c>
      <c r="G1087" s="1">
        <v>0</v>
      </c>
      <c r="H1087" s="1">
        <v>0</v>
      </c>
      <c r="I1087" s="1">
        <v>0</v>
      </c>
    </row>
    <row r="1088" spans="1:9" hidden="1" x14ac:dyDescent="0.25">
      <c r="A1088" s="1" t="s">
        <v>24</v>
      </c>
      <c r="B1088" s="1" t="s">
        <v>139</v>
      </c>
      <c r="C1088" s="1" t="s">
        <v>25</v>
      </c>
      <c r="D1088" s="1">
        <v>0</v>
      </c>
      <c r="E1088" s="1">
        <v>0</v>
      </c>
      <c r="F1088" s="1">
        <v>0</v>
      </c>
      <c r="G1088" s="1">
        <v>0</v>
      </c>
      <c r="H1088" s="1">
        <v>0</v>
      </c>
      <c r="I1088" s="1">
        <v>0</v>
      </c>
    </row>
    <row r="1089" spans="1:9" hidden="1" x14ac:dyDescent="0.25">
      <c r="A1089" s="1" t="s">
        <v>24</v>
      </c>
      <c r="B1089" s="1" t="s">
        <v>139</v>
      </c>
      <c r="C1089" s="1" t="s">
        <v>10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</row>
    <row r="1090" spans="1:9" hidden="1" x14ac:dyDescent="0.25">
      <c r="A1090" s="1" t="s">
        <v>24</v>
      </c>
      <c r="B1090" s="1" t="s">
        <v>140</v>
      </c>
      <c r="C1090" s="1" t="s">
        <v>25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24</v>
      </c>
      <c r="B1091" s="1" t="s">
        <v>140</v>
      </c>
      <c r="C1091" s="1" t="s">
        <v>10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24</v>
      </c>
      <c r="B1092" s="1" t="s">
        <v>141</v>
      </c>
      <c r="C1092" s="1" t="s">
        <v>25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</row>
    <row r="1093" spans="1:9" hidden="1" x14ac:dyDescent="0.25">
      <c r="A1093" s="1" t="s">
        <v>24</v>
      </c>
      <c r="B1093" s="1" t="s">
        <v>141</v>
      </c>
      <c r="C1093" s="1" t="s">
        <v>10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0</v>
      </c>
    </row>
    <row r="1094" spans="1:9" hidden="1" x14ac:dyDescent="0.25">
      <c r="A1094" s="1" t="s">
        <v>24</v>
      </c>
      <c r="B1094" s="1" t="s">
        <v>142</v>
      </c>
      <c r="C1094" s="1" t="s">
        <v>25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0</v>
      </c>
    </row>
    <row r="1095" spans="1:9" hidden="1" x14ac:dyDescent="0.25">
      <c r="A1095" s="1" t="s">
        <v>24</v>
      </c>
      <c r="B1095" s="1" t="s">
        <v>142</v>
      </c>
      <c r="C1095" s="1" t="s">
        <v>10</v>
      </c>
      <c r="D1095" s="1">
        <v>0</v>
      </c>
      <c r="E1095" s="1">
        <v>0</v>
      </c>
      <c r="F1095" s="1">
        <v>0</v>
      </c>
      <c r="G1095" s="1">
        <v>0</v>
      </c>
      <c r="H1095" s="1">
        <v>0</v>
      </c>
      <c r="I1095" s="1">
        <v>0</v>
      </c>
    </row>
    <row r="1096" spans="1:9" hidden="1" x14ac:dyDescent="0.25">
      <c r="A1096" s="1" t="s">
        <v>24</v>
      </c>
      <c r="B1096" s="1" t="s">
        <v>143</v>
      </c>
      <c r="C1096" s="1" t="s">
        <v>25</v>
      </c>
      <c r="D1096" s="1">
        <v>0</v>
      </c>
      <c r="E1096" s="1">
        <v>0</v>
      </c>
      <c r="F1096" s="1">
        <v>0</v>
      </c>
      <c r="G1096" s="1">
        <v>0</v>
      </c>
      <c r="H1096" s="1">
        <v>0</v>
      </c>
      <c r="I1096" s="1">
        <v>0</v>
      </c>
    </row>
    <row r="1097" spans="1:9" hidden="1" x14ac:dyDescent="0.25">
      <c r="A1097" s="1" t="s">
        <v>24</v>
      </c>
      <c r="B1097" s="1" t="s">
        <v>143</v>
      </c>
      <c r="C1097" s="1" t="s">
        <v>10</v>
      </c>
      <c r="D1097" s="1">
        <v>0</v>
      </c>
      <c r="E1097" s="1">
        <v>0</v>
      </c>
      <c r="F1097" s="1">
        <v>0</v>
      </c>
      <c r="G1097" s="1">
        <v>0</v>
      </c>
      <c r="H1097" s="1">
        <v>0</v>
      </c>
      <c r="I1097" s="1">
        <v>0</v>
      </c>
    </row>
    <row r="1098" spans="1:9" hidden="1" x14ac:dyDescent="0.25">
      <c r="A1098" s="1" t="s">
        <v>24</v>
      </c>
      <c r="B1098" s="1" t="s">
        <v>144</v>
      </c>
      <c r="C1098" s="1" t="s">
        <v>25</v>
      </c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</row>
    <row r="1099" spans="1:9" hidden="1" x14ac:dyDescent="0.25">
      <c r="A1099" s="1" t="s">
        <v>24</v>
      </c>
      <c r="B1099" s="1" t="s">
        <v>144</v>
      </c>
      <c r="C1099" s="1" t="s">
        <v>10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</row>
    <row r="1100" spans="1:9" hidden="1" x14ac:dyDescent="0.25">
      <c r="A1100" s="1" t="s">
        <v>24</v>
      </c>
      <c r="B1100" s="1" t="s">
        <v>145</v>
      </c>
      <c r="C1100" s="1" t="s">
        <v>25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24</v>
      </c>
      <c r="B1101" s="1" t="s">
        <v>145</v>
      </c>
      <c r="C1101" s="1" t="s">
        <v>10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24</v>
      </c>
      <c r="B1102" s="1" t="s">
        <v>146</v>
      </c>
      <c r="C1102" s="1" t="s">
        <v>25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</row>
    <row r="1103" spans="1:9" hidden="1" x14ac:dyDescent="0.25">
      <c r="A1103" s="1" t="s">
        <v>24</v>
      </c>
      <c r="B1103" s="1" t="s">
        <v>146</v>
      </c>
      <c r="C1103" s="1" t="s">
        <v>10</v>
      </c>
      <c r="D1103" s="1">
        <v>0</v>
      </c>
      <c r="E1103" s="1">
        <v>0</v>
      </c>
      <c r="F1103" s="1">
        <v>0</v>
      </c>
      <c r="G1103" s="1">
        <v>0</v>
      </c>
      <c r="H1103" s="1">
        <v>0</v>
      </c>
      <c r="I1103" s="1">
        <v>0</v>
      </c>
    </row>
    <row r="1104" spans="1:9" hidden="1" x14ac:dyDescent="0.25">
      <c r="A1104" s="1" t="s">
        <v>24</v>
      </c>
      <c r="B1104" s="1" t="s">
        <v>147</v>
      </c>
      <c r="C1104" s="1" t="s">
        <v>25</v>
      </c>
      <c r="D1104" s="1">
        <v>0</v>
      </c>
      <c r="E1104" s="1">
        <v>0</v>
      </c>
      <c r="F1104" s="1">
        <v>0</v>
      </c>
      <c r="G1104" s="1">
        <v>0</v>
      </c>
      <c r="H1104" s="1">
        <v>0</v>
      </c>
      <c r="I1104" s="1">
        <v>0</v>
      </c>
    </row>
    <row r="1105" spans="1:9" hidden="1" x14ac:dyDescent="0.25">
      <c r="A1105" s="1" t="s">
        <v>24</v>
      </c>
      <c r="B1105" s="1" t="s">
        <v>147</v>
      </c>
      <c r="C1105" s="1" t="s">
        <v>10</v>
      </c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</row>
    <row r="1106" spans="1:9" hidden="1" x14ac:dyDescent="0.25">
      <c r="A1106" s="1" t="s">
        <v>24</v>
      </c>
      <c r="B1106" s="1" t="s">
        <v>159</v>
      </c>
      <c r="C1106" s="1" t="s">
        <v>25</v>
      </c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</row>
    <row r="1107" spans="1:9" hidden="1" x14ac:dyDescent="0.25">
      <c r="A1107" s="1" t="s">
        <v>24</v>
      </c>
      <c r="B1107" s="1" t="s">
        <v>159</v>
      </c>
      <c r="C1107" s="1" t="s">
        <v>10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</row>
    <row r="1108" spans="1:9" hidden="1" x14ac:dyDescent="0.25">
      <c r="A1108" s="1" t="s">
        <v>24</v>
      </c>
      <c r="B1108" s="1" t="s">
        <v>160</v>
      </c>
      <c r="C1108" s="1" t="s">
        <v>25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</row>
    <row r="1109" spans="1:9" hidden="1" x14ac:dyDescent="0.25">
      <c r="A1109" s="1" t="s">
        <v>24</v>
      </c>
      <c r="B1109" s="1" t="s">
        <v>160</v>
      </c>
      <c r="C1109" s="1" t="s">
        <v>10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</row>
    <row r="1110" spans="1:9" hidden="1" x14ac:dyDescent="0.25">
      <c r="A1110" s="1" t="s">
        <v>24</v>
      </c>
      <c r="B1110" s="1" t="s">
        <v>161</v>
      </c>
      <c r="C1110" s="1" t="s">
        <v>25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24</v>
      </c>
      <c r="B1111" s="1" t="s">
        <v>161</v>
      </c>
      <c r="C1111" s="1" t="s">
        <v>10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24</v>
      </c>
      <c r="B1112" s="1" t="s">
        <v>162</v>
      </c>
      <c r="C1112" s="1" t="s">
        <v>25</v>
      </c>
      <c r="D1112" s="1">
        <v>0</v>
      </c>
      <c r="E1112" s="1">
        <v>-569.64</v>
      </c>
      <c r="F1112" s="1">
        <v>0</v>
      </c>
      <c r="G1112" s="1">
        <v>9399.1149999999998</v>
      </c>
      <c r="H1112" s="1">
        <v>0</v>
      </c>
      <c r="I1112" s="1">
        <v>-2784.9229999999998</v>
      </c>
    </row>
    <row r="1113" spans="1:9" hidden="1" x14ac:dyDescent="0.25">
      <c r="A1113" s="1" t="s">
        <v>24</v>
      </c>
      <c r="B1113" s="1" t="s">
        <v>162</v>
      </c>
      <c r="C1113" s="1" t="s">
        <v>10</v>
      </c>
      <c r="D1113" s="1">
        <v>0</v>
      </c>
      <c r="E1113" s="1">
        <v>-569.64</v>
      </c>
      <c r="F1113" s="1">
        <v>0</v>
      </c>
      <c r="G1113" s="1">
        <v>9399.1149999999998</v>
      </c>
      <c r="H1113" s="1">
        <v>0</v>
      </c>
      <c r="I1113" s="1">
        <v>-5063.4960000000001</v>
      </c>
    </row>
    <row r="1114" spans="1:9" hidden="1" x14ac:dyDescent="0.25">
      <c r="A1114" s="1" t="s">
        <v>24</v>
      </c>
      <c r="B1114" s="1" t="s">
        <v>163</v>
      </c>
      <c r="C1114" s="1" t="s">
        <v>25</v>
      </c>
      <c r="D1114" s="1">
        <v>0</v>
      </c>
      <c r="E1114" s="1">
        <v>-569.64</v>
      </c>
      <c r="F1114" s="1">
        <v>0</v>
      </c>
      <c r="G1114" s="1">
        <v>7690.1850000000004</v>
      </c>
      <c r="H1114" s="1">
        <v>0</v>
      </c>
      <c r="I1114" s="1">
        <v>-2784.9229999999998</v>
      </c>
    </row>
    <row r="1115" spans="1:9" hidden="1" x14ac:dyDescent="0.25">
      <c r="A1115" s="1" t="s">
        <v>24</v>
      </c>
      <c r="B1115" s="1" t="s">
        <v>163</v>
      </c>
      <c r="C1115" s="1" t="s">
        <v>10</v>
      </c>
      <c r="D1115" s="1">
        <v>0</v>
      </c>
      <c r="E1115" s="1">
        <v>-569.64</v>
      </c>
      <c r="F1115" s="1">
        <v>0</v>
      </c>
      <c r="G1115" s="1">
        <v>7690.1850000000004</v>
      </c>
      <c r="H1115" s="1">
        <v>0</v>
      </c>
      <c r="I1115" s="1">
        <v>-5063.4960000000001</v>
      </c>
    </row>
    <row r="1116" spans="1:9" hidden="1" x14ac:dyDescent="0.25">
      <c r="A1116" s="1" t="s">
        <v>24</v>
      </c>
      <c r="B1116" s="1" t="s">
        <v>164</v>
      </c>
      <c r="C1116" s="1" t="s">
        <v>25</v>
      </c>
      <c r="D1116" s="1">
        <v>0</v>
      </c>
      <c r="E1116" s="1">
        <v>569.64</v>
      </c>
      <c r="F1116" s="1">
        <v>0</v>
      </c>
      <c r="G1116" s="1">
        <v>-9399.1149999999998</v>
      </c>
      <c r="H1116" s="1">
        <v>0</v>
      </c>
      <c r="I1116" s="1">
        <v>2784.9229999999998</v>
      </c>
    </row>
    <row r="1117" spans="1:9" hidden="1" x14ac:dyDescent="0.25">
      <c r="A1117" s="1" t="s">
        <v>24</v>
      </c>
      <c r="B1117" s="1" t="s">
        <v>164</v>
      </c>
      <c r="C1117" s="1" t="s">
        <v>10</v>
      </c>
      <c r="D1117" s="1">
        <v>0</v>
      </c>
      <c r="E1117" s="1">
        <v>569.64</v>
      </c>
      <c r="F1117" s="1">
        <v>0</v>
      </c>
      <c r="G1117" s="1">
        <v>-9399.1149999999998</v>
      </c>
      <c r="H1117" s="1">
        <v>0</v>
      </c>
      <c r="I1117" s="1">
        <v>5063.4960000000001</v>
      </c>
    </row>
    <row r="1118" spans="1:9" hidden="1" x14ac:dyDescent="0.25">
      <c r="A1118" s="1" t="s">
        <v>24</v>
      </c>
      <c r="B1118" s="1" t="s">
        <v>165</v>
      </c>
      <c r="C1118" s="1" t="s">
        <v>25</v>
      </c>
      <c r="D1118" s="1">
        <v>0</v>
      </c>
      <c r="E1118" s="1">
        <v>569.64</v>
      </c>
      <c r="F1118" s="1">
        <v>0</v>
      </c>
      <c r="G1118" s="1">
        <v>-7690.1850000000004</v>
      </c>
      <c r="H1118" s="1">
        <v>0</v>
      </c>
      <c r="I1118" s="1">
        <v>2784.9229999999998</v>
      </c>
    </row>
    <row r="1119" spans="1:9" hidden="1" x14ac:dyDescent="0.25">
      <c r="A1119" s="1" t="s">
        <v>24</v>
      </c>
      <c r="B1119" s="1" t="s">
        <v>165</v>
      </c>
      <c r="C1119" s="1" t="s">
        <v>10</v>
      </c>
      <c r="D1119" s="1">
        <v>0</v>
      </c>
      <c r="E1119" s="1">
        <v>569.64</v>
      </c>
      <c r="F1119" s="1">
        <v>0</v>
      </c>
      <c r="G1119" s="1">
        <v>-7690.1850000000004</v>
      </c>
      <c r="H1119" s="1">
        <v>0</v>
      </c>
      <c r="I1119" s="1">
        <v>5063.4960000000001</v>
      </c>
    </row>
    <row r="1120" spans="1:9" hidden="1" x14ac:dyDescent="0.25">
      <c r="A1120" s="1" t="s">
        <v>24</v>
      </c>
      <c r="B1120" s="1" t="s">
        <v>166</v>
      </c>
      <c r="C1120" s="1" t="s">
        <v>25</v>
      </c>
      <c r="D1120" s="1">
        <v>0</v>
      </c>
      <c r="E1120" s="1">
        <v>0</v>
      </c>
      <c r="F1120" s="1">
        <v>-688.56</v>
      </c>
      <c r="G1120" s="1">
        <v>-13633.487999999999</v>
      </c>
      <c r="H1120" s="1">
        <v>3366.2930000000001</v>
      </c>
      <c r="I1120" s="1">
        <v>0</v>
      </c>
    </row>
    <row r="1121" spans="1:9" hidden="1" x14ac:dyDescent="0.25">
      <c r="A1121" s="1" t="s">
        <v>24</v>
      </c>
      <c r="B1121" s="1" t="s">
        <v>166</v>
      </c>
      <c r="C1121" s="1" t="s">
        <v>10</v>
      </c>
      <c r="D1121" s="1">
        <v>0</v>
      </c>
      <c r="E1121" s="1">
        <v>0</v>
      </c>
      <c r="F1121" s="1">
        <v>-688.56</v>
      </c>
      <c r="G1121" s="1">
        <v>-13633.487999999999</v>
      </c>
      <c r="H1121" s="1">
        <v>6120.5330000000004</v>
      </c>
      <c r="I1121" s="1">
        <v>0</v>
      </c>
    </row>
    <row r="1122" spans="1:9" hidden="1" x14ac:dyDescent="0.25">
      <c r="A1122" s="1" t="s">
        <v>24</v>
      </c>
      <c r="B1122" s="1" t="s">
        <v>167</v>
      </c>
      <c r="C1122" s="1" t="s">
        <v>25</v>
      </c>
      <c r="D1122" s="1">
        <v>0</v>
      </c>
      <c r="E1122" s="1">
        <v>0</v>
      </c>
      <c r="F1122" s="1">
        <v>-688.56</v>
      </c>
      <c r="G1122" s="1">
        <v>-11154.672</v>
      </c>
      <c r="H1122" s="1">
        <v>3366.2930000000001</v>
      </c>
      <c r="I1122" s="1">
        <v>0</v>
      </c>
    </row>
    <row r="1123" spans="1:9" hidden="1" x14ac:dyDescent="0.25">
      <c r="A1123" s="1" t="s">
        <v>24</v>
      </c>
      <c r="B1123" s="1" t="s">
        <v>167</v>
      </c>
      <c r="C1123" s="1" t="s">
        <v>10</v>
      </c>
      <c r="D1123" s="1">
        <v>0</v>
      </c>
      <c r="E1123" s="1">
        <v>0</v>
      </c>
      <c r="F1123" s="1">
        <v>-688.56</v>
      </c>
      <c r="G1123" s="1">
        <v>-11154.672</v>
      </c>
      <c r="H1123" s="1">
        <v>6120.5330000000004</v>
      </c>
      <c r="I1123" s="1">
        <v>0</v>
      </c>
    </row>
    <row r="1124" spans="1:9" hidden="1" x14ac:dyDescent="0.25">
      <c r="A1124" s="1" t="s">
        <v>24</v>
      </c>
      <c r="B1124" s="1" t="s">
        <v>168</v>
      </c>
      <c r="C1124" s="1" t="s">
        <v>25</v>
      </c>
      <c r="D1124" s="1">
        <v>0</v>
      </c>
      <c r="E1124" s="1">
        <v>0</v>
      </c>
      <c r="F1124" s="1">
        <v>688.56</v>
      </c>
      <c r="G1124" s="1">
        <v>13633.487999999999</v>
      </c>
      <c r="H1124" s="1">
        <v>-3366.2930000000001</v>
      </c>
      <c r="I1124" s="1">
        <v>0</v>
      </c>
    </row>
    <row r="1125" spans="1:9" hidden="1" x14ac:dyDescent="0.25">
      <c r="A1125" s="1" t="s">
        <v>24</v>
      </c>
      <c r="B1125" s="1" t="s">
        <v>168</v>
      </c>
      <c r="C1125" s="1" t="s">
        <v>10</v>
      </c>
      <c r="D1125" s="1">
        <v>0</v>
      </c>
      <c r="E1125" s="1">
        <v>0</v>
      </c>
      <c r="F1125" s="1">
        <v>688.56</v>
      </c>
      <c r="G1125" s="1">
        <v>13633.487999999999</v>
      </c>
      <c r="H1125" s="1">
        <v>-6120.5330000000004</v>
      </c>
      <c r="I1125" s="1">
        <v>0</v>
      </c>
    </row>
    <row r="1126" spans="1:9" hidden="1" x14ac:dyDescent="0.25">
      <c r="A1126" s="1" t="s">
        <v>24</v>
      </c>
      <c r="B1126" s="1" t="s">
        <v>169</v>
      </c>
      <c r="C1126" s="1" t="s">
        <v>25</v>
      </c>
      <c r="D1126" s="1">
        <v>0</v>
      </c>
      <c r="E1126" s="1">
        <v>0</v>
      </c>
      <c r="F1126" s="1">
        <v>688.56</v>
      </c>
      <c r="G1126" s="1">
        <v>11154.672</v>
      </c>
      <c r="H1126" s="1">
        <v>-3366.2930000000001</v>
      </c>
      <c r="I1126" s="1">
        <v>0</v>
      </c>
    </row>
    <row r="1127" spans="1:9" hidden="1" x14ac:dyDescent="0.25">
      <c r="A1127" s="1" t="s">
        <v>24</v>
      </c>
      <c r="B1127" s="1" t="s">
        <v>169</v>
      </c>
      <c r="C1127" s="1" t="s">
        <v>10</v>
      </c>
      <c r="D1127" s="1">
        <v>0</v>
      </c>
      <c r="E1127" s="1">
        <v>0</v>
      </c>
      <c r="F1127" s="1">
        <v>688.56</v>
      </c>
      <c r="G1127" s="1">
        <v>11154.672</v>
      </c>
      <c r="H1127" s="1">
        <v>-6120.5330000000004</v>
      </c>
      <c r="I1127" s="1">
        <v>0</v>
      </c>
    </row>
    <row r="1128" spans="1:9" hidden="1" x14ac:dyDescent="0.25">
      <c r="A1128" s="1" t="s">
        <v>24</v>
      </c>
      <c r="B1128" s="1" t="s">
        <v>170</v>
      </c>
      <c r="C1128" s="1" t="s">
        <v>25</v>
      </c>
      <c r="D1128" s="1">
        <v>0</v>
      </c>
      <c r="E1128" s="1">
        <v>-569.64</v>
      </c>
      <c r="F1128" s="1">
        <v>0</v>
      </c>
      <c r="G1128" s="1">
        <v>9399.1149999999998</v>
      </c>
      <c r="H1128" s="1">
        <v>0</v>
      </c>
      <c r="I1128" s="1">
        <v>-2784.9229999999998</v>
      </c>
    </row>
    <row r="1129" spans="1:9" hidden="1" x14ac:dyDescent="0.25">
      <c r="A1129" s="1" t="s">
        <v>24</v>
      </c>
      <c r="B1129" s="1" t="s">
        <v>170</v>
      </c>
      <c r="C1129" s="1" t="s">
        <v>10</v>
      </c>
      <c r="D1129" s="1">
        <v>0</v>
      </c>
      <c r="E1129" s="1">
        <v>-569.64</v>
      </c>
      <c r="F1129" s="1">
        <v>0</v>
      </c>
      <c r="G1129" s="1">
        <v>9399.1149999999998</v>
      </c>
      <c r="H1129" s="1">
        <v>0</v>
      </c>
      <c r="I1129" s="1">
        <v>-5063.4960000000001</v>
      </c>
    </row>
    <row r="1130" spans="1:9" hidden="1" x14ac:dyDescent="0.25">
      <c r="A1130" s="1" t="s">
        <v>24</v>
      </c>
      <c r="B1130" s="1" t="s">
        <v>171</v>
      </c>
      <c r="C1130" s="1" t="s">
        <v>25</v>
      </c>
      <c r="D1130" s="1">
        <v>0</v>
      </c>
      <c r="E1130" s="1">
        <v>-569.64</v>
      </c>
      <c r="F1130" s="1">
        <v>0</v>
      </c>
      <c r="G1130" s="1">
        <v>7690.1850000000004</v>
      </c>
      <c r="H1130" s="1">
        <v>0</v>
      </c>
      <c r="I1130" s="1">
        <v>-2784.9229999999998</v>
      </c>
    </row>
    <row r="1131" spans="1:9" hidden="1" x14ac:dyDescent="0.25">
      <c r="A1131" s="1" t="s">
        <v>24</v>
      </c>
      <c r="B1131" s="1" t="s">
        <v>171</v>
      </c>
      <c r="C1131" s="1" t="s">
        <v>10</v>
      </c>
      <c r="D1131" s="1">
        <v>0</v>
      </c>
      <c r="E1131" s="1">
        <v>-569.64</v>
      </c>
      <c r="F1131" s="1">
        <v>0</v>
      </c>
      <c r="G1131" s="1">
        <v>7690.1850000000004</v>
      </c>
      <c r="H1131" s="1">
        <v>0</v>
      </c>
      <c r="I1131" s="1">
        <v>-5063.4960000000001</v>
      </c>
    </row>
    <row r="1132" spans="1:9" hidden="1" x14ac:dyDescent="0.25">
      <c r="A1132" s="1" t="s">
        <v>24</v>
      </c>
      <c r="B1132" s="1" t="s">
        <v>172</v>
      </c>
      <c r="C1132" s="1" t="s">
        <v>25</v>
      </c>
      <c r="D1132" s="1">
        <v>0</v>
      </c>
      <c r="E1132" s="1">
        <v>569.64</v>
      </c>
      <c r="F1132" s="1">
        <v>0</v>
      </c>
      <c r="G1132" s="1">
        <v>-9399.1149999999998</v>
      </c>
      <c r="H1132" s="1">
        <v>0</v>
      </c>
      <c r="I1132" s="1">
        <v>2784.9229999999998</v>
      </c>
    </row>
    <row r="1133" spans="1:9" hidden="1" x14ac:dyDescent="0.25">
      <c r="A1133" s="1" t="s">
        <v>24</v>
      </c>
      <c r="B1133" s="1" t="s">
        <v>172</v>
      </c>
      <c r="C1133" s="1" t="s">
        <v>10</v>
      </c>
      <c r="D1133" s="1">
        <v>0</v>
      </c>
      <c r="E1133" s="1">
        <v>569.64</v>
      </c>
      <c r="F1133" s="1">
        <v>0</v>
      </c>
      <c r="G1133" s="1">
        <v>-9399.1149999999998</v>
      </c>
      <c r="H1133" s="1">
        <v>0</v>
      </c>
      <c r="I1133" s="1">
        <v>5063.4960000000001</v>
      </c>
    </row>
    <row r="1134" spans="1:9" hidden="1" x14ac:dyDescent="0.25">
      <c r="A1134" s="1" t="s">
        <v>24</v>
      </c>
      <c r="B1134" s="1" t="s">
        <v>173</v>
      </c>
      <c r="C1134" s="1" t="s">
        <v>25</v>
      </c>
      <c r="D1134" s="1">
        <v>0</v>
      </c>
      <c r="E1134" s="1">
        <v>569.64</v>
      </c>
      <c r="F1134" s="1">
        <v>0</v>
      </c>
      <c r="G1134" s="1">
        <v>-7690.1850000000004</v>
      </c>
      <c r="H1134" s="1">
        <v>0</v>
      </c>
      <c r="I1134" s="1">
        <v>2784.9229999999998</v>
      </c>
    </row>
    <row r="1135" spans="1:9" hidden="1" x14ac:dyDescent="0.25">
      <c r="A1135" s="1" t="s">
        <v>24</v>
      </c>
      <c r="B1135" s="1" t="s">
        <v>173</v>
      </c>
      <c r="C1135" s="1" t="s">
        <v>10</v>
      </c>
      <c r="D1135" s="1">
        <v>0</v>
      </c>
      <c r="E1135" s="1">
        <v>569.64</v>
      </c>
      <c r="F1135" s="1">
        <v>0</v>
      </c>
      <c r="G1135" s="1">
        <v>-7690.1850000000004</v>
      </c>
      <c r="H1135" s="1">
        <v>0</v>
      </c>
      <c r="I1135" s="1">
        <v>5063.4960000000001</v>
      </c>
    </row>
    <row r="1136" spans="1:9" hidden="1" x14ac:dyDescent="0.25">
      <c r="A1136" s="1" t="s">
        <v>24</v>
      </c>
      <c r="B1136" s="1" t="s">
        <v>174</v>
      </c>
      <c r="C1136" s="1" t="s">
        <v>25</v>
      </c>
      <c r="D1136" s="1">
        <v>0</v>
      </c>
      <c r="E1136" s="1">
        <v>0</v>
      </c>
      <c r="F1136" s="1">
        <v>-688.56</v>
      </c>
      <c r="G1136" s="1">
        <v>-13633.487999999999</v>
      </c>
      <c r="H1136" s="1">
        <v>3366.2930000000001</v>
      </c>
      <c r="I1136" s="1">
        <v>0</v>
      </c>
    </row>
    <row r="1137" spans="1:9" hidden="1" x14ac:dyDescent="0.25">
      <c r="A1137" s="1" t="s">
        <v>24</v>
      </c>
      <c r="B1137" s="1" t="s">
        <v>174</v>
      </c>
      <c r="C1137" s="1" t="s">
        <v>10</v>
      </c>
      <c r="D1137" s="1">
        <v>0</v>
      </c>
      <c r="E1137" s="1">
        <v>0</v>
      </c>
      <c r="F1137" s="1">
        <v>-688.56</v>
      </c>
      <c r="G1137" s="1">
        <v>-13633.487999999999</v>
      </c>
      <c r="H1137" s="1">
        <v>6120.5330000000004</v>
      </c>
      <c r="I1137" s="1">
        <v>0</v>
      </c>
    </row>
    <row r="1138" spans="1:9" hidden="1" x14ac:dyDescent="0.25">
      <c r="A1138" s="1" t="s">
        <v>24</v>
      </c>
      <c r="B1138" s="1" t="s">
        <v>175</v>
      </c>
      <c r="C1138" s="1" t="s">
        <v>25</v>
      </c>
      <c r="D1138" s="1">
        <v>0</v>
      </c>
      <c r="E1138" s="1">
        <v>0</v>
      </c>
      <c r="F1138" s="1">
        <v>-688.56</v>
      </c>
      <c r="G1138" s="1">
        <v>-11154.672</v>
      </c>
      <c r="H1138" s="1">
        <v>3366.2930000000001</v>
      </c>
      <c r="I1138" s="1">
        <v>0</v>
      </c>
    </row>
    <row r="1139" spans="1:9" hidden="1" x14ac:dyDescent="0.25">
      <c r="A1139" s="1" t="s">
        <v>24</v>
      </c>
      <c r="B1139" s="1" t="s">
        <v>175</v>
      </c>
      <c r="C1139" s="1" t="s">
        <v>10</v>
      </c>
      <c r="D1139" s="1">
        <v>0</v>
      </c>
      <c r="E1139" s="1">
        <v>0</v>
      </c>
      <c r="F1139" s="1">
        <v>-688.56</v>
      </c>
      <c r="G1139" s="1">
        <v>-11154.672</v>
      </c>
      <c r="H1139" s="1">
        <v>6120.5330000000004</v>
      </c>
      <c r="I1139" s="1">
        <v>0</v>
      </c>
    </row>
    <row r="1140" spans="1:9" hidden="1" x14ac:dyDescent="0.25">
      <c r="A1140" s="1" t="s">
        <v>24</v>
      </c>
      <c r="B1140" s="1" t="s">
        <v>176</v>
      </c>
      <c r="C1140" s="1" t="s">
        <v>25</v>
      </c>
      <c r="D1140" s="1">
        <v>0</v>
      </c>
      <c r="E1140" s="1">
        <v>0</v>
      </c>
      <c r="F1140" s="1">
        <v>688.56</v>
      </c>
      <c r="G1140" s="1">
        <v>13633.487999999999</v>
      </c>
      <c r="H1140" s="1">
        <v>-3366.2930000000001</v>
      </c>
      <c r="I1140" s="1">
        <v>0</v>
      </c>
    </row>
    <row r="1141" spans="1:9" hidden="1" x14ac:dyDescent="0.25">
      <c r="A1141" s="1" t="s">
        <v>24</v>
      </c>
      <c r="B1141" s="1" t="s">
        <v>176</v>
      </c>
      <c r="C1141" s="1" t="s">
        <v>10</v>
      </c>
      <c r="D1141" s="1">
        <v>0</v>
      </c>
      <c r="E1141" s="1">
        <v>0</v>
      </c>
      <c r="F1141" s="1">
        <v>688.56</v>
      </c>
      <c r="G1141" s="1">
        <v>13633.487999999999</v>
      </c>
      <c r="H1141" s="1">
        <v>-6120.5330000000004</v>
      </c>
      <c r="I1141" s="1">
        <v>0</v>
      </c>
    </row>
    <row r="1142" spans="1:9" hidden="1" x14ac:dyDescent="0.25">
      <c r="A1142" s="1" t="s">
        <v>24</v>
      </c>
      <c r="B1142" s="1" t="s">
        <v>177</v>
      </c>
      <c r="C1142" s="1" t="s">
        <v>25</v>
      </c>
      <c r="D1142" s="1">
        <v>0</v>
      </c>
      <c r="E1142" s="1">
        <v>0</v>
      </c>
      <c r="F1142" s="1">
        <v>688.56</v>
      </c>
      <c r="G1142" s="1">
        <v>11154.672</v>
      </c>
      <c r="H1142" s="1">
        <v>-3366.2930000000001</v>
      </c>
      <c r="I1142" s="1">
        <v>0</v>
      </c>
    </row>
    <row r="1143" spans="1:9" hidden="1" x14ac:dyDescent="0.25">
      <c r="A1143" s="1" t="s">
        <v>24</v>
      </c>
      <c r="B1143" s="1" t="s">
        <v>177</v>
      </c>
      <c r="C1143" s="1" t="s">
        <v>10</v>
      </c>
      <c r="D1143" s="1">
        <v>0</v>
      </c>
      <c r="E1143" s="1">
        <v>0</v>
      </c>
      <c r="F1143" s="1">
        <v>688.56</v>
      </c>
      <c r="G1143" s="1">
        <v>11154.672</v>
      </c>
      <c r="H1143" s="1">
        <v>-6120.5330000000004</v>
      </c>
      <c r="I1143" s="1">
        <v>0</v>
      </c>
    </row>
    <row r="1144" spans="1:9" hidden="1" x14ac:dyDescent="0.25">
      <c r="A1144" s="1" t="s">
        <v>24</v>
      </c>
      <c r="B1144" s="1" t="s">
        <v>178</v>
      </c>
      <c r="C1144" s="1" t="s">
        <v>25</v>
      </c>
      <c r="D1144" s="1">
        <v>0</v>
      </c>
      <c r="E1144" s="1">
        <v>-170.89</v>
      </c>
      <c r="F1144" s="1">
        <v>0</v>
      </c>
      <c r="G1144" s="1">
        <v>2819.7339999999999</v>
      </c>
      <c r="H1144" s="1">
        <v>0</v>
      </c>
      <c r="I1144" s="1">
        <v>-835.47699999999998</v>
      </c>
    </row>
    <row r="1145" spans="1:9" hidden="1" x14ac:dyDescent="0.25">
      <c r="A1145" s="1" t="s">
        <v>24</v>
      </c>
      <c r="B1145" s="1" t="s">
        <v>178</v>
      </c>
      <c r="C1145" s="1" t="s">
        <v>10</v>
      </c>
      <c r="D1145" s="1">
        <v>0</v>
      </c>
      <c r="E1145" s="1">
        <v>-170.89</v>
      </c>
      <c r="F1145" s="1">
        <v>0</v>
      </c>
      <c r="G1145" s="1">
        <v>2819.7339999999999</v>
      </c>
      <c r="H1145" s="1">
        <v>0</v>
      </c>
      <c r="I1145" s="1">
        <v>-1519.049</v>
      </c>
    </row>
    <row r="1146" spans="1:9" hidden="1" x14ac:dyDescent="0.25">
      <c r="A1146" s="1" t="s">
        <v>24</v>
      </c>
      <c r="B1146" s="1" t="s">
        <v>179</v>
      </c>
      <c r="C1146" s="1" t="s">
        <v>25</v>
      </c>
      <c r="D1146" s="1">
        <v>0</v>
      </c>
      <c r="E1146" s="1">
        <v>-170.89</v>
      </c>
      <c r="F1146" s="1">
        <v>0</v>
      </c>
      <c r="G1146" s="1">
        <v>2307.0549999999998</v>
      </c>
      <c r="H1146" s="1">
        <v>0</v>
      </c>
      <c r="I1146" s="1">
        <v>-835.47699999999998</v>
      </c>
    </row>
    <row r="1147" spans="1:9" hidden="1" x14ac:dyDescent="0.25">
      <c r="A1147" s="1" t="s">
        <v>24</v>
      </c>
      <c r="B1147" s="1" t="s">
        <v>179</v>
      </c>
      <c r="C1147" s="1" t="s">
        <v>10</v>
      </c>
      <c r="D1147" s="1">
        <v>0</v>
      </c>
      <c r="E1147" s="1">
        <v>-170.89</v>
      </c>
      <c r="F1147" s="1">
        <v>0</v>
      </c>
      <c r="G1147" s="1">
        <v>2307.0549999999998</v>
      </c>
      <c r="H1147" s="1">
        <v>0</v>
      </c>
      <c r="I1147" s="1">
        <v>-1519.049</v>
      </c>
    </row>
    <row r="1148" spans="1:9" hidden="1" x14ac:dyDescent="0.25">
      <c r="A1148" s="1" t="s">
        <v>24</v>
      </c>
      <c r="B1148" s="1" t="s">
        <v>180</v>
      </c>
      <c r="C1148" s="1" t="s">
        <v>25</v>
      </c>
      <c r="D1148" s="1">
        <v>0</v>
      </c>
      <c r="E1148" s="1">
        <v>170.89</v>
      </c>
      <c r="F1148" s="1">
        <v>0</v>
      </c>
      <c r="G1148" s="1">
        <v>-2819.7339999999999</v>
      </c>
      <c r="H1148" s="1">
        <v>0</v>
      </c>
      <c r="I1148" s="1">
        <v>835.47699999999998</v>
      </c>
    </row>
    <row r="1149" spans="1:9" hidden="1" x14ac:dyDescent="0.25">
      <c r="A1149" s="1" t="s">
        <v>24</v>
      </c>
      <c r="B1149" s="1" t="s">
        <v>180</v>
      </c>
      <c r="C1149" s="1" t="s">
        <v>10</v>
      </c>
      <c r="D1149" s="1">
        <v>0</v>
      </c>
      <c r="E1149" s="1">
        <v>170.89</v>
      </c>
      <c r="F1149" s="1">
        <v>0</v>
      </c>
      <c r="G1149" s="1">
        <v>-2819.7339999999999</v>
      </c>
      <c r="H1149" s="1">
        <v>0</v>
      </c>
      <c r="I1149" s="1">
        <v>1519.049</v>
      </c>
    </row>
    <row r="1150" spans="1:9" hidden="1" x14ac:dyDescent="0.25">
      <c r="A1150" s="1" t="s">
        <v>24</v>
      </c>
      <c r="B1150" s="1" t="s">
        <v>181</v>
      </c>
      <c r="C1150" s="1" t="s">
        <v>25</v>
      </c>
      <c r="D1150" s="1">
        <v>0</v>
      </c>
      <c r="E1150" s="1">
        <v>170.89</v>
      </c>
      <c r="F1150" s="1">
        <v>0</v>
      </c>
      <c r="G1150" s="1">
        <v>-2307.0549999999998</v>
      </c>
      <c r="H1150" s="1">
        <v>0</v>
      </c>
      <c r="I1150" s="1">
        <v>835.47699999999998</v>
      </c>
    </row>
    <row r="1151" spans="1:9" hidden="1" x14ac:dyDescent="0.25">
      <c r="A1151" s="1" t="s">
        <v>24</v>
      </c>
      <c r="B1151" s="1" t="s">
        <v>181</v>
      </c>
      <c r="C1151" s="1" t="s">
        <v>10</v>
      </c>
      <c r="D1151" s="1">
        <v>0</v>
      </c>
      <c r="E1151" s="1">
        <v>170.89</v>
      </c>
      <c r="F1151" s="1">
        <v>0</v>
      </c>
      <c r="G1151" s="1">
        <v>-2307.0549999999998</v>
      </c>
      <c r="H1151" s="1">
        <v>0</v>
      </c>
      <c r="I1151" s="1">
        <v>1519.049</v>
      </c>
    </row>
    <row r="1152" spans="1:9" hidden="1" x14ac:dyDescent="0.25">
      <c r="A1152" s="1" t="s">
        <v>24</v>
      </c>
      <c r="B1152" s="1" t="s">
        <v>182</v>
      </c>
      <c r="C1152" s="1" t="s">
        <v>25</v>
      </c>
      <c r="D1152" s="1">
        <v>0</v>
      </c>
      <c r="E1152" s="1">
        <v>0</v>
      </c>
      <c r="F1152" s="1">
        <v>-206.57</v>
      </c>
      <c r="G1152" s="1">
        <v>-4090.0459999999998</v>
      </c>
      <c r="H1152" s="1">
        <v>1009.888</v>
      </c>
      <c r="I1152" s="1">
        <v>0</v>
      </c>
    </row>
    <row r="1153" spans="1:9" hidden="1" x14ac:dyDescent="0.25">
      <c r="A1153" s="1" t="s">
        <v>24</v>
      </c>
      <c r="B1153" s="1" t="s">
        <v>182</v>
      </c>
      <c r="C1153" s="1" t="s">
        <v>10</v>
      </c>
      <c r="D1153" s="1">
        <v>0</v>
      </c>
      <c r="E1153" s="1">
        <v>0</v>
      </c>
      <c r="F1153" s="1">
        <v>-206.57</v>
      </c>
      <c r="G1153" s="1">
        <v>-4090.0459999999998</v>
      </c>
      <c r="H1153" s="1">
        <v>1836.16</v>
      </c>
      <c r="I1153" s="1">
        <v>0</v>
      </c>
    </row>
    <row r="1154" spans="1:9" hidden="1" x14ac:dyDescent="0.25">
      <c r="A1154" s="1" t="s">
        <v>24</v>
      </c>
      <c r="B1154" s="1" t="s">
        <v>183</v>
      </c>
      <c r="C1154" s="1" t="s">
        <v>25</v>
      </c>
      <c r="D1154" s="1">
        <v>0</v>
      </c>
      <c r="E1154" s="1">
        <v>0</v>
      </c>
      <c r="F1154" s="1">
        <v>-206.57</v>
      </c>
      <c r="G1154" s="1">
        <v>-3346.4009999999998</v>
      </c>
      <c r="H1154" s="1">
        <v>1009.888</v>
      </c>
      <c r="I1154" s="1">
        <v>0</v>
      </c>
    </row>
    <row r="1155" spans="1:9" hidden="1" x14ac:dyDescent="0.25">
      <c r="A1155" s="1" t="s">
        <v>24</v>
      </c>
      <c r="B1155" s="1" t="s">
        <v>183</v>
      </c>
      <c r="C1155" s="1" t="s">
        <v>10</v>
      </c>
      <c r="D1155" s="1">
        <v>0</v>
      </c>
      <c r="E1155" s="1">
        <v>0</v>
      </c>
      <c r="F1155" s="1">
        <v>-206.57</v>
      </c>
      <c r="G1155" s="1">
        <v>-3346.4009999999998</v>
      </c>
      <c r="H1155" s="1">
        <v>1836.16</v>
      </c>
      <c r="I1155" s="1">
        <v>0</v>
      </c>
    </row>
    <row r="1156" spans="1:9" hidden="1" x14ac:dyDescent="0.25">
      <c r="A1156" s="1" t="s">
        <v>24</v>
      </c>
      <c r="B1156" s="1" t="s">
        <v>184</v>
      </c>
      <c r="C1156" s="1" t="s">
        <v>25</v>
      </c>
      <c r="D1156" s="1">
        <v>0</v>
      </c>
      <c r="E1156" s="1">
        <v>0</v>
      </c>
      <c r="F1156" s="1">
        <v>206.57</v>
      </c>
      <c r="G1156" s="1">
        <v>4090.0459999999998</v>
      </c>
      <c r="H1156" s="1">
        <v>-1009.888</v>
      </c>
      <c r="I1156" s="1">
        <v>0</v>
      </c>
    </row>
    <row r="1157" spans="1:9" hidden="1" x14ac:dyDescent="0.25">
      <c r="A1157" s="1" t="s">
        <v>24</v>
      </c>
      <c r="B1157" s="1" t="s">
        <v>184</v>
      </c>
      <c r="C1157" s="1" t="s">
        <v>10</v>
      </c>
      <c r="D1157" s="1">
        <v>0</v>
      </c>
      <c r="E1157" s="1">
        <v>0</v>
      </c>
      <c r="F1157" s="1">
        <v>206.57</v>
      </c>
      <c r="G1157" s="1">
        <v>4090.0459999999998</v>
      </c>
      <c r="H1157" s="1">
        <v>-1836.16</v>
      </c>
      <c r="I1157" s="1">
        <v>0</v>
      </c>
    </row>
    <row r="1158" spans="1:9" hidden="1" x14ac:dyDescent="0.25">
      <c r="A1158" s="1" t="s">
        <v>24</v>
      </c>
      <c r="B1158" s="1" t="s">
        <v>185</v>
      </c>
      <c r="C1158" s="1" t="s">
        <v>25</v>
      </c>
      <c r="D1158" s="1">
        <v>0</v>
      </c>
      <c r="E1158" s="1">
        <v>0</v>
      </c>
      <c r="F1158" s="1">
        <v>206.57</v>
      </c>
      <c r="G1158" s="1">
        <v>3346.4009999999998</v>
      </c>
      <c r="H1158" s="1">
        <v>-1009.888</v>
      </c>
      <c r="I1158" s="1">
        <v>0</v>
      </c>
    </row>
    <row r="1159" spans="1:9" hidden="1" x14ac:dyDescent="0.25">
      <c r="A1159" s="1" t="s">
        <v>24</v>
      </c>
      <c r="B1159" s="1" t="s">
        <v>185</v>
      </c>
      <c r="C1159" s="1" t="s">
        <v>10</v>
      </c>
      <c r="D1159" s="1">
        <v>0</v>
      </c>
      <c r="E1159" s="1">
        <v>0</v>
      </c>
      <c r="F1159" s="1">
        <v>206.57</v>
      </c>
      <c r="G1159" s="1">
        <v>3346.4009999999998</v>
      </c>
      <c r="H1159" s="1">
        <v>-1836.16</v>
      </c>
      <c r="I1159" s="1">
        <v>0</v>
      </c>
    </row>
    <row r="1160" spans="1:9" hidden="1" x14ac:dyDescent="0.25">
      <c r="A1160" s="1" t="s">
        <v>24</v>
      </c>
      <c r="B1160" s="1" t="s">
        <v>186</v>
      </c>
      <c r="C1160" s="1" t="s">
        <v>25</v>
      </c>
      <c r="D1160" s="1">
        <v>0</v>
      </c>
      <c r="E1160" s="1">
        <v>-170.89</v>
      </c>
      <c r="F1160" s="1">
        <v>0</v>
      </c>
      <c r="G1160" s="1">
        <v>2819.7339999999999</v>
      </c>
      <c r="H1160" s="1">
        <v>0</v>
      </c>
      <c r="I1160" s="1">
        <v>-835.47699999999998</v>
      </c>
    </row>
    <row r="1161" spans="1:9" hidden="1" x14ac:dyDescent="0.25">
      <c r="A1161" s="1" t="s">
        <v>24</v>
      </c>
      <c r="B1161" s="1" t="s">
        <v>186</v>
      </c>
      <c r="C1161" s="1" t="s">
        <v>10</v>
      </c>
      <c r="D1161" s="1">
        <v>0</v>
      </c>
      <c r="E1161" s="1">
        <v>-170.89</v>
      </c>
      <c r="F1161" s="1">
        <v>0</v>
      </c>
      <c r="G1161" s="1">
        <v>2819.7339999999999</v>
      </c>
      <c r="H1161" s="1">
        <v>0</v>
      </c>
      <c r="I1161" s="1">
        <v>-1519.049</v>
      </c>
    </row>
    <row r="1162" spans="1:9" hidden="1" x14ac:dyDescent="0.25">
      <c r="A1162" s="1" t="s">
        <v>24</v>
      </c>
      <c r="B1162" s="1" t="s">
        <v>187</v>
      </c>
      <c r="C1162" s="1" t="s">
        <v>25</v>
      </c>
      <c r="D1162" s="1">
        <v>0</v>
      </c>
      <c r="E1162" s="1">
        <v>-170.89</v>
      </c>
      <c r="F1162" s="1">
        <v>0</v>
      </c>
      <c r="G1162" s="1">
        <v>2307.0549999999998</v>
      </c>
      <c r="H1162" s="1">
        <v>0</v>
      </c>
      <c r="I1162" s="1">
        <v>-835.47699999999998</v>
      </c>
    </row>
    <row r="1163" spans="1:9" hidden="1" x14ac:dyDescent="0.25">
      <c r="A1163" s="1" t="s">
        <v>24</v>
      </c>
      <c r="B1163" s="1" t="s">
        <v>187</v>
      </c>
      <c r="C1163" s="1" t="s">
        <v>10</v>
      </c>
      <c r="D1163" s="1">
        <v>0</v>
      </c>
      <c r="E1163" s="1">
        <v>-170.89</v>
      </c>
      <c r="F1163" s="1">
        <v>0</v>
      </c>
      <c r="G1163" s="1">
        <v>2307.0549999999998</v>
      </c>
      <c r="H1163" s="1">
        <v>0</v>
      </c>
      <c r="I1163" s="1">
        <v>-1519.049</v>
      </c>
    </row>
    <row r="1164" spans="1:9" hidden="1" x14ac:dyDescent="0.25">
      <c r="A1164" s="1" t="s">
        <v>24</v>
      </c>
      <c r="B1164" s="1" t="s">
        <v>188</v>
      </c>
      <c r="C1164" s="1" t="s">
        <v>25</v>
      </c>
      <c r="D1164" s="1">
        <v>0</v>
      </c>
      <c r="E1164" s="1">
        <v>170.89</v>
      </c>
      <c r="F1164" s="1">
        <v>0</v>
      </c>
      <c r="G1164" s="1">
        <v>-2819.7339999999999</v>
      </c>
      <c r="H1164" s="1">
        <v>0</v>
      </c>
      <c r="I1164" s="1">
        <v>835.47699999999998</v>
      </c>
    </row>
    <row r="1165" spans="1:9" hidden="1" x14ac:dyDescent="0.25">
      <c r="A1165" s="1" t="s">
        <v>24</v>
      </c>
      <c r="B1165" s="1" t="s">
        <v>188</v>
      </c>
      <c r="C1165" s="1" t="s">
        <v>10</v>
      </c>
      <c r="D1165" s="1">
        <v>0</v>
      </c>
      <c r="E1165" s="1">
        <v>170.89</v>
      </c>
      <c r="F1165" s="1">
        <v>0</v>
      </c>
      <c r="G1165" s="1">
        <v>-2819.7339999999999</v>
      </c>
      <c r="H1165" s="1">
        <v>0</v>
      </c>
      <c r="I1165" s="1">
        <v>1519.049</v>
      </c>
    </row>
    <row r="1166" spans="1:9" hidden="1" x14ac:dyDescent="0.25">
      <c r="A1166" s="1" t="s">
        <v>24</v>
      </c>
      <c r="B1166" s="1" t="s">
        <v>189</v>
      </c>
      <c r="C1166" s="1" t="s">
        <v>25</v>
      </c>
      <c r="D1166" s="1">
        <v>0</v>
      </c>
      <c r="E1166" s="1">
        <v>170.89</v>
      </c>
      <c r="F1166" s="1">
        <v>0</v>
      </c>
      <c r="G1166" s="1">
        <v>-2307.0549999999998</v>
      </c>
      <c r="H1166" s="1">
        <v>0</v>
      </c>
      <c r="I1166" s="1">
        <v>835.47699999999998</v>
      </c>
    </row>
    <row r="1167" spans="1:9" hidden="1" x14ac:dyDescent="0.25">
      <c r="A1167" s="1" t="s">
        <v>24</v>
      </c>
      <c r="B1167" s="1" t="s">
        <v>189</v>
      </c>
      <c r="C1167" s="1" t="s">
        <v>10</v>
      </c>
      <c r="D1167" s="1">
        <v>0</v>
      </c>
      <c r="E1167" s="1">
        <v>170.89</v>
      </c>
      <c r="F1167" s="1">
        <v>0</v>
      </c>
      <c r="G1167" s="1">
        <v>-2307.0549999999998</v>
      </c>
      <c r="H1167" s="1">
        <v>0</v>
      </c>
      <c r="I1167" s="1">
        <v>1519.049</v>
      </c>
    </row>
    <row r="1168" spans="1:9" hidden="1" x14ac:dyDescent="0.25">
      <c r="A1168" s="1" t="s">
        <v>24</v>
      </c>
      <c r="B1168" s="1" t="s">
        <v>190</v>
      </c>
      <c r="C1168" s="1" t="s">
        <v>25</v>
      </c>
      <c r="D1168" s="1">
        <v>0</v>
      </c>
      <c r="E1168" s="1">
        <v>0</v>
      </c>
      <c r="F1168" s="1">
        <v>-206.57</v>
      </c>
      <c r="G1168" s="1">
        <v>-4090.0459999999998</v>
      </c>
      <c r="H1168" s="1">
        <v>1009.888</v>
      </c>
      <c r="I1168" s="1">
        <v>0</v>
      </c>
    </row>
    <row r="1169" spans="1:9" hidden="1" x14ac:dyDescent="0.25">
      <c r="A1169" s="1" t="s">
        <v>24</v>
      </c>
      <c r="B1169" s="1" t="s">
        <v>190</v>
      </c>
      <c r="C1169" s="1" t="s">
        <v>10</v>
      </c>
      <c r="D1169" s="1">
        <v>0</v>
      </c>
      <c r="E1169" s="1">
        <v>0</v>
      </c>
      <c r="F1169" s="1">
        <v>-206.57</v>
      </c>
      <c r="G1169" s="1">
        <v>-4090.0459999999998</v>
      </c>
      <c r="H1169" s="1">
        <v>1836.16</v>
      </c>
      <c r="I1169" s="1">
        <v>0</v>
      </c>
    </row>
    <row r="1170" spans="1:9" hidden="1" x14ac:dyDescent="0.25">
      <c r="A1170" s="1" t="s">
        <v>24</v>
      </c>
      <c r="B1170" s="1" t="s">
        <v>191</v>
      </c>
      <c r="C1170" s="1" t="s">
        <v>25</v>
      </c>
      <c r="D1170" s="1">
        <v>0</v>
      </c>
      <c r="E1170" s="1">
        <v>0</v>
      </c>
      <c r="F1170" s="1">
        <v>-206.57</v>
      </c>
      <c r="G1170" s="1">
        <v>-3346.4009999999998</v>
      </c>
      <c r="H1170" s="1">
        <v>1009.888</v>
      </c>
      <c r="I1170" s="1">
        <v>0</v>
      </c>
    </row>
    <row r="1171" spans="1:9" hidden="1" x14ac:dyDescent="0.25">
      <c r="A1171" s="1" t="s">
        <v>24</v>
      </c>
      <c r="B1171" s="1" t="s">
        <v>191</v>
      </c>
      <c r="C1171" s="1" t="s">
        <v>10</v>
      </c>
      <c r="D1171" s="1">
        <v>0</v>
      </c>
      <c r="E1171" s="1">
        <v>0</v>
      </c>
      <c r="F1171" s="1">
        <v>-206.57</v>
      </c>
      <c r="G1171" s="1">
        <v>-3346.4009999999998</v>
      </c>
      <c r="H1171" s="1">
        <v>1836.16</v>
      </c>
      <c r="I1171" s="1">
        <v>0</v>
      </c>
    </row>
    <row r="1172" spans="1:9" hidden="1" x14ac:dyDescent="0.25">
      <c r="A1172" s="1" t="s">
        <v>24</v>
      </c>
      <c r="B1172" s="1" t="s">
        <v>192</v>
      </c>
      <c r="C1172" s="1" t="s">
        <v>25</v>
      </c>
      <c r="D1172" s="1">
        <v>0</v>
      </c>
      <c r="E1172" s="1">
        <v>0</v>
      </c>
      <c r="F1172" s="1">
        <v>206.57</v>
      </c>
      <c r="G1172" s="1">
        <v>4090.0459999999998</v>
      </c>
      <c r="H1172" s="1">
        <v>-1009.888</v>
      </c>
      <c r="I1172" s="1">
        <v>0</v>
      </c>
    </row>
    <row r="1173" spans="1:9" hidden="1" x14ac:dyDescent="0.25">
      <c r="A1173" s="1" t="s">
        <v>24</v>
      </c>
      <c r="B1173" s="1" t="s">
        <v>192</v>
      </c>
      <c r="C1173" s="1" t="s">
        <v>10</v>
      </c>
      <c r="D1173" s="1">
        <v>0</v>
      </c>
      <c r="E1173" s="1">
        <v>0</v>
      </c>
      <c r="F1173" s="1">
        <v>206.57</v>
      </c>
      <c r="G1173" s="1">
        <v>4090.0459999999998</v>
      </c>
      <c r="H1173" s="1">
        <v>-1836.16</v>
      </c>
      <c r="I1173" s="1">
        <v>0</v>
      </c>
    </row>
    <row r="1174" spans="1:9" hidden="1" x14ac:dyDescent="0.25">
      <c r="A1174" s="1" t="s">
        <v>24</v>
      </c>
      <c r="B1174" s="1" t="s">
        <v>193</v>
      </c>
      <c r="C1174" s="1" t="s">
        <v>25</v>
      </c>
      <c r="D1174" s="1">
        <v>0</v>
      </c>
      <c r="E1174" s="1">
        <v>0</v>
      </c>
      <c r="F1174" s="1">
        <v>206.57</v>
      </c>
      <c r="G1174" s="1">
        <v>3346.4009999999998</v>
      </c>
      <c r="H1174" s="1">
        <v>-1009.888</v>
      </c>
      <c r="I1174" s="1">
        <v>0</v>
      </c>
    </row>
    <row r="1175" spans="1:9" hidden="1" x14ac:dyDescent="0.25">
      <c r="A1175" s="1" t="s">
        <v>24</v>
      </c>
      <c r="B1175" s="1" t="s">
        <v>193</v>
      </c>
      <c r="C1175" s="1" t="s">
        <v>10</v>
      </c>
      <c r="D1175" s="1">
        <v>0</v>
      </c>
      <c r="E1175" s="1">
        <v>0</v>
      </c>
      <c r="F1175" s="1">
        <v>206.57</v>
      </c>
      <c r="G1175" s="1">
        <v>3346.4009999999998</v>
      </c>
      <c r="H1175" s="1">
        <v>-1836.16</v>
      </c>
      <c r="I1175" s="1">
        <v>0</v>
      </c>
    </row>
    <row r="1176" spans="1:9" hidden="1" x14ac:dyDescent="0.25">
      <c r="A1176" s="1" t="s">
        <v>24</v>
      </c>
      <c r="B1176" s="1" t="s">
        <v>194</v>
      </c>
      <c r="C1176" s="1" t="s">
        <v>25</v>
      </c>
      <c r="D1176" s="1">
        <v>0</v>
      </c>
      <c r="E1176" s="1">
        <v>-569.64</v>
      </c>
      <c r="F1176" s="1">
        <v>0</v>
      </c>
      <c r="G1176" s="1">
        <v>9399.1149999999998</v>
      </c>
      <c r="H1176" s="1">
        <v>0</v>
      </c>
      <c r="I1176" s="1">
        <v>-2784.9229999999998</v>
      </c>
    </row>
    <row r="1177" spans="1:9" hidden="1" x14ac:dyDescent="0.25">
      <c r="A1177" s="1" t="s">
        <v>24</v>
      </c>
      <c r="B1177" s="1" t="s">
        <v>194</v>
      </c>
      <c r="C1177" s="1" t="s">
        <v>10</v>
      </c>
      <c r="D1177" s="1">
        <v>0</v>
      </c>
      <c r="E1177" s="1">
        <v>-569.64</v>
      </c>
      <c r="F1177" s="1">
        <v>0</v>
      </c>
      <c r="G1177" s="1">
        <v>9399.1149999999998</v>
      </c>
      <c r="H1177" s="1">
        <v>0</v>
      </c>
      <c r="I1177" s="1">
        <v>-5063.4960000000001</v>
      </c>
    </row>
    <row r="1178" spans="1:9" hidden="1" x14ac:dyDescent="0.25">
      <c r="A1178" s="1" t="s">
        <v>24</v>
      </c>
      <c r="B1178" s="1" t="s">
        <v>195</v>
      </c>
      <c r="C1178" s="1" t="s">
        <v>25</v>
      </c>
      <c r="D1178" s="1">
        <v>0</v>
      </c>
      <c r="E1178" s="1">
        <v>-569.64</v>
      </c>
      <c r="F1178" s="1">
        <v>0</v>
      </c>
      <c r="G1178" s="1">
        <v>7690.1850000000004</v>
      </c>
      <c r="H1178" s="1">
        <v>0</v>
      </c>
      <c r="I1178" s="1">
        <v>-2784.9229999999998</v>
      </c>
    </row>
    <row r="1179" spans="1:9" hidden="1" x14ac:dyDescent="0.25">
      <c r="A1179" s="1" t="s">
        <v>24</v>
      </c>
      <c r="B1179" s="1" t="s">
        <v>195</v>
      </c>
      <c r="C1179" s="1" t="s">
        <v>10</v>
      </c>
      <c r="D1179" s="1">
        <v>0</v>
      </c>
      <c r="E1179" s="1">
        <v>-569.64</v>
      </c>
      <c r="F1179" s="1">
        <v>0</v>
      </c>
      <c r="G1179" s="1">
        <v>7690.1850000000004</v>
      </c>
      <c r="H1179" s="1">
        <v>0</v>
      </c>
      <c r="I1179" s="1">
        <v>-5063.4960000000001</v>
      </c>
    </row>
    <row r="1180" spans="1:9" hidden="1" x14ac:dyDescent="0.25">
      <c r="A1180" s="1" t="s">
        <v>24</v>
      </c>
      <c r="B1180" s="1" t="s">
        <v>196</v>
      </c>
      <c r="C1180" s="1" t="s">
        <v>25</v>
      </c>
      <c r="D1180" s="1">
        <v>0</v>
      </c>
      <c r="E1180" s="1">
        <v>569.64</v>
      </c>
      <c r="F1180" s="1">
        <v>0</v>
      </c>
      <c r="G1180" s="1">
        <v>-9399.1149999999998</v>
      </c>
      <c r="H1180" s="1">
        <v>0</v>
      </c>
      <c r="I1180" s="1">
        <v>2784.9229999999998</v>
      </c>
    </row>
    <row r="1181" spans="1:9" hidden="1" x14ac:dyDescent="0.25">
      <c r="A1181" s="1" t="s">
        <v>24</v>
      </c>
      <c r="B1181" s="1" t="s">
        <v>196</v>
      </c>
      <c r="C1181" s="1" t="s">
        <v>10</v>
      </c>
      <c r="D1181" s="1">
        <v>0</v>
      </c>
      <c r="E1181" s="1">
        <v>569.64</v>
      </c>
      <c r="F1181" s="1">
        <v>0</v>
      </c>
      <c r="G1181" s="1">
        <v>-9399.1149999999998</v>
      </c>
      <c r="H1181" s="1">
        <v>0</v>
      </c>
      <c r="I1181" s="1">
        <v>5063.4960000000001</v>
      </c>
    </row>
    <row r="1182" spans="1:9" hidden="1" x14ac:dyDescent="0.25">
      <c r="A1182" s="1" t="s">
        <v>24</v>
      </c>
      <c r="B1182" s="1" t="s">
        <v>197</v>
      </c>
      <c r="C1182" s="1" t="s">
        <v>25</v>
      </c>
      <c r="D1182" s="1">
        <v>0</v>
      </c>
      <c r="E1182" s="1">
        <v>569.64</v>
      </c>
      <c r="F1182" s="1">
        <v>0</v>
      </c>
      <c r="G1182" s="1">
        <v>-7690.1850000000004</v>
      </c>
      <c r="H1182" s="1">
        <v>0</v>
      </c>
      <c r="I1182" s="1">
        <v>2784.9229999999998</v>
      </c>
    </row>
    <row r="1183" spans="1:9" hidden="1" x14ac:dyDescent="0.25">
      <c r="A1183" s="1" t="s">
        <v>24</v>
      </c>
      <c r="B1183" s="1" t="s">
        <v>197</v>
      </c>
      <c r="C1183" s="1" t="s">
        <v>10</v>
      </c>
      <c r="D1183" s="1">
        <v>0</v>
      </c>
      <c r="E1183" s="1">
        <v>569.64</v>
      </c>
      <c r="F1183" s="1">
        <v>0</v>
      </c>
      <c r="G1183" s="1">
        <v>-7690.1850000000004</v>
      </c>
      <c r="H1183" s="1">
        <v>0</v>
      </c>
      <c r="I1183" s="1">
        <v>5063.4960000000001</v>
      </c>
    </row>
    <row r="1184" spans="1:9" hidden="1" x14ac:dyDescent="0.25">
      <c r="A1184" s="1" t="s">
        <v>24</v>
      </c>
      <c r="B1184" s="1" t="s">
        <v>198</v>
      </c>
      <c r="C1184" s="1" t="s">
        <v>25</v>
      </c>
      <c r="D1184" s="1">
        <v>0</v>
      </c>
      <c r="E1184" s="1">
        <v>0</v>
      </c>
      <c r="F1184" s="1">
        <v>-688.56</v>
      </c>
      <c r="G1184" s="1">
        <v>-13633.487999999999</v>
      </c>
      <c r="H1184" s="1">
        <v>3366.2930000000001</v>
      </c>
      <c r="I1184" s="1">
        <v>0</v>
      </c>
    </row>
    <row r="1185" spans="1:9" hidden="1" x14ac:dyDescent="0.25">
      <c r="A1185" s="1" t="s">
        <v>24</v>
      </c>
      <c r="B1185" s="1" t="s">
        <v>198</v>
      </c>
      <c r="C1185" s="1" t="s">
        <v>10</v>
      </c>
      <c r="D1185" s="1">
        <v>0</v>
      </c>
      <c r="E1185" s="1">
        <v>0</v>
      </c>
      <c r="F1185" s="1">
        <v>-688.56</v>
      </c>
      <c r="G1185" s="1">
        <v>-13633.487999999999</v>
      </c>
      <c r="H1185" s="1">
        <v>6120.5330000000004</v>
      </c>
      <c r="I1185" s="1">
        <v>0</v>
      </c>
    </row>
    <row r="1186" spans="1:9" hidden="1" x14ac:dyDescent="0.25">
      <c r="A1186" s="1" t="s">
        <v>24</v>
      </c>
      <c r="B1186" s="1" t="s">
        <v>199</v>
      </c>
      <c r="C1186" s="1" t="s">
        <v>25</v>
      </c>
      <c r="D1186" s="1">
        <v>0</v>
      </c>
      <c r="E1186" s="1">
        <v>0</v>
      </c>
      <c r="F1186" s="1">
        <v>-688.56</v>
      </c>
      <c r="G1186" s="1">
        <v>-11154.672</v>
      </c>
      <c r="H1186" s="1">
        <v>3366.2930000000001</v>
      </c>
      <c r="I1186" s="1">
        <v>0</v>
      </c>
    </row>
    <row r="1187" spans="1:9" hidden="1" x14ac:dyDescent="0.25">
      <c r="A1187" s="1" t="s">
        <v>24</v>
      </c>
      <c r="B1187" s="1" t="s">
        <v>199</v>
      </c>
      <c r="C1187" s="1" t="s">
        <v>10</v>
      </c>
      <c r="D1187" s="1">
        <v>0</v>
      </c>
      <c r="E1187" s="1">
        <v>0</v>
      </c>
      <c r="F1187" s="1">
        <v>-688.56</v>
      </c>
      <c r="G1187" s="1">
        <v>-11154.672</v>
      </c>
      <c r="H1187" s="1">
        <v>6120.5330000000004</v>
      </c>
      <c r="I1187" s="1">
        <v>0</v>
      </c>
    </row>
    <row r="1188" spans="1:9" hidden="1" x14ac:dyDescent="0.25">
      <c r="A1188" s="1" t="s">
        <v>24</v>
      </c>
      <c r="B1188" s="1" t="s">
        <v>200</v>
      </c>
      <c r="C1188" s="1" t="s">
        <v>25</v>
      </c>
      <c r="D1188" s="1">
        <v>0</v>
      </c>
      <c r="E1188" s="1">
        <v>0</v>
      </c>
      <c r="F1188" s="1">
        <v>688.56</v>
      </c>
      <c r="G1188" s="1">
        <v>13633.487999999999</v>
      </c>
      <c r="H1188" s="1">
        <v>-3366.2930000000001</v>
      </c>
      <c r="I1188" s="1">
        <v>0</v>
      </c>
    </row>
    <row r="1189" spans="1:9" hidden="1" x14ac:dyDescent="0.25">
      <c r="A1189" s="1" t="s">
        <v>24</v>
      </c>
      <c r="B1189" s="1" t="s">
        <v>200</v>
      </c>
      <c r="C1189" s="1" t="s">
        <v>10</v>
      </c>
      <c r="D1189" s="1">
        <v>0</v>
      </c>
      <c r="E1189" s="1">
        <v>0</v>
      </c>
      <c r="F1189" s="1">
        <v>688.56</v>
      </c>
      <c r="G1189" s="1">
        <v>13633.487999999999</v>
      </c>
      <c r="H1189" s="1">
        <v>-6120.5330000000004</v>
      </c>
      <c r="I1189" s="1">
        <v>0</v>
      </c>
    </row>
    <row r="1190" spans="1:9" hidden="1" x14ac:dyDescent="0.25">
      <c r="A1190" s="1" t="s">
        <v>24</v>
      </c>
      <c r="B1190" s="1" t="s">
        <v>201</v>
      </c>
      <c r="C1190" s="1" t="s">
        <v>25</v>
      </c>
      <c r="D1190" s="1">
        <v>0</v>
      </c>
      <c r="E1190" s="1">
        <v>0</v>
      </c>
      <c r="F1190" s="1">
        <v>688.56</v>
      </c>
      <c r="G1190" s="1">
        <v>11154.672</v>
      </c>
      <c r="H1190" s="1">
        <v>-3366.2930000000001</v>
      </c>
      <c r="I1190" s="1">
        <v>0</v>
      </c>
    </row>
    <row r="1191" spans="1:9" hidden="1" x14ac:dyDescent="0.25">
      <c r="A1191" s="1" t="s">
        <v>24</v>
      </c>
      <c r="B1191" s="1" t="s">
        <v>201</v>
      </c>
      <c r="C1191" s="1" t="s">
        <v>10</v>
      </c>
      <c r="D1191" s="1">
        <v>0</v>
      </c>
      <c r="E1191" s="1">
        <v>0</v>
      </c>
      <c r="F1191" s="1">
        <v>688.56</v>
      </c>
      <c r="G1191" s="1">
        <v>11154.672</v>
      </c>
      <c r="H1191" s="1">
        <v>-6120.5330000000004</v>
      </c>
      <c r="I1191" s="1">
        <v>0</v>
      </c>
    </row>
    <row r="1192" spans="1:9" hidden="1" x14ac:dyDescent="0.25">
      <c r="A1192" s="1" t="s">
        <v>24</v>
      </c>
      <c r="B1192" s="1" t="s">
        <v>202</v>
      </c>
      <c r="C1192" s="1" t="s">
        <v>25</v>
      </c>
      <c r="D1192" s="1">
        <v>0</v>
      </c>
      <c r="E1192" s="1">
        <v>-569.64</v>
      </c>
      <c r="F1192" s="1">
        <v>0</v>
      </c>
      <c r="G1192" s="1">
        <v>9399.1149999999998</v>
      </c>
      <c r="H1192" s="1">
        <v>0</v>
      </c>
      <c r="I1192" s="1">
        <v>-2784.9229999999998</v>
      </c>
    </row>
    <row r="1193" spans="1:9" hidden="1" x14ac:dyDescent="0.25">
      <c r="A1193" s="1" t="s">
        <v>24</v>
      </c>
      <c r="B1193" s="1" t="s">
        <v>202</v>
      </c>
      <c r="C1193" s="1" t="s">
        <v>10</v>
      </c>
      <c r="D1193" s="1">
        <v>0</v>
      </c>
      <c r="E1193" s="1">
        <v>-569.64</v>
      </c>
      <c r="F1193" s="1">
        <v>0</v>
      </c>
      <c r="G1193" s="1">
        <v>9399.1149999999998</v>
      </c>
      <c r="H1193" s="1">
        <v>0</v>
      </c>
      <c r="I1193" s="1">
        <v>-5063.4960000000001</v>
      </c>
    </row>
    <row r="1194" spans="1:9" hidden="1" x14ac:dyDescent="0.25">
      <c r="A1194" s="1" t="s">
        <v>24</v>
      </c>
      <c r="B1194" s="1" t="s">
        <v>203</v>
      </c>
      <c r="C1194" s="1" t="s">
        <v>25</v>
      </c>
      <c r="D1194" s="1">
        <v>0</v>
      </c>
      <c r="E1194" s="1">
        <v>-569.64</v>
      </c>
      <c r="F1194" s="1">
        <v>0</v>
      </c>
      <c r="G1194" s="1">
        <v>7690.1850000000004</v>
      </c>
      <c r="H1194" s="1">
        <v>0</v>
      </c>
      <c r="I1194" s="1">
        <v>-2784.9229999999998</v>
      </c>
    </row>
    <row r="1195" spans="1:9" hidden="1" x14ac:dyDescent="0.25">
      <c r="A1195" s="1" t="s">
        <v>24</v>
      </c>
      <c r="B1195" s="1" t="s">
        <v>203</v>
      </c>
      <c r="C1195" s="1" t="s">
        <v>10</v>
      </c>
      <c r="D1195" s="1">
        <v>0</v>
      </c>
      <c r="E1195" s="1">
        <v>-569.64</v>
      </c>
      <c r="F1195" s="1">
        <v>0</v>
      </c>
      <c r="G1195" s="1">
        <v>7690.1850000000004</v>
      </c>
      <c r="H1195" s="1">
        <v>0</v>
      </c>
      <c r="I1195" s="1">
        <v>-5063.4960000000001</v>
      </c>
    </row>
    <row r="1196" spans="1:9" hidden="1" x14ac:dyDescent="0.25">
      <c r="A1196" s="1" t="s">
        <v>24</v>
      </c>
      <c r="B1196" s="1" t="s">
        <v>204</v>
      </c>
      <c r="C1196" s="1" t="s">
        <v>25</v>
      </c>
      <c r="D1196" s="1">
        <v>0</v>
      </c>
      <c r="E1196" s="1">
        <v>569.64</v>
      </c>
      <c r="F1196" s="1">
        <v>0</v>
      </c>
      <c r="G1196" s="1">
        <v>-9399.1149999999998</v>
      </c>
      <c r="H1196" s="1">
        <v>0</v>
      </c>
      <c r="I1196" s="1">
        <v>2784.9229999999998</v>
      </c>
    </row>
    <row r="1197" spans="1:9" hidden="1" x14ac:dyDescent="0.25">
      <c r="A1197" s="1" t="s">
        <v>24</v>
      </c>
      <c r="B1197" s="1" t="s">
        <v>204</v>
      </c>
      <c r="C1197" s="1" t="s">
        <v>10</v>
      </c>
      <c r="D1197" s="1">
        <v>0</v>
      </c>
      <c r="E1197" s="1">
        <v>569.64</v>
      </c>
      <c r="F1197" s="1">
        <v>0</v>
      </c>
      <c r="G1197" s="1">
        <v>-9399.1149999999998</v>
      </c>
      <c r="H1197" s="1">
        <v>0</v>
      </c>
      <c r="I1197" s="1">
        <v>5063.4960000000001</v>
      </c>
    </row>
    <row r="1198" spans="1:9" hidden="1" x14ac:dyDescent="0.25">
      <c r="A1198" s="1" t="s">
        <v>24</v>
      </c>
      <c r="B1198" s="1" t="s">
        <v>205</v>
      </c>
      <c r="C1198" s="1" t="s">
        <v>25</v>
      </c>
      <c r="D1198" s="1">
        <v>0</v>
      </c>
      <c r="E1198" s="1">
        <v>569.64</v>
      </c>
      <c r="F1198" s="1">
        <v>0</v>
      </c>
      <c r="G1198" s="1">
        <v>-7690.1850000000004</v>
      </c>
      <c r="H1198" s="1">
        <v>0</v>
      </c>
      <c r="I1198" s="1">
        <v>2784.9229999999998</v>
      </c>
    </row>
    <row r="1199" spans="1:9" hidden="1" x14ac:dyDescent="0.25">
      <c r="A1199" s="1" t="s">
        <v>24</v>
      </c>
      <c r="B1199" s="1" t="s">
        <v>205</v>
      </c>
      <c r="C1199" s="1" t="s">
        <v>10</v>
      </c>
      <c r="D1199" s="1">
        <v>0</v>
      </c>
      <c r="E1199" s="1">
        <v>569.64</v>
      </c>
      <c r="F1199" s="1">
        <v>0</v>
      </c>
      <c r="G1199" s="1">
        <v>-7690.1850000000004</v>
      </c>
      <c r="H1199" s="1">
        <v>0</v>
      </c>
      <c r="I1199" s="1">
        <v>5063.4960000000001</v>
      </c>
    </row>
    <row r="1200" spans="1:9" hidden="1" x14ac:dyDescent="0.25">
      <c r="A1200" s="1" t="s">
        <v>24</v>
      </c>
      <c r="B1200" s="1" t="s">
        <v>206</v>
      </c>
      <c r="C1200" s="1" t="s">
        <v>25</v>
      </c>
      <c r="D1200" s="1">
        <v>0</v>
      </c>
      <c r="E1200" s="1">
        <v>0</v>
      </c>
      <c r="F1200" s="1">
        <v>-688.56</v>
      </c>
      <c r="G1200" s="1">
        <v>-13633.487999999999</v>
      </c>
      <c r="H1200" s="1">
        <v>3366.2930000000001</v>
      </c>
      <c r="I1200" s="1">
        <v>0</v>
      </c>
    </row>
    <row r="1201" spans="1:9" hidden="1" x14ac:dyDescent="0.25">
      <c r="A1201" s="1" t="s">
        <v>24</v>
      </c>
      <c r="B1201" s="1" t="s">
        <v>206</v>
      </c>
      <c r="C1201" s="1" t="s">
        <v>10</v>
      </c>
      <c r="D1201" s="1">
        <v>0</v>
      </c>
      <c r="E1201" s="1">
        <v>0</v>
      </c>
      <c r="F1201" s="1">
        <v>-688.56</v>
      </c>
      <c r="G1201" s="1">
        <v>-13633.487999999999</v>
      </c>
      <c r="H1201" s="1">
        <v>6120.5330000000004</v>
      </c>
      <c r="I1201" s="1">
        <v>0</v>
      </c>
    </row>
    <row r="1202" spans="1:9" hidden="1" x14ac:dyDescent="0.25">
      <c r="A1202" s="1" t="s">
        <v>24</v>
      </c>
      <c r="B1202" s="1" t="s">
        <v>207</v>
      </c>
      <c r="C1202" s="1" t="s">
        <v>25</v>
      </c>
      <c r="D1202" s="1">
        <v>0</v>
      </c>
      <c r="E1202" s="1">
        <v>0</v>
      </c>
      <c r="F1202" s="1">
        <v>-688.56</v>
      </c>
      <c r="G1202" s="1">
        <v>-11154.672</v>
      </c>
      <c r="H1202" s="1">
        <v>3366.2930000000001</v>
      </c>
      <c r="I1202" s="1">
        <v>0</v>
      </c>
    </row>
    <row r="1203" spans="1:9" hidden="1" x14ac:dyDescent="0.25">
      <c r="A1203" s="1" t="s">
        <v>24</v>
      </c>
      <c r="B1203" s="1" t="s">
        <v>207</v>
      </c>
      <c r="C1203" s="1" t="s">
        <v>10</v>
      </c>
      <c r="D1203" s="1">
        <v>0</v>
      </c>
      <c r="E1203" s="1">
        <v>0</v>
      </c>
      <c r="F1203" s="1">
        <v>-688.56</v>
      </c>
      <c r="G1203" s="1">
        <v>-11154.672</v>
      </c>
      <c r="H1203" s="1">
        <v>6120.5330000000004</v>
      </c>
      <c r="I1203" s="1">
        <v>0</v>
      </c>
    </row>
    <row r="1204" spans="1:9" hidden="1" x14ac:dyDescent="0.25">
      <c r="A1204" s="1" t="s">
        <v>24</v>
      </c>
      <c r="B1204" s="1" t="s">
        <v>208</v>
      </c>
      <c r="C1204" s="1" t="s">
        <v>25</v>
      </c>
      <c r="D1204" s="1">
        <v>0</v>
      </c>
      <c r="E1204" s="1">
        <v>0</v>
      </c>
      <c r="F1204" s="1">
        <v>688.56</v>
      </c>
      <c r="G1204" s="1">
        <v>13633.487999999999</v>
      </c>
      <c r="H1204" s="1">
        <v>-3366.2930000000001</v>
      </c>
      <c r="I1204" s="1">
        <v>0</v>
      </c>
    </row>
    <row r="1205" spans="1:9" hidden="1" x14ac:dyDescent="0.25">
      <c r="A1205" s="1" t="s">
        <v>24</v>
      </c>
      <c r="B1205" s="1" t="s">
        <v>208</v>
      </c>
      <c r="C1205" s="1" t="s">
        <v>10</v>
      </c>
      <c r="D1205" s="1">
        <v>0</v>
      </c>
      <c r="E1205" s="1">
        <v>0</v>
      </c>
      <c r="F1205" s="1">
        <v>688.56</v>
      </c>
      <c r="G1205" s="1">
        <v>13633.487999999999</v>
      </c>
      <c r="H1205" s="1">
        <v>-6120.5330000000004</v>
      </c>
      <c r="I1205" s="1">
        <v>0</v>
      </c>
    </row>
    <row r="1206" spans="1:9" hidden="1" x14ac:dyDescent="0.25">
      <c r="A1206" s="1" t="s">
        <v>24</v>
      </c>
      <c r="B1206" s="1" t="s">
        <v>209</v>
      </c>
      <c r="C1206" s="1" t="s">
        <v>25</v>
      </c>
      <c r="D1206" s="1">
        <v>0</v>
      </c>
      <c r="E1206" s="1">
        <v>0</v>
      </c>
      <c r="F1206" s="1">
        <v>688.56</v>
      </c>
      <c r="G1206" s="1">
        <v>11154.672</v>
      </c>
      <c r="H1206" s="1">
        <v>-3366.2930000000001</v>
      </c>
      <c r="I1206" s="1">
        <v>0</v>
      </c>
    </row>
    <row r="1207" spans="1:9" hidden="1" x14ac:dyDescent="0.25">
      <c r="A1207" s="1" t="s">
        <v>24</v>
      </c>
      <c r="B1207" s="1" t="s">
        <v>209</v>
      </c>
      <c r="C1207" s="1" t="s">
        <v>10</v>
      </c>
      <c r="D1207" s="1">
        <v>0</v>
      </c>
      <c r="E1207" s="1">
        <v>0</v>
      </c>
      <c r="F1207" s="1">
        <v>688.56</v>
      </c>
      <c r="G1207" s="1">
        <v>11154.672</v>
      </c>
      <c r="H1207" s="1">
        <v>-6120.5330000000004</v>
      </c>
      <c r="I1207" s="1">
        <v>0</v>
      </c>
    </row>
    <row r="1208" spans="1:9" hidden="1" x14ac:dyDescent="0.25">
      <c r="A1208" s="1" t="s">
        <v>24</v>
      </c>
      <c r="B1208" s="1" t="s">
        <v>210</v>
      </c>
      <c r="C1208" s="1" t="s">
        <v>25</v>
      </c>
      <c r="D1208" s="1">
        <v>0</v>
      </c>
      <c r="E1208" s="1">
        <v>-170.89</v>
      </c>
      <c r="F1208" s="1">
        <v>0</v>
      </c>
      <c r="G1208" s="1">
        <v>2819.7339999999999</v>
      </c>
      <c r="H1208" s="1">
        <v>0</v>
      </c>
      <c r="I1208" s="1">
        <v>-835.47699999999998</v>
      </c>
    </row>
    <row r="1209" spans="1:9" hidden="1" x14ac:dyDescent="0.25">
      <c r="A1209" s="1" t="s">
        <v>24</v>
      </c>
      <c r="B1209" s="1" t="s">
        <v>210</v>
      </c>
      <c r="C1209" s="1" t="s">
        <v>10</v>
      </c>
      <c r="D1209" s="1">
        <v>0</v>
      </c>
      <c r="E1209" s="1">
        <v>-170.89</v>
      </c>
      <c r="F1209" s="1">
        <v>0</v>
      </c>
      <c r="G1209" s="1">
        <v>2819.7339999999999</v>
      </c>
      <c r="H1209" s="1">
        <v>0</v>
      </c>
      <c r="I1209" s="1">
        <v>-1519.049</v>
      </c>
    </row>
    <row r="1210" spans="1:9" hidden="1" x14ac:dyDescent="0.25">
      <c r="A1210" s="1" t="s">
        <v>24</v>
      </c>
      <c r="B1210" s="1" t="s">
        <v>211</v>
      </c>
      <c r="C1210" s="1" t="s">
        <v>25</v>
      </c>
      <c r="D1210" s="1">
        <v>0</v>
      </c>
      <c r="E1210" s="1">
        <v>-170.89</v>
      </c>
      <c r="F1210" s="1">
        <v>0</v>
      </c>
      <c r="G1210" s="1">
        <v>2307.0549999999998</v>
      </c>
      <c r="H1210" s="1">
        <v>0</v>
      </c>
      <c r="I1210" s="1">
        <v>-835.47699999999998</v>
      </c>
    </row>
    <row r="1211" spans="1:9" hidden="1" x14ac:dyDescent="0.25">
      <c r="A1211" s="1" t="s">
        <v>24</v>
      </c>
      <c r="B1211" s="1" t="s">
        <v>211</v>
      </c>
      <c r="C1211" s="1" t="s">
        <v>10</v>
      </c>
      <c r="D1211" s="1">
        <v>0</v>
      </c>
      <c r="E1211" s="1">
        <v>-170.89</v>
      </c>
      <c r="F1211" s="1">
        <v>0</v>
      </c>
      <c r="G1211" s="1">
        <v>2307.0549999999998</v>
      </c>
      <c r="H1211" s="1">
        <v>0</v>
      </c>
      <c r="I1211" s="1">
        <v>-1519.049</v>
      </c>
    </row>
    <row r="1212" spans="1:9" hidden="1" x14ac:dyDescent="0.25">
      <c r="A1212" s="1" t="s">
        <v>24</v>
      </c>
      <c r="B1212" s="1" t="s">
        <v>212</v>
      </c>
      <c r="C1212" s="1" t="s">
        <v>25</v>
      </c>
      <c r="D1212" s="1">
        <v>0</v>
      </c>
      <c r="E1212" s="1">
        <v>170.89</v>
      </c>
      <c r="F1212" s="1">
        <v>0</v>
      </c>
      <c r="G1212" s="1">
        <v>-2819.7339999999999</v>
      </c>
      <c r="H1212" s="1">
        <v>0</v>
      </c>
      <c r="I1212" s="1">
        <v>835.47699999999998</v>
      </c>
    </row>
    <row r="1213" spans="1:9" hidden="1" x14ac:dyDescent="0.25">
      <c r="A1213" s="1" t="s">
        <v>24</v>
      </c>
      <c r="B1213" s="1" t="s">
        <v>212</v>
      </c>
      <c r="C1213" s="1" t="s">
        <v>10</v>
      </c>
      <c r="D1213" s="1">
        <v>0</v>
      </c>
      <c r="E1213" s="1">
        <v>170.89</v>
      </c>
      <c r="F1213" s="1">
        <v>0</v>
      </c>
      <c r="G1213" s="1">
        <v>-2819.7339999999999</v>
      </c>
      <c r="H1213" s="1">
        <v>0</v>
      </c>
      <c r="I1213" s="1">
        <v>1519.049</v>
      </c>
    </row>
    <row r="1214" spans="1:9" hidden="1" x14ac:dyDescent="0.25">
      <c r="A1214" s="1" t="s">
        <v>24</v>
      </c>
      <c r="B1214" s="1" t="s">
        <v>213</v>
      </c>
      <c r="C1214" s="1" t="s">
        <v>25</v>
      </c>
      <c r="D1214" s="1">
        <v>0</v>
      </c>
      <c r="E1214" s="1">
        <v>170.89</v>
      </c>
      <c r="F1214" s="1">
        <v>0</v>
      </c>
      <c r="G1214" s="1">
        <v>-2307.0549999999998</v>
      </c>
      <c r="H1214" s="1">
        <v>0</v>
      </c>
      <c r="I1214" s="1">
        <v>835.47699999999998</v>
      </c>
    </row>
    <row r="1215" spans="1:9" hidden="1" x14ac:dyDescent="0.25">
      <c r="A1215" s="1" t="s">
        <v>24</v>
      </c>
      <c r="B1215" s="1" t="s">
        <v>213</v>
      </c>
      <c r="C1215" s="1" t="s">
        <v>10</v>
      </c>
      <c r="D1215" s="1">
        <v>0</v>
      </c>
      <c r="E1215" s="1">
        <v>170.89</v>
      </c>
      <c r="F1215" s="1">
        <v>0</v>
      </c>
      <c r="G1215" s="1">
        <v>-2307.0549999999998</v>
      </c>
      <c r="H1215" s="1">
        <v>0</v>
      </c>
      <c r="I1215" s="1">
        <v>1519.049</v>
      </c>
    </row>
    <row r="1216" spans="1:9" hidden="1" x14ac:dyDescent="0.25">
      <c r="A1216" s="1" t="s">
        <v>24</v>
      </c>
      <c r="B1216" s="1" t="s">
        <v>214</v>
      </c>
      <c r="C1216" s="1" t="s">
        <v>25</v>
      </c>
      <c r="D1216" s="1">
        <v>0</v>
      </c>
      <c r="E1216" s="1">
        <v>0</v>
      </c>
      <c r="F1216" s="1">
        <v>-206.57</v>
      </c>
      <c r="G1216" s="1">
        <v>-4090.0459999999998</v>
      </c>
      <c r="H1216" s="1">
        <v>1009.888</v>
      </c>
      <c r="I1216" s="1">
        <v>0</v>
      </c>
    </row>
    <row r="1217" spans="1:9" hidden="1" x14ac:dyDescent="0.25">
      <c r="A1217" s="1" t="s">
        <v>24</v>
      </c>
      <c r="B1217" s="1" t="s">
        <v>214</v>
      </c>
      <c r="C1217" s="1" t="s">
        <v>10</v>
      </c>
      <c r="D1217" s="1">
        <v>0</v>
      </c>
      <c r="E1217" s="1">
        <v>0</v>
      </c>
      <c r="F1217" s="1">
        <v>-206.57</v>
      </c>
      <c r="G1217" s="1">
        <v>-4090.0459999999998</v>
      </c>
      <c r="H1217" s="1">
        <v>1836.16</v>
      </c>
      <c r="I1217" s="1">
        <v>0</v>
      </c>
    </row>
    <row r="1218" spans="1:9" hidden="1" x14ac:dyDescent="0.25">
      <c r="A1218" s="1" t="s">
        <v>24</v>
      </c>
      <c r="B1218" s="1" t="s">
        <v>215</v>
      </c>
      <c r="C1218" s="1" t="s">
        <v>25</v>
      </c>
      <c r="D1218" s="1">
        <v>0</v>
      </c>
      <c r="E1218" s="1">
        <v>0</v>
      </c>
      <c r="F1218" s="1">
        <v>-206.57</v>
      </c>
      <c r="G1218" s="1">
        <v>-3346.4009999999998</v>
      </c>
      <c r="H1218" s="1">
        <v>1009.888</v>
      </c>
      <c r="I1218" s="1">
        <v>0</v>
      </c>
    </row>
    <row r="1219" spans="1:9" hidden="1" x14ac:dyDescent="0.25">
      <c r="A1219" s="1" t="s">
        <v>24</v>
      </c>
      <c r="B1219" s="1" t="s">
        <v>215</v>
      </c>
      <c r="C1219" s="1" t="s">
        <v>10</v>
      </c>
      <c r="D1219" s="1">
        <v>0</v>
      </c>
      <c r="E1219" s="1">
        <v>0</v>
      </c>
      <c r="F1219" s="1">
        <v>-206.57</v>
      </c>
      <c r="G1219" s="1">
        <v>-3346.4009999999998</v>
      </c>
      <c r="H1219" s="1">
        <v>1836.16</v>
      </c>
      <c r="I1219" s="1">
        <v>0</v>
      </c>
    </row>
    <row r="1220" spans="1:9" hidden="1" x14ac:dyDescent="0.25">
      <c r="A1220" s="1" t="s">
        <v>24</v>
      </c>
      <c r="B1220" s="1" t="s">
        <v>216</v>
      </c>
      <c r="C1220" s="1" t="s">
        <v>25</v>
      </c>
      <c r="D1220" s="1">
        <v>0</v>
      </c>
      <c r="E1220" s="1">
        <v>0</v>
      </c>
      <c r="F1220" s="1">
        <v>206.57</v>
      </c>
      <c r="G1220" s="1">
        <v>4090.0459999999998</v>
      </c>
      <c r="H1220" s="1">
        <v>-1009.888</v>
      </c>
      <c r="I1220" s="1">
        <v>0</v>
      </c>
    </row>
    <row r="1221" spans="1:9" hidden="1" x14ac:dyDescent="0.25">
      <c r="A1221" s="1" t="s">
        <v>24</v>
      </c>
      <c r="B1221" s="1" t="s">
        <v>216</v>
      </c>
      <c r="C1221" s="1" t="s">
        <v>10</v>
      </c>
      <c r="D1221" s="1">
        <v>0</v>
      </c>
      <c r="E1221" s="1">
        <v>0</v>
      </c>
      <c r="F1221" s="1">
        <v>206.57</v>
      </c>
      <c r="G1221" s="1">
        <v>4090.0459999999998</v>
      </c>
      <c r="H1221" s="1">
        <v>-1836.16</v>
      </c>
      <c r="I1221" s="1">
        <v>0</v>
      </c>
    </row>
    <row r="1222" spans="1:9" hidden="1" x14ac:dyDescent="0.25">
      <c r="A1222" s="1" t="s">
        <v>24</v>
      </c>
      <c r="B1222" s="1" t="s">
        <v>217</v>
      </c>
      <c r="C1222" s="1" t="s">
        <v>25</v>
      </c>
      <c r="D1222" s="1">
        <v>0</v>
      </c>
      <c r="E1222" s="1">
        <v>0</v>
      </c>
      <c r="F1222" s="1">
        <v>206.57</v>
      </c>
      <c r="G1222" s="1">
        <v>3346.4009999999998</v>
      </c>
      <c r="H1222" s="1">
        <v>-1009.888</v>
      </c>
      <c r="I1222" s="1">
        <v>0</v>
      </c>
    </row>
    <row r="1223" spans="1:9" hidden="1" x14ac:dyDescent="0.25">
      <c r="A1223" s="1" t="s">
        <v>24</v>
      </c>
      <c r="B1223" s="1" t="s">
        <v>217</v>
      </c>
      <c r="C1223" s="1" t="s">
        <v>10</v>
      </c>
      <c r="D1223" s="1">
        <v>0</v>
      </c>
      <c r="E1223" s="1">
        <v>0</v>
      </c>
      <c r="F1223" s="1">
        <v>206.57</v>
      </c>
      <c r="G1223" s="1">
        <v>3346.4009999999998</v>
      </c>
      <c r="H1223" s="1">
        <v>-1836.16</v>
      </c>
      <c r="I1223" s="1">
        <v>0</v>
      </c>
    </row>
    <row r="1224" spans="1:9" hidden="1" x14ac:dyDescent="0.25">
      <c r="A1224" s="1" t="s">
        <v>24</v>
      </c>
      <c r="B1224" s="1" t="s">
        <v>218</v>
      </c>
      <c r="C1224" s="1" t="s">
        <v>25</v>
      </c>
      <c r="D1224" s="1">
        <v>0</v>
      </c>
      <c r="E1224" s="1">
        <v>-170.89</v>
      </c>
      <c r="F1224" s="1">
        <v>0</v>
      </c>
      <c r="G1224" s="1">
        <v>2819.7339999999999</v>
      </c>
      <c r="H1224" s="1">
        <v>0</v>
      </c>
      <c r="I1224" s="1">
        <v>-835.47699999999998</v>
      </c>
    </row>
    <row r="1225" spans="1:9" hidden="1" x14ac:dyDescent="0.25">
      <c r="A1225" s="1" t="s">
        <v>24</v>
      </c>
      <c r="B1225" s="1" t="s">
        <v>218</v>
      </c>
      <c r="C1225" s="1" t="s">
        <v>10</v>
      </c>
      <c r="D1225" s="1">
        <v>0</v>
      </c>
      <c r="E1225" s="1">
        <v>-170.89</v>
      </c>
      <c r="F1225" s="1">
        <v>0</v>
      </c>
      <c r="G1225" s="1">
        <v>2819.7339999999999</v>
      </c>
      <c r="H1225" s="1">
        <v>0</v>
      </c>
      <c r="I1225" s="1">
        <v>-1519.049</v>
      </c>
    </row>
    <row r="1226" spans="1:9" hidden="1" x14ac:dyDescent="0.25">
      <c r="A1226" s="1" t="s">
        <v>24</v>
      </c>
      <c r="B1226" s="1" t="s">
        <v>219</v>
      </c>
      <c r="C1226" s="1" t="s">
        <v>25</v>
      </c>
      <c r="D1226" s="1">
        <v>0</v>
      </c>
      <c r="E1226" s="1">
        <v>-170.89</v>
      </c>
      <c r="F1226" s="1">
        <v>0</v>
      </c>
      <c r="G1226" s="1">
        <v>2307.0549999999998</v>
      </c>
      <c r="H1226" s="1">
        <v>0</v>
      </c>
      <c r="I1226" s="1">
        <v>-835.47699999999998</v>
      </c>
    </row>
    <row r="1227" spans="1:9" hidden="1" x14ac:dyDescent="0.25">
      <c r="A1227" s="1" t="s">
        <v>24</v>
      </c>
      <c r="B1227" s="1" t="s">
        <v>219</v>
      </c>
      <c r="C1227" s="1" t="s">
        <v>10</v>
      </c>
      <c r="D1227" s="1">
        <v>0</v>
      </c>
      <c r="E1227" s="1">
        <v>-170.89</v>
      </c>
      <c r="F1227" s="1">
        <v>0</v>
      </c>
      <c r="G1227" s="1">
        <v>2307.0549999999998</v>
      </c>
      <c r="H1227" s="1">
        <v>0</v>
      </c>
      <c r="I1227" s="1">
        <v>-1519.049</v>
      </c>
    </row>
    <row r="1228" spans="1:9" hidden="1" x14ac:dyDescent="0.25">
      <c r="A1228" s="1" t="s">
        <v>24</v>
      </c>
      <c r="B1228" s="1" t="s">
        <v>220</v>
      </c>
      <c r="C1228" s="1" t="s">
        <v>25</v>
      </c>
      <c r="D1228" s="1">
        <v>0</v>
      </c>
      <c r="E1228" s="1">
        <v>170.89</v>
      </c>
      <c r="F1228" s="1">
        <v>0</v>
      </c>
      <c r="G1228" s="1">
        <v>-2819.7339999999999</v>
      </c>
      <c r="H1228" s="1">
        <v>0</v>
      </c>
      <c r="I1228" s="1">
        <v>835.47699999999998</v>
      </c>
    </row>
    <row r="1229" spans="1:9" hidden="1" x14ac:dyDescent="0.25">
      <c r="A1229" s="1" t="s">
        <v>24</v>
      </c>
      <c r="B1229" s="1" t="s">
        <v>220</v>
      </c>
      <c r="C1229" s="1" t="s">
        <v>10</v>
      </c>
      <c r="D1229" s="1">
        <v>0</v>
      </c>
      <c r="E1229" s="1">
        <v>170.89</v>
      </c>
      <c r="F1229" s="1">
        <v>0</v>
      </c>
      <c r="G1229" s="1">
        <v>-2819.7339999999999</v>
      </c>
      <c r="H1229" s="1">
        <v>0</v>
      </c>
      <c r="I1229" s="1">
        <v>1519.049</v>
      </c>
    </row>
    <row r="1230" spans="1:9" hidden="1" x14ac:dyDescent="0.25">
      <c r="A1230" s="1" t="s">
        <v>24</v>
      </c>
      <c r="B1230" s="1" t="s">
        <v>221</v>
      </c>
      <c r="C1230" s="1" t="s">
        <v>25</v>
      </c>
      <c r="D1230" s="1">
        <v>0</v>
      </c>
      <c r="E1230" s="1">
        <v>170.89</v>
      </c>
      <c r="F1230" s="1">
        <v>0</v>
      </c>
      <c r="G1230" s="1">
        <v>-2307.0549999999998</v>
      </c>
      <c r="H1230" s="1">
        <v>0</v>
      </c>
      <c r="I1230" s="1">
        <v>835.47699999999998</v>
      </c>
    </row>
    <row r="1231" spans="1:9" hidden="1" x14ac:dyDescent="0.25">
      <c r="A1231" s="1" t="s">
        <v>24</v>
      </c>
      <c r="B1231" s="1" t="s">
        <v>221</v>
      </c>
      <c r="C1231" s="1" t="s">
        <v>10</v>
      </c>
      <c r="D1231" s="1">
        <v>0</v>
      </c>
      <c r="E1231" s="1">
        <v>170.89</v>
      </c>
      <c r="F1231" s="1">
        <v>0</v>
      </c>
      <c r="G1231" s="1">
        <v>-2307.0549999999998</v>
      </c>
      <c r="H1231" s="1">
        <v>0</v>
      </c>
      <c r="I1231" s="1">
        <v>1519.049</v>
      </c>
    </row>
    <row r="1232" spans="1:9" hidden="1" x14ac:dyDescent="0.25">
      <c r="A1232" s="1" t="s">
        <v>24</v>
      </c>
      <c r="B1232" s="1" t="s">
        <v>222</v>
      </c>
      <c r="C1232" s="1" t="s">
        <v>25</v>
      </c>
      <c r="D1232" s="1">
        <v>0</v>
      </c>
      <c r="E1232" s="1">
        <v>0</v>
      </c>
      <c r="F1232" s="1">
        <v>-206.57</v>
      </c>
      <c r="G1232" s="1">
        <v>-4090.0459999999998</v>
      </c>
      <c r="H1232" s="1">
        <v>1009.888</v>
      </c>
      <c r="I1232" s="1">
        <v>0</v>
      </c>
    </row>
    <row r="1233" spans="1:9" hidden="1" x14ac:dyDescent="0.25">
      <c r="A1233" s="1" t="s">
        <v>24</v>
      </c>
      <c r="B1233" s="1" t="s">
        <v>222</v>
      </c>
      <c r="C1233" s="1" t="s">
        <v>10</v>
      </c>
      <c r="D1233" s="1">
        <v>0</v>
      </c>
      <c r="E1233" s="1">
        <v>0</v>
      </c>
      <c r="F1233" s="1">
        <v>-206.57</v>
      </c>
      <c r="G1233" s="1">
        <v>-4090.0459999999998</v>
      </c>
      <c r="H1233" s="1">
        <v>1836.16</v>
      </c>
      <c r="I1233" s="1">
        <v>0</v>
      </c>
    </row>
    <row r="1234" spans="1:9" hidden="1" x14ac:dyDescent="0.25">
      <c r="A1234" s="1" t="s">
        <v>24</v>
      </c>
      <c r="B1234" s="1" t="s">
        <v>223</v>
      </c>
      <c r="C1234" s="1" t="s">
        <v>25</v>
      </c>
      <c r="D1234" s="1">
        <v>0</v>
      </c>
      <c r="E1234" s="1">
        <v>0</v>
      </c>
      <c r="F1234" s="1">
        <v>-206.57</v>
      </c>
      <c r="G1234" s="1">
        <v>-3346.4009999999998</v>
      </c>
      <c r="H1234" s="1">
        <v>1009.888</v>
      </c>
      <c r="I1234" s="1">
        <v>0</v>
      </c>
    </row>
    <row r="1235" spans="1:9" hidden="1" x14ac:dyDescent="0.25">
      <c r="A1235" s="1" t="s">
        <v>24</v>
      </c>
      <c r="B1235" s="1" t="s">
        <v>223</v>
      </c>
      <c r="C1235" s="1" t="s">
        <v>10</v>
      </c>
      <c r="D1235" s="1">
        <v>0</v>
      </c>
      <c r="E1235" s="1">
        <v>0</v>
      </c>
      <c r="F1235" s="1">
        <v>-206.57</v>
      </c>
      <c r="G1235" s="1">
        <v>-3346.4009999999998</v>
      </c>
      <c r="H1235" s="1">
        <v>1836.16</v>
      </c>
      <c r="I1235" s="1">
        <v>0</v>
      </c>
    </row>
    <row r="1236" spans="1:9" hidden="1" x14ac:dyDescent="0.25">
      <c r="A1236" s="1" t="s">
        <v>24</v>
      </c>
      <c r="B1236" s="1" t="s">
        <v>224</v>
      </c>
      <c r="C1236" s="1" t="s">
        <v>25</v>
      </c>
      <c r="D1236" s="1">
        <v>0</v>
      </c>
      <c r="E1236" s="1">
        <v>0</v>
      </c>
      <c r="F1236" s="1">
        <v>206.57</v>
      </c>
      <c r="G1236" s="1">
        <v>4090.0459999999998</v>
      </c>
      <c r="H1236" s="1">
        <v>-1009.888</v>
      </c>
      <c r="I1236" s="1">
        <v>0</v>
      </c>
    </row>
    <row r="1237" spans="1:9" hidden="1" x14ac:dyDescent="0.25">
      <c r="A1237" s="1" t="s">
        <v>24</v>
      </c>
      <c r="B1237" s="1" t="s">
        <v>224</v>
      </c>
      <c r="C1237" s="1" t="s">
        <v>10</v>
      </c>
      <c r="D1237" s="1">
        <v>0</v>
      </c>
      <c r="E1237" s="1">
        <v>0</v>
      </c>
      <c r="F1237" s="1">
        <v>206.57</v>
      </c>
      <c r="G1237" s="1">
        <v>4090.0459999999998</v>
      </c>
      <c r="H1237" s="1">
        <v>-1836.16</v>
      </c>
      <c r="I1237" s="1">
        <v>0</v>
      </c>
    </row>
    <row r="1238" spans="1:9" hidden="1" x14ac:dyDescent="0.25">
      <c r="A1238" s="1" t="s">
        <v>24</v>
      </c>
      <c r="B1238" s="1" t="s">
        <v>225</v>
      </c>
      <c r="C1238" s="1" t="s">
        <v>25</v>
      </c>
      <c r="D1238" s="1">
        <v>0</v>
      </c>
      <c r="E1238" s="1">
        <v>0</v>
      </c>
      <c r="F1238" s="1">
        <v>206.57</v>
      </c>
      <c r="G1238" s="1">
        <v>3346.4009999999998</v>
      </c>
      <c r="H1238" s="1">
        <v>-1009.888</v>
      </c>
      <c r="I1238" s="1">
        <v>0</v>
      </c>
    </row>
    <row r="1239" spans="1:9" hidden="1" x14ac:dyDescent="0.25">
      <c r="A1239" s="1" t="s">
        <v>24</v>
      </c>
      <c r="B1239" s="1" t="s">
        <v>225</v>
      </c>
      <c r="C1239" s="1" t="s">
        <v>10</v>
      </c>
      <c r="D1239" s="1">
        <v>0</v>
      </c>
      <c r="E1239" s="1">
        <v>0</v>
      </c>
      <c r="F1239" s="1">
        <v>206.57</v>
      </c>
      <c r="G1239" s="1">
        <v>3346.4009999999998</v>
      </c>
      <c r="H1239" s="1">
        <v>-1836.16</v>
      </c>
      <c r="I1239" s="1">
        <v>0</v>
      </c>
    </row>
    <row r="1240" spans="1:9" hidden="1" x14ac:dyDescent="0.25">
      <c r="A1240" s="1" t="s">
        <v>24</v>
      </c>
      <c r="B1240" s="1" t="s">
        <v>327</v>
      </c>
      <c r="C1240" s="1" t="s">
        <v>25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24</v>
      </c>
      <c r="B1241" s="1" t="s">
        <v>327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24</v>
      </c>
      <c r="B1242" s="1" t="s">
        <v>328</v>
      </c>
      <c r="C1242" s="1" t="s">
        <v>25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24</v>
      </c>
      <c r="B1243" s="1" t="s">
        <v>328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16</v>
      </c>
      <c r="B1244" s="1" t="s">
        <v>9</v>
      </c>
      <c r="C1244" s="1" t="s">
        <v>25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x14ac:dyDescent="0.25">
      <c r="A1245" s="1" t="s">
        <v>16</v>
      </c>
      <c r="B1245" s="1" t="s">
        <v>9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16</v>
      </c>
      <c r="B1246" s="1" t="s">
        <v>26</v>
      </c>
      <c r="C1246" s="1" t="s">
        <v>25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16</v>
      </c>
      <c r="B1247" s="1" t="s">
        <v>26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16</v>
      </c>
      <c r="B1248" s="1" t="s">
        <v>20</v>
      </c>
      <c r="C1248" s="1" t="s">
        <v>25</v>
      </c>
      <c r="D1248" s="1">
        <v>0</v>
      </c>
      <c r="E1248" s="1">
        <v>-452.1</v>
      </c>
      <c r="F1248" s="1">
        <v>0</v>
      </c>
      <c r="G1248" s="1">
        <v>7459.6149999999998</v>
      </c>
      <c r="H1248" s="1">
        <v>0</v>
      </c>
      <c r="I1248" s="1">
        <v>-3616.7829999999999</v>
      </c>
    </row>
    <row r="1249" spans="1:9" x14ac:dyDescent="0.25">
      <c r="A1249" s="1" t="s">
        <v>16</v>
      </c>
      <c r="B1249" s="1" t="s">
        <v>20</v>
      </c>
      <c r="C1249" s="1" t="s">
        <v>10</v>
      </c>
      <c r="D1249" s="1">
        <v>0</v>
      </c>
      <c r="E1249" s="1">
        <v>-452.1</v>
      </c>
      <c r="F1249" s="1">
        <v>0</v>
      </c>
      <c r="G1249" s="1">
        <v>7459.6149999999998</v>
      </c>
      <c r="H1249" s="1">
        <v>0</v>
      </c>
      <c r="I1249" s="1">
        <v>-5425.174</v>
      </c>
    </row>
    <row r="1250" spans="1:9" hidden="1" x14ac:dyDescent="0.25">
      <c r="A1250" s="1" t="s">
        <v>16</v>
      </c>
      <c r="B1250" s="1" t="s">
        <v>21</v>
      </c>
      <c r="C1250" s="1" t="s">
        <v>25</v>
      </c>
      <c r="D1250" s="1">
        <v>0</v>
      </c>
      <c r="E1250" s="1">
        <v>-452.1</v>
      </c>
      <c r="F1250" s="1">
        <v>0</v>
      </c>
      <c r="G1250" s="1">
        <v>6103.3209999999999</v>
      </c>
      <c r="H1250" s="1">
        <v>0</v>
      </c>
      <c r="I1250" s="1">
        <v>-3616.7829999999999</v>
      </c>
    </row>
    <row r="1251" spans="1:9" x14ac:dyDescent="0.25">
      <c r="A1251" s="1" t="s">
        <v>16</v>
      </c>
      <c r="B1251" s="1" t="s">
        <v>21</v>
      </c>
      <c r="C1251" s="1" t="s">
        <v>10</v>
      </c>
      <c r="D1251" s="1">
        <v>0</v>
      </c>
      <c r="E1251" s="1">
        <v>-452.1</v>
      </c>
      <c r="F1251" s="1">
        <v>0</v>
      </c>
      <c r="G1251" s="1">
        <v>6103.3209999999999</v>
      </c>
      <c r="H1251" s="1">
        <v>0</v>
      </c>
      <c r="I1251" s="1">
        <v>-5425.174</v>
      </c>
    </row>
    <row r="1252" spans="1:9" hidden="1" x14ac:dyDescent="0.25">
      <c r="A1252" s="1" t="s">
        <v>16</v>
      </c>
      <c r="B1252" s="1" t="s">
        <v>22</v>
      </c>
      <c r="C1252" s="1" t="s">
        <v>25</v>
      </c>
      <c r="D1252" s="1">
        <v>0</v>
      </c>
      <c r="E1252" s="1">
        <v>0</v>
      </c>
      <c r="F1252" s="1">
        <v>-546.48</v>
      </c>
      <c r="G1252" s="1">
        <v>-10820.227999999999</v>
      </c>
      <c r="H1252" s="1">
        <v>4371.8090000000002</v>
      </c>
      <c r="I1252" s="1">
        <v>0</v>
      </c>
    </row>
    <row r="1253" spans="1:9" x14ac:dyDescent="0.25">
      <c r="A1253" s="1" t="s">
        <v>16</v>
      </c>
      <c r="B1253" s="1" t="s">
        <v>22</v>
      </c>
      <c r="C1253" s="1" t="s">
        <v>10</v>
      </c>
      <c r="D1253" s="1">
        <v>0</v>
      </c>
      <c r="E1253" s="1">
        <v>0</v>
      </c>
      <c r="F1253" s="1">
        <v>-546.48</v>
      </c>
      <c r="G1253" s="1">
        <v>-10820.227999999999</v>
      </c>
      <c r="H1253" s="1">
        <v>6557.7139999999999</v>
      </c>
      <c r="I1253" s="1">
        <v>0</v>
      </c>
    </row>
    <row r="1254" spans="1:9" hidden="1" x14ac:dyDescent="0.25">
      <c r="A1254" s="1" t="s">
        <v>16</v>
      </c>
      <c r="B1254" s="1" t="s">
        <v>23</v>
      </c>
      <c r="C1254" s="1" t="s">
        <v>25</v>
      </c>
      <c r="D1254" s="1">
        <v>0</v>
      </c>
      <c r="E1254" s="1">
        <v>0</v>
      </c>
      <c r="F1254" s="1">
        <v>-546.48</v>
      </c>
      <c r="G1254" s="1">
        <v>-8852.9140000000007</v>
      </c>
      <c r="H1254" s="1">
        <v>4371.8090000000002</v>
      </c>
      <c r="I1254" s="1">
        <v>0</v>
      </c>
    </row>
    <row r="1255" spans="1:9" x14ac:dyDescent="0.25">
      <c r="A1255" s="1" t="s">
        <v>16</v>
      </c>
      <c r="B1255" s="1" t="s">
        <v>23</v>
      </c>
      <c r="C1255" s="1" t="s">
        <v>10</v>
      </c>
      <c r="D1255" s="1">
        <v>0</v>
      </c>
      <c r="E1255" s="1">
        <v>0</v>
      </c>
      <c r="F1255" s="1">
        <v>-546.48</v>
      </c>
      <c r="G1255" s="1">
        <v>-8852.9140000000007</v>
      </c>
      <c r="H1255" s="1">
        <v>6557.7139999999999</v>
      </c>
      <c r="I1255" s="1">
        <v>0</v>
      </c>
    </row>
    <row r="1256" spans="1:9" hidden="1" x14ac:dyDescent="0.25">
      <c r="A1256" s="1" t="s">
        <v>16</v>
      </c>
      <c r="B1256" s="1" t="s">
        <v>321</v>
      </c>
      <c r="C1256" s="1" t="s">
        <v>25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16</v>
      </c>
      <c r="B1257" s="1" t="s">
        <v>321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16</v>
      </c>
      <c r="B1258" s="1" t="s">
        <v>322</v>
      </c>
      <c r="C1258" s="1" t="s">
        <v>25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16</v>
      </c>
      <c r="B1259" s="1" t="s">
        <v>322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16</v>
      </c>
      <c r="B1260" s="1" t="s">
        <v>323</v>
      </c>
      <c r="C1260" s="1" t="s">
        <v>25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16</v>
      </c>
      <c r="B1261" s="1" t="s">
        <v>323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16</v>
      </c>
      <c r="B1262" s="1" t="s">
        <v>324</v>
      </c>
      <c r="C1262" s="1" t="s">
        <v>25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16</v>
      </c>
      <c r="B1263" s="1" t="s">
        <v>324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16</v>
      </c>
      <c r="B1264" s="1" t="s">
        <v>325</v>
      </c>
      <c r="C1264" s="1" t="s">
        <v>25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16</v>
      </c>
      <c r="B1265" s="1" t="s">
        <v>325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16</v>
      </c>
      <c r="B1266" s="1" t="s">
        <v>326</v>
      </c>
      <c r="C1266" s="1" t="s">
        <v>25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16</v>
      </c>
      <c r="B1267" s="1" t="s">
        <v>326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16</v>
      </c>
      <c r="B1268" s="1" t="s">
        <v>27</v>
      </c>
      <c r="C1268" s="1" t="s">
        <v>25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16</v>
      </c>
      <c r="B1269" s="1" t="s">
        <v>27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16</v>
      </c>
      <c r="B1270" s="1" t="s">
        <v>28</v>
      </c>
      <c r="C1270" s="1" t="s">
        <v>25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16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16</v>
      </c>
      <c r="B1272" s="1" t="s">
        <v>29</v>
      </c>
      <c r="C1272" s="1" t="s">
        <v>25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16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16</v>
      </c>
      <c r="B1274" s="1" t="s">
        <v>30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11</v>
      </c>
      <c r="C1276" s="1" t="s">
        <v>25</v>
      </c>
      <c r="D1276" s="1">
        <v>0</v>
      </c>
      <c r="E1276" s="1">
        <v>224.31</v>
      </c>
      <c r="F1276" s="1">
        <v>0</v>
      </c>
      <c r="G1276" s="1">
        <v>3927.569</v>
      </c>
      <c r="H1276" s="1">
        <v>0</v>
      </c>
      <c r="I1276" s="1">
        <v>1689.4649999999999</v>
      </c>
    </row>
    <row r="1277" spans="1:9" hidden="1" x14ac:dyDescent="0.25">
      <c r="A1277" s="1" t="s">
        <v>16</v>
      </c>
      <c r="B1277" s="1" t="s">
        <v>11</v>
      </c>
      <c r="C1277" s="1" t="s">
        <v>10</v>
      </c>
      <c r="D1277" s="1">
        <v>0</v>
      </c>
      <c r="E1277" s="1">
        <v>224.31</v>
      </c>
      <c r="F1277" s="1">
        <v>0</v>
      </c>
      <c r="G1277" s="1">
        <v>3927.569</v>
      </c>
      <c r="H1277" s="1">
        <v>0</v>
      </c>
      <c r="I1277" s="1">
        <v>2469.7930000000001</v>
      </c>
    </row>
    <row r="1278" spans="1:9" hidden="1" x14ac:dyDescent="0.25">
      <c r="A1278" s="1" t="s">
        <v>16</v>
      </c>
      <c r="B1278" s="1" t="s">
        <v>12</v>
      </c>
      <c r="C1278" s="1" t="s">
        <v>25</v>
      </c>
      <c r="D1278" s="1">
        <v>0</v>
      </c>
      <c r="E1278" s="1">
        <v>0</v>
      </c>
      <c r="F1278" s="1">
        <v>558.86</v>
      </c>
      <c r="G1278" s="1">
        <v>11266.933000000001</v>
      </c>
      <c r="H1278" s="1">
        <v>4515.5739999999996</v>
      </c>
      <c r="I1278" s="1">
        <v>0</v>
      </c>
    </row>
    <row r="1279" spans="1:9" hidden="1" x14ac:dyDescent="0.25">
      <c r="A1279" s="1" t="s">
        <v>16</v>
      </c>
      <c r="B1279" s="1" t="s">
        <v>12</v>
      </c>
      <c r="C1279" s="1" t="s">
        <v>10</v>
      </c>
      <c r="D1279" s="1">
        <v>0</v>
      </c>
      <c r="E1279" s="1">
        <v>0</v>
      </c>
      <c r="F1279" s="1">
        <v>558.86</v>
      </c>
      <c r="G1279" s="1">
        <v>11266.933000000001</v>
      </c>
      <c r="H1279" s="1">
        <v>6679.3779999999997</v>
      </c>
      <c r="I1279" s="1">
        <v>0</v>
      </c>
    </row>
    <row r="1280" spans="1:9" hidden="1" x14ac:dyDescent="0.25">
      <c r="A1280" s="1" t="s">
        <v>16</v>
      </c>
      <c r="B1280" s="1" t="s">
        <v>13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16</v>
      </c>
      <c r="B1281" s="1" t="s">
        <v>13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31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31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33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33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34</v>
      </c>
      <c r="C1288" s="1" t="s">
        <v>25</v>
      </c>
      <c r="D1288" s="1">
        <v>0</v>
      </c>
      <c r="E1288" s="1">
        <v>-452.1</v>
      </c>
      <c r="F1288" s="1">
        <v>0</v>
      </c>
      <c r="G1288" s="1">
        <v>7459.6149999999998</v>
      </c>
      <c r="H1288" s="1">
        <v>0</v>
      </c>
      <c r="I1288" s="1">
        <v>-3616.7829999999999</v>
      </c>
    </row>
    <row r="1289" spans="1:9" hidden="1" x14ac:dyDescent="0.25">
      <c r="A1289" s="1" t="s">
        <v>16</v>
      </c>
      <c r="B1289" s="1" t="s">
        <v>34</v>
      </c>
      <c r="C1289" s="1" t="s">
        <v>10</v>
      </c>
      <c r="D1289" s="1">
        <v>0</v>
      </c>
      <c r="E1289" s="1">
        <v>-452.1</v>
      </c>
      <c r="F1289" s="1">
        <v>0</v>
      </c>
      <c r="G1289" s="1">
        <v>7459.6149999999998</v>
      </c>
      <c r="H1289" s="1">
        <v>0</v>
      </c>
      <c r="I1289" s="1">
        <v>-5425.174</v>
      </c>
    </row>
    <row r="1290" spans="1:9" hidden="1" x14ac:dyDescent="0.25">
      <c r="A1290" s="1" t="s">
        <v>16</v>
      </c>
      <c r="B1290" s="1" t="s">
        <v>35</v>
      </c>
      <c r="C1290" s="1" t="s">
        <v>25</v>
      </c>
      <c r="D1290" s="1">
        <v>0</v>
      </c>
      <c r="E1290" s="1">
        <v>-452.1</v>
      </c>
      <c r="F1290" s="1">
        <v>0</v>
      </c>
      <c r="G1290" s="1">
        <v>6103.3209999999999</v>
      </c>
      <c r="H1290" s="1">
        <v>0</v>
      </c>
      <c r="I1290" s="1">
        <v>-3616.7829999999999</v>
      </c>
    </row>
    <row r="1291" spans="1:9" hidden="1" x14ac:dyDescent="0.25">
      <c r="A1291" s="1" t="s">
        <v>16</v>
      </c>
      <c r="B1291" s="1" t="s">
        <v>35</v>
      </c>
      <c r="C1291" s="1" t="s">
        <v>10</v>
      </c>
      <c r="D1291" s="1">
        <v>0</v>
      </c>
      <c r="E1291" s="1">
        <v>-452.1</v>
      </c>
      <c r="F1291" s="1">
        <v>0</v>
      </c>
      <c r="G1291" s="1">
        <v>6103.3209999999999</v>
      </c>
      <c r="H1291" s="1">
        <v>0</v>
      </c>
      <c r="I1291" s="1">
        <v>-5425.174</v>
      </c>
    </row>
    <row r="1292" spans="1:9" hidden="1" x14ac:dyDescent="0.25">
      <c r="A1292" s="1" t="s">
        <v>16</v>
      </c>
      <c r="B1292" s="1" t="s">
        <v>36</v>
      </c>
      <c r="C1292" s="1" t="s">
        <v>25</v>
      </c>
      <c r="D1292" s="1">
        <v>0</v>
      </c>
      <c r="E1292" s="1">
        <v>452.1</v>
      </c>
      <c r="F1292" s="1">
        <v>0</v>
      </c>
      <c r="G1292" s="1">
        <v>-7459.6149999999998</v>
      </c>
      <c r="H1292" s="1">
        <v>0</v>
      </c>
      <c r="I1292" s="1">
        <v>3616.7829999999999</v>
      </c>
    </row>
    <row r="1293" spans="1:9" hidden="1" x14ac:dyDescent="0.25">
      <c r="A1293" s="1" t="s">
        <v>16</v>
      </c>
      <c r="B1293" s="1" t="s">
        <v>36</v>
      </c>
      <c r="C1293" s="1" t="s">
        <v>10</v>
      </c>
      <c r="D1293" s="1">
        <v>0</v>
      </c>
      <c r="E1293" s="1">
        <v>452.1</v>
      </c>
      <c r="F1293" s="1">
        <v>0</v>
      </c>
      <c r="G1293" s="1">
        <v>-7459.6149999999998</v>
      </c>
      <c r="H1293" s="1">
        <v>0</v>
      </c>
      <c r="I1293" s="1">
        <v>5425.174</v>
      </c>
    </row>
    <row r="1294" spans="1:9" hidden="1" x14ac:dyDescent="0.25">
      <c r="A1294" s="1" t="s">
        <v>16</v>
      </c>
      <c r="B1294" s="1" t="s">
        <v>37</v>
      </c>
      <c r="C1294" s="1" t="s">
        <v>25</v>
      </c>
      <c r="D1294" s="1">
        <v>0</v>
      </c>
      <c r="E1294" s="1">
        <v>452.1</v>
      </c>
      <c r="F1294" s="1">
        <v>0</v>
      </c>
      <c r="G1294" s="1">
        <v>-6103.3209999999999</v>
      </c>
      <c r="H1294" s="1">
        <v>0</v>
      </c>
      <c r="I1294" s="1">
        <v>3616.7829999999999</v>
      </c>
    </row>
    <row r="1295" spans="1:9" hidden="1" x14ac:dyDescent="0.25">
      <c r="A1295" s="1" t="s">
        <v>16</v>
      </c>
      <c r="B1295" s="1" t="s">
        <v>37</v>
      </c>
      <c r="C1295" s="1" t="s">
        <v>10</v>
      </c>
      <c r="D1295" s="1">
        <v>0</v>
      </c>
      <c r="E1295" s="1">
        <v>452.1</v>
      </c>
      <c r="F1295" s="1">
        <v>0</v>
      </c>
      <c r="G1295" s="1">
        <v>-6103.3209999999999</v>
      </c>
      <c r="H1295" s="1">
        <v>0</v>
      </c>
      <c r="I1295" s="1">
        <v>5425.174</v>
      </c>
    </row>
    <row r="1296" spans="1:9" hidden="1" x14ac:dyDescent="0.25">
      <c r="A1296" s="1" t="s">
        <v>16</v>
      </c>
      <c r="B1296" s="1" t="s">
        <v>38</v>
      </c>
      <c r="C1296" s="1" t="s">
        <v>25</v>
      </c>
      <c r="D1296" s="1">
        <v>0</v>
      </c>
      <c r="E1296" s="1">
        <v>0</v>
      </c>
      <c r="F1296" s="1">
        <v>-546.48</v>
      </c>
      <c r="G1296" s="1">
        <v>-10820.227999999999</v>
      </c>
      <c r="H1296" s="1">
        <v>4371.8090000000002</v>
      </c>
      <c r="I1296" s="1">
        <v>0</v>
      </c>
    </row>
    <row r="1297" spans="1:9" hidden="1" x14ac:dyDescent="0.25">
      <c r="A1297" s="1" t="s">
        <v>16</v>
      </c>
      <c r="B1297" s="1" t="s">
        <v>38</v>
      </c>
      <c r="C1297" s="1" t="s">
        <v>10</v>
      </c>
      <c r="D1297" s="1">
        <v>0</v>
      </c>
      <c r="E1297" s="1">
        <v>0</v>
      </c>
      <c r="F1297" s="1">
        <v>-546.48</v>
      </c>
      <c r="G1297" s="1">
        <v>-10820.227999999999</v>
      </c>
      <c r="H1297" s="1">
        <v>6557.7139999999999</v>
      </c>
      <c r="I1297" s="1">
        <v>0</v>
      </c>
    </row>
    <row r="1298" spans="1:9" hidden="1" x14ac:dyDescent="0.25">
      <c r="A1298" s="1" t="s">
        <v>16</v>
      </c>
      <c r="B1298" s="1" t="s">
        <v>39</v>
      </c>
      <c r="C1298" s="1" t="s">
        <v>25</v>
      </c>
      <c r="D1298" s="1">
        <v>0</v>
      </c>
      <c r="E1298" s="1">
        <v>0</v>
      </c>
      <c r="F1298" s="1">
        <v>-546.48</v>
      </c>
      <c r="G1298" s="1">
        <v>-8852.9140000000007</v>
      </c>
      <c r="H1298" s="1">
        <v>4371.8090000000002</v>
      </c>
      <c r="I1298" s="1">
        <v>0</v>
      </c>
    </row>
    <row r="1299" spans="1:9" hidden="1" x14ac:dyDescent="0.25">
      <c r="A1299" s="1" t="s">
        <v>16</v>
      </c>
      <c r="B1299" s="1" t="s">
        <v>39</v>
      </c>
      <c r="C1299" s="1" t="s">
        <v>10</v>
      </c>
      <c r="D1299" s="1">
        <v>0</v>
      </c>
      <c r="E1299" s="1">
        <v>0</v>
      </c>
      <c r="F1299" s="1">
        <v>-546.48</v>
      </c>
      <c r="G1299" s="1">
        <v>-8852.9140000000007</v>
      </c>
      <c r="H1299" s="1">
        <v>6557.7139999999999</v>
      </c>
      <c r="I1299" s="1">
        <v>0</v>
      </c>
    </row>
    <row r="1300" spans="1:9" hidden="1" x14ac:dyDescent="0.25">
      <c r="A1300" s="1" t="s">
        <v>16</v>
      </c>
      <c r="B1300" s="1" t="s">
        <v>40</v>
      </c>
      <c r="C1300" s="1" t="s">
        <v>25</v>
      </c>
      <c r="D1300" s="1">
        <v>0</v>
      </c>
      <c r="E1300" s="1">
        <v>0</v>
      </c>
      <c r="F1300" s="1">
        <v>546.48</v>
      </c>
      <c r="G1300" s="1">
        <v>10820.227999999999</v>
      </c>
      <c r="H1300" s="1">
        <v>-4371.8090000000002</v>
      </c>
      <c r="I1300" s="1">
        <v>0</v>
      </c>
    </row>
    <row r="1301" spans="1:9" hidden="1" x14ac:dyDescent="0.25">
      <c r="A1301" s="1" t="s">
        <v>16</v>
      </c>
      <c r="B1301" s="1" t="s">
        <v>40</v>
      </c>
      <c r="C1301" s="1" t="s">
        <v>10</v>
      </c>
      <c r="D1301" s="1">
        <v>0</v>
      </c>
      <c r="E1301" s="1">
        <v>0</v>
      </c>
      <c r="F1301" s="1">
        <v>546.48</v>
      </c>
      <c r="G1301" s="1">
        <v>10820.227999999999</v>
      </c>
      <c r="H1301" s="1">
        <v>-6557.7139999999999</v>
      </c>
      <c r="I1301" s="1">
        <v>0</v>
      </c>
    </row>
    <row r="1302" spans="1:9" hidden="1" x14ac:dyDescent="0.25">
      <c r="A1302" s="1" t="s">
        <v>16</v>
      </c>
      <c r="B1302" s="1" t="s">
        <v>41</v>
      </c>
      <c r="C1302" s="1" t="s">
        <v>25</v>
      </c>
      <c r="D1302" s="1">
        <v>0</v>
      </c>
      <c r="E1302" s="1">
        <v>0</v>
      </c>
      <c r="F1302" s="1">
        <v>546.48</v>
      </c>
      <c r="G1302" s="1">
        <v>8852.9140000000007</v>
      </c>
      <c r="H1302" s="1">
        <v>-4371.8090000000002</v>
      </c>
      <c r="I1302" s="1">
        <v>0</v>
      </c>
    </row>
    <row r="1303" spans="1:9" hidden="1" x14ac:dyDescent="0.25">
      <c r="A1303" s="1" t="s">
        <v>16</v>
      </c>
      <c r="B1303" s="1" t="s">
        <v>41</v>
      </c>
      <c r="C1303" s="1" t="s">
        <v>10</v>
      </c>
      <c r="D1303" s="1">
        <v>0</v>
      </c>
      <c r="E1303" s="1">
        <v>0</v>
      </c>
      <c r="F1303" s="1">
        <v>546.48</v>
      </c>
      <c r="G1303" s="1">
        <v>8852.9140000000007</v>
      </c>
      <c r="H1303" s="1">
        <v>-6557.7139999999999</v>
      </c>
      <c r="I1303" s="1">
        <v>0</v>
      </c>
    </row>
    <row r="1304" spans="1:9" hidden="1" x14ac:dyDescent="0.25">
      <c r="A1304" s="1" t="s">
        <v>16</v>
      </c>
      <c r="B1304" s="1" t="s">
        <v>42</v>
      </c>
      <c r="C1304" s="1" t="s">
        <v>25</v>
      </c>
      <c r="D1304" s="1">
        <v>0</v>
      </c>
      <c r="E1304" s="1">
        <v>-452.1</v>
      </c>
      <c r="F1304" s="1">
        <v>0</v>
      </c>
      <c r="G1304" s="1">
        <v>7459.6149999999998</v>
      </c>
      <c r="H1304" s="1">
        <v>0</v>
      </c>
      <c r="I1304" s="1">
        <v>-3616.7829999999999</v>
      </c>
    </row>
    <row r="1305" spans="1:9" hidden="1" x14ac:dyDescent="0.25">
      <c r="A1305" s="1" t="s">
        <v>16</v>
      </c>
      <c r="B1305" s="1" t="s">
        <v>42</v>
      </c>
      <c r="C1305" s="1" t="s">
        <v>10</v>
      </c>
      <c r="D1305" s="1">
        <v>0</v>
      </c>
      <c r="E1305" s="1">
        <v>-452.1</v>
      </c>
      <c r="F1305" s="1">
        <v>0</v>
      </c>
      <c r="G1305" s="1">
        <v>7459.6149999999998</v>
      </c>
      <c r="H1305" s="1">
        <v>0</v>
      </c>
      <c r="I1305" s="1">
        <v>-5425.174</v>
      </c>
    </row>
    <row r="1306" spans="1:9" hidden="1" x14ac:dyDescent="0.25">
      <c r="A1306" s="1" t="s">
        <v>16</v>
      </c>
      <c r="B1306" s="1" t="s">
        <v>43</v>
      </c>
      <c r="C1306" s="1" t="s">
        <v>25</v>
      </c>
      <c r="D1306" s="1">
        <v>0</v>
      </c>
      <c r="E1306" s="1">
        <v>-452.1</v>
      </c>
      <c r="F1306" s="1">
        <v>0</v>
      </c>
      <c r="G1306" s="1">
        <v>6103.3209999999999</v>
      </c>
      <c r="H1306" s="1">
        <v>0</v>
      </c>
      <c r="I1306" s="1">
        <v>-3616.7829999999999</v>
      </c>
    </row>
    <row r="1307" spans="1:9" hidden="1" x14ac:dyDescent="0.25">
      <c r="A1307" s="1" t="s">
        <v>16</v>
      </c>
      <c r="B1307" s="1" t="s">
        <v>43</v>
      </c>
      <c r="C1307" s="1" t="s">
        <v>10</v>
      </c>
      <c r="D1307" s="1">
        <v>0</v>
      </c>
      <c r="E1307" s="1">
        <v>-452.1</v>
      </c>
      <c r="F1307" s="1">
        <v>0</v>
      </c>
      <c r="G1307" s="1">
        <v>6103.3209999999999</v>
      </c>
      <c r="H1307" s="1">
        <v>0</v>
      </c>
      <c r="I1307" s="1">
        <v>-5425.174</v>
      </c>
    </row>
    <row r="1308" spans="1:9" hidden="1" x14ac:dyDescent="0.25">
      <c r="A1308" s="1" t="s">
        <v>16</v>
      </c>
      <c r="B1308" s="1" t="s">
        <v>44</v>
      </c>
      <c r="C1308" s="1" t="s">
        <v>25</v>
      </c>
      <c r="D1308" s="1">
        <v>0</v>
      </c>
      <c r="E1308" s="1">
        <v>452.1</v>
      </c>
      <c r="F1308" s="1">
        <v>0</v>
      </c>
      <c r="G1308" s="1">
        <v>-7459.6149999999998</v>
      </c>
      <c r="H1308" s="1">
        <v>0</v>
      </c>
      <c r="I1308" s="1">
        <v>3616.7829999999999</v>
      </c>
    </row>
    <row r="1309" spans="1:9" hidden="1" x14ac:dyDescent="0.25">
      <c r="A1309" s="1" t="s">
        <v>16</v>
      </c>
      <c r="B1309" s="1" t="s">
        <v>44</v>
      </c>
      <c r="C1309" s="1" t="s">
        <v>10</v>
      </c>
      <c r="D1309" s="1">
        <v>0</v>
      </c>
      <c r="E1309" s="1">
        <v>452.1</v>
      </c>
      <c r="F1309" s="1">
        <v>0</v>
      </c>
      <c r="G1309" s="1">
        <v>-7459.6149999999998</v>
      </c>
      <c r="H1309" s="1">
        <v>0</v>
      </c>
      <c r="I1309" s="1">
        <v>5425.174</v>
      </c>
    </row>
    <row r="1310" spans="1:9" hidden="1" x14ac:dyDescent="0.25">
      <c r="A1310" s="1" t="s">
        <v>16</v>
      </c>
      <c r="B1310" s="1" t="s">
        <v>45</v>
      </c>
      <c r="C1310" s="1" t="s">
        <v>25</v>
      </c>
      <c r="D1310" s="1">
        <v>0</v>
      </c>
      <c r="E1310" s="1">
        <v>452.1</v>
      </c>
      <c r="F1310" s="1">
        <v>0</v>
      </c>
      <c r="G1310" s="1">
        <v>-6103.3209999999999</v>
      </c>
      <c r="H1310" s="1">
        <v>0</v>
      </c>
      <c r="I1310" s="1">
        <v>3616.7829999999999</v>
      </c>
    </row>
    <row r="1311" spans="1:9" hidden="1" x14ac:dyDescent="0.25">
      <c r="A1311" s="1" t="s">
        <v>16</v>
      </c>
      <c r="B1311" s="1" t="s">
        <v>45</v>
      </c>
      <c r="C1311" s="1" t="s">
        <v>10</v>
      </c>
      <c r="D1311" s="1">
        <v>0</v>
      </c>
      <c r="E1311" s="1">
        <v>452.1</v>
      </c>
      <c r="F1311" s="1">
        <v>0</v>
      </c>
      <c r="G1311" s="1">
        <v>-6103.3209999999999</v>
      </c>
      <c r="H1311" s="1">
        <v>0</v>
      </c>
      <c r="I1311" s="1">
        <v>5425.174</v>
      </c>
    </row>
    <row r="1312" spans="1:9" hidden="1" x14ac:dyDescent="0.25">
      <c r="A1312" s="1" t="s">
        <v>16</v>
      </c>
      <c r="B1312" s="1" t="s">
        <v>46</v>
      </c>
      <c r="C1312" s="1" t="s">
        <v>25</v>
      </c>
      <c r="D1312" s="1">
        <v>0</v>
      </c>
      <c r="E1312" s="1">
        <v>0</v>
      </c>
      <c r="F1312" s="1">
        <v>-546.48</v>
      </c>
      <c r="G1312" s="1">
        <v>-10820.227999999999</v>
      </c>
      <c r="H1312" s="1">
        <v>4371.8090000000002</v>
      </c>
      <c r="I1312" s="1">
        <v>0</v>
      </c>
    </row>
    <row r="1313" spans="1:9" hidden="1" x14ac:dyDescent="0.25">
      <c r="A1313" s="1" t="s">
        <v>16</v>
      </c>
      <c r="B1313" s="1" t="s">
        <v>46</v>
      </c>
      <c r="C1313" s="1" t="s">
        <v>10</v>
      </c>
      <c r="D1313" s="1">
        <v>0</v>
      </c>
      <c r="E1313" s="1">
        <v>0</v>
      </c>
      <c r="F1313" s="1">
        <v>-546.48</v>
      </c>
      <c r="G1313" s="1">
        <v>-10820.227999999999</v>
      </c>
      <c r="H1313" s="1">
        <v>6557.7139999999999</v>
      </c>
      <c r="I1313" s="1">
        <v>0</v>
      </c>
    </row>
    <row r="1314" spans="1:9" hidden="1" x14ac:dyDescent="0.25">
      <c r="A1314" s="1" t="s">
        <v>16</v>
      </c>
      <c r="B1314" s="1" t="s">
        <v>47</v>
      </c>
      <c r="C1314" s="1" t="s">
        <v>25</v>
      </c>
      <c r="D1314" s="1">
        <v>0</v>
      </c>
      <c r="E1314" s="1">
        <v>0</v>
      </c>
      <c r="F1314" s="1">
        <v>-546.48</v>
      </c>
      <c r="G1314" s="1">
        <v>-8852.9140000000007</v>
      </c>
      <c r="H1314" s="1">
        <v>4371.8090000000002</v>
      </c>
      <c r="I1314" s="1">
        <v>0</v>
      </c>
    </row>
    <row r="1315" spans="1:9" hidden="1" x14ac:dyDescent="0.25">
      <c r="A1315" s="1" t="s">
        <v>16</v>
      </c>
      <c r="B1315" s="1" t="s">
        <v>47</v>
      </c>
      <c r="C1315" s="1" t="s">
        <v>10</v>
      </c>
      <c r="D1315" s="1">
        <v>0</v>
      </c>
      <c r="E1315" s="1">
        <v>0</v>
      </c>
      <c r="F1315" s="1">
        <v>-546.48</v>
      </c>
      <c r="G1315" s="1">
        <v>-8852.9140000000007</v>
      </c>
      <c r="H1315" s="1">
        <v>6557.7139999999999</v>
      </c>
      <c r="I1315" s="1">
        <v>0</v>
      </c>
    </row>
    <row r="1316" spans="1:9" hidden="1" x14ac:dyDescent="0.25">
      <c r="A1316" s="1" t="s">
        <v>16</v>
      </c>
      <c r="B1316" s="1" t="s">
        <v>48</v>
      </c>
      <c r="C1316" s="1" t="s">
        <v>25</v>
      </c>
      <c r="D1316" s="1">
        <v>0</v>
      </c>
      <c r="E1316" s="1">
        <v>0</v>
      </c>
      <c r="F1316" s="1">
        <v>546.48</v>
      </c>
      <c r="G1316" s="1">
        <v>10820.227999999999</v>
      </c>
      <c r="H1316" s="1">
        <v>-4371.8090000000002</v>
      </c>
      <c r="I1316" s="1">
        <v>0</v>
      </c>
    </row>
    <row r="1317" spans="1:9" hidden="1" x14ac:dyDescent="0.25">
      <c r="A1317" s="1" t="s">
        <v>16</v>
      </c>
      <c r="B1317" s="1" t="s">
        <v>48</v>
      </c>
      <c r="C1317" s="1" t="s">
        <v>10</v>
      </c>
      <c r="D1317" s="1">
        <v>0</v>
      </c>
      <c r="E1317" s="1">
        <v>0</v>
      </c>
      <c r="F1317" s="1">
        <v>546.48</v>
      </c>
      <c r="G1317" s="1">
        <v>10820.227999999999</v>
      </c>
      <c r="H1317" s="1">
        <v>-6557.7139999999999</v>
      </c>
      <c r="I1317" s="1">
        <v>0</v>
      </c>
    </row>
    <row r="1318" spans="1:9" hidden="1" x14ac:dyDescent="0.25">
      <c r="A1318" s="1" t="s">
        <v>16</v>
      </c>
      <c r="B1318" s="1" t="s">
        <v>49</v>
      </c>
      <c r="C1318" s="1" t="s">
        <v>25</v>
      </c>
      <c r="D1318" s="1">
        <v>0</v>
      </c>
      <c r="E1318" s="1">
        <v>0</v>
      </c>
      <c r="F1318" s="1">
        <v>546.48</v>
      </c>
      <c r="G1318" s="1">
        <v>8852.9140000000007</v>
      </c>
      <c r="H1318" s="1">
        <v>-4371.8090000000002</v>
      </c>
      <c r="I1318" s="1">
        <v>0</v>
      </c>
    </row>
    <row r="1319" spans="1:9" hidden="1" x14ac:dyDescent="0.25">
      <c r="A1319" s="1" t="s">
        <v>16</v>
      </c>
      <c r="B1319" s="1" t="s">
        <v>49</v>
      </c>
      <c r="C1319" s="1" t="s">
        <v>10</v>
      </c>
      <c r="D1319" s="1">
        <v>0</v>
      </c>
      <c r="E1319" s="1">
        <v>0</v>
      </c>
      <c r="F1319" s="1">
        <v>546.48</v>
      </c>
      <c r="G1319" s="1">
        <v>8852.9140000000007</v>
      </c>
      <c r="H1319" s="1">
        <v>-6557.7139999999999</v>
      </c>
      <c r="I1319" s="1">
        <v>0</v>
      </c>
    </row>
    <row r="1320" spans="1:9" hidden="1" x14ac:dyDescent="0.25">
      <c r="A1320" s="1" t="s">
        <v>16</v>
      </c>
      <c r="B1320" s="1" t="s">
        <v>50</v>
      </c>
      <c r="C1320" s="1" t="s">
        <v>25</v>
      </c>
      <c r="D1320" s="1">
        <v>0</v>
      </c>
      <c r="E1320" s="1">
        <v>-135.63</v>
      </c>
      <c r="F1320" s="1">
        <v>0</v>
      </c>
      <c r="G1320" s="1">
        <v>2237.884</v>
      </c>
      <c r="H1320" s="1">
        <v>0</v>
      </c>
      <c r="I1320" s="1">
        <v>-1085.0350000000001</v>
      </c>
    </row>
    <row r="1321" spans="1:9" hidden="1" x14ac:dyDescent="0.25">
      <c r="A1321" s="1" t="s">
        <v>16</v>
      </c>
      <c r="B1321" s="1" t="s">
        <v>50</v>
      </c>
      <c r="C1321" s="1" t="s">
        <v>10</v>
      </c>
      <c r="D1321" s="1">
        <v>0</v>
      </c>
      <c r="E1321" s="1">
        <v>-135.63</v>
      </c>
      <c r="F1321" s="1">
        <v>0</v>
      </c>
      <c r="G1321" s="1">
        <v>2237.884</v>
      </c>
      <c r="H1321" s="1">
        <v>0</v>
      </c>
      <c r="I1321" s="1">
        <v>-1627.5519999999999</v>
      </c>
    </row>
    <row r="1322" spans="1:9" hidden="1" x14ac:dyDescent="0.25">
      <c r="A1322" s="1" t="s">
        <v>16</v>
      </c>
      <c r="B1322" s="1" t="s">
        <v>51</v>
      </c>
      <c r="C1322" s="1" t="s">
        <v>25</v>
      </c>
      <c r="D1322" s="1">
        <v>0</v>
      </c>
      <c r="E1322" s="1">
        <v>-135.63</v>
      </c>
      <c r="F1322" s="1">
        <v>0</v>
      </c>
      <c r="G1322" s="1">
        <v>1830.9960000000001</v>
      </c>
      <c r="H1322" s="1">
        <v>0</v>
      </c>
      <c r="I1322" s="1">
        <v>-1085.0350000000001</v>
      </c>
    </row>
    <row r="1323" spans="1:9" hidden="1" x14ac:dyDescent="0.25">
      <c r="A1323" s="1" t="s">
        <v>16</v>
      </c>
      <c r="B1323" s="1" t="s">
        <v>51</v>
      </c>
      <c r="C1323" s="1" t="s">
        <v>10</v>
      </c>
      <c r="D1323" s="1">
        <v>0</v>
      </c>
      <c r="E1323" s="1">
        <v>-135.63</v>
      </c>
      <c r="F1323" s="1">
        <v>0</v>
      </c>
      <c r="G1323" s="1">
        <v>1830.9960000000001</v>
      </c>
      <c r="H1323" s="1">
        <v>0</v>
      </c>
      <c r="I1323" s="1">
        <v>-1627.5519999999999</v>
      </c>
    </row>
    <row r="1324" spans="1:9" hidden="1" x14ac:dyDescent="0.25">
      <c r="A1324" s="1" t="s">
        <v>16</v>
      </c>
      <c r="B1324" s="1" t="s">
        <v>52</v>
      </c>
      <c r="C1324" s="1" t="s">
        <v>25</v>
      </c>
      <c r="D1324" s="1">
        <v>0</v>
      </c>
      <c r="E1324" s="1">
        <v>135.63</v>
      </c>
      <c r="F1324" s="1">
        <v>0</v>
      </c>
      <c r="G1324" s="1">
        <v>-2237.884</v>
      </c>
      <c r="H1324" s="1">
        <v>0</v>
      </c>
      <c r="I1324" s="1">
        <v>1085.0350000000001</v>
      </c>
    </row>
    <row r="1325" spans="1:9" hidden="1" x14ac:dyDescent="0.25">
      <c r="A1325" s="1" t="s">
        <v>16</v>
      </c>
      <c r="B1325" s="1" t="s">
        <v>52</v>
      </c>
      <c r="C1325" s="1" t="s">
        <v>10</v>
      </c>
      <c r="D1325" s="1">
        <v>0</v>
      </c>
      <c r="E1325" s="1">
        <v>135.63</v>
      </c>
      <c r="F1325" s="1">
        <v>0</v>
      </c>
      <c r="G1325" s="1">
        <v>-2237.884</v>
      </c>
      <c r="H1325" s="1">
        <v>0</v>
      </c>
      <c r="I1325" s="1">
        <v>1627.5519999999999</v>
      </c>
    </row>
    <row r="1326" spans="1:9" hidden="1" x14ac:dyDescent="0.25">
      <c r="A1326" s="1" t="s">
        <v>16</v>
      </c>
      <c r="B1326" s="1" t="s">
        <v>53</v>
      </c>
      <c r="C1326" s="1" t="s">
        <v>25</v>
      </c>
      <c r="D1326" s="1">
        <v>0</v>
      </c>
      <c r="E1326" s="1">
        <v>135.63</v>
      </c>
      <c r="F1326" s="1">
        <v>0</v>
      </c>
      <c r="G1326" s="1">
        <v>-1830.9960000000001</v>
      </c>
      <c r="H1326" s="1">
        <v>0</v>
      </c>
      <c r="I1326" s="1">
        <v>1085.0350000000001</v>
      </c>
    </row>
    <row r="1327" spans="1:9" hidden="1" x14ac:dyDescent="0.25">
      <c r="A1327" s="1" t="s">
        <v>16</v>
      </c>
      <c r="B1327" s="1" t="s">
        <v>53</v>
      </c>
      <c r="C1327" s="1" t="s">
        <v>10</v>
      </c>
      <c r="D1327" s="1">
        <v>0</v>
      </c>
      <c r="E1327" s="1">
        <v>135.63</v>
      </c>
      <c r="F1327" s="1">
        <v>0</v>
      </c>
      <c r="G1327" s="1">
        <v>-1830.9960000000001</v>
      </c>
      <c r="H1327" s="1">
        <v>0</v>
      </c>
      <c r="I1327" s="1">
        <v>1627.5519999999999</v>
      </c>
    </row>
    <row r="1328" spans="1:9" hidden="1" x14ac:dyDescent="0.25">
      <c r="A1328" s="1" t="s">
        <v>16</v>
      </c>
      <c r="B1328" s="1" t="s">
        <v>54</v>
      </c>
      <c r="C1328" s="1" t="s">
        <v>25</v>
      </c>
      <c r="D1328" s="1">
        <v>0</v>
      </c>
      <c r="E1328" s="1">
        <v>0</v>
      </c>
      <c r="F1328" s="1">
        <v>-163.94</v>
      </c>
      <c r="G1328" s="1">
        <v>-3246.0680000000002</v>
      </c>
      <c r="H1328" s="1">
        <v>1311.5429999999999</v>
      </c>
      <c r="I1328" s="1">
        <v>0</v>
      </c>
    </row>
    <row r="1329" spans="1:9" hidden="1" x14ac:dyDescent="0.25">
      <c r="A1329" s="1" t="s">
        <v>16</v>
      </c>
      <c r="B1329" s="1" t="s">
        <v>54</v>
      </c>
      <c r="C1329" s="1" t="s">
        <v>10</v>
      </c>
      <c r="D1329" s="1">
        <v>0</v>
      </c>
      <c r="E1329" s="1">
        <v>0</v>
      </c>
      <c r="F1329" s="1">
        <v>-163.94</v>
      </c>
      <c r="G1329" s="1">
        <v>-3246.0680000000002</v>
      </c>
      <c r="H1329" s="1">
        <v>1967.3140000000001</v>
      </c>
      <c r="I1329" s="1">
        <v>0</v>
      </c>
    </row>
    <row r="1330" spans="1:9" hidden="1" x14ac:dyDescent="0.25">
      <c r="A1330" s="1" t="s">
        <v>16</v>
      </c>
      <c r="B1330" s="1" t="s">
        <v>55</v>
      </c>
      <c r="C1330" s="1" t="s">
        <v>25</v>
      </c>
      <c r="D1330" s="1">
        <v>0</v>
      </c>
      <c r="E1330" s="1">
        <v>0</v>
      </c>
      <c r="F1330" s="1">
        <v>-163.94</v>
      </c>
      <c r="G1330" s="1">
        <v>-2655.8739999999998</v>
      </c>
      <c r="H1330" s="1">
        <v>1311.5429999999999</v>
      </c>
      <c r="I1330" s="1">
        <v>0</v>
      </c>
    </row>
    <row r="1331" spans="1:9" hidden="1" x14ac:dyDescent="0.25">
      <c r="A1331" s="1" t="s">
        <v>16</v>
      </c>
      <c r="B1331" s="1" t="s">
        <v>55</v>
      </c>
      <c r="C1331" s="1" t="s">
        <v>10</v>
      </c>
      <c r="D1331" s="1">
        <v>0</v>
      </c>
      <c r="E1331" s="1">
        <v>0</v>
      </c>
      <c r="F1331" s="1">
        <v>-163.94</v>
      </c>
      <c r="G1331" s="1">
        <v>-2655.8739999999998</v>
      </c>
      <c r="H1331" s="1">
        <v>1967.3140000000001</v>
      </c>
      <c r="I1331" s="1">
        <v>0</v>
      </c>
    </row>
    <row r="1332" spans="1:9" hidden="1" x14ac:dyDescent="0.25">
      <c r="A1332" s="1" t="s">
        <v>16</v>
      </c>
      <c r="B1332" s="1" t="s">
        <v>56</v>
      </c>
      <c r="C1332" s="1" t="s">
        <v>25</v>
      </c>
      <c r="D1332" s="1">
        <v>0</v>
      </c>
      <c r="E1332" s="1">
        <v>0</v>
      </c>
      <c r="F1332" s="1">
        <v>163.94</v>
      </c>
      <c r="G1332" s="1">
        <v>3246.0680000000002</v>
      </c>
      <c r="H1332" s="1">
        <v>-1311.5429999999999</v>
      </c>
      <c r="I1332" s="1">
        <v>0</v>
      </c>
    </row>
    <row r="1333" spans="1:9" hidden="1" x14ac:dyDescent="0.25">
      <c r="A1333" s="1" t="s">
        <v>16</v>
      </c>
      <c r="B1333" s="1" t="s">
        <v>56</v>
      </c>
      <c r="C1333" s="1" t="s">
        <v>10</v>
      </c>
      <c r="D1333" s="1">
        <v>0</v>
      </c>
      <c r="E1333" s="1">
        <v>0</v>
      </c>
      <c r="F1333" s="1">
        <v>163.94</v>
      </c>
      <c r="G1333" s="1">
        <v>3246.0680000000002</v>
      </c>
      <c r="H1333" s="1">
        <v>-1967.3140000000001</v>
      </c>
      <c r="I1333" s="1">
        <v>0</v>
      </c>
    </row>
    <row r="1334" spans="1:9" hidden="1" x14ac:dyDescent="0.25">
      <c r="A1334" s="1" t="s">
        <v>16</v>
      </c>
      <c r="B1334" s="1" t="s">
        <v>57</v>
      </c>
      <c r="C1334" s="1" t="s">
        <v>25</v>
      </c>
      <c r="D1334" s="1">
        <v>0</v>
      </c>
      <c r="E1334" s="1">
        <v>0</v>
      </c>
      <c r="F1334" s="1">
        <v>163.94</v>
      </c>
      <c r="G1334" s="1">
        <v>2655.8739999999998</v>
      </c>
      <c r="H1334" s="1">
        <v>-1311.5429999999999</v>
      </c>
      <c r="I1334" s="1">
        <v>0</v>
      </c>
    </row>
    <row r="1335" spans="1:9" hidden="1" x14ac:dyDescent="0.25">
      <c r="A1335" s="1" t="s">
        <v>16</v>
      </c>
      <c r="B1335" s="1" t="s">
        <v>57</v>
      </c>
      <c r="C1335" s="1" t="s">
        <v>10</v>
      </c>
      <c r="D1335" s="1">
        <v>0</v>
      </c>
      <c r="E1335" s="1">
        <v>0</v>
      </c>
      <c r="F1335" s="1">
        <v>163.94</v>
      </c>
      <c r="G1335" s="1">
        <v>2655.8739999999998</v>
      </c>
      <c r="H1335" s="1">
        <v>-1967.3140000000001</v>
      </c>
      <c r="I1335" s="1">
        <v>0</v>
      </c>
    </row>
    <row r="1336" spans="1:9" hidden="1" x14ac:dyDescent="0.25">
      <c r="A1336" s="1" t="s">
        <v>16</v>
      </c>
      <c r="B1336" s="1" t="s">
        <v>58</v>
      </c>
      <c r="C1336" s="1" t="s">
        <v>25</v>
      </c>
      <c r="D1336" s="1">
        <v>0</v>
      </c>
      <c r="E1336" s="1">
        <v>-135.63</v>
      </c>
      <c r="F1336" s="1">
        <v>0</v>
      </c>
      <c r="G1336" s="1">
        <v>2237.884</v>
      </c>
      <c r="H1336" s="1">
        <v>0</v>
      </c>
      <c r="I1336" s="1">
        <v>-1085.0350000000001</v>
      </c>
    </row>
    <row r="1337" spans="1:9" hidden="1" x14ac:dyDescent="0.25">
      <c r="A1337" s="1" t="s">
        <v>16</v>
      </c>
      <c r="B1337" s="1" t="s">
        <v>58</v>
      </c>
      <c r="C1337" s="1" t="s">
        <v>10</v>
      </c>
      <c r="D1337" s="1">
        <v>0</v>
      </c>
      <c r="E1337" s="1">
        <v>-135.63</v>
      </c>
      <c r="F1337" s="1">
        <v>0</v>
      </c>
      <c r="G1337" s="1">
        <v>2237.884</v>
      </c>
      <c r="H1337" s="1">
        <v>0</v>
      </c>
      <c r="I1337" s="1">
        <v>-1627.5519999999999</v>
      </c>
    </row>
    <row r="1338" spans="1:9" hidden="1" x14ac:dyDescent="0.25">
      <c r="A1338" s="1" t="s">
        <v>16</v>
      </c>
      <c r="B1338" s="1" t="s">
        <v>59</v>
      </c>
      <c r="C1338" s="1" t="s">
        <v>25</v>
      </c>
      <c r="D1338" s="1">
        <v>0</v>
      </c>
      <c r="E1338" s="1">
        <v>-135.63</v>
      </c>
      <c r="F1338" s="1">
        <v>0</v>
      </c>
      <c r="G1338" s="1">
        <v>1830.9960000000001</v>
      </c>
      <c r="H1338" s="1">
        <v>0</v>
      </c>
      <c r="I1338" s="1">
        <v>-1085.0350000000001</v>
      </c>
    </row>
    <row r="1339" spans="1:9" hidden="1" x14ac:dyDescent="0.25">
      <c r="A1339" s="1" t="s">
        <v>16</v>
      </c>
      <c r="B1339" s="1" t="s">
        <v>59</v>
      </c>
      <c r="C1339" s="1" t="s">
        <v>10</v>
      </c>
      <c r="D1339" s="1">
        <v>0</v>
      </c>
      <c r="E1339" s="1">
        <v>-135.63</v>
      </c>
      <c r="F1339" s="1">
        <v>0</v>
      </c>
      <c r="G1339" s="1">
        <v>1830.9960000000001</v>
      </c>
      <c r="H1339" s="1">
        <v>0</v>
      </c>
      <c r="I1339" s="1">
        <v>-1627.5519999999999</v>
      </c>
    </row>
    <row r="1340" spans="1:9" hidden="1" x14ac:dyDescent="0.25">
      <c r="A1340" s="1" t="s">
        <v>16</v>
      </c>
      <c r="B1340" s="1" t="s">
        <v>60</v>
      </c>
      <c r="C1340" s="1" t="s">
        <v>25</v>
      </c>
      <c r="D1340" s="1">
        <v>0</v>
      </c>
      <c r="E1340" s="1">
        <v>135.63</v>
      </c>
      <c r="F1340" s="1">
        <v>0</v>
      </c>
      <c r="G1340" s="1">
        <v>-2237.884</v>
      </c>
      <c r="H1340" s="1">
        <v>0</v>
      </c>
      <c r="I1340" s="1">
        <v>1085.0350000000001</v>
      </c>
    </row>
    <row r="1341" spans="1:9" hidden="1" x14ac:dyDescent="0.25">
      <c r="A1341" s="1" t="s">
        <v>16</v>
      </c>
      <c r="B1341" s="1" t="s">
        <v>60</v>
      </c>
      <c r="C1341" s="1" t="s">
        <v>10</v>
      </c>
      <c r="D1341" s="1">
        <v>0</v>
      </c>
      <c r="E1341" s="1">
        <v>135.63</v>
      </c>
      <c r="F1341" s="1">
        <v>0</v>
      </c>
      <c r="G1341" s="1">
        <v>-2237.884</v>
      </c>
      <c r="H1341" s="1">
        <v>0</v>
      </c>
      <c r="I1341" s="1">
        <v>1627.5519999999999</v>
      </c>
    </row>
    <row r="1342" spans="1:9" hidden="1" x14ac:dyDescent="0.25">
      <c r="A1342" s="1" t="s">
        <v>16</v>
      </c>
      <c r="B1342" s="1" t="s">
        <v>61</v>
      </c>
      <c r="C1342" s="1" t="s">
        <v>25</v>
      </c>
      <c r="D1342" s="1">
        <v>0</v>
      </c>
      <c r="E1342" s="1">
        <v>135.63</v>
      </c>
      <c r="F1342" s="1">
        <v>0</v>
      </c>
      <c r="G1342" s="1">
        <v>-1830.9960000000001</v>
      </c>
      <c r="H1342" s="1">
        <v>0</v>
      </c>
      <c r="I1342" s="1">
        <v>1085.0350000000001</v>
      </c>
    </row>
    <row r="1343" spans="1:9" hidden="1" x14ac:dyDescent="0.25">
      <c r="A1343" s="1" t="s">
        <v>16</v>
      </c>
      <c r="B1343" s="1" t="s">
        <v>61</v>
      </c>
      <c r="C1343" s="1" t="s">
        <v>10</v>
      </c>
      <c r="D1343" s="1">
        <v>0</v>
      </c>
      <c r="E1343" s="1">
        <v>135.63</v>
      </c>
      <c r="F1343" s="1">
        <v>0</v>
      </c>
      <c r="G1343" s="1">
        <v>-1830.9960000000001</v>
      </c>
      <c r="H1343" s="1">
        <v>0</v>
      </c>
      <c r="I1343" s="1">
        <v>1627.5519999999999</v>
      </c>
    </row>
    <row r="1344" spans="1:9" hidden="1" x14ac:dyDescent="0.25">
      <c r="A1344" s="1" t="s">
        <v>16</v>
      </c>
      <c r="B1344" s="1" t="s">
        <v>62</v>
      </c>
      <c r="C1344" s="1" t="s">
        <v>25</v>
      </c>
      <c r="D1344" s="1">
        <v>0</v>
      </c>
      <c r="E1344" s="1">
        <v>0</v>
      </c>
      <c r="F1344" s="1">
        <v>-163.94</v>
      </c>
      <c r="G1344" s="1">
        <v>-3246.0680000000002</v>
      </c>
      <c r="H1344" s="1">
        <v>1311.5429999999999</v>
      </c>
      <c r="I1344" s="1">
        <v>0</v>
      </c>
    </row>
    <row r="1345" spans="1:9" hidden="1" x14ac:dyDescent="0.25">
      <c r="A1345" s="1" t="s">
        <v>16</v>
      </c>
      <c r="B1345" s="1" t="s">
        <v>62</v>
      </c>
      <c r="C1345" s="1" t="s">
        <v>10</v>
      </c>
      <c r="D1345" s="1">
        <v>0</v>
      </c>
      <c r="E1345" s="1">
        <v>0</v>
      </c>
      <c r="F1345" s="1">
        <v>-163.94</v>
      </c>
      <c r="G1345" s="1">
        <v>-3246.0680000000002</v>
      </c>
      <c r="H1345" s="1">
        <v>1967.3140000000001</v>
      </c>
      <c r="I1345" s="1">
        <v>0</v>
      </c>
    </row>
    <row r="1346" spans="1:9" hidden="1" x14ac:dyDescent="0.25">
      <c r="A1346" s="1" t="s">
        <v>16</v>
      </c>
      <c r="B1346" s="1" t="s">
        <v>63</v>
      </c>
      <c r="C1346" s="1" t="s">
        <v>25</v>
      </c>
      <c r="D1346" s="1">
        <v>0</v>
      </c>
      <c r="E1346" s="1">
        <v>0</v>
      </c>
      <c r="F1346" s="1">
        <v>-163.94</v>
      </c>
      <c r="G1346" s="1">
        <v>-2655.8739999999998</v>
      </c>
      <c r="H1346" s="1">
        <v>1311.5429999999999</v>
      </c>
      <c r="I1346" s="1">
        <v>0</v>
      </c>
    </row>
    <row r="1347" spans="1:9" hidden="1" x14ac:dyDescent="0.25">
      <c r="A1347" s="1" t="s">
        <v>16</v>
      </c>
      <c r="B1347" s="1" t="s">
        <v>63</v>
      </c>
      <c r="C1347" s="1" t="s">
        <v>10</v>
      </c>
      <c r="D1347" s="1">
        <v>0</v>
      </c>
      <c r="E1347" s="1">
        <v>0</v>
      </c>
      <c r="F1347" s="1">
        <v>-163.94</v>
      </c>
      <c r="G1347" s="1">
        <v>-2655.8739999999998</v>
      </c>
      <c r="H1347" s="1">
        <v>1967.3140000000001</v>
      </c>
      <c r="I1347" s="1">
        <v>0</v>
      </c>
    </row>
    <row r="1348" spans="1:9" hidden="1" x14ac:dyDescent="0.25">
      <c r="A1348" s="1" t="s">
        <v>16</v>
      </c>
      <c r="B1348" s="1" t="s">
        <v>64</v>
      </c>
      <c r="C1348" s="1" t="s">
        <v>25</v>
      </c>
      <c r="D1348" s="1">
        <v>0</v>
      </c>
      <c r="E1348" s="1">
        <v>0</v>
      </c>
      <c r="F1348" s="1">
        <v>163.94</v>
      </c>
      <c r="G1348" s="1">
        <v>3246.0680000000002</v>
      </c>
      <c r="H1348" s="1">
        <v>-1311.5429999999999</v>
      </c>
      <c r="I1348" s="1">
        <v>0</v>
      </c>
    </row>
    <row r="1349" spans="1:9" hidden="1" x14ac:dyDescent="0.25">
      <c r="A1349" s="1" t="s">
        <v>16</v>
      </c>
      <c r="B1349" s="1" t="s">
        <v>64</v>
      </c>
      <c r="C1349" s="1" t="s">
        <v>10</v>
      </c>
      <c r="D1349" s="1">
        <v>0</v>
      </c>
      <c r="E1349" s="1">
        <v>0</v>
      </c>
      <c r="F1349" s="1">
        <v>163.94</v>
      </c>
      <c r="G1349" s="1">
        <v>3246.0680000000002</v>
      </c>
      <c r="H1349" s="1">
        <v>-1967.3140000000001</v>
      </c>
      <c r="I1349" s="1">
        <v>0</v>
      </c>
    </row>
    <row r="1350" spans="1:9" hidden="1" x14ac:dyDescent="0.25">
      <c r="A1350" s="1" t="s">
        <v>16</v>
      </c>
      <c r="B1350" s="1" t="s">
        <v>65</v>
      </c>
      <c r="C1350" s="1" t="s">
        <v>25</v>
      </c>
      <c r="D1350" s="1">
        <v>0</v>
      </c>
      <c r="E1350" s="1">
        <v>0</v>
      </c>
      <c r="F1350" s="1">
        <v>163.94</v>
      </c>
      <c r="G1350" s="1">
        <v>2655.8739999999998</v>
      </c>
      <c r="H1350" s="1">
        <v>-1311.5429999999999</v>
      </c>
      <c r="I1350" s="1">
        <v>0</v>
      </c>
    </row>
    <row r="1351" spans="1:9" hidden="1" x14ac:dyDescent="0.25">
      <c r="A1351" s="1" t="s">
        <v>16</v>
      </c>
      <c r="B1351" s="1" t="s">
        <v>65</v>
      </c>
      <c r="C1351" s="1" t="s">
        <v>10</v>
      </c>
      <c r="D1351" s="1">
        <v>0</v>
      </c>
      <c r="E1351" s="1">
        <v>0</v>
      </c>
      <c r="F1351" s="1">
        <v>163.94</v>
      </c>
      <c r="G1351" s="1">
        <v>2655.8739999999998</v>
      </c>
      <c r="H1351" s="1">
        <v>-1967.3140000000001</v>
      </c>
      <c r="I1351" s="1">
        <v>0</v>
      </c>
    </row>
    <row r="1352" spans="1:9" hidden="1" x14ac:dyDescent="0.25">
      <c r="A1352" s="1" t="s">
        <v>16</v>
      </c>
      <c r="B1352" s="1" t="s">
        <v>66</v>
      </c>
      <c r="C1352" s="1" t="s">
        <v>25</v>
      </c>
      <c r="D1352" s="1">
        <v>0</v>
      </c>
      <c r="E1352" s="1">
        <v>-452.1</v>
      </c>
      <c r="F1352" s="1">
        <v>0</v>
      </c>
      <c r="G1352" s="1">
        <v>7459.6149999999998</v>
      </c>
      <c r="H1352" s="1">
        <v>0</v>
      </c>
      <c r="I1352" s="1">
        <v>-3616.7829999999999</v>
      </c>
    </row>
    <row r="1353" spans="1:9" hidden="1" x14ac:dyDescent="0.25">
      <c r="A1353" s="1" t="s">
        <v>16</v>
      </c>
      <c r="B1353" s="1" t="s">
        <v>66</v>
      </c>
      <c r="C1353" s="1" t="s">
        <v>10</v>
      </c>
      <c r="D1353" s="1">
        <v>0</v>
      </c>
      <c r="E1353" s="1">
        <v>-452.1</v>
      </c>
      <c r="F1353" s="1">
        <v>0</v>
      </c>
      <c r="G1353" s="1">
        <v>7459.6149999999998</v>
      </c>
      <c r="H1353" s="1">
        <v>0</v>
      </c>
      <c r="I1353" s="1">
        <v>-5425.174</v>
      </c>
    </row>
    <row r="1354" spans="1:9" hidden="1" x14ac:dyDescent="0.25">
      <c r="A1354" s="1" t="s">
        <v>16</v>
      </c>
      <c r="B1354" s="1" t="s">
        <v>67</v>
      </c>
      <c r="C1354" s="1" t="s">
        <v>25</v>
      </c>
      <c r="D1354" s="1">
        <v>0</v>
      </c>
      <c r="E1354" s="1">
        <v>-452.1</v>
      </c>
      <c r="F1354" s="1">
        <v>0</v>
      </c>
      <c r="G1354" s="1">
        <v>6103.3209999999999</v>
      </c>
      <c r="H1354" s="1">
        <v>0</v>
      </c>
      <c r="I1354" s="1">
        <v>-3616.7829999999999</v>
      </c>
    </row>
    <row r="1355" spans="1:9" hidden="1" x14ac:dyDescent="0.25">
      <c r="A1355" s="1" t="s">
        <v>16</v>
      </c>
      <c r="B1355" s="1" t="s">
        <v>67</v>
      </c>
      <c r="C1355" s="1" t="s">
        <v>10</v>
      </c>
      <c r="D1355" s="1">
        <v>0</v>
      </c>
      <c r="E1355" s="1">
        <v>-452.1</v>
      </c>
      <c r="F1355" s="1">
        <v>0</v>
      </c>
      <c r="G1355" s="1">
        <v>6103.3209999999999</v>
      </c>
      <c r="H1355" s="1">
        <v>0</v>
      </c>
      <c r="I1355" s="1">
        <v>-5425.174</v>
      </c>
    </row>
    <row r="1356" spans="1:9" hidden="1" x14ac:dyDescent="0.25">
      <c r="A1356" s="1" t="s">
        <v>16</v>
      </c>
      <c r="B1356" s="1" t="s">
        <v>68</v>
      </c>
      <c r="C1356" s="1" t="s">
        <v>25</v>
      </c>
      <c r="D1356" s="1">
        <v>0</v>
      </c>
      <c r="E1356" s="1">
        <v>452.1</v>
      </c>
      <c r="F1356" s="1">
        <v>0</v>
      </c>
      <c r="G1356" s="1">
        <v>-7459.6149999999998</v>
      </c>
      <c r="H1356" s="1">
        <v>0</v>
      </c>
      <c r="I1356" s="1">
        <v>3616.7829999999999</v>
      </c>
    </row>
    <row r="1357" spans="1:9" hidden="1" x14ac:dyDescent="0.25">
      <c r="A1357" s="1" t="s">
        <v>16</v>
      </c>
      <c r="B1357" s="1" t="s">
        <v>68</v>
      </c>
      <c r="C1357" s="1" t="s">
        <v>10</v>
      </c>
      <c r="D1357" s="1">
        <v>0</v>
      </c>
      <c r="E1357" s="1">
        <v>452.1</v>
      </c>
      <c r="F1357" s="1">
        <v>0</v>
      </c>
      <c r="G1357" s="1">
        <v>-7459.6149999999998</v>
      </c>
      <c r="H1357" s="1">
        <v>0</v>
      </c>
      <c r="I1357" s="1">
        <v>5425.174</v>
      </c>
    </row>
    <row r="1358" spans="1:9" hidden="1" x14ac:dyDescent="0.25">
      <c r="A1358" s="1" t="s">
        <v>16</v>
      </c>
      <c r="B1358" s="1" t="s">
        <v>69</v>
      </c>
      <c r="C1358" s="1" t="s">
        <v>25</v>
      </c>
      <c r="D1358" s="1">
        <v>0</v>
      </c>
      <c r="E1358" s="1">
        <v>452.1</v>
      </c>
      <c r="F1358" s="1">
        <v>0</v>
      </c>
      <c r="G1358" s="1">
        <v>-6103.3209999999999</v>
      </c>
      <c r="H1358" s="1">
        <v>0</v>
      </c>
      <c r="I1358" s="1">
        <v>3616.7829999999999</v>
      </c>
    </row>
    <row r="1359" spans="1:9" hidden="1" x14ac:dyDescent="0.25">
      <c r="A1359" s="1" t="s">
        <v>16</v>
      </c>
      <c r="B1359" s="1" t="s">
        <v>69</v>
      </c>
      <c r="C1359" s="1" t="s">
        <v>10</v>
      </c>
      <c r="D1359" s="1">
        <v>0</v>
      </c>
      <c r="E1359" s="1">
        <v>452.1</v>
      </c>
      <c r="F1359" s="1">
        <v>0</v>
      </c>
      <c r="G1359" s="1">
        <v>-6103.3209999999999</v>
      </c>
      <c r="H1359" s="1">
        <v>0</v>
      </c>
      <c r="I1359" s="1">
        <v>5425.174</v>
      </c>
    </row>
    <row r="1360" spans="1:9" hidden="1" x14ac:dyDescent="0.25">
      <c r="A1360" s="1" t="s">
        <v>16</v>
      </c>
      <c r="B1360" s="1" t="s">
        <v>70</v>
      </c>
      <c r="C1360" s="1" t="s">
        <v>25</v>
      </c>
      <c r="D1360" s="1">
        <v>0</v>
      </c>
      <c r="E1360" s="1">
        <v>0</v>
      </c>
      <c r="F1360" s="1">
        <v>-546.48</v>
      </c>
      <c r="G1360" s="1">
        <v>-10820.227999999999</v>
      </c>
      <c r="H1360" s="1">
        <v>4371.8090000000002</v>
      </c>
      <c r="I1360" s="1">
        <v>0</v>
      </c>
    </row>
    <row r="1361" spans="1:9" hidden="1" x14ac:dyDescent="0.25">
      <c r="A1361" s="1" t="s">
        <v>16</v>
      </c>
      <c r="B1361" s="1" t="s">
        <v>70</v>
      </c>
      <c r="C1361" s="1" t="s">
        <v>10</v>
      </c>
      <c r="D1361" s="1">
        <v>0</v>
      </c>
      <c r="E1361" s="1">
        <v>0</v>
      </c>
      <c r="F1361" s="1">
        <v>-546.48</v>
      </c>
      <c r="G1361" s="1">
        <v>-10820.227999999999</v>
      </c>
      <c r="H1361" s="1">
        <v>6557.7139999999999</v>
      </c>
      <c r="I1361" s="1">
        <v>0</v>
      </c>
    </row>
    <row r="1362" spans="1:9" hidden="1" x14ac:dyDescent="0.25">
      <c r="A1362" s="1" t="s">
        <v>16</v>
      </c>
      <c r="B1362" s="1" t="s">
        <v>71</v>
      </c>
      <c r="C1362" s="1" t="s">
        <v>25</v>
      </c>
      <c r="D1362" s="1">
        <v>0</v>
      </c>
      <c r="E1362" s="1">
        <v>0</v>
      </c>
      <c r="F1362" s="1">
        <v>-546.48</v>
      </c>
      <c r="G1362" s="1">
        <v>-8852.9140000000007</v>
      </c>
      <c r="H1362" s="1">
        <v>4371.8090000000002</v>
      </c>
      <c r="I1362" s="1">
        <v>0</v>
      </c>
    </row>
    <row r="1363" spans="1:9" hidden="1" x14ac:dyDescent="0.25">
      <c r="A1363" s="1" t="s">
        <v>16</v>
      </c>
      <c r="B1363" s="1" t="s">
        <v>71</v>
      </c>
      <c r="C1363" s="1" t="s">
        <v>10</v>
      </c>
      <c r="D1363" s="1">
        <v>0</v>
      </c>
      <c r="E1363" s="1">
        <v>0</v>
      </c>
      <c r="F1363" s="1">
        <v>-546.48</v>
      </c>
      <c r="G1363" s="1">
        <v>-8852.9140000000007</v>
      </c>
      <c r="H1363" s="1">
        <v>6557.7139999999999</v>
      </c>
      <c r="I1363" s="1">
        <v>0</v>
      </c>
    </row>
    <row r="1364" spans="1:9" hidden="1" x14ac:dyDescent="0.25">
      <c r="A1364" s="1" t="s">
        <v>16</v>
      </c>
      <c r="B1364" s="1" t="s">
        <v>72</v>
      </c>
      <c r="C1364" s="1" t="s">
        <v>25</v>
      </c>
      <c r="D1364" s="1">
        <v>0</v>
      </c>
      <c r="E1364" s="1">
        <v>0</v>
      </c>
      <c r="F1364" s="1">
        <v>546.48</v>
      </c>
      <c r="G1364" s="1">
        <v>10820.227999999999</v>
      </c>
      <c r="H1364" s="1">
        <v>-4371.8090000000002</v>
      </c>
      <c r="I1364" s="1">
        <v>0</v>
      </c>
    </row>
    <row r="1365" spans="1:9" hidden="1" x14ac:dyDescent="0.25">
      <c r="A1365" s="1" t="s">
        <v>16</v>
      </c>
      <c r="B1365" s="1" t="s">
        <v>72</v>
      </c>
      <c r="C1365" s="1" t="s">
        <v>10</v>
      </c>
      <c r="D1365" s="1">
        <v>0</v>
      </c>
      <c r="E1365" s="1">
        <v>0</v>
      </c>
      <c r="F1365" s="1">
        <v>546.48</v>
      </c>
      <c r="G1365" s="1">
        <v>10820.227999999999</v>
      </c>
      <c r="H1365" s="1">
        <v>-6557.7139999999999</v>
      </c>
      <c r="I1365" s="1">
        <v>0</v>
      </c>
    </row>
    <row r="1366" spans="1:9" hidden="1" x14ac:dyDescent="0.25">
      <c r="A1366" s="1" t="s">
        <v>16</v>
      </c>
      <c r="B1366" s="1" t="s">
        <v>73</v>
      </c>
      <c r="C1366" s="1" t="s">
        <v>25</v>
      </c>
      <c r="D1366" s="1">
        <v>0</v>
      </c>
      <c r="E1366" s="1">
        <v>0</v>
      </c>
      <c r="F1366" s="1">
        <v>546.48</v>
      </c>
      <c r="G1366" s="1">
        <v>8852.9140000000007</v>
      </c>
      <c r="H1366" s="1">
        <v>-4371.8090000000002</v>
      </c>
      <c r="I1366" s="1">
        <v>0</v>
      </c>
    </row>
    <row r="1367" spans="1:9" hidden="1" x14ac:dyDescent="0.25">
      <c r="A1367" s="1" t="s">
        <v>16</v>
      </c>
      <c r="B1367" s="1" t="s">
        <v>73</v>
      </c>
      <c r="C1367" s="1" t="s">
        <v>10</v>
      </c>
      <c r="D1367" s="1">
        <v>0</v>
      </c>
      <c r="E1367" s="1">
        <v>0</v>
      </c>
      <c r="F1367" s="1">
        <v>546.48</v>
      </c>
      <c r="G1367" s="1">
        <v>8852.9140000000007</v>
      </c>
      <c r="H1367" s="1">
        <v>-6557.7139999999999</v>
      </c>
      <c r="I1367" s="1">
        <v>0</v>
      </c>
    </row>
    <row r="1368" spans="1:9" hidden="1" x14ac:dyDescent="0.25">
      <c r="A1368" s="1" t="s">
        <v>16</v>
      </c>
      <c r="B1368" s="1" t="s">
        <v>74</v>
      </c>
      <c r="C1368" s="1" t="s">
        <v>25</v>
      </c>
      <c r="D1368" s="1">
        <v>0</v>
      </c>
      <c r="E1368" s="1">
        <v>-452.1</v>
      </c>
      <c r="F1368" s="1">
        <v>0</v>
      </c>
      <c r="G1368" s="1">
        <v>7459.6149999999998</v>
      </c>
      <c r="H1368" s="1">
        <v>0</v>
      </c>
      <c r="I1368" s="1">
        <v>-3616.7829999999999</v>
      </c>
    </row>
    <row r="1369" spans="1:9" hidden="1" x14ac:dyDescent="0.25">
      <c r="A1369" s="1" t="s">
        <v>16</v>
      </c>
      <c r="B1369" s="1" t="s">
        <v>74</v>
      </c>
      <c r="C1369" s="1" t="s">
        <v>10</v>
      </c>
      <c r="D1369" s="1">
        <v>0</v>
      </c>
      <c r="E1369" s="1">
        <v>-452.1</v>
      </c>
      <c r="F1369" s="1">
        <v>0</v>
      </c>
      <c r="G1369" s="1">
        <v>7459.6149999999998</v>
      </c>
      <c r="H1369" s="1">
        <v>0</v>
      </c>
      <c r="I1369" s="1">
        <v>-5425.174</v>
      </c>
    </row>
    <row r="1370" spans="1:9" hidden="1" x14ac:dyDescent="0.25">
      <c r="A1370" s="1" t="s">
        <v>16</v>
      </c>
      <c r="B1370" s="1" t="s">
        <v>75</v>
      </c>
      <c r="C1370" s="1" t="s">
        <v>25</v>
      </c>
      <c r="D1370" s="1">
        <v>0</v>
      </c>
      <c r="E1370" s="1">
        <v>-452.1</v>
      </c>
      <c r="F1370" s="1">
        <v>0</v>
      </c>
      <c r="G1370" s="1">
        <v>6103.3209999999999</v>
      </c>
      <c r="H1370" s="1">
        <v>0</v>
      </c>
      <c r="I1370" s="1">
        <v>-3616.7829999999999</v>
      </c>
    </row>
    <row r="1371" spans="1:9" hidden="1" x14ac:dyDescent="0.25">
      <c r="A1371" s="1" t="s">
        <v>16</v>
      </c>
      <c r="B1371" s="1" t="s">
        <v>75</v>
      </c>
      <c r="C1371" s="1" t="s">
        <v>10</v>
      </c>
      <c r="D1371" s="1">
        <v>0</v>
      </c>
      <c r="E1371" s="1">
        <v>-452.1</v>
      </c>
      <c r="F1371" s="1">
        <v>0</v>
      </c>
      <c r="G1371" s="1">
        <v>6103.3209999999999</v>
      </c>
      <c r="H1371" s="1">
        <v>0</v>
      </c>
      <c r="I1371" s="1">
        <v>-5425.174</v>
      </c>
    </row>
    <row r="1372" spans="1:9" hidden="1" x14ac:dyDescent="0.25">
      <c r="A1372" s="1" t="s">
        <v>16</v>
      </c>
      <c r="B1372" s="1" t="s">
        <v>76</v>
      </c>
      <c r="C1372" s="1" t="s">
        <v>25</v>
      </c>
      <c r="D1372" s="1">
        <v>0</v>
      </c>
      <c r="E1372" s="1">
        <v>452.1</v>
      </c>
      <c r="F1372" s="1">
        <v>0</v>
      </c>
      <c r="G1372" s="1">
        <v>-7459.6149999999998</v>
      </c>
      <c r="H1372" s="1">
        <v>0</v>
      </c>
      <c r="I1372" s="1">
        <v>3616.7829999999999</v>
      </c>
    </row>
    <row r="1373" spans="1:9" hidden="1" x14ac:dyDescent="0.25">
      <c r="A1373" s="1" t="s">
        <v>16</v>
      </c>
      <c r="B1373" s="1" t="s">
        <v>76</v>
      </c>
      <c r="C1373" s="1" t="s">
        <v>10</v>
      </c>
      <c r="D1373" s="1">
        <v>0</v>
      </c>
      <c r="E1373" s="1">
        <v>452.1</v>
      </c>
      <c r="F1373" s="1">
        <v>0</v>
      </c>
      <c r="G1373" s="1">
        <v>-7459.6149999999998</v>
      </c>
      <c r="H1373" s="1">
        <v>0</v>
      </c>
      <c r="I1373" s="1">
        <v>5425.174</v>
      </c>
    </row>
    <row r="1374" spans="1:9" hidden="1" x14ac:dyDescent="0.25">
      <c r="A1374" s="1" t="s">
        <v>16</v>
      </c>
      <c r="B1374" s="1" t="s">
        <v>77</v>
      </c>
      <c r="C1374" s="1" t="s">
        <v>25</v>
      </c>
      <c r="D1374" s="1">
        <v>0</v>
      </c>
      <c r="E1374" s="1">
        <v>452.1</v>
      </c>
      <c r="F1374" s="1">
        <v>0</v>
      </c>
      <c r="G1374" s="1">
        <v>-6103.3209999999999</v>
      </c>
      <c r="H1374" s="1">
        <v>0</v>
      </c>
      <c r="I1374" s="1">
        <v>3616.7829999999999</v>
      </c>
    </row>
    <row r="1375" spans="1:9" hidden="1" x14ac:dyDescent="0.25">
      <c r="A1375" s="1" t="s">
        <v>16</v>
      </c>
      <c r="B1375" s="1" t="s">
        <v>77</v>
      </c>
      <c r="C1375" s="1" t="s">
        <v>10</v>
      </c>
      <c r="D1375" s="1">
        <v>0</v>
      </c>
      <c r="E1375" s="1">
        <v>452.1</v>
      </c>
      <c r="F1375" s="1">
        <v>0</v>
      </c>
      <c r="G1375" s="1">
        <v>-6103.3209999999999</v>
      </c>
      <c r="H1375" s="1">
        <v>0</v>
      </c>
      <c r="I1375" s="1">
        <v>5425.174</v>
      </c>
    </row>
    <row r="1376" spans="1:9" hidden="1" x14ac:dyDescent="0.25">
      <c r="A1376" s="1" t="s">
        <v>16</v>
      </c>
      <c r="B1376" s="1" t="s">
        <v>78</v>
      </c>
      <c r="C1376" s="1" t="s">
        <v>25</v>
      </c>
      <c r="D1376" s="1">
        <v>0</v>
      </c>
      <c r="E1376" s="1">
        <v>0</v>
      </c>
      <c r="F1376" s="1">
        <v>-546.48</v>
      </c>
      <c r="G1376" s="1">
        <v>-10820.227999999999</v>
      </c>
      <c r="H1376" s="1">
        <v>4371.8090000000002</v>
      </c>
      <c r="I1376" s="1">
        <v>0</v>
      </c>
    </row>
    <row r="1377" spans="1:9" hidden="1" x14ac:dyDescent="0.25">
      <c r="A1377" s="1" t="s">
        <v>16</v>
      </c>
      <c r="B1377" s="1" t="s">
        <v>78</v>
      </c>
      <c r="C1377" s="1" t="s">
        <v>10</v>
      </c>
      <c r="D1377" s="1">
        <v>0</v>
      </c>
      <c r="E1377" s="1">
        <v>0</v>
      </c>
      <c r="F1377" s="1">
        <v>-546.48</v>
      </c>
      <c r="G1377" s="1">
        <v>-10820.227999999999</v>
      </c>
      <c r="H1377" s="1">
        <v>6557.7139999999999</v>
      </c>
      <c r="I1377" s="1">
        <v>0</v>
      </c>
    </row>
    <row r="1378" spans="1:9" hidden="1" x14ac:dyDescent="0.25">
      <c r="A1378" s="1" t="s">
        <v>16</v>
      </c>
      <c r="B1378" s="1" t="s">
        <v>79</v>
      </c>
      <c r="C1378" s="1" t="s">
        <v>25</v>
      </c>
      <c r="D1378" s="1">
        <v>0</v>
      </c>
      <c r="E1378" s="1">
        <v>0</v>
      </c>
      <c r="F1378" s="1">
        <v>-546.48</v>
      </c>
      <c r="G1378" s="1">
        <v>-8852.9140000000007</v>
      </c>
      <c r="H1378" s="1">
        <v>4371.8090000000002</v>
      </c>
      <c r="I1378" s="1">
        <v>0</v>
      </c>
    </row>
    <row r="1379" spans="1:9" hidden="1" x14ac:dyDescent="0.25">
      <c r="A1379" s="1" t="s">
        <v>16</v>
      </c>
      <c r="B1379" s="1" t="s">
        <v>79</v>
      </c>
      <c r="C1379" s="1" t="s">
        <v>10</v>
      </c>
      <c r="D1379" s="1">
        <v>0</v>
      </c>
      <c r="E1379" s="1">
        <v>0</v>
      </c>
      <c r="F1379" s="1">
        <v>-546.48</v>
      </c>
      <c r="G1379" s="1">
        <v>-8852.9140000000007</v>
      </c>
      <c r="H1379" s="1">
        <v>6557.7139999999999</v>
      </c>
      <c r="I1379" s="1">
        <v>0</v>
      </c>
    </row>
    <row r="1380" spans="1:9" hidden="1" x14ac:dyDescent="0.25">
      <c r="A1380" s="1" t="s">
        <v>16</v>
      </c>
      <c r="B1380" s="1" t="s">
        <v>80</v>
      </c>
      <c r="C1380" s="1" t="s">
        <v>25</v>
      </c>
      <c r="D1380" s="1">
        <v>0</v>
      </c>
      <c r="E1380" s="1">
        <v>0</v>
      </c>
      <c r="F1380" s="1">
        <v>546.48</v>
      </c>
      <c r="G1380" s="1">
        <v>10820.227999999999</v>
      </c>
      <c r="H1380" s="1">
        <v>-4371.8090000000002</v>
      </c>
      <c r="I1380" s="1">
        <v>0</v>
      </c>
    </row>
    <row r="1381" spans="1:9" hidden="1" x14ac:dyDescent="0.25">
      <c r="A1381" s="1" t="s">
        <v>16</v>
      </c>
      <c r="B1381" s="1" t="s">
        <v>80</v>
      </c>
      <c r="C1381" s="1" t="s">
        <v>10</v>
      </c>
      <c r="D1381" s="1">
        <v>0</v>
      </c>
      <c r="E1381" s="1">
        <v>0</v>
      </c>
      <c r="F1381" s="1">
        <v>546.48</v>
      </c>
      <c r="G1381" s="1">
        <v>10820.227999999999</v>
      </c>
      <c r="H1381" s="1">
        <v>-6557.7139999999999</v>
      </c>
      <c r="I1381" s="1">
        <v>0</v>
      </c>
    </row>
    <row r="1382" spans="1:9" hidden="1" x14ac:dyDescent="0.25">
      <c r="A1382" s="1" t="s">
        <v>16</v>
      </c>
      <c r="B1382" s="1" t="s">
        <v>81</v>
      </c>
      <c r="C1382" s="1" t="s">
        <v>25</v>
      </c>
      <c r="D1382" s="1">
        <v>0</v>
      </c>
      <c r="E1382" s="1">
        <v>0</v>
      </c>
      <c r="F1382" s="1">
        <v>546.48</v>
      </c>
      <c r="G1382" s="1">
        <v>8852.9140000000007</v>
      </c>
      <c r="H1382" s="1">
        <v>-4371.8090000000002</v>
      </c>
      <c r="I1382" s="1">
        <v>0</v>
      </c>
    </row>
    <row r="1383" spans="1:9" hidden="1" x14ac:dyDescent="0.25">
      <c r="A1383" s="1" t="s">
        <v>16</v>
      </c>
      <c r="B1383" s="1" t="s">
        <v>81</v>
      </c>
      <c r="C1383" s="1" t="s">
        <v>10</v>
      </c>
      <c r="D1383" s="1">
        <v>0</v>
      </c>
      <c r="E1383" s="1">
        <v>0</v>
      </c>
      <c r="F1383" s="1">
        <v>546.48</v>
      </c>
      <c r="G1383" s="1">
        <v>8852.9140000000007</v>
      </c>
      <c r="H1383" s="1">
        <v>-6557.7139999999999</v>
      </c>
      <c r="I1383" s="1">
        <v>0</v>
      </c>
    </row>
    <row r="1384" spans="1:9" hidden="1" x14ac:dyDescent="0.25">
      <c r="A1384" s="1" t="s">
        <v>16</v>
      </c>
      <c r="B1384" s="1" t="s">
        <v>82</v>
      </c>
      <c r="C1384" s="1" t="s">
        <v>25</v>
      </c>
      <c r="D1384" s="1">
        <v>0</v>
      </c>
      <c r="E1384" s="1">
        <v>-135.63</v>
      </c>
      <c r="F1384" s="1">
        <v>0</v>
      </c>
      <c r="G1384" s="1">
        <v>2237.884</v>
      </c>
      <c r="H1384" s="1">
        <v>0</v>
      </c>
      <c r="I1384" s="1">
        <v>-1085.0350000000001</v>
      </c>
    </row>
    <row r="1385" spans="1:9" hidden="1" x14ac:dyDescent="0.25">
      <c r="A1385" s="1" t="s">
        <v>16</v>
      </c>
      <c r="B1385" s="1" t="s">
        <v>82</v>
      </c>
      <c r="C1385" s="1" t="s">
        <v>10</v>
      </c>
      <c r="D1385" s="1">
        <v>0</v>
      </c>
      <c r="E1385" s="1">
        <v>-135.63</v>
      </c>
      <c r="F1385" s="1">
        <v>0</v>
      </c>
      <c r="G1385" s="1">
        <v>2237.884</v>
      </c>
      <c r="H1385" s="1">
        <v>0</v>
      </c>
      <c r="I1385" s="1">
        <v>-1627.5519999999999</v>
      </c>
    </row>
    <row r="1386" spans="1:9" hidden="1" x14ac:dyDescent="0.25">
      <c r="A1386" s="1" t="s">
        <v>16</v>
      </c>
      <c r="B1386" s="1" t="s">
        <v>83</v>
      </c>
      <c r="C1386" s="1" t="s">
        <v>25</v>
      </c>
      <c r="D1386" s="1">
        <v>0</v>
      </c>
      <c r="E1386" s="1">
        <v>-135.63</v>
      </c>
      <c r="F1386" s="1">
        <v>0</v>
      </c>
      <c r="G1386" s="1">
        <v>1830.9960000000001</v>
      </c>
      <c r="H1386" s="1">
        <v>0</v>
      </c>
      <c r="I1386" s="1">
        <v>-1085.0350000000001</v>
      </c>
    </row>
    <row r="1387" spans="1:9" hidden="1" x14ac:dyDescent="0.25">
      <c r="A1387" s="1" t="s">
        <v>16</v>
      </c>
      <c r="B1387" s="1" t="s">
        <v>83</v>
      </c>
      <c r="C1387" s="1" t="s">
        <v>10</v>
      </c>
      <c r="D1387" s="1">
        <v>0</v>
      </c>
      <c r="E1387" s="1">
        <v>-135.63</v>
      </c>
      <c r="F1387" s="1">
        <v>0</v>
      </c>
      <c r="G1387" s="1">
        <v>1830.9960000000001</v>
      </c>
      <c r="H1387" s="1">
        <v>0</v>
      </c>
      <c r="I1387" s="1">
        <v>-1627.5519999999999</v>
      </c>
    </row>
    <row r="1388" spans="1:9" hidden="1" x14ac:dyDescent="0.25">
      <c r="A1388" s="1" t="s">
        <v>16</v>
      </c>
      <c r="B1388" s="1" t="s">
        <v>84</v>
      </c>
      <c r="C1388" s="1" t="s">
        <v>25</v>
      </c>
      <c r="D1388" s="1">
        <v>0</v>
      </c>
      <c r="E1388" s="1">
        <v>135.63</v>
      </c>
      <c r="F1388" s="1">
        <v>0</v>
      </c>
      <c r="G1388" s="1">
        <v>-2237.884</v>
      </c>
      <c r="H1388" s="1">
        <v>0</v>
      </c>
      <c r="I1388" s="1">
        <v>1085.0350000000001</v>
      </c>
    </row>
    <row r="1389" spans="1:9" hidden="1" x14ac:dyDescent="0.25">
      <c r="A1389" s="1" t="s">
        <v>16</v>
      </c>
      <c r="B1389" s="1" t="s">
        <v>84</v>
      </c>
      <c r="C1389" s="1" t="s">
        <v>10</v>
      </c>
      <c r="D1389" s="1">
        <v>0</v>
      </c>
      <c r="E1389" s="1">
        <v>135.63</v>
      </c>
      <c r="F1389" s="1">
        <v>0</v>
      </c>
      <c r="G1389" s="1">
        <v>-2237.884</v>
      </c>
      <c r="H1389" s="1">
        <v>0</v>
      </c>
      <c r="I1389" s="1">
        <v>1627.5519999999999</v>
      </c>
    </row>
    <row r="1390" spans="1:9" hidden="1" x14ac:dyDescent="0.25">
      <c r="A1390" s="1" t="s">
        <v>16</v>
      </c>
      <c r="B1390" s="1" t="s">
        <v>85</v>
      </c>
      <c r="C1390" s="1" t="s">
        <v>25</v>
      </c>
      <c r="D1390" s="1">
        <v>0</v>
      </c>
      <c r="E1390" s="1">
        <v>135.63</v>
      </c>
      <c r="F1390" s="1">
        <v>0</v>
      </c>
      <c r="G1390" s="1">
        <v>-1830.9960000000001</v>
      </c>
      <c r="H1390" s="1">
        <v>0</v>
      </c>
      <c r="I1390" s="1">
        <v>1085.0350000000001</v>
      </c>
    </row>
    <row r="1391" spans="1:9" hidden="1" x14ac:dyDescent="0.25">
      <c r="A1391" s="1" t="s">
        <v>16</v>
      </c>
      <c r="B1391" s="1" t="s">
        <v>85</v>
      </c>
      <c r="C1391" s="1" t="s">
        <v>10</v>
      </c>
      <c r="D1391" s="1">
        <v>0</v>
      </c>
      <c r="E1391" s="1">
        <v>135.63</v>
      </c>
      <c r="F1391" s="1">
        <v>0</v>
      </c>
      <c r="G1391" s="1">
        <v>-1830.9960000000001</v>
      </c>
      <c r="H1391" s="1">
        <v>0</v>
      </c>
      <c r="I1391" s="1">
        <v>1627.5519999999999</v>
      </c>
    </row>
    <row r="1392" spans="1:9" hidden="1" x14ac:dyDescent="0.25">
      <c r="A1392" s="1" t="s">
        <v>16</v>
      </c>
      <c r="B1392" s="1" t="s">
        <v>86</v>
      </c>
      <c r="C1392" s="1" t="s">
        <v>25</v>
      </c>
      <c r="D1392" s="1">
        <v>0</v>
      </c>
      <c r="E1392" s="1">
        <v>0</v>
      </c>
      <c r="F1392" s="1">
        <v>-163.94</v>
      </c>
      <c r="G1392" s="1">
        <v>-3246.0680000000002</v>
      </c>
      <c r="H1392" s="1">
        <v>1311.5429999999999</v>
      </c>
      <c r="I1392" s="1">
        <v>0</v>
      </c>
    </row>
    <row r="1393" spans="1:9" hidden="1" x14ac:dyDescent="0.25">
      <c r="A1393" s="1" t="s">
        <v>16</v>
      </c>
      <c r="B1393" s="1" t="s">
        <v>86</v>
      </c>
      <c r="C1393" s="1" t="s">
        <v>10</v>
      </c>
      <c r="D1393" s="1">
        <v>0</v>
      </c>
      <c r="E1393" s="1">
        <v>0</v>
      </c>
      <c r="F1393" s="1">
        <v>-163.94</v>
      </c>
      <c r="G1393" s="1">
        <v>-3246.0680000000002</v>
      </c>
      <c r="H1393" s="1">
        <v>1967.3140000000001</v>
      </c>
      <c r="I1393" s="1">
        <v>0</v>
      </c>
    </row>
    <row r="1394" spans="1:9" hidden="1" x14ac:dyDescent="0.25">
      <c r="A1394" s="1" t="s">
        <v>16</v>
      </c>
      <c r="B1394" s="1" t="s">
        <v>87</v>
      </c>
      <c r="C1394" s="1" t="s">
        <v>25</v>
      </c>
      <c r="D1394" s="1">
        <v>0</v>
      </c>
      <c r="E1394" s="1">
        <v>0</v>
      </c>
      <c r="F1394" s="1">
        <v>-163.94</v>
      </c>
      <c r="G1394" s="1">
        <v>-2655.8739999999998</v>
      </c>
      <c r="H1394" s="1">
        <v>1311.5429999999999</v>
      </c>
      <c r="I1394" s="1">
        <v>0</v>
      </c>
    </row>
    <row r="1395" spans="1:9" hidden="1" x14ac:dyDescent="0.25">
      <c r="A1395" s="1" t="s">
        <v>16</v>
      </c>
      <c r="B1395" s="1" t="s">
        <v>87</v>
      </c>
      <c r="C1395" s="1" t="s">
        <v>10</v>
      </c>
      <c r="D1395" s="1">
        <v>0</v>
      </c>
      <c r="E1395" s="1">
        <v>0</v>
      </c>
      <c r="F1395" s="1">
        <v>-163.94</v>
      </c>
      <c r="G1395" s="1">
        <v>-2655.8739999999998</v>
      </c>
      <c r="H1395" s="1">
        <v>1967.3140000000001</v>
      </c>
      <c r="I1395" s="1">
        <v>0</v>
      </c>
    </row>
    <row r="1396" spans="1:9" hidden="1" x14ac:dyDescent="0.25">
      <c r="A1396" s="1" t="s">
        <v>16</v>
      </c>
      <c r="B1396" s="1" t="s">
        <v>88</v>
      </c>
      <c r="C1396" s="1" t="s">
        <v>25</v>
      </c>
      <c r="D1396" s="1">
        <v>0</v>
      </c>
      <c r="E1396" s="1">
        <v>0</v>
      </c>
      <c r="F1396" s="1">
        <v>163.94</v>
      </c>
      <c r="G1396" s="1">
        <v>3246.0680000000002</v>
      </c>
      <c r="H1396" s="1">
        <v>-1311.5429999999999</v>
      </c>
      <c r="I1396" s="1">
        <v>0</v>
      </c>
    </row>
    <row r="1397" spans="1:9" hidden="1" x14ac:dyDescent="0.25">
      <c r="A1397" s="1" t="s">
        <v>16</v>
      </c>
      <c r="B1397" s="1" t="s">
        <v>88</v>
      </c>
      <c r="C1397" s="1" t="s">
        <v>10</v>
      </c>
      <c r="D1397" s="1">
        <v>0</v>
      </c>
      <c r="E1397" s="1">
        <v>0</v>
      </c>
      <c r="F1397" s="1">
        <v>163.94</v>
      </c>
      <c r="G1397" s="1">
        <v>3246.0680000000002</v>
      </c>
      <c r="H1397" s="1">
        <v>-1967.3140000000001</v>
      </c>
      <c r="I1397" s="1">
        <v>0</v>
      </c>
    </row>
    <row r="1398" spans="1:9" hidden="1" x14ac:dyDescent="0.25">
      <c r="A1398" s="1" t="s">
        <v>16</v>
      </c>
      <c r="B1398" s="1" t="s">
        <v>89</v>
      </c>
      <c r="C1398" s="1" t="s">
        <v>25</v>
      </c>
      <c r="D1398" s="1">
        <v>0</v>
      </c>
      <c r="E1398" s="1">
        <v>0</v>
      </c>
      <c r="F1398" s="1">
        <v>163.94</v>
      </c>
      <c r="G1398" s="1">
        <v>2655.8739999999998</v>
      </c>
      <c r="H1398" s="1">
        <v>-1311.5429999999999</v>
      </c>
      <c r="I1398" s="1">
        <v>0</v>
      </c>
    </row>
    <row r="1399" spans="1:9" hidden="1" x14ac:dyDescent="0.25">
      <c r="A1399" s="1" t="s">
        <v>16</v>
      </c>
      <c r="B1399" s="1" t="s">
        <v>89</v>
      </c>
      <c r="C1399" s="1" t="s">
        <v>10</v>
      </c>
      <c r="D1399" s="1">
        <v>0</v>
      </c>
      <c r="E1399" s="1">
        <v>0</v>
      </c>
      <c r="F1399" s="1">
        <v>163.94</v>
      </c>
      <c r="G1399" s="1">
        <v>2655.8739999999998</v>
      </c>
      <c r="H1399" s="1">
        <v>-1967.3140000000001</v>
      </c>
      <c r="I1399" s="1">
        <v>0</v>
      </c>
    </row>
    <row r="1400" spans="1:9" hidden="1" x14ac:dyDescent="0.25">
      <c r="A1400" s="1" t="s">
        <v>16</v>
      </c>
      <c r="B1400" s="1" t="s">
        <v>90</v>
      </c>
      <c r="C1400" s="1" t="s">
        <v>25</v>
      </c>
      <c r="D1400" s="1">
        <v>0</v>
      </c>
      <c r="E1400" s="1">
        <v>-135.63</v>
      </c>
      <c r="F1400" s="1">
        <v>0</v>
      </c>
      <c r="G1400" s="1">
        <v>2237.884</v>
      </c>
      <c r="H1400" s="1">
        <v>0</v>
      </c>
      <c r="I1400" s="1">
        <v>-1085.0350000000001</v>
      </c>
    </row>
    <row r="1401" spans="1:9" hidden="1" x14ac:dyDescent="0.25">
      <c r="A1401" s="1" t="s">
        <v>16</v>
      </c>
      <c r="B1401" s="1" t="s">
        <v>90</v>
      </c>
      <c r="C1401" s="1" t="s">
        <v>10</v>
      </c>
      <c r="D1401" s="1">
        <v>0</v>
      </c>
      <c r="E1401" s="1">
        <v>-135.63</v>
      </c>
      <c r="F1401" s="1">
        <v>0</v>
      </c>
      <c r="G1401" s="1">
        <v>2237.884</v>
      </c>
      <c r="H1401" s="1">
        <v>0</v>
      </c>
      <c r="I1401" s="1">
        <v>-1627.5519999999999</v>
      </c>
    </row>
    <row r="1402" spans="1:9" hidden="1" x14ac:dyDescent="0.25">
      <c r="A1402" s="1" t="s">
        <v>16</v>
      </c>
      <c r="B1402" s="1" t="s">
        <v>91</v>
      </c>
      <c r="C1402" s="1" t="s">
        <v>25</v>
      </c>
      <c r="D1402" s="1">
        <v>0</v>
      </c>
      <c r="E1402" s="1">
        <v>-135.63</v>
      </c>
      <c r="F1402" s="1">
        <v>0</v>
      </c>
      <c r="G1402" s="1">
        <v>1830.9960000000001</v>
      </c>
      <c r="H1402" s="1">
        <v>0</v>
      </c>
      <c r="I1402" s="1">
        <v>-1085.0350000000001</v>
      </c>
    </row>
    <row r="1403" spans="1:9" hidden="1" x14ac:dyDescent="0.25">
      <c r="A1403" s="1" t="s">
        <v>16</v>
      </c>
      <c r="B1403" s="1" t="s">
        <v>91</v>
      </c>
      <c r="C1403" s="1" t="s">
        <v>10</v>
      </c>
      <c r="D1403" s="1">
        <v>0</v>
      </c>
      <c r="E1403" s="1">
        <v>-135.63</v>
      </c>
      <c r="F1403" s="1">
        <v>0</v>
      </c>
      <c r="G1403" s="1">
        <v>1830.9960000000001</v>
      </c>
      <c r="H1403" s="1">
        <v>0</v>
      </c>
      <c r="I1403" s="1">
        <v>-1627.5519999999999</v>
      </c>
    </row>
    <row r="1404" spans="1:9" hidden="1" x14ac:dyDescent="0.25">
      <c r="A1404" s="1" t="s">
        <v>16</v>
      </c>
      <c r="B1404" s="1" t="s">
        <v>92</v>
      </c>
      <c r="C1404" s="1" t="s">
        <v>25</v>
      </c>
      <c r="D1404" s="1">
        <v>0</v>
      </c>
      <c r="E1404" s="1">
        <v>135.63</v>
      </c>
      <c r="F1404" s="1">
        <v>0</v>
      </c>
      <c r="G1404" s="1">
        <v>-2237.884</v>
      </c>
      <c r="H1404" s="1">
        <v>0</v>
      </c>
      <c r="I1404" s="1">
        <v>1085.0350000000001</v>
      </c>
    </row>
    <row r="1405" spans="1:9" hidden="1" x14ac:dyDescent="0.25">
      <c r="A1405" s="1" t="s">
        <v>16</v>
      </c>
      <c r="B1405" s="1" t="s">
        <v>92</v>
      </c>
      <c r="C1405" s="1" t="s">
        <v>10</v>
      </c>
      <c r="D1405" s="1">
        <v>0</v>
      </c>
      <c r="E1405" s="1">
        <v>135.63</v>
      </c>
      <c r="F1405" s="1">
        <v>0</v>
      </c>
      <c r="G1405" s="1">
        <v>-2237.884</v>
      </c>
      <c r="H1405" s="1">
        <v>0</v>
      </c>
      <c r="I1405" s="1">
        <v>1627.5519999999999</v>
      </c>
    </row>
    <row r="1406" spans="1:9" hidden="1" x14ac:dyDescent="0.25">
      <c r="A1406" s="1" t="s">
        <v>16</v>
      </c>
      <c r="B1406" s="1" t="s">
        <v>93</v>
      </c>
      <c r="C1406" s="1" t="s">
        <v>25</v>
      </c>
      <c r="D1406" s="1">
        <v>0</v>
      </c>
      <c r="E1406" s="1">
        <v>135.63</v>
      </c>
      <c r="F1406" s="1">
        <v>0</v>
      </c>
      <c r="G1406" s="1">
        <v>-1830.9960000000001</v>
      </c>
      <c r="H1406" s="1">
        <v>0</v>
      </c>
      <c r="I1406" s="1">
        <v>1085.0350000000001</v>
      </c>
    </row>
    <row r="1407" spans="1:9" hidden="1" x14ac:dyDescent="0.25">
      <c r="A1407" s="1" t="s">
        <v>16</v>
      </c>
      <c r="B1407" s="1" t="s">
        <v>93</v>
      </c>
      <c r="C1407" s="1" t="s">
        <v>10</v>
      </c>
      <c r="D1407" s="1">
        <v>0</v>
      </c>
      <c r="E1407" s="1">
        <v>135.63</v>
      </c>
      <c r="F1407" s="1">
        <v>0</v>
      </c>
      <c r="G1407" s="1">
        <v>-1830.9960000000001</v>
      </c>
      <c r="H1407" s="1">
        <v>0</v>
      </c>
      <c r="I1407" s="1">
        <v>1627.5519999999999</v>
      </c>
    </row>
    <row r="1408" spans="1:9" hidden="1" x14ac:dyDescent="0.25">
      <c r="A1408" s="1" t="s">
        <v>16</v>
      </c>
      <c r="B1408" s="1" t="s">
        <v>94</v>
      </c>
      <c r="C1408" s="1" t="s">
        <v>25</v>
      </c>
      <c r="D1408" s="1">
        <v>0</v>
      </c>
      <c r="E1408" s="1">
        <v>0</v>
      </c>
      <c r="F1408" s="1">
        <v>-163.94</v>
      </c>
      <c r="G1408" s="1">
        <v>-3246.0680000000002</v>
      </c>
      <c r="H1408" s="1">
        <v>1311.5429999999999</v>
      </c>
      <c r="I1408" s="1">
        <v>0</v>
      </c>
    </row>
    <row r="1409" spans="1:9" hidden="1" x14ac:dyDescent="0.25">
      <c r="A1409" s="1" t="s">
        <v>16</v>
      </c>
      <c r="B1409" s="1" t="s">
        <v>94</v>
      </c>
      <c r="C1409" s="1" t="s">
        <v>10</v>
      </c>
      <c r="D1409" s="1">
        <v>0</v>
      </c>
      <c r="E1409" s="1">
        <v>0</v>
      </c>
      <c r="F1409" s="1">
        <v>-163.94</v>
      </c>
      <c r="G1409" s="1">
        <v>-3246.0680000000002</v>
      </c>
      <c r="H1409" s="1">
        <v>1967.3140000000001</v>
      </c>
      <c r="I1409" s="1">
        <v>0</v>
      </c>
    </row>
    <row r="1410" spans="1:9" hidden="1" x14ac:dyDescent="0.25">
      <c r="A1410" s="1" t="s">
        <v>16</v>
      </c>
      <c r="B1410" s="1" t="s">
        <v>95</v>
      </c>
      <c r="C1410" s="1" t="s">
        <v>25</v>
      </c>
      <c r="D1410" s="1">
        <v>0</v>
      </c>
      <c r="E1410" s="1">
        <v>0</v>
      </c>
      <c r="F1410" s="1">
        <v>-163.94</v>
      </c>
      <c r="G1410" s="1">
        <v>-2655.8739999999998</v>
      </c>
      <c r="H1410" s="1">
        <v>1311.5429999999999</v>
      </c>
      <c r="I1410" s="1">
        <v>0</v>
      </c>
    </row>
    <row r="1411" spans="1:9" hidden="1" x14ac:dyDescent="0.25">
      <c r="A1411" s="1" t="s">
        <v>16</v>
      </c>
      <c r="B1411" s="1" t="s">
        <v>95</v>
      </c>
      <c r="C1411" s="1" t="s">
        <v>10</v>
      </c>
      <c r="D1411" s="1">
        <v>0</v>
      </c>
      <c r="E1411" s="1">
        <v>0</v>
      </c>
      <c r="F1411" s="1">
        <v>-163.94</v>
      </c>
      <c r="G1411" s="1">
        <v>-2655.8739999999998</v>
      </c>
      <c r="H1411" s="1">
        <v>1967.3140000000001</v>
      </c>
      <c r="I1411" s="1">
        <v>0</v>
      </c>
    </row>
    <row r="1412" spans="1:9" hidden="1" x14ac:dyDescent="0.25">
      <c r="A1412" s="1" t="s">
        <v>16</v>
      </c>
      <c r="B1412" s="1" t="s">
        <v>96</v>
      </c>
      <c r="C1412" s="1" t="s">
        <v>25</v>
      </c>
      <c r="D1412" s="1">
        <v>0</v>
      </c>
      <c r="E1412" s="1">
        <v>0</v>
      </c>
      <c r="F1412" s="1">
        <v>163.94</v>
      </c>
      <c r="G1412" s="1">
        <v>3246.0680000000002</v>
      </c>
      <c r="H1412" s="1">
        <v>-1311.5429999999999</v>
      </c>
      <c r="I1412" s="1">
        <v>0</v>
      </c>
    </row>
    <row r="1413" spans="1:9" hidden="1" x14ac:dyDescent="0.25">
      <c r="A1413" s="1" t="s">
        <v>16</v>
      </c>
      <c r="B1413" s="1" t="s">
        <v>96</v>
      </c>
      <c r="C1413" s="1" t="s">
        <v>10</v>
      </c>
      <c r="D1413" s="1">
        <v>0</v>
      </c>
      <c r="E1413" s="1">
        <v>0</v>
      </c>
      <c r="F1413" s="1">
        <v>163.94</v>
      </c>
      <c r="G1413" s="1">
        <v>3246.0680000000002</v>
      </c>
      <c r="H1413" s="1">
        <v>-1967.3140000000001</v>
      </c>
      <c r="I1413" s="1">
        <v>0</v>
      </c>
    </row>
    <row r="1414" spans="1:9" hidden="1" x14ac:dyDescent="0.25">
      <c r="A1414" s="1" t="s">
        <v>16</v>
      </c>
      <c r="B1414" s="1" t="s">
        <v>97</v>
      </c>
      <c r="C1414" s="1" t="s">
        <v>25</v>
      </c>
      <c r="D1414" s="1">
        <v>0</v>
      </c>
      <c r="E1414" s="1">
        <v>0</v>
      </c>
      <c r="F1414" s="1">
        <v>163.94</v>
      </c>
      <c r="G1414" s="1">
        <v>2655.8739999999998</v>
      </c>
      <c r="H1414" s="1">
        <v>-1311.5429999999999</v>
      </c>
      <c r="I1414" s="1">
        <v>0</v>
      </c>
    </row>
    <row r="1415" spans="1:9" hidden="1" x14ac:dyDescent="0.25">
      <c r="A1415" s="1" t="s">
        <v>16</v>
      </c>
      <c r="B1415" s="1" t="s">
        <v>97</v>
      </c>
      <c r="C1415" s="1" t="s">
        <v>10</v>
      </c>
      <c r="D1415" s="1">
        <v>0</v>
      </c>
      <c r="E1415" s="1">
        <v>0</v>
      </c>
      <c r="F1415" s="1">
        <v>163.94</v>
      </c>
      <c r="G1415" s="1">
        <v>2655.8739999999998</v>
      </c>
      <c r="H1415" s="1">
        <v>-1967.3140000000001</v>
      </c>
      <c r="I1415" s="1">
        <v>0</v>
      </c>
    </row>
    <row r="1416" spans="1:9" hidden="1" x14ac:dyDescent="0.25">
      <c r="A1416" s="1" t="s">
        <v>16</v>
      </c>
      <c r="B1416" s="1" t="s">
        <v>14</v>
      </c>
      <c r="C1416" s="1" t="s">
        <v>25</v>
      </c>
      <c r="D1416" s="1">
        <v>0</v>
      </c>
      <c r="E1416" s="1">
        <v>280.18</v>
      </c>
      <c r="F1416" s="1">
        <v>0</v>
      </c>
      <c r="G1416" s="1">
        <v>4905.9930000000004</v>
      </c>
      <c r="H1416" s="1">
        <v>0</v>
      </c>
      <c r="I1416" s="1">
        <v>2110.34</v>
      </c>
    </row>
    <row r="1417" spans="1:9" hidden="1" x14ac:dyDescent="0.25">
      <c r="A1417" s="1" t="s">
        <v>16</v>
      </c>
      <c r="B1417" s="1" t="s">
        <v>14</v>
      </c>
      <c r="C1417" s="1" t="s">
        <v>10</v>
      </c>
      <c r="D1417" s="1">
        <v>0</v>
      </c>
      <c r="E1417" s="1">
        <v>280.18</v>
      </c>
      <c r="F1417" s="1">
        <v>0</v>
      </c>
      <c r="G1417" s="1">
        <v>4905.9930000000004</v>
      </c>
      <c r="H1417" s="1">
        <v>0</v>
      </c>
      <c r="I1417" s="1">
        <v>3085.0610000000001</v>
      </c>
    </row>
    <row r="1418" spans="1:9" hidden="1" x14ac:dyDescent="0.25">
      <c r="A1418" s="1" t="s">
        <v>16</v>
      </c>
      <c r="B1418" s="1" t="s">
        <v>98</v>
      </c>
      <c r="C1418" s="1" t="s">
        <v>25</v>
      </c>
      <c r="D1418" s="1">
        <v>0</v>
      </c>
      <c r="E1418" s="1">
        <v>-280.18</v>
      </c>
      <c r="F1418" s="1">
        <v>0</v>
      </c>
      <c r="G1418" s="1">
        <v>-4905.9930000000004</v>
      </c>
      <c r="H1418" s="1">
        <v>0</v>
      </c>
      <c r="I1418" s="1">
        <v>-2110.34</v>
      </c>
    </row>
    <row r="1419" spans="1:9" hidden="1" x14ac:dyDescent="0.25">
      <c r="A1419" s="1" t="s">
        <v>16</v>
      </c>
      <c r="B1419" s="1" t="s">
        <v>98</v>
      </c>
      <c r="C1419" s="1" t="s">
        <v>10</v>
      </c>
      <c r="D1419" s="1">
        <v>0</v>
      </c>
      <c r="E1419" s="1">
        <v>-280.18</v>
      </c>
      <c r="F1419" s="1">
        <v>0</v>
      </c>
      <c r="G1419" s="1">
        <v>-4905.9930000000004</v>
      </c>
      <c r="H1419" s="1">
        <v>0</v>
      </c>
      <c r="I1419" s="1">
        <v>-3085.0610000000001</v>
      </c>
    </row>
    <row r="1420" spans="1:9" hidden="1" x14ac:dyDescent="0.25">
      <c r="A1420" s="1" t="s">
        <v>16</v>
      </c>
      <c r="B1420" s="1" t="s">
        <v>15</v>
      </c>
      <c r="C1420" s="1" t="s">
        <v>25</v>
      </c>
      <c r="D1420" s="1">
        <v>0</v>
      </c>
      <c r="E1420" s="1">
        <v>0</v>
      </c>
      <c r="F1420" s="1">
        <v>671.3</v>
      </c>
      <c r="G1420" s="1">
        <v>13533.749</v>
      </c>
      <c r="H1420" s="1">
        <v>5424.0720000000001</v>
      </c>
      <c r="I1420" s="1">
        <v>0</v>
      </c>
    </row>
    <row r="1421" spans="1:9" hidden="1" x14ac:dyDescent="0.25">
      <c r="A1421" s="1" t="s">
        <v>16</v>
      </c>
      <c r="B1421" s="1" t="s">
        <v>15</v>
      </c>
      <c r="C1421" s="1" t="s">
        <v>10</v>
      </c>
      <c r="D1421" s="1">
        <v>0</v>
      </c>
      <c r="E1421" s="1">
        <v>0</v>
      </c>
      <c r="F1421" s="1">
        <v>671.3</v>
      </c>
      <c r="G1421" s="1">
        <v>13533.749</v>
      </c>
      <c r="H1421" s="1">
        <v>8023.2150000000001</v>
      </c>
      <c r="I1421" s="1">
        <v>0</v>
      </c>
    </row>
    <row r="1422" spans="1:9" hidden="1" x14ac:dyDescent="0.25">
      <c r="A1422" s="1" t="s">
        <v>16</v>
      </c>
      <c r="B1422" s="1" t="s">
        <v>99</v>
      </c>
      <c r="C1422" s="1" t="s">
        <v>25</v>
      </c>
      <c r="D1422" s="1">
        <v>0</v>
      </c>
      <c r="E1422" s="1">
        <v>0</v>
      </c>
      <c r="F1422" s="1">
        <v>-671.3</v>
      </c>
      <c r="G1422" s="1">
        <v>-13533.749</v>
      </c>
      <c r="H1422" s="1">
        <v>-5424.0720000000001</v>
      </c>
      <c r="I1422" s="1">
        <v>0</v>
      </c>
    </row>
    <row r="1423" spans="1:9" hidden="1" x14ac:dyDescent="0.25">
      <c r="A1423" s="1" t="s">
        <v>16</v>
      </c>
      <c r="B1423" s="1" t="s">
        <v>99</v>
      </c>
      <c r="C1423" s="1" t="s">
        <v>10</v>
      </c>
      <c r="D1423" s="1">
        <v>0</v>
      </c>
      <c r="E1423" s="1">
        <v>0</v>
      </c>
      <c r="F1423" s="1">
        <v>-671.3</v>
      </c>
      <c r="G1423" s="1">
        <v>-13533.749</v>
      </c>
      <c r="H1423" s="1">
        <v>-8023.2150000000001</v>
      </c>
      <c r="I1423" s="1">
        <v>0</v>
      </c>
    </row>
    <row r="1424" spans="1:9" hidden="1" x14ac:dyDescent="0.25">
      <c r="A1424" s="1" t="s">
        <v>16</v>
      </c>
      <c r="B1424" s="1" t="s">
        <v>100</v>
      </c>
      <c r="C1424" s="1" t="s">
        <v>25</v>
      </c>
      <c r="D1424" s="1">
        <v>0</v>
      </c>
      <c r="E1424" s="1">
        <v>280.18</v>
      </c>
      <c r="F1424" s="1">
        <v>0</v>
      </c>
      <c r="G1424" s="1">
        <v>4905.9930000000004</v>
      </c>
      <c r="H1424" s="1">
        <v>0</v>
      </c>
      <c r="I1424" s="1">
        <v>2110.34</v>
      </c>
    </row>
    <row r="1425" spans="1:9" hidden="1" x14ac:dyDescent="0.25">
      <c r="A1425" s="1" t="s">
        <v>16</v>
      </c>
      <c r="B1425" s="1" t="s">
        <v>100</v>
      </c>
      <c r="C1425" s="1" t="s">
        <v>10</v>
      </c>
      <c r="D1425" s="1">
        <v>0</v>
      </c>
      <c r="E1425" s="1">
        <v>280.18</v>
      </c>
      <c r="F1425" s="1">
        <v>0</v>
      </c>
      <c r="G1425" s="1">
        <v>4905.9930000000004</v>
      </c>
      <c r="H1425" s="1">
        <v>0</v>
      </c>
      <c r="I1425" s="1">
        <v>3085.0610000000001</v>
      </c>
    </row>
    <row r="1426" spans="1:9" hidden="1" x14ac:dyDescent="0.25">
      <c r="A1426" s="1" t="s">
        <v>16</v>
      </c>
      <c r="B1426" s="1" t="s">
        <v>101</v>
      </c>
      <c r="C1426" s="1" t="s">
        <v>25</v>
      </c>
      <c r="D1426" s="1">
        <v>0</v>
      </c>
      <c r="E1426" s="1">
        <v>-280.18</v>
      </c>
      <c r="F1426" s="1">
        <v>0</v>
      </c>
      <c r="G1426" s="1">
        <v>-4905.9930000000004</v>
      </c>
      <c r="H1426" s="1">
        <v>0</v>
      </c>
      <c r="I1426" s="1">
        <v>-2110.34</v>
      </c>
    </row>
    <row r="1427" spans="1:9" hidden="1" x14ac:dyDescent="0.25">
      <c r="A1427" s="1" t="s">
        <v>16</v>
      </c>
      <c r="B1427" s="1" t="s">
        <v>101</v>
      </c>
      <c r="C1427" s="1" t="s">
        <v>10</v>
      </c>
      <c r="D1427" s="1">
        <v>0</v>
      </c>
      <c r="E1427" s="1">
        <v>-280.18</v>
      </c>
      <c r="F1427" s="1">
        <v>0</v>
      </c>
      <c r="G1427" s="1">
        <v>-4905.9930000000004</v>
      </c>
      <c r="H1427" s="1">
        <v>0</v>
      </c>
      <c r="I1427" s="1">
        <v>-3085.0610000000001</v>
      </c>
    </row>
    <row r="1428" spans="1:9" hidden="1" x14ac:dyDescent="0.25">
      <c r="A1428" s="1" t="s">
        <v>16</v>
      </c>
      <c r="B1428" s="1" t="s">
        <v>102</v>
      </c>
      <c r="C1428" s="1" t="s">
        <v>25</v>
      </c>
      <c r="D1428" s="1">
        <v>0</v>
      </c>
      <c r="E1428" s="1">
        <v>280.18</v>
      </c>
      <c r="F1428" s="1">
        <v>0</v>
      </c>
      <c r="G1428" s="1">
        <v>4905.9930000000004</v>
      </c>
      <c r="H1428" s="1">
        <v>0</v>
      </c>
      <c r="I1428" s="1">
        <v>2110.34</v>
      </c>
    </row>
    <row r="1429" spans="1:9" hidden="1" x14ac:dyDescent="0.25">
      <c r="A1429" s="1" t="s">
        <v>16</v>
      </c>
      <c r="B1429" s="1" t="s">
        <v>102</v>
      </c>
      <c r="C1429" s="1" t="s">
        <v>10</v>
      </c>
      <c r="D1429" s="1">
        <v>0</v>
      </c>
      <c r="E1429" s="1">
        <v>280.18</v>
      </c>
      <c r="F1429" s="1">
        <v>0</v>
      </c>
      <c r="G1429" s="1">
        <v>4905.9930000000004</v>
      </c>
      <c r="H1429" s="1">
        <v>0</v>
      </c>
      <c r="I1429" s="1">
        <v>3085.0610000000001</v>
      </c>
    </row>
    <row r="1430" spans="1:9" hidden="1" x14ac:dyDescent="0.25">
      <c r="A1430" s="1" t="s">
        <v>16</v>
      </c>
      <c r="B1430" s="1" t="s">
        <v>103</v>
      </c>
      <c r="C1430" s="1" t="s">
        <v>25</v>
      </c>
      <c r="D1430" s="1">
        <v>0</v>
      </c>
      <c r="E1430" s="1">
        <v>-280.18</v>
      </c>
      <c r="F1430" s="1">
        <v>0</v>
      </c>
      <c r="G1430" s="1">
        <v>-4905.9930000000004</v>
      </c>
      <c r="H1430" s="1">
        <v>0</v>
      </c>
      <c r="I1430" s="1">
        <v>-2110.34</v>
      </c>
    </row>
    <row r="1431" spans="1:9" hidden="1" x14ac:dyDescent="0.25">
      <c r="A1431" s="1" t="s">
        <v>16</v>
      </c>
      <c r="B1431" s="1" t="s">
        <v>103</v>
      </c>
      <c r="C1431" s="1" t="s">
        <v>10</v>
      </c>
      <c r="D1431" s="1">
        <v>0</v>
      </c>
      <c r="E1431" s="1">
        <v>-280.18</v>
      </c>
      <c r="F1431" s="1">
        <v>0</v>
      </c>
      <c r="G1431" s="1">
        <v>-4905.9930000000004</v>
      </c>
      <c r="H1431" s="1">
        <v>0</v>
      </c>
      <c r="I1431" s="1">
        <v>-3085.0610000000001</v>
      </c>
    </row>
    <row r="1432" spans="1:9" hidden="1" x14ac:dyDescent="0.25">
      <c r="A1432" s="1" t="s">
        <v>16</v>
      </c>
      <c r="B1432" s="1" t="s">
        <v>104</v>
      </c>
      <c r="C1432" s="1" t="s">
        <v>25</v>
      </c>
      <c r="D1432" s="1">
        <v>0</v>
      </c>
      <c r="E1432" s="1">
        <v>0</v>
      </c>
      <c r="F1432" s="1">
        <v>671.3</v>
      </c>
      <c r="G1432" s="1">
        <v>13533.749</v>
      </c>
      <c r="H1432" s="1">
        <v>5424.0720000000001</v>
      </c>
      <c r="I1432" s="1">
        <v>0</v>
      </c>
    </row>
    <row r="1433" spans="1:9" hidden="1" x14ac:dyDescent="0.25">
      <c r="A1433" s="1" t="s">
        <v>16</v>
      </c>
      <c r="B1433" s="1" t="s">
        <v>104</v>
      </c>
      <c r="C1433" s="1" t="s">
        <v>10</v>
      </c>
      <c r="D1433" s="1">
        <v>0</v>
      </c>
      <c r="E1433" s="1">
        <v>0</v>
      </c>
      <c r="F1433" s="1">
        <v>671.3</v>
      </c>
      <c r="G1433" s="1">
        <v>13533.749</v>
      </c>
      <c r="H1433" s="1">
        <v>8023.2150000000001</v>
      </c>
      <c r="I1433" s="1">
        <v>0</v>
      </c>
    </row>
    <row r="1434" spans="1:9" hidden="1" x14ac:dyDescent="0.25">
      <c r="A1434" s="1" t="s">
        <v>16</v>
      </c>
      <c r="B1434" s="1" t="s">
        <v>105</v>
      </c>
      <c r="C1434" s="1" t="s">
        <v>25</v>
      </c>
      <c r="D1434" s="1">
        <v>0</v>
      </c>
      <c r="E1434" s="1">
        <v>0</v>
      </c>
      <c r="F1434" s="1">
        <v>-671.3</v>
      </c>
      <c r="G1434" s="1">
        <v>-13533.749</v>
      </c>
      <c r="H1434" s="1">
        <v>-5424.0720000000001</v>
      </c>
      <c r="I1434" s="1">
        <v>0</v>
      </c>
    </row>
    <row r="1435" spans="1:9" hidden="1" x14ac:dyDescent="0.25">
      <c r="A1435" s="1" t="s">
        <v>16</v>
      </c>
      <c r="B1435" s="1" t="s">
        <v>105</v>
      </c>
      <c r="C1435" s="1" t="s">
        <v>10</v>
      </c>
      <c r="D1435" s="1">
        <v>0</v>
      </c>
      <c r="E1435" s="1">
        <v>0</v>
      </c>
      <c r="F1435" s="1">
        <v>-671.3</v>
      </c>
      <c r="G1435" s="1">
        <v>-13533.749</v>
      </c>
      <c r="H1435" s="1">
        <v>-8023.2150000000001</v>
      </c>
      <c r="I1435" s="1">
        <v>0</v>
      </c>
    </row>
    <row r="1436" spans="1:9" hidden="1" x14ac:dyDescent="0.25">
      <c r="A1436" s="1" t="s">
        <v>16</v>
      </c>
      <c r="B1436" s="1" t="s">
        <v>106</v>
      </c>
      <c r="C1436" s="1" t="s">
        <v>25</v>
      </c>
      <c r="D1436" s="1">
        <v>0</v>
      </c>
      <c r="E1436" s="1">
        <v>0</v>
      </c>
      <c r="F1436" s="1">
        <v>671.3</v>
      </c>
      <c r="G1436" s="1">
        <v>13533.749</v>
      </c>
      <c r="H1436" s="1">
        <v>5424.0720000000001</v>
      </c>
      <c r="I1436" s="1">
        <v>0</v>
      </c>
    </row>
    <row r="1437" spans="1:9" hidden="1" x14ac:dyDescent="0.25">
      <c r="A1437" s="1" t="s">
        <v>16</v>
      </c>
      <c r="B1437" s="1" t="s">
        <v>106</v>
      </c>
      <c r="C1437" s="1" t="s">
        <v>10</v>
      </c>
      <c r="D1437" s="1">
        <v>0</v>
      </c>
      <c r="E1437" s="1">
        <v>0</v>
      </c>
      <c r="F1437" s="1">
        <v>671.3</v>
      </c>
      <c r="G1437" s="1">
        <v>13533.749</v>
      </c>
      <c r="H1437" s="1">
        <v>8023.2150000000001</v>
      </c>
      <c r="I1437" s="1">
        <v>0</v>
      </c>
    </row>
    <row r="1438" spans="1:9" hidden="1" x14ac:dyDescent="0.25">
      <c r="A1438" s="1" t="s">
        <v>16</v>
      </c>
      <c r="B1438" s="1" t="s">
        <v>107</v>
      </c>
      <c r="C1438" s="1" t="s">
        <v>25</v>
      </c>
      <c r="D1438" s="1">
        <v>0</v>
      </c>
      <c r="E1438" s="1">
        <v>0</v>
      </c>
      <c r="F1438" s="1">
        <v>-671.3</v>
      </c>
      <c r="G1438" s="1">
        <v>-13533.749</v>
      </c>
      <c r="H1438" s="1">
        <v>-5424.0720000000001</v>
      </c>
      <c r="I1438" s="1">
        <v>0</v>
      </c>
    </row>
    <row r="1439" spans="1:9" hidden="1" x14ac:dyDescent="0.25">
      <c r="A1439" s="1" t="s">
        <v>16</v>
      </c>
      <c r="B1439" s="1" t="s">
        <v>107</v>
      </c>
      <c r="C1439" s="1" t="s">
        <v>10</v>
      </c>
      <c r="D1439" s="1">
        <v>0</v>
      </c>
      <c r="E1439" s="1">
        <v>0</v>
      </c>
      <c r="F1439" s="1">
        <v>-671.3</v>
      </c>
      <c r="G1439" s="1">
        <v>-13533.749</v>
      </c>
      <c r="H1439" s="1">
        <v>-8023.2150000000001</v>
      </c>
      <c r="I1439" s="1">
        <v>0</v>
      </c>
    </row>
    <row r="1440" spans="1:9" hidden="1" x14ac:dyDescent="0.25">
      <c r="A1440" s="1" t="s">
        <v>16</v>
      </c>
      <c r="B1440" s="1" t="s">
        <v>108</v>
      </c>
      <c r="C1440" s="1" t="s">
        <v>25</v>
      </c>
      <c r="D1440" s="1">
        <v>0</v>
      </c>
      <c r="E1440" s="1">
        <v>84.06</v>
      </c>
      <c r="F1440" s="1">
        <v>0</v>
      </c>
      <c r="G1440" s="1">
        <v>1471.798</v>
      </c>
      <c r="H1440" s="1">
        <v>0</v>
      </c>
      <c r="I1440" s="1">
        <v>633.10199999999998</v>
      </c>
    </row>
    <row r="1441" spans="1:9" hidden="1" x14ac:dyDescent="0.25">
      <c r="A1441" s="1" t="s">
        <v>16</v>
      </c>
      <c r="B1441" s="1" t="s">
        <v>108</v>
      </c>
      <c r="C1441" s="1" t="s">
        <v>10</v>
      </c>
      <c r="D1441" s="1">
        <v>0</v>
      </c>
      <c r="E1441" s="1">
        <v>84.06</v>
      </c>
      <c r="F1441" s="1">
        <v>0</v>
      </c>
      <c r="G1441" s="1">
        <v>1471.798</v>
      </c>
      <c r="H1441" s="1">
        <v>0</v>
      </c>
      <c r="I1441" s="1">
        <v>925.51800000000003</v>
      </c>
    </row>
    <row r="1442" spans="1:9" hidden="1" x14ac:dyDescent="0.25">
      <c r="A1442" s="1" t="s">
        <v>16</v>
      </c>
      <c r="B1442" s="1" t="s">
        <v>109</v>
      </c>
      <c r="C1442" s="1" t="s">
        <v>25</v>
      </c>
      <c r="D1442" s="1">
        <v>0</v>
      </c>
      <c r="E1442" s="1">
        <v>-84.06</v>
      </c>
      <c r="F1442" s="1">
        <v>0</v>
      </c>
      <c r="G1442" s="1">
        <v>-1471.798</v>
      </c>
      <c r="H1442" s="1">
        <v>0</v>
      </c>
      <c r="I1442" s="1">
        <v>-633.10199999999998</v>
      </c>
    </row>
    <row r="1443" spans="1:9" hidden="1" x14ac:dyDescent="0.25">
      <c r="A1443" s="1" t="s">
        <v>16</v>
      </c>
      <c r="B1443" s="1" t="s">
        <v>109</v>
      </c>
      <c r="C1443" s="1" t="s">
        <v>10</v>
      </c>
      <c r="D1443" s="1">
        <v>0</v>
      </c>
      <c r="E1443" s="1">
        <v>-84.06</v>
      </c>
      <c r="F1443" s="1">
        <v>0</v>
      </c>
      <c r="G1443" s="1">
        <v>-1471.798</v>
      </c>
      <c r="H1443" s="1">
        <v>0</v>
      </c>
      <c r="I1443" s="1">
        <v>-925.51800000000003</v>
      </c>
    </row>
    <row r="1444" spans="1:9" hidden="1" x14ac:dyDescent="0.25">
      <c r="A1444" s="1" t="s">
        <v>16</v>
      </c>
      <c r="B1444" s="1" t="s">
        <v>110</v>
      </c>
      <c r="C1444" s="1" t="s">
        <v>25</v>
      </c>
      <c r="D1444" s="1">
        <v>0</v>
      </c>
      <c r="E1444" s="1">
        <v>84.06</v>
      </c>
      <c r="F1444" s="1">
        <v>0</v>
      </c>
      <c r="G1444" s="1">
        <v>1471.798</v>
      </c>
      <c r="H1444" s="1">
        <v>0</v>
      </c>
      <c r="I1444" s="1">
        <v>633.10199999999998</v>
      </c>
    </row>
    <row r="1445" spans="1:9" hidden="1" x14ac:dyDescent="0.25">
      <c r="A1445" s="1" t="s">
        <v>16</v>
      </c>
      <c r="B1445" s="1" t="s">
        <v>110</v>
      </c>
      <c r="C1445" s="1" t="s">
        <v>10</v>
      </c>
      <c r="D1445" s="1">
        <v>0</v>
      </c>
      <c r="E1445" s="1">
        <v>84.06</v>
      </c>
      <c r="F1445" s="1">
        <v>0</v>
      </c>
      <c r="G1445" s="1">
        <v>1471.798</v>
      </c>
      <c r="H1445" s="1">
        <v>0</v>
      </c>
      <c r="I1445" s="1">
        <v>925.51800000000003</v>
      </c>
    </row>
    <row r="1446" spans="1:9" hidden="1" x14ac:dyDescent="0.25">
      <c r="A1446" s="1" t="s">
        <v>16</v>
      </c>
      <c r="B1446" s="1" t="s">
        <v>111</v>
      </c>
      <c r="C1446" s="1" t="s">
        <v>25</v>
      </c>
      <c r="D1446" s="1">
        <v>0</v>
      </c>
      <c r="E1446" s="1">
        <v>-84.06</v>
      </c>
      <c r="F1446" s="1">
        <v>0</v>
      </c>
      <c r="G1446" s="1">
        <v>-1471.798</v>
      </c>
      <c r="H1446" s="1">
        <v>0</v>
      </c>
      <c r="I1446" s="1">
        <v>-633.10199999999998</v>
      </c>
    </row>
    <row r="1447" spans="1:9" hidden="1" x14ac:dyDescent="0.25">
      <c r="A1447" s="1" t="s">
        <v>16</v>
      </c>
      <c r="B1447" s="1" t="s">
        <v>111</v>
      </c>
      <c r="C1447" s="1" t="s">
        <v>10</v>
      </c>
      <c r="D1447" s="1">
        <v>0</v>
      </c>
      <c r="E1447" s="1">
        <v>-84.06</v>
      </c>
      <c r="F1447" s="1">
        <v>0</v>
      </c>
      <c r="G1447" s="1">
        <v>-1471.798</v>
      </c>
      <c r="H1447" s="1">
        <v>0</v>
      </c>
      <c r="I1447" s="1">
        <v>-925.51800000000003</v>
      </c>
    </row>
    <row r="1448" spans="1:9" hidden="1" x14ac:dyDescent="0.25">
      <c r="A1448" s="1" t="s">
        <v>16</v>
      </c>
      <c r="B1448" s="1" t="s">
        <v>112</v>
      </c>
      <c r="C1448" s="1" t="s">
        <v>25</v>
      </c>
      <c r="D1448" s="1">
        <v>0</v>
      </c>
      <c r="E1448" s="1">
        <v>0</v>
      </c>
      <c r="F1448" s="1">
        <v>201.39</v>
      </c>
      <c r="G1448" s="1">
        <v>4060.125</v>
      </c>
      <c r="H1448" s="1">
        <v>1627.222</v>
      </c>
      <c r="I1448" s="1">
        <v>0</v>
      </c>
    </row>
    <row r="1449" spans="1:9" hidden="1" x14ac:dyDescent="0.25">
      <c r="A1449" s="1" t="s">
        <v>16</v>
      </c>
      <c r="B1449" s="1" t="s">
        <v>112</v>
      </c>
      <c r="C1449" s="1" t="s">
        <v>10</v>
      </c>
      <c r="D1449" s="1">
        <v>0</v>
      </c>
      <c r="E1449" s="1">
        <v>0</v>
      </c>
      <c r="F1449" s="1">
        <v>201.39</v>
      </c>
      <c r="G1449" s="1">
        <v>4060.125</v>
      </c>
      <c r="H1449" s="1">
        <v>2406.9650000000001</v>
      </c>
      <c r="I1449" s="1">
        <v>0</v>
      </c>
    </row>
    <row r="1450" spans="1:9" hidden="1" x14ac:dyDescent="0.25">
      <c r="A1450" s="1" t="s">
        <v>16</v>
      </c>
      <c r="B1450" s="1" t="s">
        <v>113</v>
      </c>
      <c r="C1450" s="1" t="s">
        <v>25</v>
      </c>
      <c r="D1450" s="1">
        <v>0</v>
      </c>
      <c r="E1450" s="1">
        <v>0</v>
      </c>
      <c r="F1450" s="1">
        <v>-201.39</v>
      </c>
      <c r="G1450" s="1">
        <v>-4060.125</v>
      </c>
      <c r="H1450" s="1">
        <v>-1627.222</v>
      </c>
      <c r="I1450" s="1">
        <v>0</v>
      </c>
    </row>
    <row r="1451" spans="1:9" hidden="1" x14ac:dyDescent="0.25">
      <c r="A1451" s="1" t="s">
        <v>16</v>
      </c>
      <c r="B1451" s="1" t="s">
        <v>113</v>
      </c>
      <c r="C1451" s="1" t="s">
        <v>10</v>
      </c>
      <c r="D1451" s="1">
        <v>0</v>
      </c>
      <c r="E1451" s="1">
        <v>0</v>
      </c>
      <c r="F1451" s="1">
        <v>-201.39</v>
      </c>
      <c r="G1451" s="1">
        <v>-4060.125</v>
      </c>
      <c r="H1451" s="1">
        <v>-2406.9650000000001</v>
      </c>
      <c r="I1451" s="1">
        <v>0</v>
      </c>
    </row>
    <row r="1452" spans="1:9" hidden="1" x14ac:dyDescent="0.25">
      <c r="A1452" s="1" t="s">
        <v>16</v>
      </c>
      <c r="B1452" s="1" t="s">
        <v>114</v>
      </c>
      <c r="C1452" s="1" t="s">
        <v>25</v>
      </c>
      <c r="D1452" s="1">
        <v>0</v>
      </c>
      <c r="E1452" s="1">
        <v>0</v>
      </c>
      <c r="F1452" s="1">
        <v>201.39</v>
      </c>
      <c r="G1452" s="1">
        <v>4060.125</v>
      </c>
      <c r="H1452" s="1">
        <v>1627.222</v>
      </c>
      <c r="I1452" s="1">
        <v>0</v>
      </c>
    </row>
    <row r="1453" spans="1:9" hidden="1" x14ac:dyDescent="0.25">
      <c r="A1453" s="1" t="s">
        <v>16</v>
      </c>
      <c r="B1453" s="1" t="s">
        <v>114</v>
      </c>
      <c r="C1453" s="1" t="s">
        <v>10</v>
      </c>
      <c r="D1453" s="1">
        <v>0</v>
      </c>
      <c r="E1453" s="1">
        <v>0</v>
      </c>
      <c r="F1453" s="1">
        <v>201.39</v>
      </c>
      <c r="G1453" s="1">
        <v>4060.125</v>
      </c>
      <c r="H1453" s="1">
        <v>2406.9650000000001</v>
      </c>
      <c r="I1453" s="1">
        <v>0</v>
      </c>
    </row>
    <row r="1454" spans="1:9" hidden="1" x14ac:dyDescent="0.25">
      <c r="A1454" s="1" t="s">
        <v>16</v>
      </c>
      <c r="B1454" s="1" t="s">
        <v>115</v>
      </c>
      <c r="C1454" s="1" t="s">
        <v>25</v>
      </c>
      <c r="D1454" s="1">
        <v>0</v>
      </c>
      <c r="E1454" s="1">
        <v>0</v>
      </c>
      <c r="F1454" s="1">
        <v>-201.39</v>
      </c>
      <c r="G1454" s="1">
        <v>-4060.125</v>
      </c>
      <c r="H1454" s="1">
        <v>-1627.222</v>
      </c>
      <c r="I1454" s="1">
        <v>0</v>
      </c>
    </row>
    <row r="1455" spans="1:9" hidden="1" x14ac:dyDescent="0.25">
      <c r="A1455" s="1" t="s">
        <v>16</v>
      </c>
      <c r="B1455" s="1" t="s">
        <v>115</v>
      </c>
      <c r="C1455" s="1" t="s">
        <v>10</v>
      </c>
      <c r="D1455" s="1">
        <v>0</v>
      </c>
      <c r="E1455" s="1">
        <v>0</v>
      </c>
      <c r="F1455" s="1">
        <v>-201.39</v>
      </c>
      <c r="G1455" s="1">
        <v>-4060.125</v>
      </c>
      <c r="H1455" s="1">
        <v>-2406.9650000000001</v>
      </c>
      <c r="I1455" s="1">
        <v>0</v>
      </c>
    </row>
    <row r="1456" spans="1:9" hidden="1" x14ac:dyDescent="0.25">
      <c r="A1456" s="1" t="s">
        <v>16</v>
      </c>
      <c r="B1456" s="1" t="s">
        <v>116</v>
      </c>
      <c r="C1456" s="1" t="s">
        <v>25</v>
      </c>
      <c r="D1456" s="1">
        <v>0</v>
      </c>
      <c r="E1456" s="1">
        <v>280.18</v>
      </c>
      <c r="F1456" s="1">
        <v>0</v>
      </c>
      <c r="G1456" s="1">
        <v>4905.9930000000004</v>
      </c>
      <c r="H1456" s="1">
        <v>0</v>
      </c>
      <c r="I1456" s="1">
        <v>2110.34</v>
      </c>
    </row>
    <row r="1457" spans="1:9" hidden="1" x14ac:dyDescent="0.25">
      <c r="A1457" s="1" t="s">
        <v>16</v>
      </c>
      <c r="B1457" s="1" t="s">
        <v>116</v>
      </c>
      <c r="C1457" s="1" t="s">
        <v>10</v>
      </c>
      <c r="D1457" s="1">
        <v>0</v>
      </c>
      <c r="E1457" s="1">
        <v>280.18</v>
      </c>
      <c r="F1457" s="1">
        <v>0</v>
      </c>
      <c r="G1457" s="1">
        <v>4905.9930000000004</v>
      </c>
      <c r="H1457" s="1">
        <v>0</v>
      </c>
      <c r="I1457" s="1">
        <v>3085.0610000000001</v>
      </c>
    </row>
    <row r="1458" spans="1:9" hidden="1" x14ac:dyDescent="0.25">
      <c r="A1458" s="1" t="s">
        <v>16</v>
      </c>
      <c r="B1458" s="1" t="s">
        <v>117</v>
      </c>
      <c r="C1458" s="1" t="s">
        <v>25</v>
      </c>
      <c r="D1458" s="1">
        <v>0</v>
      </c>
      <c r="E1458" s="1">
        <v>-280.18</v>
      </c>
      <c r="F1458" s="1">
        <v>0</v>
      </c>
      <c r="G1458" s="1">
        <v>-4905.9930000000004</v>
      </c>
      <c r="H1458" s="1">
        <v>0</v>
      </c>
      <c r="I1458" s="1">
        <v>-2110.34</v>
      </c>
    </row>
    <row r="1459" spans="1:9" hidden="1" x14ac:dyDescent="0.25">
      <c r="A1459" s="1" t="s">
        <v>16</v>
      </c>
      <c r="B1459" s="1" t="s">
        <v>117</v>
      </c>
      <c r="C1459" s="1" t="s">
        <v>10</v>
      </c>
      <c r="D1459" s="1">
        <v>0</v>
      </c>
      <c r="E1459" s="1">
        <v>-280.18</v>
      </c>
      <c r="F1459" s="1">
        <v>0</v>
      </c>
      <c r="G1459" s="1">
        <v>-4905.9930000000004</v>
      </c>
      <c r="H1459" s="1">
        <v>0</v>
      </c>
      <c r="I1459" s="1">
        <v>-3085.0610000000001</v>
      </c>
    </row>
    <row r="1460" spans="1:9" hidden="1" x14ac:dyDescent="0.25">
      <c r="A1460" s="1" t="s">
        <v>16</v>
      </c>
      <c r="B1460" s="1" t="s">
        <v>118</v>
      </c>
      <c r="C1460" s="1" t="s">
        <v>25</v>
      </c>
      <c r="D1460" s="1">
        <v>0</v>
      </c>
      <c r="E1460" s="1">
        <v>280.18</v>
      </c>
      <c r="F1460" s="1">
        <v>0</v>
      </c>
      <c r="G1460" s="1">
        <v>4905.9930000000004</v>
      </c>
      <c r="H1460" s="1">
        <v>0</v>
      </c>
      <c r="I1460" s="1">
        <v>2110.34</v>
      </c>
    </row>
    <row r="1461" spans="1:9" hidden="1" x14ac:dyDescent="0.25">
      <c r="A1461" s="1" t="s">
        <v>16</v>
      </c>
      <c r="B1461" s="1" t="s">
        <v>118</v>
      </c>
      <c r="C1461" s="1" t="s">
        <v>10</v>
      </c>
      <c r="D1461" s="1">
        <v>0</v>
      </c>
      <c r="E1461" s="1">
        <v>280.18</v>
      </c>
      <c r="F1461" s="1">
        <v>0</v>
      </c>
      <c r="G1461" s="1">
        <v>4905.9930000000004</v>
      </c>
      <c r="H1461" s="1">
        <v>0</v>
      </c>
      <c r="I1461" s="1">
        <v>3085.0610000000001</v>
      </c>
    </row>
    <row r="1462" spans="1:9" hidden="1" x14ac:dyDescent="0.25">
      <c r="A1462" s="1" t="s">
        <v>16</v>
      </c>
      <c r="B1462" s="1" t="s">
        <v>119</v>
      </c>
      <c r="C1462" s="1" t="s">
        <v>25</v>
      </c>
      <c r="D1462" s="1">
        <v>0</v>
      </c>
      <c r="E1462" s="1">
        <v>-280.18</v>
      </c>
      <c r="F1462" s="1">
        <v>0</v>
      </c>
      <c r="G1462" s="1">
        <v>-4905.9930000000004</v>
      </c>
      <c r="H1462" s="1">
        <v>0</v>
      </c>
      <c r="I1462" s="1">
        <v>-2110.34</v>
      </c>
    </row>
    <row r="1463" spans="1:9" hidden="1" x14ac:dyDescent="0.25">
      <c r="A1463" s="1" t="s">
        <v>16</v>
      </c>
      <c r="B1463" s="1" t="s">
        <v>119</v>
      </c>
      <c r="C1463" s="1" t="s">
        <v>10</v>
      </c>
      <c r="D1463" s="1">
        <v>0</v>
      </c>
      <c r="E1463" s="1">
        <v>-280.18</v>
      </c>
      <c r="F1463" s="1">
        <v>0</v>
      </c>
      <c r="G1463" s="1">
        <v>-4905.9930000000004</v>
      </c>
      <c r="H1463" s="1">
        <v>0</v>
      </c>
      <c r="I1463" s="1">
        <v>-3085.0610000000001</v>
      </c>
    </row>
    <row r="1464" spans="1:9" hidden="1" x14ac:dyDescent="0.25">
      <c r="A1464" s="1" t="s">
        <v>16</v>
      </c>
      <c r="B1464" s="1" t="s">
        <v>120</v>
      </c>
      <c r="C1464" s="1" t="s">
        <v>25</v>
      </c>
      <c r="D1464" s="1">
        <v>0</v>
      </c>
      <c r="E1464" s="1">
        <v>0</v>
      </c>
      <c r="F1464" s="1">
        <v>671.3</v>
      </c>
      <c r="G1464" s="1">
        <v>13533.749</v>
      </c>
      <c r="H1464" s="1">
        <v>5424.0720000000001</v>
      </c>
      <c r="I1464" s="1">
        <v>0</v>
      </c>
    </row>
    <row r="1465" spans="1:9" hidden="1" x14ac:dyDescent="0.25">
      <c r="A1465" s="1" t="s">
        <v>16</v>
      </c>
      <c r="B1465" s="1" t="s">
        <v>120</v>
      </c>
      <c r="C1465" s="1" t="s">
        <v>10</v>
      </c>
      <c r="D1465" s="1">
        <v>0</v>
      </c>
      <c r="E1465" s="1">
        <v>0</v>
      </c>
      <c r="F1465" s="1">
        <v>671.3</v>
      </c>
      <c r="G1465" s="1">
        <v>13533.749</v>
      </c>
      <c r="H1465" s="1">
        <v>8023.2150000000001</v>
      </c>
      <c r="I1465" s="1">
        <v>0</v>
      </c>
    </row>
    <row r="1466" spans="1:9" hidden="1" x14ac:dyDescent="0.25">
      <c r="A1466" s="1" t="s">
        <v>16</v>
      </c>
      <c r="B1466" s="1" t="s">
        <v>121</v>
      </c>
      <c r="C1466" s="1" t="s">
        <v>25</v>
      </c>
      <c r="D1466" s="1">
        <v>0</v>
      </c>
      <c r="E1466" s="1">
        <v>0</v>
      </c>
      <c r="F1466" s="1">
        <v>-671.3</v>
      </c>
      <c r="G1466" s="1">
        <v>-13533.749</v>
      </c>
      <c r="H1466" s="1">
        <v>-5424.0720000000001</v>
      </c>
      <c r="I1466" s="1">
        <v>0</v>
      </c>
    </row>
    <row r="1467" spans="1:9" hidden="1" x14ac:dyDescent="0.25">
      <c r="A1467" s="1" t="s">
        <v>16</v>
      </c>
      <c r="B1467" s="1" t="s">
        <v>121</v>
      </c>
      <c r="C1467" s="1" t="s">
        <v>10</v>
      </c>
      <c r="D1467" s="1">
        <v>0</v>
      </c>
      <c r="E1467" s="1">
        <v>0</v>
      </c>
      <c r="F1467" s="1">
        <v>-671.3</v>
      </c>
      <c r="G1467" s="1">
        <v>-13533.749</v>
      </c>
      <c r="H1467" s="1">
        <v>-8023.2150000000001</v>
      </c>
      <c r="I1467" s="1">
        <v>0</v>
      </c>
    </row>
    <row r="1468" spans="1:9" hidden="1" x14ac:dyDescent="0.25">
      <c r="A1468" s="1" t="s">
        <v>16</v>
      </c>
      <c r="B1468" s="1" t="s">
        <v>122</v>
      </c>
      <c r="C1468" s="1" t="s">
        <v>25</v>
      </c>
      <c r="D1468" s="1">
        <v>0</v>
      </c>
      <c r="E1468" s="1">
        <v>0</v>
      </c>
      <c r="F1468" s="1">
        <v>671.3</v>
      </c>
      <c r="G1468" s="1">
        <v>13533.749</v>
      </c>
      <c r="H1468" s="1">
        <v>5424.0720000000001</v>
      </c>
      <c r="I1468" s="1">
        <v>0</v>
      </c>
    </row>
    <row r="1469" spans="1:9" hidden="1" x14ac:dyDescent="0.25">
      <c r="A1469" s="1" t="s">
        <v>16</v>
      </c>
      <c r="B1469" s="1" t="s">
        <v>122</v>
      </c>
      <c r="C1469" s="1" t="s">
        <v>10</v>
      </c>
      <c r="D1469" s="1">
        <v>0</v>
      </c>
      <c r="E1469" s="1">
        <v>0</v>
      </c>
      <c r="F1469" s="1">
        <v>671.3</v>
      </c>
      <c r="G1469" s="1">
        <v>13533.749</v>
      </c>
      <c r="H1469" s="1">
        <v>8023.2150000000001</v>
      </c>
      <c r="I1469" s="1">
        <v>0</v>
      </c>
    </row>
    <row r="1470" spans="1:9" hidden="1" x14ac:dyDescent="0.25">
      <c r="A1470" s="1" t="s">
        <v>16</v>
      </c>
      <c r="B1470" s="1" t="s">
        <v>123</v>
      </c>
      <c r="C1470" s="1" t="s">
        <v>25</v>
      </c>
      <c r="D1470" s="1">
        <v>0</v>
      </c>
      <c r="E1470" s="1">
        <v>0</v>
      </c>
      <c r="F1470" s="1">
        <v>-671.3</v>
      </c>
      <c r="G1470" s="1">
        <v>-13533.749</v>
      </c>
      <c r="H1470" s="1">
        <v>-5424.0720000000001</v>
      </c>
      <c r="I1470" s="1">
        <v>0</v>
      </c>
    </row>
    <row r="1471" spans="1:9" hidden="1" x14ac:dyDescent="0.25">
      <c r="A1471" s="1" t="s">
        <v>16</v>
      </c>
      <c r="B1471" s="1" t="s">
        <v>123</v>
      </c>
      <c r="C1471" s="1" t="s">
        <v>10</v>
      </c>
      <c r="D1471" s="1">
        <v>0</v>
      </c>
      <c r="E1471" s="1">
        <v>0</v>
      </c>
      <c r="F1471" s="1">
        <v>-671.3</v>
      </c>
      <c r="G1471" s="1">
        <v>-13533.749</v>
      </c>
      <c r="H1471" s="1">
        <v>-8023.2150000000001</v>
      </c>
      <c r="I1471" s="1">
        <v>0</v>
      </c>
    </row>
    <row r="1472" spans="1:9" hidden="1" x14ac:dyDescent="0.25">
      <c r="A1472" s="1" t="s">
        <v>16</v>
      </c>
      <c r="B1472" s="1" t="s">
        <v>124</v>
      </c>
      <c r="C1472" s="1" t="s">
        <v>25</v>
      </c>
      <c r="D1472" s="1">
        <v>0</v>
      </c>
      <c r="E1472" s="1">
        <v>84.06</v>
      </c>
      <c r="F1472" s="1">
        <v>0</v>
      </c>
      <c r="G1472" s="1">
        <v>1471.798</v>
      </c>
      <c r="H1472" s="1">
        <v>0</v>
      </c>
      <c r="I1472" s="1">
        <v>633.10199999999998</v>
      </c>
    </row>
    <row r="1473" spans="1:9" hidden="1" x14ac:dyDescent="0.25">
      <c r="A1473" s="1" t="s">
        <v>16</v>
      </c>
      <c r="B1473" s="1" t="s">
        <v>124</v>
      </c>
      <c r="C1473" s="1" t="s">
        <v>10</v>
      </c>
      <c r="D1473" s="1">
        <v>0</v>
      </c>
      <c r="E1473" s="1">
        <v>84.06</v>
      </c>
      <c r="F1473" s="1">
        <v>0</v>
      </c>
      <c r="G1473" s="1">
        <v>1471.798</v>
      </c>
      <c r="H1473" s="1">
        <v>0</v>
      </c>
      <c r="I1473" s="1">
        <v>925.51800000000003</v>
      </c>
    </row>
    <row r="1474" spans="1:9" hidden="1" x14ac:dyDescent="0.25">
      <c r="A1474" s="1" t="s">
        <v>16</v>
      </c>
      <c r="B1474" s="1" t="s">
        <v>125</v>
      </c>
      <c r="C1474" s="1" t="s">
        <v>25</v>
      </c>
      <c r="D1474" s="1">
        <v>0</v>
      </c>
      <c r="E1474" s="1">
        <v>-84.06</v>
      </c>
      <c r="F1474" s="1">
        <v>0</v>
      </c>
      <c r="G1474" s="1">
        <v>-1471.798</v>
      </c>
      <c r="H1474" s="1">
        <v>0</v>
      </c>
      <c r="I1474" s="1">
        <v>-633.10199999999998</v>
      </c>
    </row>
    <row r="1475" spans="1:9" hidden="1" x14ac:dyDescent="0.25">
      <c r="A1475" s="1" t="s">
        <v>16</v>
      </c>
      <c r="B1475" s="1" t="s">
        <v>125</v>
      </c>
      <c r="C1475" s="1" t="s">
        <v>10</v>
      </c>
      <c r="D1475" s="1">
        <v>0</v>
      </c>
      <c r="E1475" s="1">
        <v>-84.06</v>
      </c>
      <c r="F1475" s="1">
        <v>0</v>
      </c>
      <c r="G1475" s="1">
        <v>-1471.798</v>
      </c>
      <c r="H1475" s="1">
        <v>0</v>
      </c>
      <c r="I1475" s="1">
        <v>-925.51800000000003</v>
      </c>
    </row>
    <row r="1476" spans="1:9" hidden="1" x14ac:dyDescent="0.25">
      <c r="A1476" s="1" t="s">
        <v>16</v>
      </c>
      <c r="B1476" s="1" t="s">
        <v>126</v>
      </c>
      <c r="C1476" s="1" t="s">
        <v>25</v>
      </c>
      <c r="D1476" s="1">
        <v>0</v>
      </c>
      <c r="E1476" s="1">
        <v>84.06</v>
      </c>
      <c r="F1476" s="1">
        <v>0</v>
      </c>
      <c r="G1476" s="1">
        <v>1471.798</v>
      </c>
      <c r="H1476" s="1">
        <v>0</v>
      </c>
      <c r="I1476" s="1">
        <v>633.10199999999998</v>
      </c>
    </row>
    <row r="1477" spans="1:9" hidden="1" x14ac:dyDescent="0.25">
      <c r="A1477" s="1" t="s">
        <v>16</v>
      </c>
      <c r="B1477" s="1" t="s">
        <v>126</v>
      </c>
      <c r="C1477" s="1" t="s">
        <v>10</v>
      </c>
      <c r="D1477" s="1">
        <v>0</v>
      </c>
      <c r="E1477" s="1">
        <v>84.06</v>
      </c>
      <c r="F1477" s="1">
        <v>0</v>
      </c>
      <c r="G1477" s="1">
        <v>1471.798</v>
      </c>
      <c r="H1477" s="1">
        <v>0</v>
      </c>
      <c r="I1477" s="1">
        <v>925.51800000000003</v>
      </c>
    </row>
    <row r="1478" spans="1:9" hidden="1" x14ac:dyDescent="0.25">
      <c r="A1478" s="1" t="s">
        <v>16</v>
      </c>
      <c r="B1478" s="1" t="s">
        <v>127</v>
      </c>
      <c r="C1478" s="1" t="s">
        <v>25</v>
      </c>
      <c r="D1478" s="1">
        <v>0</v>
      </c>
      <c r="E1478" s="1">
        <v>-84.06</v>
      </c>
      <c r="F1478" s="1">
        <v>0</v>
      </c>
      <c r="G1478" s="1">
        <v>-1471.798</v>
      </c>
      <c r="H1478" s="1">
        <v>0</v>
      </c>
      <c r="I1478" s="1">
        <v>-633.10199999999998</v>
      </c>
    </row>
    <row r="1479" spans="1:9" hidden="1" x14ac:dyDescent="0.25">
      <c r="A1479" s="1" t="s">
        <v>16</v>
      </c>
      <c r="B1479" s="1" t="s">
        <v>127</v>
      </c>
      <c r="C1479" s="1" t="s">
        <v>10</v>
      </c>
      <c r="D1479" s="1">
        <v>0</v>
      </c>
      <c r="E1479" s="1">
        <v>-84.06</v>
      </c>
      <c r="F1479" s="1">
        <v>0</v>
      </c>
      <c r="G1479" s="1">
        <v>-1471.798</v>
      </c>
      <c r="H1479" s="1">
        <v>0</v>
      </c>
      <c r="I1479" s="1">
        <v>-925.51800000000003</v>
      </c>
    </row>
    <row r="1480" spans="1:9" hidden="1" x14ac:dyDescent="0.25">
      <c r="A1480" s="1" t="s">
        <v>16</v>
      </c>
      <c r="B1480" s="1" t="s">
        <v>128</v>
      </c>
      <c r="C1480" s="1" t="s">
        <v>25</v>
      </c>
      <c r="D1480" s="1">
        <v>0</v>
      </c>
      <c r="E1480" s="1">
        <v>0</v>
      </c>
      <c r="F1480" s="1">
        <v>201.39</v>
      </c>
      <c r="G1480" s="1">
        <v>4060.125</v>
      </c>
      <c r="H1480" s="1">
        <v>1627.222</v>
      </c>
      <c r="I1480" s="1">
        <v>0</v>
      </c>
    </row>
    <row r="1481" spans="1:9" hidden="1" x14ac:dyDescent="0.25">
      <c r="A1481" s="1" t="s">
        <v>16</v>
      </c>
      <c r="B1481" s="1" t="s">
        <v>128</v>
      </c>
      <c r="C1481" s="1" t="s">
        <v>10</v>
      </c>
      <c r="D1481" s="1">
        <v>0</v>
      </c>
      <c r="E1481" s="1">
        <v>0</v>
      </c>
      <c r="F1481" s="1">
        <v>201.39</v>
      </c>
      <c r="G1481" s="1">
        <v>4060.125</v>
      </c>
      <c r="H1481" s="1">
        <v>2406.9650000000001</v>
      </c>
      <c r="I1481" s="1">
        <v>0</v>
      </c>
    </row>
    <row r="1482" spans="1:9" hidden="1" x14ac:dyDescent="0.25">
      <c r="A1482" s="1" t="s">
        <v>16</v>
      </c>
      <c r="B1482" s="1" t="s">
        <v>129</v>
      </c>
      <c r="C1482" s="1" t="s">
        <v>25</v>
      </c>
      <c r="D1482" s="1">
        <v>0</v>
      </c>
      <c r="E1482" s="1">
        <v>0</v>
      </c>
      <c r="F1482" s="1">
        <v>-201.39</v>
      </c>
      <c r="G1482" s="1">
        <v>-4060.125</v>
      </c>
      <c r="H1482" s="1">
        <v>-1627.222</v>
      </c>
      <c r="I1482" s="1">
        <v>0</v>
      </c>
    </row>
    <row r="1483" spans="1:9" hidden="1" x14ac:dyDescent="0.25">
      <c r="A1483" s="1" t="s">
        <v>16</v>
      </c>
      <c r="B1483" s="1" t="s">
        <v>129</v>
      </c>
      <c r="C1483" s="1" t="s">
        <v>10</v>
      </c>
      <c r="D1483" s="1">
        <v>0</v>
      </c>
      <c r="E1483" s="1">
        <v>0</v>
      </c>
      <c r="F1483" s="1">
        <v>-201.39</v>
      </c>
      <c r="G1483" s="1">
        <v>-4060.125</v>
      </c>
      <c r="H1483" s="1">
        <v>-2406.9650000000001</v>
      </c>
      <c r="I1483" s="1">
        <v>0</v>
      </c>
    </row>
    <row r="1484" spans="1:9" hidden="1" x14ac:dyDescent="0.25">
      <c r="A1484" s="1" t="s">
        <v>16</v>
      </c>
      <c r="B1484" s="1" t="s">
        <v>130</v>
      </c>
      <c r="C1484" s="1" t="s">
        <v>25</v>
      </c>
      <c r="D1484" s="1">
        <v>0</v>
      </c>
      <c r="E1484" s="1">
        <v>0</v>
      </c>
      <c r="F1484" s="1">
        <v>201.39</v>
      </c>
      <c r="G1484" s="1">
        <v>4060.125</v>
      </c>
      <c r="H1484" s="1">
        <v>1627.222</v>
      </c>
      <c r="I1484" s="1">
        <v>0</v>
      </c>
    </row>
    <row r="1485" spans="1:9" hidden="1" x14ac:dyDescent="0.25">
      <c r="A1485" s="1" t="s">
        <v>16</v>
      </c>
      <c r="B1485" s="1" t="s">
        <v>130</v>
      </c>
      <c r="C1485" s="1" t="s">
        <v>10</v>
      </c>
      <c r="D1485" s="1">
        <v>0</v>
      </c>
      <c r="E1485" s="1">
        <v>0</v>
      </c>
      <c r="F1485" s="1">
        <v>201.39</v>
      </c>
      <c r="G1485" s="1">
        <v>4060.125</v>
      </c>
      <c r="H1485" s="1">
        <v>2406.9650000000001</v>
      </c>
      <c r="I1485" s="1">
        <v>0</v>
      </c>
    </row>
    <row r="1486" spans="1:9" hidden="1" x14ac:dyDescent="0.25">
      <c r="A1486" s="1" t="s">
        <v>16</v>
      </c>
      <c r="B1486" s="1" t="s">
        <v>131</v>
      </c>
      <c r="C1486" s="1" t="s">
        <v>25</v>
      </c>
      <c r="D1486" s="1">
        <v>0</v>
      </c>
      <c r="E1486" s="1">
        <v>0</v>
      </c>
      <c r="F1486" s="1">
        <v>-201.39</v>
      </c>
      <c r="G1486" s="1">
        <v>-4060.125</v>
      </c>
      <c r="H1486" s="1">
        <v>-1627.222</v>
      </c>
      <c r="I1486" s="1">
        <v>0</v>
      </c>
    </row>
    <row r="1487" spans="1:9" hidden="1" x14ac:dyDescent="0.25">
      <c r="A1487" s="1" t="s">
        <v>16</v>
      </c>
      <c r="B1487" s="1" t="s">
        <v>131</v>
      </c>
      <c r="C1487" s="1" t="s">
        <v>10</v>
      </c>
      <c r="D1487" s="1">
        <v>0</v>
      </c>
      <c r="E1487" s="1">
        <v>0</v>
      </c>
      <c r="F1487" s="1">
        <v>-201.39</v>
      </c>
      <c r="G1487" s="1">
        <v>-4060.125</v>
      </c>
      <c r="H1487" s="1">
        <v>-2406.9650000000001</v>
      </c>
      <c r="I1487" s="1">
        <v>0</v>
      </c>
    </row>
    <row r="1488" spans="1:9" hidden="1" x14ac:dyDescent="0.25">
      <c r="A1488" s="1" t="s">
        <v>16</v>
      </c>
      <c r="B1488" s="1" t="s">
        <v>132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16</v>
      </c>
      <c r="B1489" s="1" t="s">
        <v>132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16</v>
      </c>
      <c r="B1490" s="1" t="s">
        <v>133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16</v>
      </c>
      <c r="B1491" s="1" t="s">
        <v>133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16</v>
      </c>
      <c r="B1492" s="1" t="s">
        <v>134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16</v>
      </c>
      <c r="B1493" s="1" t="s">
        <v>134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16</v>
      </c>
      <c r="B1494" s="1" t="s">
        <v>135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16</v>
      </c>
      <c r="B1495" s="1" t="s">
        <v>135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16</v>
      </c>
      <c r="B1496" s="1" t="s">
        <v>136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</v>
      </c>
      <c r="B1497" s="1" t="s">
        <v>136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</v>
      </c>
      <c r="B1498" s="1" t="s">
        <v>137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</v>
      </c>
      <c r="B1499" s="1" t="s">
        <v>137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</v>
      </c>
      <c r="B1500" s="1" t="s">
        <v>138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16</v>
      </c>
      <c r="B1501" s="1" t="s">
        <v>138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16</v>
      </c>
      <c r="B1502" s="1" t="s">
        <v>139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16</v>
      </c>
      <c r="B1503" s="1" t="s">
        <v>139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16</v>
      </c>
      <c r="B1504" s="1" t="s">
        <v>140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16</v>
      </c>
      <c r="B1505" s="1" t="s">
        <v>140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16</v>
      </c>
      <c r="B1506" s="1" t="s">
        <v>141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16</v>
      </c>
      <c r="B1507" s="1" t="s">
        <v>141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16</v>
      </c>
      <c r="B1508" s="1" t="s">
        <v>142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16</v>
      </c>
      <c r="B1509" s="1" t="s">
        <v>142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16</v>
      </c>
      <c r="B1510" s="1" t="s">
        <v>143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16</v>
      </c>
      <c r="B1511" s="1" t="s">
        <v>143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16</v>
      </c>
      <c r="B1512" s="1" t="s">
        <v>144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16</v>
      </c>
      <c r="B1513" s="1" t="s">
        <v>144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16</v>
      </c>
      <c r="B1514" s="1" t="s">
        <v>145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16</v>
      </c>
      <c r="B1515" s="1" t="s">
        <v>145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16</v>
      </c>
      <c r="B1516" s="1" t="s">
        <v>146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16</v>
      </c>
      <c r="B1517" s="1" t="s">
        <v>146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16</v>
      </c>
      <c r="B1518" s="1" t="s">
        <v>147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16</v>
      </c>
      <c r="B1519" s="1" t="s">
        <v>147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16</v>
      </c>
      <c r="B1520" s="1" t="s">
        <v>159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16</v>
      </c>
      <c r="B1521" s="1" t="s">
        <v>159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16</v>
      </c>
      <c r="B1522" s="1" t="s">
        <v>160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16</v>
      </c>
      <c r="B1523" s="1" t="s">
        <v>160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16</v>
      </c>
      <c r="B1524" s="1" t="s">
        <v>161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16</v>
      </c>
      <c r="B1525" s="1" t="s">
        <v>161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16</v>
      </c>
      <c r="B1526" s="1" t="s">
        <v>162</v>
      </c>
      <c r="C1526" s="1" t="s">
        <v>25</v>
      </c>
      <c r="D1526" s="1">
        <v>0</v>
      </c>
      <c r="E1526" s="1">
        <v>-632.94000000000005</v>
      </c>
      <c r="F1526" s="1">
        <v>0</v>
      </c>
      <c r="G1526" s="1">
        <v>10443.460999999999</v>
      </c>
      <c r="H1526" s="1">
        <v>0</v>
      </c>
      <c r="I1526" s="1">
        <v>-5063.4960000000001</v>
      </c>
    </row>
    <row r="1527" spans="1:9" hidden="1" x14ac:dyDescent="0.25">
      <c r="A1527" s="1" t="s">
        <v>16</v>
      </c>
      <c r="B1527" s="1" t="s">
        <v>162</v>
      </c>
      <c r="C1527" s="1" t="s">
        <v>10</v>
      </c>
      <c r="D1527" s="1">
        <v>0</v>
      </c>
      <c r="E1527" s="1">
        <v>-632.94000000000005</v>
      </c>
      <c r="F1527" s="1">
        <v>0</v>
      </c>
      <c r="G1527" s="1">
        <v>10443.460999999999</v>
      </c>
      <c r="H1527" s="1">
        <v>0</v>
      </c>
      <c r="I1527" s="1">
        <v>-7595.2439999999997</v>
      </c>
    </row>
    <row r="1528" spans="1:9" hidden="1" x14ac:dyDescent="0.25">
      <c r="A1528" s="1" t="s">
        <v>16</v>
      </c>
      <c r="B1528" s="1" t="s">
        <v>163</v>
      </c>
      <c r="C1528" s="1" t="s">
        <v>25</v>
      </c>
      <c r="D1528" s="1">
        <v>0</v>
      </c>
      <c r="E1528" s="1">
        <v>-632.94000000000005</v>
      </c>
      <c r="F1528" s="1">
        <v>0</v>
      </c>
      <c r="G1528" s="1">
        <v>8544.65</v>
      </c>
      <c r="H1528" s="1">
        <v>0</v>
      </c>
      <c r="I1528" s="1">
        <v>-5063.4960000000001</v>
      </c>
    </row>
    <row r="1529" spans="1:9" hidden="1" x14ac:dyDescent="0.25">
      <c r="A1529" s="1" t="s">
        <v>16</v>
      </c>
      <c r="B1529" s="1" t="s">
        <v>163</v>
      </c>
      <c r="C1529" s="1" t="s">
        <v>10</v>
      </c>
      <c r="D1529" s="1">
        <v>0</v>
      </c>
      <c r="E1529" s="1">
        <v>-632.94000000000005</v>
      </c>
      <c r="F1529" s="1">
        <v>0</v>
      </c>
      <c r="G1529" s="1">
        <v>8544.65</v>
      </c>
      <c r="H1529" s="1">
        <v>0</v>
      </c>
      <c r="I1529" s="1">
        <v>-7595.2439999999997</v>
      </c>
    </row>
    <row r="1530" spans="1:9" hidden="1" x14ac:dyDescent="0.25">
      <c r="A1530" s="1" t="s">
        <v>16</v>
      </c>
      <c r="B1530" s="1" t="s">
        <v>164</v>
      </c>
      <c r="C1530" s="1" t="s">
        <v>25</v>
      </c>
      <c r="D1530" s="1">
        <v>0</v>
      </c>
      <c r="E1530" s="1">
        <v>632.94000000000005</v>
      </c>
      <c r="F1530" s="1">
        <v>0</v>
      </c>
      <c r="G1530" s="1">
        <v>-10443.460999999999</v>
      </c>
      <c r="H1530" s="1">
        <v>0</v>
      </c>
      <c r="I1530" s="1">
        <v>5063.4960000000001</v>
      </c>
    </row>
    <row r="1531" spans="1:9" hidden="1" x14ac:dyDescent="0.25">
      <c r="A1531" s="1" t="s">
        <v>16</v>
      </c>
      <c r="B1531" s="1" t="s">
        <v>164</v>
      </c>
      <c r="C1531" s="1" t="s">
        <v>10</v>
      </c>
      <c r="D1531" s="1">
        <v>0</v>
      </c>
      <c r="E1531" s="1">
        <v>632.94000000000005</v>
      </c>
      <c r="F1531" s="1">
        <v>0</v>
      </c>
      <c r="G1531" s="1">
        <v>-10443.460999999999</v>
      </c>
      <c r="H1531" s="1">
        <v>0</v>
      </c>
      <c r="I1531" s="1">
        <v>7595.2439999999997</v>
      </c>
    </row>
    <row r="1532" spans="1:9" hidden="1" x14ac:dyDescent="0.25">
      <c r="A1532" s="1" t="s">
        <v>16</v>
      </c>
      <c r="B1532" s="1" t="s">
        <v>165</v>
      </c>
      <c r="C1532" s="1" t="s">
        <v>25</v>
      </c>
      <c r="D1532" s="1">
        <v>0</v>
      </c>
      <c r="E1532" s="1">
        <v>632.94000000000005</v>
      </c>
      <c r="F1532" s="1">
        <v>0</v>
      </c>
      <c r="G1532" s="1">
        <v>-8544.65</v>
      </c>
      <c r="H1532" s="1">
        <v>0</v>
      </c>
      <c r="I1532" s="1">
        <v>5063.4960000000001</v>
      </c>
    </row>
    <row r="1533" spans="1:9" hidden="1" x14ac:dyDescent="0.25">
      <c r="A1533" s="1" t="s">
        <v>16</v>
      </c>
      <c r="B1533" s="1" t="s">
        <v>165</v>
      </c>
      <c r="C1533" s="1" t="s">
        <v>10</v>
      </c>
      <c r="D1533" s="1">
        <v>0</v>
      </c>
      <c r="E1533" s="1">
        <v>632.94000000000005</v>
      </c>
      <c r="F1533" s="1">
        <v>0</v>
      </c>
      <c r="G1533" s="1">
        <v>-8544.65</v>
      </c>
      <c r="H1533" s="1">
        <v>0</v>
      </c>
      <c r="I1533" s="1">
        <v>7595.2439999999997</v>
      </c>
    </row>
    <row r="1534" spans="1:9" hidden="1" x14ac:dyDescent="0.25">
      <c r="A1534" s="1" t="s">
        <v>16</v>
      </c>
      <c r="B1534" s="1" t="s">
        <v>166</v>
      </c>
      <c r="C1534" s="1" t="s">
        <v>25</v>
      </c>
      <c r="D1534" s="1">
        <v>0</v>
      </c>
      <c r="E1534" s="1">
        <v>0</v>
      </c>
      <c r="F1534" s="1">
        <v>-765.07</v>
      </c>
      <c r="G1534" s="1">
        <v>-15148.319</v>
      </c>
      <c r="H1534" s="1">
        <v>6120.5330000000004</v>
      </c>
      <c r="I1534" s="1">
        <v>0</v>
      </c>
    </row>
    <row r="1535" spans="1:9" hidden="1" x14ac:dyDescent="0.25">
      <c r="A1535" s="1" t="s">
        <v>16</v>
      </c>
      <c r="B1535" s="1" t="s">
        <v>166</v>
      </c>
      <c r="C1535" s="1" t="s">
        <v>10</v>
      </c>
      <c r="D1535" s="1">
        <v>0</v>
      </c>
      <c r="E1535" s="1">
        <v>0</v>
      </c>
      <c r="F1535" s="1">
        <v>-765.07</v>
      </c>
      <c r="G1535" s="1">
        <v>-15148.319</v>
      </c>
      <c r="H1535" s="1">
        <v>9180.7999999999993</v>
      </c>
      <c r="I1535" s="1">
        <v>0</v>
      </c>
    </row>
    <row r="1536" spans="1:9" hidden="1" x14ac:dyDescent="0.25">
      <c r="A1536" s="1" t="s">
        <v>16</v>
      </c>
      <c r="B1536" s="1" t="s">
        <v>167</v>
      </c>
      <c r="C1536" s="1" t="s">
        <v>25</v>
      </c>
      <c r="D1536" s="1">
        <v>0</v>
      </c>
      <c r="E1536" s="1">
        <v>0</v>
      </c>
      <c r="F1536" s="1">
        <v>-765.07</v>
      </c>
      <c r="G1536" s="1">
        <v>-12394.08</v>
      </c>
      <c r="H1536" s="1">
        <v>6120.5330000000004</v>
      </c>
      <c r="I1536" s="1">
        <v>0</v>
      </c>
    </row>
    <row r="1537" spans="1:9" hidden="1" x14ac:dyDescent="0.25">
      <c r="A1537" s="1" t="s">
        <v>16</v>
      </c>
      <c r="B1537" s="1" t="s">
        <v>167</v>
      </c>
      <c r="C1537" s="1" t="s">
        <v>10</v>
      </c>
      <c r="D1537" s="1">
        <v>0</v>
      </c>
      <c r="E1537" s="1">
        <v>0</v>
      </c>
      <c r="F1537" s="1">
        <v>-765.07</v>
      </c>
      <c r="G1537" s="1">
        <v>-12394.08</v>
      </c>
      <c r="H1537" s="1">
        <v>9180.7999999999993</v>
      </c>
      <c r="I1537" s="1">
        <v>0</v>
      </c>
    </row>
    <row r="1538" spans="1:9" hidden="1" x14ac:dyDescent="0.25">
      <c r="A1538" s="1" t="s">
        <v>16</v>
      </c>
      <c r="B1538" s="1" t="s">
        <v>168</v>
      </c>
      <c r="C1538" s="1" t="s">
        <v>25</v>
      </c>
      <c r="D1538" s="1">
        <v>0</v>
      </c>
      <c r="E1538" s="1">
        <v>0</v>
      </c>
      <c r="F1538" s="1">
        <v>765.07</v>
      </c>
      <c r="G1538" s="1">
        <v>15148.319</v>
      </c>
      <c r="H1538" s="1">
        <v>-6120.5330000000004</v>
      </c>
      <c r="I1538" s="1">
        <v>0</v>
      </c>
    </row>
    <row r="1539" spans="1:9" hidden="1" x14ac:dyDescent="0.25">
      <c r="A1539" s="1" t="s">
        <v>16</v>
      </c>
      <c r="B1539" s="1" t="s">
        <v>168</v>
      </c>
      <c r="C1539" s="1" t="s">
        <v>10</v>
      </c>
      <c r="D1539" s="1">
        <v>0</v>
      </c>
      <c r="E1539" s="1">
        <v>0</v>
      </c>
      <c r="F1539" s="1">
        <v>765.07</v>
      </c>
      <c r="G1539" s="1">
        <v>15148.319</v>
      </c>
      <c r="H1539" s="1">
        <v>-9180.7999999999993</v>
      </c>
      <c r="I1539" s="1">
        <v>0</v>
      </c>
    </row>
    <row r="1540" spans="1:9" hidden="1" x14ac:dyDescent="0.25">
      <c r="A1540" s="1" t="s">
        <v>16</v>
      </c>
      <c r="B1540" s="1" t="s">
        <v>169</v>
      </c>
      <c r="C1540" s="1" t="s">
        <v>25</v>
      </c>
      <c r="D1540" s="1">
        <v>0</v>
      </c>
      <c r="E1540" s="1">
        <v>0</v>
      </c>
      <c r="F1540" s="1">
        <v>765.07</v>
      </c>
      <c r="G1540" s="1">
        <v>12394.08</v>
      </c>
      <c r="H1540" s="1">
        <v>-6120.5330000000004</v>
      </c>
      <c r="I1540" s="1">
        <v>0</v>
      </c>
    </row>
    <row r="1541" spans="1:9" hidden="1" x14ac:dyDescent="0.25">
      <c r="A1541" s="1" t="s">
        <v>16</v>
      </c>
      <c r="B1541" s="1" t="s">
        <v>169</v>
      </c>
      <c r="C1541" s="1" t="s">
        <v>10</v>
      </c>
      <c r="D1541" s="1">
        <v>0</v>
      </c>
      <c r="E1541" s="1">
        <v>0</v>
      </c>
      <c r="F1541" s="1">
        <v>765.07</v>
      </c>
      <c r="G1541" s="1">
        <v>12394.08</v>
      </c>
      <c r="H1541" s="1">
        <v>-9180.7999999999993</v>
      </c>
      <c r="I1541" s="1">
        <v>0</v>
      </c>
    </row>
    <row r="1542" spans="1:9" hidden="1" x14ac:dyDescent="0.25">
      <c r="A1542" s="1" t="s">
        <v>16</v>
      </c>
      <c r="B1542" s="1" t="s">
        <v>170</v>
      </c>
      <c r="C1542" s="1" t="s">
        <v>25</v>
      </c>
      <c r="D1542" s="1">
        <v>0</v>
      </c>
      <c r="E1542" s="1">
        <v>-632.94000000000005</v>
      </c>
      <c r="F1542" s="1">
        <v>0</v>
      </c>
      <c r="G1542" s="1">
        <v>10443.460999999999</v>
      </c>
      <c r="H1542" s="1">
        <v>0</v>
      </c>
      <c r="I1542" s="1">
        <v>-5063.4960000000001</v>
      </c>
    </row>
    <row r="1543" spans="1:9" hidden="1" x14ac:dyDescent="0.25">
      <c r="A1543" s="1" t="s">
        <v>16</v>
      </c>
      <c r="B1543" s="1" t="s">
        <v>170</v>
      </c>
      <c r="C1543" s="1" t="s">
        <v>10</v>
      </c>
      <c r="D1543" s="1">
        <v>0</v>
      </c>
      <c r="E1543" s="1">
        <v>-632.94000000000005</v>
      </c>
      <c r="F1543" s="1">
        <v>0</v>
      </c>
      <c r="G1543" s="1">
        <v>10443.460999999999</v>
      </c>
      <c r="H1543" s="1">
        <v>0</v>
      </c>
      <c r="I1543" s="1">
        <v>-7595.2439999999997</v>
      </c>
    </row>
    <row r="1544" spans="1:9" hidden="1" x14ac:dyDescent="0.25">
      <c r="A1544" s="1" t="s">
        <v>16</v>
      </c>
      <c r="B1544" s="1" t="s">
        <v>171</v>
      </c>
      <c r="C1544" s="1" t="s">
        <v>25</v>
      </c>
      <c r="D1544" s="1">
        <v>0</v>
      </c>
      <c r="E1544" s="1">
        <v>-632.94000000000005</v>
      </c>
      <c r="F1544" s="1">
        <v>0</v>
      </c>
      <c r="G1544" s="1">
        <v>8544.65</v>
      </c>
      <c r="H1544" s="1">
        <v>0</v>
      </c>
      <c r="I1544" s="1">
        <v>-5063.4960000000001</v>
      </c>
    </row>
    <row r="1545" spans="1:9" hidden="1" x14ac:dyDescent="0.25">
      <c r="A1545" s="1" t="s">
        <v>16</v>
      </c>
      <c r="B1545" s="1" t="s">
        <v>171</v>
      </c>
      <c r="C1545" s="1" t="s">
        <v>10</v>
      </c>
      <c r="D1545" s="1">
        <v>0</v>
      </c>
      <c r="E1545" s="1">
        <v>-632.94000000000005</v>
      </c>
      <c r="F1545" s="1">
        <v>0</v>
      </c>
      <c r="G1545" s="1">
        <v>8544.65</v>
      </c>
      <c r="H1545" s="1">
        <v>0</v>
      </c>
      <c r="I1545" s="1">
        <v>-7595.2439999999997</v>
      </c>
    </row>
    <row r="1546" spans="1:9" hidden="1" x14ac:dyDescent="0.25">
      <c r="A1546" s="1" t="s">
        <v>16</v>
      </c>
      <c r="B1546" s="1" t="s">
        <v>172</v>
      </c>
      <c r="C1546" s="1" t="s">
        <v>25</v>
      </c>
      <c r="D1546" s="1">
        <v>0</v>
      </c>
      <c r="E1546" s="1">
        <v>632.94000000000005</v>
      </c>
      <c r="F1546" s="1">
        <v>0</v>
      </c>
      <c r="G1546" s="1">
        <v>-10443.460999999999</v>
      </c>
      <c r="H1546" s="1">
        <v>0</v>
      </c>
      <c r="I1546" s="1">
        <v>5063.4960000000001</v>
      </c>
    </row>
    <row r="1547" spans="1:9" hidden="1" x14ac:dyDescent="0.25">
      <c r="A1547" s="1" t="s">
        <v>16</v>
      </c>
      <c r="B1547" s="1" t="s">
        <v>172</v>
      </c>
      <c r="C1547" s="1" t="s">
        <v>10</v>
      </c>
      <c r="D1547" s="1">
        <v>0</v>
      </c>
      <c r="E1547" s="1">
        <v>632.94000000000005</v>
      </c>
      <c r="F1547" s="1">
        <v>0</v>
      </c>
      <c r="G1547" s="1">
        <v>-10443.460999999999</v>
      </c>
      <c r="H1547" s="1">
        <v>0</v>
      </c>
      <c r="I1547" s="1">
        <v>7595.2439999999997</v>
      </c>
    </row>
    <row r="1548" spans="1:9" hidden="1" x14ac:dyDescent="0.25">
      <c r="A1548" s="1" t="s">
        <v>16</v>
      </c>
      <c r="B1548" s="1" t="s">
        <v>173</v>
      </c>
      <c r="C1548" s="1" t="s">
        <v>25</v>
      </c>
      <c r="D1548" s="1">
        <v>0</v>
      </c>
      <c r="E1548" s="1">
        <v>632.94000000000005</v>
      </c>
      <c r="F1548" s="1">
        <v>0</v>
      </c>
      <c r="G1548" s="1">
        <v>-8544.65</v>
      </c>
      <c r="H1548" s="1">
        <v>0</v>
      </c>
      <c r="I1548" s="1">
        <v>5063.4960000000001</v>
      </c>
    </row>
    <row r="1549" spans="1:9" hidden="1" x14ac:dyDescent="0.25">
      <c r="A1549" s="1" t="s">
        <v>16</v>
      </c>
      <c r="B1549" s="1" t="s">
        <v>173</v>
      </c>
      <c r="C1549" s="1" t="s">
        <v>10</v>
      </c>
      <c r="D1549" s="1">
        <v>0</v>
      </c>
      <c r="E1549" s="1">
        <v>632.94000000000005</v>
      </c>
      <c r="F1549" s="1">
        <v>0</v>
      </c>
      <c r="G1549" s="1">
        <v>-8544.65</v>
      </c>
      <c r="H1549" s="1">
        <v>0</v>
      </c>
      <c r="I1549" s="1">
        <v>7595.2439999999997</v>
      </c>
    </row>
    <row r="1550" spans="1:9" hidden="1" x14ac:dyDescent="0.25">
      <c r="A1550" s="1" t="s">
        <v>16</v>
      </c>
      <c r="B1550" s="1" t="s">
        <v>174</v>
      </c>
      <c r="C1550" s="1" t="s">
        <v>25</v>
      </c>
      <c r="D1550" s="1">
        <v>0</v>
      </c>
      <c r="E1550" s="1">
        <v>0</v>
      </c>
      <c r="F1550" s="1">
        <v>-765.07</v>
      </c>
      <c r="G1550" s="1">
        <v>-15148.319</v>
      </c>
      <c r="H1550" s="1">
        <v>6120.5330000000004</v>
      </c>
      <c r="I1550" s="1">
        <v>0</v>
      </c>
    </row>
    <row r="1551" spans="1:9" hidden="1" x14ac:dyDescent="0.25">
      <c r="A1551" s="1" t="s">
        <v>16</v>
      </c>
      <c r="B1551" s="1" t="s">
        <v>174</v>
      </c>
      <c r="C1551" s="1" t="s">
        <v>10</v>
      </c>
      <c r="D1551" s="1">
        <v>0</v>
      </c>
      <c r="E1551" s="1">
        <v>0</v>
      </c>
      <c r="F1551" s="1">
        <v>-765.07</v>
      </c>
      <c r="G1551" s="1">
        <v>-15148.319</v>
      </c>
      <c r="H1551" s="1">
        <v>9180.7999999999993</v>
      </c>
      <c r="I1551" s="1">
        <v>0</v>
      </c>
    </row>
    <row r="1552" spans="1:9" hidden="1" x14ac:dyDescent="0.25">
      <c r="A1552" s="1" t="s">
        <v>16</v>
      </c>
      <c r="B1552" s="1" t="s">
        <v>175</v>
      </c>
      <c r="C1552" s="1" t="s">
        <v>25</v>
      </c>
      <c r="D1552" s="1">
        <v>0</v>
      </c>
      <c r="E1552" s="1">
        <v>0</v>
      </c>
      <c r="F1552" s="1">
        <v>-765.07</v>
      </c>
      <c r="G1552" s="1">
        <v>-12394.08</v>
      </c>
      <c r="H1552" s="1">
        <v>6120.5330000000004</v>
      </c>
      <c r="I1552" s="1">
        <v>0</v>
      </c>
    </row>
    <row r="1553" spans="1:9" hidden="1" x14ac:dyDescent="0.25">
      <c r="A1553" s="1" t="s">
        <v>16</v>
      </c>
      <c r="B1553" s="1" t="s">
        <v>175</v>
      </c>
      <c r="C1553" s="1" t="s">
        <v>10</v>
      </c>
      <c r="D1553" s="1">
        <v>0</v>
      </c>
      <c r="E1553" s="1">
        <v>0</v>
      </c>
      <c r="F1553" s="1">
        <v>-765.07</v>
      </c>
      <c r="G1553" s="1">
        <v>-12394.08</v>
      </c>
      <c r="H1553" s="1">
        <v>9180.7999999999993</v>
      </c>
      <c r="I1553" s="1">
        <v>0</v>
      </c>
    </row>
    <row r="1554" spans="1:9" hidden="1" x14ac:dyDescent="0.25">
      <c r="A1554" s="1" t="s">
        <v>16</v>
      </c>
      <c r="B1554" s="1" t="s">
        <v>176</v>
      </c>
      <c r="C1554" s="1" t="s">
        <v>25</v>
      </c>
      <c r="D1554" s="1">
        <v>0</v>
      </c>
      <c r="E1554" s="1">
        <v>0</v>
      </c>
      <c r="F1554" s="1">
        <v>765.07</v>
      </c>
      <c r="G1554" s="1">
        <v>15148.319</v>
      </c>
      <c r="H1554" s="1">
        <v>-6120.5330000000004</v>
      </c>
      <c r="I1554" s="1">
        <v>0</v>
      </c>
    </row>
    <row r="1555" spans="1:9" hidden="1" x14ac:dyDescent="0.25">
      <c r="A1555" s="1" t="s">
        <v>16</v>
      </c>
      <c r="B1555" s="1" t="s">
        <v>176</v>
      </c>
      <c r="C1555" s="1" t="s">
        <v>10</v>
      </c>
      <c r="D1555" s="1">
        <v>0</v>
      </c>
      <c r="E1555" s="1">
        <v>0</v>
      </c>
      <c r="F1555" s="1">
        <v>765.07</v>
      </c>
      <c r="G1555" s="1">
        <v>15148.319</v>
      </c>
      <c r="H1555" s="1">
        <v>-9180.7999999999993</v>
      </c>
      <c r="I1555" s="1">
        <v>0</v>
      </c>
    </row>
    <row r="1556" spans="1:9" hidden="1" x14ac:dyDescent="0.25">
      <c r="A1556" s="1" t="s">
        <v>16</v>
      </c>
      <c r="B1556" s="1" t="s">
        <v>177</v>
      </c>
      <c r="C1556" s="1" t="s">
        <v>25</v>
      </c>
      <c r="D1556" s="1">
        <v>0</v>
      </c>
      <c r="E1556" s="1">
        <v>0</v>
      </c>
      <c r="F1556" s="1">
        <v>765.07</v>
      </c>
      <c r="G1556" s="1">
        <v>12394.08</v>
      </c>
      <c r="H1556" s="1">
        <v>-6120.5330000000004</v>
      </c>
      <c r="I1556" s="1">
        <v>0</v>
      </c>
    </row>
    <row r="1557" spans="1:9" hidden="1" x14ac:dyDescent="0.25">
      <c r="A1557" s="1" t="s">
        <v>16</v>
      </c>
      <c r="B1557" s="1" t="s">
        <v>177</v>
      </c>
      <c r="C1557" s="1" t="s">
        <v>10</v>
      </c>
      <c r="D1557" s="1">
        <v>0</v>
      </c>
      <c r="E1557" s="1">
        <v>0</v>
      </c>
      <c r="F1557" s="1">
        <v>765.07</v>
      </c>
      <c r="G1557" s="1">
        <v>12394.08</v>
      </c>
      <c r="H1557" s="1">
        <v>-9180.7999999999993</v>
      </c>
      <c r="I1557" s="1">
        <v>0</v>
      </c>
    </row>
    <row r="1558" spans="1:9" hidden="1" x14ac:dyDescent="0.25">
      <c r="A1558" s="1" t="s">
        <v>16</v>
      </c>
      <c r="B1558" s="1" t="s">
        <v>178</v>
      </c>
      <c r="C1558" s="1" t="s">
        <v>25</v>
      </c>
      <c r="D1558" s="1">
        <v>0</v>
      </c>
      <c r="E1558" s="1">
        <v>-189.88</v>
      </c>
      <c r="F1558" s="1">
        <v>0</v>
      </c>
      <c r="G1558" s="1">
        <v>3133.038</v>
      </c>
      <c r="H1558" s="1">
        <v>0</v>
      </c>
      <c r="I1558" s="1">
        <v>-1519.049</v>
      </c>
    </row>
    <row r="1559" spans="1:9" hidden="1" x14ac:dyDescent="0.25">
      <c r="A1559" s="1" t="s">
        <v>16</v>
      </c>
      <c r="B1559" s="1" t="s">
        <v>178</v>
      </c>
      <c r="C1559" s="1" t="s">
        <v>10</v>
      </c>
      <c r="D1559" s="1">
        <v>0</v>
      </c>
      <c r="E1559" s="1">
        <v>-189.88</v>
      </c>
      <c r="F1559" s="1">
        <v>0</v>
      </c>
      <c r="G1559" s="1">
        <v>3133.038</v>
      </c>
      <c r="H1559" s="1">
        <v>0</v>
      </c>
      <c r="I1559" s="1">
        <v>-2278.5729999999999</v>
      </c>
    </row>
    <row r="1560" spans="1:9" hidden="1" x14ac:dyDescent="0.25">
      <c r="A1560" s="1" t="s">
        <v>16</v>
      </c>
      <c r="B1560" s="1" t="s">
        <v>179</v>
      </c>
      <c r="C1560" s="1" t="s">
        <v>25</v>
      </c>
      <c r="D1560" s="1">
        <v>0</v>
      </c>
      <c r="E1560" s="1">
        <v>-189.88</v>
      </c>
      <c r="F1560" s="1">
        <v>0</v>
      </c>
      <c r="G1560" s="1">
        <v>2563.395</v>
      </c>
      <c r="H1560" s="1">
        <v>0</v>
      </c>
      <c r="I1560" s="1">
        <v>-1519.049</v>
      </c>
    </row>
    <row r="1561" spans="1:9" hidden="1" x14ac:dyDescent="0.25">
      <c r="A1561" s="1" t="s">
        <v>16</v>
      </c>
      <c r="B1561" s="1" t="s">
        <v>179</v>
      </c>
      <c r="C1561" s="1" t="s">
        <v>10</v>
      </c>
      <c r="D1561" s="1">
        <v>0</v>
      </c>
      <c r="E1561" s="1">
        <v>-189.88</v>
      </c>
      <c r="F1561" s="1">
        <v>0</v>
      </c>
      <c r="G1561" s="1">
        <v>2563.395</v>
      </c>
      <c r="H1561" s="1">
        <v>0</v>
      </c>
      <c r="I1561" s="1">
        <v>-2278.5729999999999</v>
      </c>
    </row>
    <row r="1562" spans="1:9" hidden="1" x14ac:dyDescent="0.25">
      <c r="A1562" s="1" t="s">
        <v>16</v>
      </c>
      <c r="B1562" s="1" t="s">
        <v>180</v>
      </c>
      <c r="C1562" s="1" t="s">
        <v>25</v>
      </c>
      <c r="D1562" s="1">
        <v>0</v>
      </c>
      <c r="E1562" s="1">
        <v>189.88</v>
      </c>
      <c r="F1562" s="1">
        <v>0</v>
      </c>
      <c r="G1562" s="1">
        <v>-3133.038</v>
      </c>
      <c r="H1562" s="1">
        <v>0</v>
      </c>
      <c r="I1562" s="1">
        <v>1519.049</v>
      </c>
    </row>
    <row r="1563" spans="1:9" hidden="1" x14ac:dyDescent="0.25">
      <c r="A1563" s="1" t="s">
        <v>16</v>
      </c>
      <c r="B1563" s="1" t="s">
        <v>180</v>
      </c>
      <c r="C1563" s="1" t="s">
        <v>10</v>
      </c>
      <c r="D1563" s="1">
        <v>0</v>
      </c>
      <c r="E1563" s="1">
        <v>189.88</v>
      </c>
      <c r="F1563" s="1">
        <v>0</v>
      </c>
      <c r="G1563" s="1">
        <v>-3133.038</v>
      </c>
      <c r="H1563" s="1">
        <v>0</v>
      </c>
      <c r="I1563" s="1">
        <v>2278.5729999999999</v>
      </c>
    </row>
    <row r="1564" spans="1:9" hidden="1" x14ac:dyDescent="0.25">
      <c r="A1564" s="1" t="s">
        <v>16</v>
      </c>
      <c r="B1564" s="1" t="s">
        <v>181</v>
      </c>
      <c r="C1564" s="1" t="s">
        <v>25</v>
      </c>
      <c r="D1564" s="1">
        <v>0</v>
      </c>
      <c r="E1564" s="1">
        <v>189.88</v>
      </c>
      <c r="F1564" s="1">
        <v>0</v>
      </c>
      <c r="G1564" s="1">
        <v>-2563.395</v>
      </c>
      <c r="H1564" s="1">
        <v>0</v>
      </c>
      <c r="I1564" s="1">
        <v>1519.049</v>
      </c>
    </row>
    <row r="1565" spans="1:9" hidden="1" x14ac:dyDescent="0.25">
      <c r="A1565" s="1" t="s">
        <v>16</v>
      </c>
      <c r="B1565" s="1" t="s">
        <v>181</v>
      </c>
      <c r="C1565" s="1" t="s">
        <v>10</v>
      </c>
      <c r="D1565" s="1">
        <v>0</v>
      </c>
      <c r="E1565" s="1">
        <v>189.88</v>
      </c>
      <c r="F1565" s="1">
        <v>0</v>
      </c>
      <c r="G1565" s="1">
        <v>-2563.395</v>
      </c>
      <c r="H1565" s="1">
        <v>0</v>
      </c>
      <c r="I1565" s="1">
        <v>2278.5729999999999</v>
      </c>
    </row>
    <row r="1566" spans="1:9" hidden="1" x14ac:dyDescent="0.25">
      <c r="A1566" s="1" t="s">
        <v>16</v>
      </c>
      <c r="B1566" s="1" t="s">
        <v>182</v>
      </c>
      <c r="C1566" s="1" t="s">
        <v>25</v>
      </c>
      <c r="D1566" s="1">
        <v>0</v>
      </c>
      <c r="E1566" s="1">
        <v>0</v>
      </c>
      <c r="F1566" s="1">
        <v>-229.52</v>
      </c>
      <c r="G1566" s="1">
        <v>-4544.4960000000001</v>
      </c>
      <c r="H1566" s="1">
        <v>1836.16</v>
      </c>
      <c r="I1566" s="1">
        <v>0</v>
      </c>
    </row>
    <row r="1567" spans="1:9" hidden="1" x14ac:dyDescent="0.25">
      <c r="A1567" s="1" t="s">
        <v>16</v>
      </c>
      <c r="B1567" s="1" t="s">
        <v>182</v>
      </c>
      <c r="C1567" s="1" t="s">
        <v>10</v>
      </c>
      <c r="D1567" s="1">
        <v>0</v>
      </c>
      <c r="E1567" s="1">
        <v>0</v>
      </c>
      <c r="F1567" s="1">
        <v>-229.52</v>
      </c>
      <c r="G1567" s="1">
        <v>-4544.4960000000001</v>
      </c>
      <c r="H1567" s="1">
        <v>2754.24</v>
      </c>
      <c r="I1567" s="1">
        <v>0</v>
      </c>
    </row>
    <row r="1568" spans="1:9" hidden="1" x14ac:dyDescent="0.25">
      <c r="A1568" s="1" t="s">
        <v>16</v>
      </c>
      <c r="B1568" s="1" t="s">
        <v>183</v>
      </c>
      <c r="C1568" s="1" t="s">
        <v>25</v>
      </c>
      <c r="D1568" s="1">
        <v>0</v>
      </c>
      <c r="E1568" s="1">
        <v>0</v>
      </c>
      <c r="F1568" s="1">
        <v>-229.52</v>
      </c>
      <c r="G1568" s="1">
        <v>-3718.2240000000002</v>
      </c>
      <c r="H1568" s="1">
        <v>1836.16</v>
      </c>
      <c r="I1568" s="1">
        <v>0</v>
      </c>
    </row>
    <row r="1569" spans="1:9" hidden="1" x14ac:dyDescent="0.25">
      <c r="A1569" s="1" t="s">
        <v>16</v>
      </c>
      <c r="B1569" s="1" t="s">
        <v>183</v>
      </c>
      <c r="C1569" s="1" t="s">
        <v>10</v>
      </c>
      <c r="D1569" s="1">
        <v>0</v>
      </c>
      <c r="E1569" s="1">
        <v>0</v>
      </c>
      <c r="F1569" s="1">
        <v>-229.52</v>
      </c>
      <c r="G1569" s="1">
        <v>-3718.2240000000002</v>
      </c>
      <c r="H1569" s="1">
        <v>2754.24</v>
      </c>
      <c r="I1569" s="1">
        <v>0</v>
      </c>
    </row>
    <row r="1570" spans="1:9" hidden="1" x14ac:dyDescent="0.25">
      <c r="A1570" s="1" t="s">
        <v>16</v>
      </c>
      <c r="B1570" s="1" t="s">
        <v>184</v>
      </c>
      <c r="C1570" s="1" t="s">
        <v>25</v>
      </c>
      <c r="D1570" s="1">
        <v>0</v>
      </c>
      <c r="E1570" s="1">
        <v>0</v>
      </c>
      <c r="F1570" s="1">
        <v>229.52</v>
      </c>
      <c r="G1570" s="1">
        <v>4544.4960000000001</v>
      </c>
      <c r="H1570" s="1">
        <v>-1836.16</v>
      </c>
      <c r="I1570" s="1">
        <v>0</v>
      </c>
    </row>
    <row r="1571" spans="1:9" hidden="1" x14ac:dyDescent="0.25">
      <c r="A1571" s="1" t="s">
        <v>16</v>
      </c>
      <c r="B1571" s="1" t="s">
        <v>184</v>
      </c>
      <c r="C1571" s="1" t="s">
        <v>10</v>
      </c>
      <c r="D1571" s="1">
        <v>0</v>
      </c>
      <c r="E1571" s="1">
        <v>0</v>
      </c>
      <c r="F1571" s="1">
        <v>229.52</v>
      </c>
      <c r="G1571" s="1">
        <v>4544.4960000000001</v>
      </c>
      <c r="H1571" s="1">
        <v>-2754.24</v>
      </c>
      <c r="I1571" s="1">
        <v>0</v>
      </c>
    </row>
    <row r="1572" spans="1:9" hidden="1" x14ac:dyDescent="0.25">
      <c r="A1572" s="1" t="s">
        <v>16</v>
      </c>
      <c r="B1572" s="1" t="s">
        <v>185</v>
      </c>
      <c r="C1572" s="1" t="s">
        <v>25</v>
      </c>
      <c r="D1572" s="1">
        <v>0</v>
      </c>
      <c r="E1572" s="1">
        <v>0</v>
      </c>
      <c r="F1572" s="1">
        <v>229.52</v>
      </c>
      <c r="G1572" s="1">
        <v>3718.2240000000002</v>
      </c>
      <c r="H1572" s="1">
        <v>-1836.16</v>
      </c>
      <c r="I1572" s="1">
        <v>0</v>
      </c>
    </row>
    <row r="1573" spans="1:9" hidden="1" x14ac:dyDescent="0.25">
      <c r="A1573" s="1" t="s">
        <v>16</v>
      </c>
      <c r="B1573" s="1" t="s">
        <v>185</v>
      </c>
      <c r="C1573" s="1" t="s">
        <v>10</v>
      </c>
      <c r="D1573" s="1">
        <v>0</v>
      </c>
      <c r="E1573" s="1">
        <v>0</v>
      </c>
      <c r="F1573" s="1">
        <v>229.52</v>
      </c>
      <c r="G1573" s="1">
        <v>3718.2240000000002</v>
      </c>
      <c r="H1573" s="1">
        <v>-2754.24</v>
      </c>
      <c r="I1573" s="1">
        <v>0</v>
      </c>
    </row>
    <row r="1574" spans="1:9" hidden="1" x14ac:dyDescent="0.25">
      <c r="A1574" s="1" t="s">
        <v>16</v>
      </c>
      <c r="B1574" s="1" t="s">
        <v>186</v>
      </c>
      <c r="C1574" s="1" t="s">
        <v>25</v>
      </c>
      <c r="D1574" s="1">
        <v>0</v>
      </c>
      <c r="E1574" s="1">
        <v>-189.88</v>
      </c>
      <c r="F1574" s="1">
        <v>0</v>
      </c>
      <c r="G1574" s="1">
        <v>3133.038</v>
      </c>
      <c r="H1574" s="1">
        <v>0</v>
      </c>
      <c r="I1574" s="1">
        <v>-1519.049</v>
      </c>
    </row>
    <row r="1575" spans="1:9" hidden="1" x14ac:dyDescent="0.25">
      <c r="A1575" s="1" t="s">
        <v>16</v>
      </c>
      <c r="B1575" s="1" t="s">
        <v>186</v>
      </c>
      <c r="C1575" s="1" t="s">
        <v>10</v>
      </c>
      <c r="D1575" s="1">
        <v>0</v>
      </c>
      <c r="E1575" s="1">
        <v>-189.88</v>
      </c>
      <c r="F1575" s="1">
        <v>0</v>
      </c>
      <c r="G1575" s="1">
        <v>3133.038</v>
      </c>
      <c r="H1575" s="1">
        <v>0</v>
      </c>
      <c r="I1575" s="1">
        <v>-2278.5729999999999</v>
      </c>
    </row>
    <row r="1576" spans="1:9" hidden="1" x14ac:dyDescent="0.25">
      <c r="A1576" s="1" t="s">
        <v>16</v>
      </c>
      <c r="B1576" s="1" t="s">
        <v>187</v>
      </c>
      <c r="C1576" s="1" t="s">
        <v>25</v>
      </c>
      <c r="D1576" s="1">
        <v>0</v>
      </c>
      <c r="E1576" s="1">
        <v>-189.88</v>
      </c>
      <c r="F1576" s="1">
        <v>0</v>
      </c>
      <c r="G1576" s="1">
        <v>2563.395</v>
      </c>
      <c r="H1576" s="1">
        <v>0</v>
      </c>
      <c r="I1576" s="1">
        <v>-1519.049</v>
      </c>
    </row>
    <row r="1577" spans="1:9" hidden="1" x14ac:dyDescent="0.25">
      <c r="A1577" s="1" t="s">
        <v>16</v>
      </c>
      <c r="B1577" s="1" t="s">
        <v>187</v>
      </c>
      <c r="C1577" s="1" t="s">
        <v>10</v>
      </c>
      <c r="D1577" s="1">
        <v>0</v>
      </c>
      <c r="E1577" s="1">
        <v>-189.88</v>
      </c>
      <c r="F1577" s="1">
        <v>0</v>
      </c>
      <c r="G1577" s="1">
        <v>2563.395</v>
      </c>
      <c r="H1577" s="1">
        <v>0</v>
      </c>
      <c r="I1577" s="1">
        <v>-2278.5729999999999</v>
      </c>
    </row>
    <row r="1578" spans="1:9" hidden="1" x14ac:dyDescent="0.25">
      <c r="A1578" s="1" t="s">
        <v>16</v>
      </c>
      <c r="B1578" s="1" t="s">
        <v>188</v>
      </c>
      <c r="C1578" s="1" t="s">
        <v>25</v>
      </c>
      <c r="D1578" s="1">
        <v>0</v>
      </c>
      <c r="E1578" s="1">
        <v>189.88</v>
      </c>
      <c r="F1578" s="1">
        <v>0</v>
      </c>
      <c r="G1578" s="1">
        <v>-3133.038</v>
      </c>
      <c r="H1578" s="1">
        <v>0</v>
      </c>
      <c r="I1578" s="1">
        <v>1519.049</v>
      </c>
    </row>
    <row r="1579" spans="1:9" hidden="1" x14ac:dyDescent="0.25">
      <c r="A1579" s="1" t="s">
        <v>16</v>
      </c>
      <c r="B1579" s="1" t="s">
        <v>188</v>
      </c>
      <c r="C1579" s="1" t="s">
        <v>10</v>
      </c>
      <c r="D1579" s="1">
        <v>0</v>
      </c>
      <c r="E1579" s="1">
        <v>189.88</v>
      </c>
      <c r="F1579" s="1">
        <v>0</v>
      </c>
      <c r="G1579" s="1">
        <v>-3133.038</v>
      </c>
      <c r="H1579" s="1">
        <v>0</v>
      </c>
      <c r="I1579" s="1">
        <v>2278.5729999999999</v>
      </c>
    </row>
    <row r="1580" spans="1:9" hidden="1" x14ac:dyDescent="0.25">
      <c r="A1580" s="1" t="s">
        <v>16</v>
      </c>
      <c r="B1580" s="1" t="s">
        <v>189</v>
      </c>
      <c r="C1580" s="1" t="s">
        <v>25</v>
      </c>
      <c r="D1580" s="1">
        <v>0</v>
      </c>
      <c r="E1580" s="1">
        <v>189.88</v>
      </c>
      <c r="F1580" s="1">
        <v>0</v>
      </c>
      <c r="G1580" s="1">
        <v>-2563.395</v>
      </c>
      <c r="H1580" s="1">
        <v>0</v>
      </c>
      <c r="I1580" s="1">
        <v>1519.049</v>
      </c>
    </row>
    <row r="1581" spans="1:9" hidden="1" x14ac:dyDescent="0.25">
      <c r="A1581" s="1" t="s">
        <v>16</v>
      </c>
      <c r="B1581" s="1" t="s">
        <v>189</v>
      </c>
      <c r="C1581" s="1" t="s">
        <v>10</v>
      </c>
      <c r="D1581" s="1">
        <v>0</v>
      </c>
      <c r="E1581" s="1">
        <v>189.88</v>
      </c>
      <c r="F1581" s="1">
        <v>0</v>
      </c>
      <c r="G1581" s="1">
        <v>-2563.395</v>
      </c>
      <c r="H1581" s="1">
        <v>0</v>
      </c>
      <c r="I1581" s="1">
        <v>2278.5729999999999</v>
      </c>
    </row>
    <row r="1582" spans="1:9" hidden="1" x14ac:dyDescent="0.25">
      <c r="A1582" s="1" t="s">
        <v>16</v>
      </c>
      <c r="B1582" s="1" t="s">
        <v>190</v>
      </c>
      <c r="C1582" s="1" t="s">
        <v>25</v>
      </c>
      <c r="D1582" s="1">
        <v>0</v>
      </c>
      <c r="E1582" s="1">
        <v>0</v>
      </c>
      <c r="F1582" s="1">
        <v>-229.52</v>
      </c>
      <c r="G1582" s="1">
        <v>-4544.4960000000001</v>
      </c>
      <c r="H1582" s="1">
        <v>1836.16</v>
      </c>
      <c r="I1582" s="1">
        <v>0</v>
      </c>
    </row>
    <row r="1583" spans="1:9" hidden="1" x14ac:dyDescent="0.25">
      <c r="A1583" s="1" t="s">
        <v>16</v>
      </c>
      <c r="B1583" s="1" t="s">
        <v>190</v>
      </c>
      <c r="C1583" s="1" t="s">
        <v>10</v>
      </c>
      <c r="D1583" s="1">
        <v>0</v>
      </c>
      <c r="E1583" s="1">
        <v>0</v>
      </c>
      <c r="F1583" s="1">
        <v>-229.52</v>
      </c>
      <c r="G1583" s="1">
        <v>-4544.4960000000001</v>
      </c>
      <c r="H1583" s="1">
        <v>2754.24</v>
      </c>
      <c r="I1583" s="1">
        <v>0</v>
      </c>
    </row>
    <row r="1584" spans="1:9" hidden="1" x14ac:dyDescent="0.25">
      <c r="A1584" s="1" t="s">
        <v>16</v>
      </c>
      <c r="B1584" s="1" t="s">
        <v>191</v>
      </c>
      <c r="C1584" s="1" t="s">
        <v>25</v>
      </c>
      <c r="D1584" s="1">
        <v>0</v>
      </c>
      <c r="E1584" s="1">
        <v>0</v>
      </c>
      <c r="F1584" s="1">
        <v>-229.52</v>
      </c>
      <c r="G1584" s="1">
        <v>-3718.2240000000002</v>
      </c>
      <c r="H1584" s="1">
        <v>1836.16</v>
      </c>
      <c r="I1584" s="1">
        <v>0</v>
      </c>
    </row>
    <row r="1585" spans="1:9" hidden="1" x14ac:dyDescent="0.25">
      <c r="A1585" s="1" t="s">
        <v>16</v>
      </c>
      <c r="B1585" s="1" t="s">
        <v>191</v>
      </c>
      <c r="C1585" s="1" t="s">
        <v>10</v>
      </c>
      <c r="D1585" s="1">
        <v>0</v>
      </c>
      <c r="E1585" s="1">
        <v>0</v>
      </c>
      <c r="F1585" s="1">
        <v>-229.52</v>
      </c>
      <c r="G1585" s="1">
        <v>-3718.2240000000002</v>
      </c>
      <c r="H1585" s="1">
        <v>2754.24</v>
      </c>
      <c r="I1585" s="1">
        <v>0</v>
      </c>
    </row>
    <row r="1586" spans="1:9" hidden="1" x14ac:dyDescent="0.25">
      <c r="A1586" s="1" t="s">
        <v>16</v>
      </c>
      <c r="B1586" s="1" t="s">
        <v>192</v>
      </c>
      <c r="C1586" s="1" t="s">
        <v>25</v>
      </c>
      <c r="D1586" s="1">
        <v>0</v>
      </c>
      <c r="E1586" s="1">
        <v>0</v>
      </c>
      <c r="F1586" s="1">
        <v>229.52</v>
      </c>
      <c r="G1586" s="1">
        <v>4544.4960000000001</v>
      </c>
      <c r="H1586" s="1">
        <v>-1836.16</v>
      </c>
      <c r="I1586" s="1">
        <v>0</v>
      </c>
    </row>
    <row r="1587" spans="1:9" hidden="1" x14ac:dyDescent="0.25">
      <c r="A1587" s="1" t="s">
        <v>16</v>
      </c>
      <c r="B1587" s="1" t="s">
        <v>192</v>
      </c>
      <c r="C1587" s="1" t="s">
        <v>10</v>
      </c>
      <c r="D1587" s="1">
        <v>0</v>
      </c>
      <c r="E1587" s="1">
        <v>0</v>
      </c>
      <c r="F1587" s="1">
        <v>229.52</v>
      </c>
      <c r="G1587" s="1">
        <v>4544.4960000000001</v>
      </c>
      <c r="H1587" s="1">
        <v>-2754.24</v>
      </c>
      <c r="I1587" s="1">
        <v>0</v>
      </c>
    </row>
    <row r="1588" spans="1:9" hidden="1" x14ac:dyDescent="0.25">
      <c r="A1588" s="1" t="s">
        <v>16</v>
      </c>
      <c r="B1588" s="1" t="s">
        <v>193</v>
      </c>
      <c r="C1588" s="1" t="s">
        <v>25</v>
      </c>
      <c r="D1588" s="1">
        <v>0</v>
      </c>
      <c r="E1588" s="1">
        <v>0</v>
      </c>
      <c r="F1588" s="1">
        <v>229.52</v>
      </c>
      <c r="G1588" s="1">
        <v>3718.2240000000002</v>
      </c>
      <c r="H1588" s="1">
        <v>-1836.16</v>
      </c>
      <c r="I1588" s="1">
        <v>0</v>
      </c>
    </row>
    <row r="1589" spans="1:9" hidden="1" x14ac:dyDescent="0.25">
      <c r="A1589" s="1" t="s">
        <v>16</v>
      </c>
      <c r="B1589" s="1" t="s">
        <v>193</v>
      </c>
      <c r="C1589" s="1" t="s">
        <v>10</v>
      </c>
      <c r="D1589" s="1">
        <v>0</v>
      </c>
      <c r="E1589" s="1">
        <v>0</v>
      </c>
      <c r="F1589" s="1">
        <v>229.52</v>
      </c>
      <c r="G1589" s="1">
        <v>3718.2240000000002</v>
      </c>
      <c r="H1589" s="1">
        <v>-2754.24</v>
      </c>
      <c r="I1589" s="1">
        <v>0</v>
      </c>
    </row>
    <row r="1590" spans="1:9" hidden="1" x14ac:dyDescent="0.25">
      <c r="A1590" s="1" t="s">
        <v>16</v>
      </c>
      <c r="B1590" s="1" t="s">
        <v>194</v>
      </c>
      <c r="C1590" s="1" t="s">
        <v>25</v>
      </c>
      <c r="D1590" s="1">
        <v>0</v>
      </c>
      <c r="E1590" s="1">
        <v>-632.94000000000005</v>
      </c>
      <c r="F1590" s="1">
        <v>0</v>
      </c>
      <c r="G1590" s="1">
        <v>10443.460999999999</v>
      </c>
      <c r="H1590" s="1">
        <v>0</v>
      </c>
      <c r="I1590" s="1">
        <v>-5063.4960000000001</v>
      </c>
    </row>
    <row r="1591" spans="1:9" hidden="1" x14ac:dyDescent="0.25">
      <c r="A1591" s="1" t="s">
        <v>16</v>
      </c>
      <c r="B1591" s="1" t="s">
        <v>194</v>
      </c>
      <c r="C1591" s="1" t="s">
        <v>10</v>
      </c>
      <c r="D1591" s="1">
        <v>0</v>
      </c>
      <c r="E1591" s="1">
        <v>-632.94000000000005</v>
      </c>
      <c r="F1591" s="1">
        <v>0</v>
      </c>
      <c r="G1591" s="1">
        <v>10443.460999999999</v>
      </c>
      <c r="H1591" s="1">
        <v>0</v>
      </c>
      <c r="I1591" s="1">
        <v>-7595.2439999999997</v>
      </c>
    </row>
    <row r="1592" spans="1:9" hidden="1" x14ac:dyDescent="0.25">
      <c r="A1592" s="1" t="s">
        <v>16</v>
      </c>
      <c r="B1592" s="1" t="s">
        <v>195</v>
      </c>
      <c r="C1592" s="1" t="s">
        <v>25</v>
      </c>
      <c r="D1592" s="1">
        <v>0</v>
      </c>
      <c r="E1592" s="1">
        <v>-632.94000000000005</v>
      </c>
      <c r="F1592" s="1">
        <v>0</v>
      </c>
      <c r="G1592" s="1">
        <v>8544.65</v>
      </c>
      <c r="H1592" s="1">
        <v>0</v>
      </c>
      <c r="I1592" s="1">
        <v>-5063.4960000000001</v>
      </c>
    </row>
    <row r="1593" spans="1:9" hidden="1" x14ac:dyDescent="0.25">
      <c r="A1593" s="1" t="s">
        <v>16</v>
      </c>
      <c r="B1593" s="1" t="s">
        <v>195</v>
      </c>
      <c r="C1593" s="1" t="s">
        <v>10</v>
      </c>
      <c r="D1593" s="1">
        <v>0</v>
      </c>
      <c r="E1593" s="1">
        <v>-632.94000000000005</v>
      </c>
      <c r="F1593" s="1">
        <v>0</v>
      </c>
      <c r="G1593" s="1">
        <v>8544.65</v>
      </c>
      <c r="H1593" s="1">
        <v>0</v>
      </c>
      <c r="I1593" s="1">
        <v>-7595.2439999999997</v>
      </c>
    </row>
    <row r="1594" spans="1:9" hidden="1" x14ac:dyDescent="0.25">
      <c r="A1594" s="1" t="s">
        <v>16</v>
      </c>
      <c r="B1594" s="1" t="s">
        <v>196</v>
      </c>
      <c r="C1594" s="1" t="s">
        <v>25</v>
      </c>
      <c r="D1594" s="1">
        <v>0</v>
      </c>
      <c r="E1594" s="1">
        <v>632.94000000000005</v>
      </c>
      <c r="F1594" s="1">
        <v>0</v>
      </c>
      <c r="G1594" s="1">
        <v>-10443.460999999999</v>
      </c>
      <c r="H1594" s="1">
        <v>0</v>
      </c>
      <c r="I1594" s="1">
        <v>5063.4960000000001</v>
      </c>
    </row>
    <row r="1595" spans="1:9" hidden="1" x14ac:dyDescent="0.25">
      <c r="A1595" s="1" t="s">
        <v>16</v>
      </c>
      <c r="B1595" s="1" t="s">
        <v>196</v>
      </c>
      <c r="C1595" s="1" t="s">
        <v>10</v>
      </c>
      <c r="D1595" s="1">
        <v>0</v>
      </c>
      <c r="E1595" s="1">
        <v>632.94000000000005</v>
      </c>
      <c r="F1595" s="1">
        <v>0</v>
      </c>
      <c r="G1595" s="1">
        <v>-10443.460999999999</v>
      </c>
      <c r="H1595" s="1">
        <v>0</v>
      </c>
      <c r="I1595" s="1">
        <v>7595.2439999999997</v>
      </c>
    </row>
    <row r="1596" spans="1:9" hidden="1" x14ac:dyDescent="0.25">
      <c r="A1596" s="1" t="s">
        <v>16</v>
      </c>
      <c r="B1596" s="1" t="s">
        <v>197</v>
      </c>
      <c r="C1596" s="1" t="s">
        <v>25</v>
      </c>
      <c r="D1596" s="1">
        <v>0</v>
      </c>
      <c r="E1596" s="1">
        <v>632.94000000000005</v>
      </c>
      <c r="F1596" s="1">
        <v>0</v>
      </c>
      <c r="G1596" s="1">
        <v>-8544.65</v>
      </c>
      <c r="H1596" s="1">
        <v>0</v>
      </c>
      <c r="I1596" s="1">
        <v>5063.4960000000001</v>
      </c>
    </row>
    <row r="1597" spans="1:9" hidden="1" x14ac:dyDescent="0.25">
      <c r="A1597" s="1" t="s">
        <v>16</v>
      </c>
      <c r="B1597" s="1" t="s">
        <v>197</v>
      </c>
      <c r="C1597" s="1" t="s">
        <v>10</v>
      </c>
      <c r="D1597" s="1">
        <v>0</v>
      </c>
      <c r="E1597" s="1">
        <v>632.94000000000005</v>
      </c>
      <c r="F1597" s="1">
        <v>0</v>
      </c>
      <c r="G1597" s="1">
        <v>-8544.65</v>
      </c>
      <c r="H1597" s="1">
        <v>0</v>
      </c>
      <c r="I1597" s="1">
        <v>7595.2439999999997</v>
      </c>
    </row>
    <row r="1598" spans="1:9" hidden="1" x14ac:dyDescent="0.25">
      <c r="A1598" s="1" t="s">
        <v>16</v>
      </c>
      <c r="B1598" s="1" t="s">
        <v>198</v>
      </c>
      <c r="C1598" s="1" t="s">
        <v>25</v>
      </c>
      <c r="D1598" s="1">
        <v>0</v>
      </c>
      <c r="E1598" s="1">
        <v>0</v>
      </c>
      <c r="F1598" s="1">
        <v>-765.07</v>
      </c>
      <c r="G1598" s="1">
        <v>-15148.319</v>
      </c>
      <c r="H1598" s="1">
        <v>6120.5330000000004</v>
      </c>
      <c r="I1598" s="1">
        <v>0</v>
      </c>
    </row>
    <row r="1599" spans="1:9" hidden="1" x14ac:dyDescent="0.25">
      <c r="A1599" s="1" t="s">
        <v>16</v>
      </c>
      <c r="B1599" s="1" t="s">
        <v>198</v>
      </c>
      <c r="C1599" s="1" t="s">
        <v>10</v>
      </c>
      <c r="D1599" s="1">
        <v>0</v>
      </c>
      <c r="E1599" s="1">
        <v>0</v>
      </c>
      <c r="F1599" s="1">
        <v>-765.07</v>
      </c>
      <c r="G1599" s="1">
        <v>-15148.319</v>
      </c>
      <c r="H1599" s="1">
        <v>9180.7999999999993</v>
      </c>
      <c r="I1599" s="1">
        <v>0</v>
      </c>
    </row>
    <row r="1600" spans="1:9" hidden="1" x14ac:dyDescent="0.25">
      <c r="A1600" s="1" t="s">
        <v>16</v>
      </c>
      <c r="B1600" s="1" t="s">
        <v>199</v>
      </c>
      <c r="C1600" s="1" t="s">
        <v>25</v>
      </c>
      <c r="D1600" s="1">
        <v>0</v>
      </c>
      <c r="E1600" s="1">
        <v>0</v>
      </c>
      <c r="F1600" s="1">
        <v>-765.07</v>
      </c>
      <c r="G1600" s="1">
        <v>-12394.08</v>
      </c>
      <c r="H1600" s="1">
        <v>6120.5330000000004</v>
      </c>
      <c r="I1600" s="1">
        <v>0</v>
      </c>
    </row>
    <row r="1601" spans="1:9" hidden="1" x14ac:dyDescent="0.25">
      <c r="A1601" s="1" t="s">
        <v>16</v>
      </c>
      <c r="B1601" s="1" t="s">
        <v>199</v>
      </c>
      <c r="C1601" s="1" t="s">
        <v>10</v>
      </c>
      <c r="D1601" s="1">
        <v>0</v>
      </c>
      <c r="E1601" s="1">
        <v>0</v>
      </c>
      <c r="F1601" s="1">
        <v>-765.07</v>
      </c>
      <c r="G1601" s="1">
        <v>-12394.08</v>
      </c>
      <c r="H1601" s="1">
        <v>9180.7999999999993</v>
      </c>
      <c r="I1601" s="1">
        <v>0</v>
      </c>
    </row>
    <row r="1602" spans="1:9" hidden="1" x14ac:dyDescent="0.25">
      <c r="A1602" s="1" t="s">
        <v>16</v>
      </c>
      <c r="B1602" s="1" t="s">
        <v>200</v>
      </c>
      <c r="C1602" s="1" t="s">
        <v>25</v>
      </c>
      <c r="D1602" s="1">
        <v>0</v>
      </c>
      <c r="E1602" s="1">
        <v>0</v>
      </c>
      <c r="F1602" s="1">
        <v>765.07</v>
      </c>
      <c r="G1602" s="1">
        <v>15148.319</v>
      </c>
      <c r="H1602" s="1">
        <v>-6120.5330000000004</v>
      </c>
      <c r="I1602" s="1">
        <v>0</v>
      </c>
    </row>
    <row r="1603" spans="1:9" hidden="1" x14ac:dyDescent="0.25">
      <c r="A1603" s="1" t="s">
        <v>16</v>
      </c>
      <c r="B1603" s="1" t="s">
        <v>200</v>
      </c>
      <c r="C1603" s="1" t="s">
        <v>10</v>
      </c>
      <c r="D1603" s="1">
        <v>0</v>
      </c>
      <c r="E1603" s="1">
        <v>0</v>
      </c>
      <c r="F1603" s="1">
        <v>765.07</v>
      </c>
      <c r="G1603" s="1">
        <v>15148.319</v>
      </c>
      <c r="H1603" s="1">
        <v>-9180.7999999999993</v>
      </c>
      <c r="I1603" s="1">
        <v>0</v>
      </c>
    </row>
    <row r="1604" spans="1:9" hidden="1" x14ac:dyDescent="0.25">
      <c r="A1604" s="1" t="s">
        <v>16</v>
      </c>
      <c r="B1604" s="1" t="s">
        <v>201</v>
      </c>
      <c r="C1604" s="1" t="s">
        <v>25</v>
      </c>
      <c r="D1604" s="1">
        <v>0</v>
      </c>
      <c r="E1604" s="1">
        <v>0</v>
      </c>
      <c r="F1604" s="1">
        <v>765.07</v>
      </c>
      <c r="G1604" s="1">
        <v>12394.08</v>
      </c>
      <c r="H1604" s="1">
        <v>-6120.5330000000004</v>
      </c>
      <c r="I1604" s="1">
        <v>0</v>
      </c>
    </row>
    <row r="1605" spans="1:9" hidden="1" x14ac:dyDescent="0.25">
      <c r="A1605" s="1" t="s">
        <v>16</v>
      </c>
      <c r="B1605" s="1" t="s">
        <v>201</v>
      </c>
      <c r="C1605" s="1" t="s">
        <v>10</v>
      </c>
      <c r="D1605" s="1">
        <v>0</v>
      </c>
      <c r="E1605" s="1">
        <v>0</v>
      </c>
      <c r="F1605" s="1">
        <v>765.07</v>
      </c>
      <c r="G1605" s="1">
        <v>12394.08</v>
      </c>
      <c r="H1605" s="1">
        <v>-9180.7999999999993</v>
      </c>
      <c r="I1605" s="1">
        <v>0</v>
      </c>
    </row>
    <row r="1606" spans="1:9" hidden="1" x14ac:dyDescent="0.25">
      <c r="A1606" s="1" t="s">
        <v>16</v>
      </c>
      <c r="B1606" s="1" t="s">
        <v>202</v>
      </c>
      <c r="C1606" s="1" t="s">
        <v>25</v>
      </c>
      <c r="D1606" s="1">
        <v>0</v>
      </c>
      <c r="E1606" s="1">
        <v>-632.94000000000005</v>
      </c>
      <c r="F1606" s="1">
        <v>0</v>
      </c>
      <c r="G1606" s="1">
        <v>10443.460999999999</v>
      </c>
      <c r="H1606" s="1">
        <v>0</v>
      </c>
      <c r="I1606" s="1">
        <v>-5063.4960000000001</v>
      </c>
    </row>
    <row r="1607" spans="1:9" hidden="1" x14ac:dyDescent="0.25">
      <c r="A1607" s="1" t="s">
        <v>16</v>
      </c>
      <c r="B1607" s="1" t="s">
        <v>202</v>
      </c>
      <c r="C1607" s="1" t="s">
        <v>10</v>
      </c>
      <c r="D1607" s="1">
        <v>0</v>
      </c>
      <c r="E1607" s="1">
        <v>-632.94000000000005</v>
      </c>
      <c r="F1607" s="1">
        <v>0</v>
      </c>
      <c r="G1607" s="1">
        <v>10443.460999999999</v>
      </c>
      <c r="H1607" s="1">
        <v>0</v>
      </c>
      <c r="I1607" s="1">
        <v>-7595.2439999999997</v>
      </c>
    </row>
    <row r="1608" spans="1:9" hidden="1" x14ac:dyDescent="0.25">
      <c r="A1608" s="1" t="s">
        <v>16</v>
      </c>
      <c r="B1608" s="1" t="s">
        <v>203</v>
      </c>
      <c r="C1608" s="1" t="s">
        <v>25</v>
      </c>
      <c r="D1608" s="1">
        <v>0</v>
      </c>
      <c r="E1608" s="1">
        <v>-632.94000000000005</v>
      </c>
      <c r="F1608" s="1">
        <v>0</v>
      </c>
      <c r="G1608" s="1">
        <v>8544.65</v>
      </c>
      <c r="H1608" s="1">
        <v>0</v>
      </c>
      <c r="I1608" s="1">
        <v>-5063.4960000000001</v>
      </c>
    </row>
    <row r="1609" spans="1:9" hidden="1" x14ac:dyDescent="0.25">
      <c r="A1609" s="1" t="s">
        <v>16</v>
      </c>
      <c r="B1609" s="1" t="s">
        <v>203</v>
      </c>
      <c r="C1609" s="1" t="s">
        <v>10</v>
      </c>
      <c r="D1609" s="1">
        <v>0</v>
      </c>
      <c r="E1609" s="1">
        <v>-632.94000000000005</v>
      </c>
      <c r="F1609" s="1">
        <v>0</v>
      </c>
      <c r="G1609" s="1">
        <v>8544.65</v>
      </c>
      <c r="H1609" s="1">
        <v>0</v>
      </c>
      <c r="I1609" s="1">
        <v>-7595.2439999999997</v>
      </c>
    </row>
    <row r="1610" spans="1:9" hidden="1" x14ac:dyDescent="0.25">
      <c r="A1610" s="1" t="s">
        <v>16</v>
      </c>
      <c r="B1610" s="1" t="s">
        <v>204</v>
      </c>
      <c r="C1610" s="1" t="s">
        <v>25</v>
      </c>
      <c r="D1610" s="1">
        <v>0</v>
      </c>
      <c r="E1610" s="1">
        <v>632.94000000000005</v>
      </c>
      <c r="F1610" s="1">
        <v>0</v>
      </c>
      <c r="G1610" s="1">
        <v>-10443.460999999999</v>
      </c>
      <c r="H1610" s="1">
        <v>0</v>
      </c>
      <c r="I1610" s="1">
        <v>5063.4960000000001</v>
      </c>
    </row>
    <row r="1611" spans="1:9" hidden="1" x14ac:dyDescent="0.25">
      <c r="A1611" s="1" t="s">
        <v>16</v>
      </c>
      <c r="B1611" s="1" t="s">
        <v>204</v>
      </c>
      <c r="C1611" s="1" t="s">
        <v>10</v>
      </c>
      <c r="D1611" s="1">
        <v>0</v>
      </c>
      <c r="E1611" s="1">
        <v>632.94000000000005</v>
      </c>
      <c r="F1611" s="1">
        <v>0</v>
      </c>
      <c r="G1611" s="1">
        <v>-10443.460999999999</v>
      </c>
      <c r="H1611" s="1">
        <v>0</v>
      </c>
      <c r="I1611" s="1">
        <v>7595.2439999999997</v>
      </c>
    </row>
    <row r="1612" spans="1:9" hidden="1" x14ac:dyDescent="0.25">
      <c r="A1612" s="1" t="s">
        <v>16</v>
      </c>
      <c r="B1612" s="1" t="s">
        <v>205</v>
      </c>
      <c r="C1612" s="1" t="s">
        <v>25</v>
      </c>
      <c r="D1612" s="1">
        <v>0</v>
      </c>
      <c r="E1612" s="1">
        <v>632.94000000000005</v>
      </c>
      <c r="F1612" s="1">
        <v>0</v>
      </c>
      <c r="G1612" s="1">
        <v>-8544.65</v>
      </c>
      <c r="H1612" s="1">
        <v>0</v>
      </c>
      <c r="I1612" s="1">
        <v>5063.4960000000001</v>
      </c>
    </row>
    <row r="1613" spans="1:9" hidden="1" x14ac:dyDescent="0.25">
      <c r="A1613" s="1" t="s">
        <v>16</v>
      </c>
      <c r="B1613" s="1" t="s">
        <v>205</v>
      </c>
      <c r="C1613" s="1" t="s">
        <v>10</v>
      </c>
      <c r="D1613" s="1">
        <v>0</v>
      </c>
      <c r="E1613" s="1">
        <v>632.94000000000005</v>
      </c>
      <c r="F1613" s="1">
        <v>0</v>
      </c>
      <c r="G1613" s="1">
        <v>-8544.65</v>
      </c>
      <c r="H1613" s="1">
        <v>0</v>
      </c>
      <c r="I1613" s="1">
        <v>7595.2439999999997</v>
      </c>
    </row>
    <row r="1614" spans="1:9" hidden="1" x14ac:dyDescent="0.25">
      <c r="A1614" s="1" t="s">
        <v>16</v>
      </c>
      <c r="B1614" s="1" t="s">
        <v>206</v>
      </c>
      <c r="C1614" s="1" t="s">
        <v>25</v>
      </c>
      <c r="D1614" s="1">
        <v>0</v>
      </c>
      <c r="E1614" s="1">
        <v>0</v>
      </c>
      <c r="F1614" s="1">
        <v>-765.07</v>
      </c>
      <c r="G1614" s="1">
        <v>-15148.319</v>
      </c>
      <c r="H1614" s="1">
        <v>6120.5330000000004</v>
      </c>
      <c r="I1614" s="1">
        <v>0</v>
      </c>
    </row>
    <row r="1615" spans="1:9" hidden="1" x14ac:dyDescent="0.25">
      <c r="A1615" s="1" t="s">
        <v>16</v>
      </c>
      <c r="B1615" s="1" t="s">
        <v>206</v>
      </c>
      <c r="C1615" s="1" t="s">
        <v>10</v>
      </c>
      <c r="D1615" s="1">
        <v>0</v>
      </c>
      <c r="E1615" s="1">
        <v>0</v>
      </c>
      <c r="F1615" s="1">
        <v>-765.07</v>
      </c>
      <c r="G1615" s="1">
        <v>-15148.319</v>
      </c>
      <c r="H1615" s="1">
        <v>9180.7999999999993</v>
      </c>
      <c r="I1615" s="1">
        <v>0</v>
      </c>
    </row>
    <row r="1616" spans="1:9" hidden="1" x14ac:dyDescent="0.25">
      <c r="A1616" s="1" t="s">
        <v>16</v>
      </c>
      <c r="B1616" s="1" t="s">
        <v>207</v>
      </c>
      <c r="C1616" s="1" t="s">
        <v>25</v>
      </c>
      <c r="D1616" s="1">
        <v>0</v>
      </c>
      <c r="E1616" s="1">
        <v>0</v>
      </c>
      <c r="F1616" s="1">
        <v>-765.07</v>
      </c>
      <c r="G1616" s="1">
        <v>-12394.08</v>
      </c>
      <c r="H1616" s="1">
        <v>6120.5330000000004</v>
      </c>
      <c r="I1616" s="1">
        <v>0</v>
      </c>
    </row>
    <row r="1617" spans="1:9" hidden="1" x14ac:dyDescent="0.25">
      <c r="A1617" s="1" t="s">
        <v>16</v>
      </c>
      <c r="B1617" s="1" t="s">
        <v>207</v>
      </c>
      <c r="C1617" s="1" t="s">
        <v>10</v>
      </c>
      <c r="D1617" s="1">
        <v>0</v>
      </c>
      <c r="E1617" s="1">
        <v>0</v>
      </c>
      <c r="F1617" s="1">
        <v>-765.07</v>
      </c>
      <c r="G1617" s="1">
        <v>-12394.08</v>
      </c>
      <c r="H1617" s="1">
        <v>9180.7999999999993</v>
      </c>
      <c r="I1617" s="1">
        <v>0</v>
      </c>
    </row>
    <row r="1618" spans="1:9" hidden="1" x14ac:dyDescent="0.25">
      <c r="A1618" s="1" t="s">
        <v>16</v>
      </c>
      <c r="B1618" s="1" t="s">
        <v>208</v>
      </c>
      <c r="C1618" s="1" t="s">
        <v>25</v>
      </c>
      <c r="D1618" s="1">
        <v>0</v>
      </c>
      <c r="E1618" s="1">
        <v>0</v>
      </c>
      <c r="F1618" s="1">
        <v>765.07</v>
      </c>
      <c r="G1618" s="1">
        <v>15148.319</v>
      </c>
      <c r="H1618" s="1">
        <v>-6120.5330000000004</v>
      </c>
      <c r="I1618" s="1">
        <v>0</v>
      </c>
    </row>
    <row r="1619" spans="1:9" hidden="1" x14ac:dyDescent="0.25">
      <c r="A1619" s="1" t="s">
        <v>16</v>
      </c>
      <c r="B1619" s="1" t="s">
        <v>208</v>
      </c>
      <c r="C1619" s="1" t="s">
        <v>10</v>
      </c>
      <c r="D1619" s="1">
        <v>0</v>
      </c>
      <c r="E1619" s="1">
        <v>0</v>
      </c>
      <c r="F1619" s="1">
        <v>765.07</v>
      </c>
      <c r="G1619" s="1">
        <v>15148.319</v>
      </c>
      <c r="H1619" s="1">
        <v>-9180.7999999999993</v>
      </c>
      <c r="I1619" s="1">
        <v>0</v>
      </c>
    </row>
    <row r="1620" spans="1:9" hidden="1" x14ac:dyDescent="0.25">
      <c r="A1620" s="1" t="s">
        <v>16</v>
      </c>
      <c r="B1620" s="1" t="s">
        <v>209</v>
      </c>
      <c r="C1620" s="1" t="s">
        <v>25</v>
      </c>
      <c r="D1620" s="1">
        <v>0</v>
      </c>
      <c r="E1620" s="1">
        <v>0</v>
      </c>
      <c r="F1620" s="1">
        <v>765.07</v>
      </c>
      <c r="G1620" s="1">
        <v>12394.08</v>
      </c>
      <c r="H1620" s="1">
        <v>-6120.5330000000004</v>
      </c>
      <c r="I1620" s="1">
        <v>0</v>
      </c>
    </row>
    <row r="1621" spans="1:9" hidden="1" x14ac:dyDescent="0.25">
      <c r="A1621" s="1" t="s">
        <v>16</v>
      </c>
      <c r="B1621" s="1" t="s">
        <v>209</v>
      </c>
      <c r="C1621" s="1" t="s">
        <v>10</v>
      </c>
      <c r="D1621" s="1">
        <v>0</v>
      </c>
      <c r="E1621" s="1">
        <v>0</v>
      </c>
      <c r="F1621" s="1">
        <v>765.07</v>
      </c>
      <c r="G1621" s="1">
        <v>12394.08</v>
      </c>
      <c r="H1621" s="1">
        <v>-9180.7999999999993</v>
      </c>
      <c r="I1621" s="1">
        <v>0</v>
      </c>
    </row>
    <row r="1622" spans="1:9" hidden="1" x14ac:dyDescent="0.25">
      <c r="A1622" s="1" t="s">
        <v>16</v>
      </c>
      <c r="B1622" s="1" t="s">
        <v>210</v>
      </c>
      <c r="C1622" s="1" t="s">
        <v>25</v>
      </c>
      <c r="D1622" s="1">
        <v>0</v>
      </c>
      <c r="E1622" s="1">
        <v>-189.88</v>
      </c>
      <c r="F1622" s="1">
        <v>0</v>
      </c>
      <c r="G1622" s="1">
        <v>3133.038</v>
      </c>
      <c r="H1622" s="1">
        <v>0</v>
      </c>
      <c r="I1622" s="1">
        <v>-1519.049</v>
      </c>
    </row>
    <row r="1623" spans="1:9" hidden="1" x14ac:dyDescent="0.25">
      <c r="A1623" s="1" t="s">
        <v>16</v>
      </c>
      <c r="B1623" s="1" t="s">
        <v>210</v>
      </c>
      <c r="C1623" s="1" t="s">
        <v>10</v>
      </c>
      <c r="D1623" s="1">
        <v>0</v>
      </c>
      <c r="E1623" s="1">
        <v>-189.88</v>
      </c>
      <c r="F1623" s="1">
        <v>0</v>
      </c>
      <c r="G1623" s="1">
        <v>3133.038</v>
      </c>
      <c r="H1623" s="1">
        <v>0</v>
      </c>
      <c r="I1623" s="1">
        <v>-2278.5729999999999</v>
      </c>
    </row>
    <row r="1624" spans="1:9" hidden="1" x14ac:dyDescent="0.25">
      <c r="A1624" s="1" t="s">
        <v>16</v>
      </c>
      <c r="B1624" s="1" t="s">
        <v>211</v>
      </c>
      <c r="C1624" s="1" t="s">
        <v>25</v>
      </c>
      <c r="D1624" s="1">
        <v>0</v>
      </c>
      <c r="E1624" s="1">
        <v>-189.88</v>
      </c>
      <c r="F1624" s="1">
        <v>0</v>
      </c>
      <c r="G1624" s="1">
        <v>2563.395</v>
      </c>
      <c r="H1624" s="1">
        <v>0</v>
      </c>
      <c r="I1624" s="1">
        <v>-1519.049</v>
      </c>
    </row>
    <row r="1625" spans="1:9" hidden="1" x14ac:dyDescent="0.25">
      <c r="A1625" s="1" t="s">
        <v>16</v>
      </c>
      <c r="B1625" s="1" t="s">
        <v>211</v>
      </c>
      <c r="C1625" s="1" t="s">
        <v>10</v>
      </c>
      <c r="D1625" s="1">
        <v>0</v>
      </c>
      <c r="E1625" s="1">
        <v>-189.88</v>
      </c>
      <c r="F1625" s="1">
        <v>0</v>
      </c>
      <c r="G1625" s="1">
        <v>2563.395</v>
      </c>
      <c r="H1625" s="1">
        <v>0</v>
      </c>
      <c r="I1625" s="1">
        <v>-2278.5729999999999</v>
      </c>
    </row>
    <row r="1626" spans="1:9" hidden="1" x14ac:dyDescent="0.25">
      <c r="A1626" s="1" t="s">
        <v>16</v>
      </c>
      <c r="B1626" s="1" t="s">
        <v>212</v>
      </c>
      <c r="C1626" s="1" t="s">
        <v>25</v>
      </c>
      <c r="D1626" s="1">
        <v>0</v>
      </c>
      <c r="E1626" s="1">
        <v>189.88</v>
      </c>
      <c r="F1626" s="1">
        <v>0</v>
      </c>
      <c r="G1626" s="1">
        <v>-3133.038</v>
      </c>
      <c r="H1626" s="1">
        <v>0</v>
      </c>
      <c r="I1626" s="1">
        <v>1519.049</v>
      </c>
    </row>
    <row r="1627" spans="1:9" hidden="1" x14ac:dyDescent="0.25">
      <c r="A1627" s="1" t="s">
        <v>16</v>
      </c>
      <c r="B1627" s="1" t="s">
        <v>212</v>
      </c>
      <c r="C1627" s="1" t="s">
        <v>10</v>
      </c>
      <c r="D1627" s="1">
        <v>0</v>
      </c>
      <c r="E1627" s="1">
        <v>189.88</v>
      </c>
      <c r="F1627" s="1">
        <v>0</v>
      </c>
      <c r="G1627" s="1">
        <v>-3133.038</v>
      </c>
      <c r="H1627" s="1">
        <v>0</v>
      </c>
      <c r="I1627" s="1">
        <v>2278.5729999999999</v>
      </c>
    </row>
    <row r="1628" spans="1:9" hidden="1" x14ac:dyDescent="0.25">
      <c r="A1628" s="1" t="s">
        <v>16</v>
      </c>
      <c r="B1628" s="1" t="s">
        <v>213</v>
      </c>
      <c r="C1628" s="1" t="s">
        <v>25</v>
      </c>
      <c r="D1628" s="1">
        <v>0</v>
      </c>
      <c r="E1628" s="1">
        <v>189.88</v>
      </c>
      <c r="F1628" s="1">
        <v>0</v>
      </c>
      <c r="G1628" s="1">
        <v>-2563.395</v>
      </c>
      <c r="H1628" s="1">
        <v>0</v>
      </c>
      <c r="I1628" s="1">
        <v>1519.049</v>
      </c>
    </row>
    <row r="1629" spans="1:9" hidden="1" x14ac:dyDescent="0.25">
      <c r="A1629" s="1" t="s">
        <v>16</v>
      </c>
      <c r="B1629" s="1" t="s">
        <v>213</v>
      </c>
      <c r="C1629" s="1" t="s">
        <v>10</v>
      </c>
      <c r="D1629" s="1">
        <v>0</v>
      </c>
      <c r="E1629" s="1">
        <v>189.88</v>
      </c>
      <c r="F1629" s="1">
        <v>0</v>
      </c>
      <c r="G1629" s="1">
        <v>-2563.395</v>
      </c>
      <c r="H1629" s="1">
        <v>0</v>
      </c>
      <c r="I1629" s="1">
        <v>2278.5729999999999</v>
      </c>
    </row>
    <row r="1630" spans="1:9" hidden="1" x14ac:dyDescent="0.25">
      <c r="A1630" s="1" t="s">
        <v>16</v>
      </c>
      <c r="B1630" s="1" t="s">
        <v>214</v>
      </c>
      <c r="C1630" s="1" t="s">
        <v>25</v>
      </c>
      <c r="D1630" s="1">
        <v>0</v>
      </c>
      <c r="E1630" s="1">
        <v>0</v>
      </c>
      <c r="F1630" s="1">
        <v>-229.52</v>
      </c>
      <c r="G1630" s="1">
        <v>-4544.4960000000001</v>
      </c>
      <c r="H1630" s="1">
        <v>1836.16</v>
      </c>
      <c r="I1630" s="1">
        <v>0</v>
      </c>
    </row>
    <row r="1631" spans="1:9" hidden="1" x14ac:dyDescent="0.25">
      <c r="A1631" s="1" t="s">
        <v>16</v>
      </c>
      <c r="B1631" s="1" t="s">
        <v>214</v>
      </c>
      <c r="C1631" s="1" t="s">
        <v>10</v>
      </c>
      <c r="D1631" s="1">
        <v>0</v>
      </c>
      <c r="E1631" s="1">
        <v>0</v>
      </c>
      <c r="F1631" s="1">
        <v>-229.52</v>
      </c>
      <c r="G1631" s="1">
        <v>-4544.4960000000001</v>
      </c>
      <c r="H1631" s="1">
        <v>2754.24</v>
      </c>
      <c r="I1631" s="1">
        <v>0</v>
      </c>
    </row>
    <row r="1632" spans="1:9" hidden="1" x14ac:dyDescent="0.25">
      <c r="A1632" s="1" t="s">
        <v>16</v>
      </c>
      <c r="B1632" s="1" t="s">
        <v>215</v>
      </c>
      <c r="C1632" s="1" t="s">
        <v>25</v>
      </c>
      <c r="D1632" s="1">
        <v>0</v>
      </c>
      <c r="E1632" s="1">
        <v>0</v>
      </c>
      <c r="F1632" s="1">
        <v>-229.52</v>
      </c>
      <c r="G1632" s="1">
        <v>-3718.2240000000002</v>
      </c>
      <c r="H1632" s="1">
        <v>1836.16</v>
      </c>
      <c r="I1632" s="1">
        <v>0</v>
      </c>
    </row>
    <row r="1633" spans="1:9" hidden="1" x14ac:dyDescent="0.25">
      <c r="A1633" s="1" t="s">
        <v>16</v>
      </c>
      <c r="B1633" s="1" t="s">
        <v>215</v>
      </c>
      <c r="C1633" s="1" t="s">
        <v>10</v>
      </c>
      <c r="D1633" s="1">
        <v>0</v>
      </c>
      <c r="E1633" s="1">
        <v>0</v>
      </c>
      <c r="F1633" s="1">
        <v>-229.52</v>
      </c>
      <c r="G1633" s="1">
        <v>-3718.2240000000002</v>
      </c>
      <c r="H1633" s="1">
        <v>2754.24</v>
      </c>
      <c r="I1633" s="1">
        <v>0</v>
      </c>
    </row>
    <row r="1634" spans="1:9" hidden="1" x14ac:dyDescent="0.25">
      <c r="A1634" s="1" t="s">
        <v>16</v>
      </c>
      <c r="B1634" s="1" t="s">
        <v>216</v>
      </c>
      <c r="C1634" s="1" t="s">
        <v>25</v>
      </c>
      <c r="D1634" s="1">
        <v>0</v>
      </c>
      <c r="E1634" s="1">
        <v>0</v>
      </c>
      <c r="F1634" s="1">
        <v>229.52</v>
      </c>
      <c r="G1634" s="1">
        <v>4544.4960000000001</v>
      </c>
      <c r="H1634" s="1">
        <v>-1836.16</v>
      </c>
      <c r="I1634" s="1">
        <v>0</v>
      </c>
    </row>
    <row r="1635" spans="1:9" hidden="1" x14ac:dyDescent="0.25">
      <c r="A1635" s="1" t="s">
        <v>16</v>
      </c>
      <c r="B1635" s="1" t="s">
        <v>216</v>
      </c>
      <c r="C1635" s="1" t="s">
        <v>10</v>
      </c>
      <c r="D1635" s="1">
        <v>0</v>
      </c>
      <c r="E1635" s="1">
        <v>0</v>
      </c>
      <c r="F1635" s="1">
        <v>229.52</v>
      </c>
      <c r="G1635" s="1">
        <v>4544.4960000000001</v>
      </c>
      <c r="H1635" s="1">
        <v>-2754.24</v>
      </c>
      <c r="I1635" s="1">
        <v>0</v>
      </c>
    </row>
    <row r="1636" spans="1:9" hidden="1" x14ac:dyDescent="0.25">
      <c r="A1636" s="1" t="s">
        <v>16</v>
      </c>
      <c r="B1636" s="1" t="s">
        <v>217</v>
      </c>
      <c r="C1636" s="1" t="s">
        <v>25</v>
      </c>
      <c r="D1636" s="1">
        <v>0</v>
      </c>
      <c r="E1636" s="1">
        <v>0</v>
      </c>
      <c r="F1636" s="1">
        <v>229.52</v>
      </c>
      <c r="G1636" s="1">
        <v>3718.2240000000002</v>
      </c>
      <c r="H1636" s="1">
        <v>-1836.16</v>
      </c>
      <c r="I1636" s="1">
        <v>0</v>
      </c>
    </row>
    <row r="1637" spans="1:9" hidden="1" x14ac:dyDescent="0.25">
      <c r="A1637" s="1" t="s">
        <v>16</v>
      </c>
      <c r="B1637" s="1" t="s">
        <v>217</v>
      </c>
      <c r="C1637" s="1" t="s">
        <v>10</v>
      </c>
      <c r="D1637" s="1">
        <v>0</v>
      </c>
      <c r="E1637" s="1">
        <v>0</v>
      </c>
      <c r="F1637" s="1">
        <v>229.52</v>
      </c>
      <c r="G1637" s="1">
        <v>3718.2240000000002</v>
      </c>
      <c r="H1637" s="1">
        <v>-2754.24</v>
      </c>
      <c r="I1637" s="1">
        <v>0</v>
      </c>
    </row>
    <row r="1638" spans="1:9" hidden="1" x14ac:dyDescent="0.25">
      <c r="A1638" s="1" t="s">
        <v>16</v>
      </c>
      <c r="B1638" s="1" t="s">
        <v>218</v>
      </c>
      <c r="C1638" s="1" t="s">
        <v>25</v>
      </c>
      <c r="D1638" s="1">
        <v>0</v>
      </c>
      <c r="E1638" s="1">
        <v>-189.88</v>
      </c>
      <c r="F1638" s="1">
        <v>0</v>
      </c>
      <c r="G1638" s="1">
        <v>3133.038</v>
      </c>
      <c r="H1638" s="1">
        <v>0</v>
      </c>
      <c r="I1638" s="1">
        <v>-1519.049</v>
      </c>
    </row>
    <row r="1639" spans="1:9" hidden="1" x14ac:dyDescent="0.25">
      <c r="A1639" s="1" t="s">
        <v>16</v>
      </c>
      <c r="B1639" s="1" t="s">
        <v>218</v>
      </c>
      <c r="C1639" s="1" t="s">
        <v>10</v>
      </c>
      <c r="D1639" s="1">
        <v>0</v>
      </c>
      <c r="E1639" s="1">
        <v>-189.88</v>
      </c>
      <c r="F1639" s="1">
        <v>0</v>
      </c>
      <c r="G1639" s="1">
        <v>3133.038</v>
      </c>
      <c r="H1639" s="1">
        <v>0</v>
      </c>
      <c r="I1639" s="1">
        <v>-2278.5729999999999</v>
      </c>
    </row>
    <row r="1640" spans="1:9" hidden="1" x14ac:dyDescent="0.25">
      <c r="A1640" s="1" t="s">
        <v>16</v>
      </c>
      <c r="B1640" s="1" t="s">
        <v>219</v>
      </c>
      <c r="C1640" s="1" t="s">
        <v>25</v>
      </c>
      <c r="D1640" s="1">
        <v>0</v>
      </c>
      <c r="E1640" s="1">
        <v>-189.88</v>
      </c>
      <c r="F1640" s="1">
        <v>0</v>
      </c>
      <c r="G1640" s="1">
        <v>2563.395</v>
      </c>
      <c r="H1640" s="1">
        <v>0</v>
      </c>
      <c r="I1640" s="1">
        <v>-1519.049</v>
      </c>
    </row>
    <row r="1641" spans="1:9" hidden="1" x14ac:dyDescent="0.25">
      <c r="A1641" s="1" t="s">
        <v>16</v>
      </c>
      <c r="B1641" s="1" t="s">
        <v>219</v>
      </c>
      <c r="C1641" s="1" t="s">
        <v>10</v>
      </c>
      <c r="D1641" s="1">
        <v>0</v>
      </c>
      <c r="E1641" s="1">
        <v>-189.88</v>
      </c>
      <c r="F1641" s="1">
        <v>0</v>
      </c>
      <c r="G1641" s="1">
        <v>2563.395</v>
      </c>
      <c r="H1641" s="1">
        <v>0</v>
      </c>
      <c r="I1641" s="1">
        <v>-2278.5729999999999</v>
      </c>
    </row>
    <row r="1642" spans="1:9" hidden="1" x14ac:dyDescent="0.25">
      <c r="A1642" s="1" t="s">
        <v>16</v>
      </c>
      <c r="B1642" s="1" t="s">
        <v>220</v>
      </c>
      <c r="C1642" s="1" t="s">
        <v>25</v>
      </c>
      <c r="D1642" s="1">
        <v>0</v>
      </c>
      <c r="E1642" s="1">
        <v>189.88</v>
      </c>
      <c r="F1642" s="1">
        <v>0</v>
      </c>
      <c r="G1642" s="1">
        <v>-3133.038</v>
      </c>
      <c r="H1642" s="1">
        <v>0</v>
      </c>
      <c r="I1642" s="1">
        <v>1519.049</v>
      </c>
    </row>
    <row r="1643" spans="1:9" hidden="1" x14ac:dyDescent="0.25">
      <c r="A1643" s="1" t="s">
        <v>16</v>
      </c>
      <c r="B1643" s="1" t="s">
        <v>220</v>
      </c>
      <c r="C1643" s="1" t="s">
        <v>10</v>
      </c>
      <c r="D1643" s="1">
        <v>0</v>
      </c>
      <c r="E1643" s="1">
        <v>189.88</v>
      </c>
      <c r="F1643" s="1">
        <v>0</v>
      </c>
      <c r="G1643" s="1">
        <v>-3133.038</v>
      </c>
      <c r="H1643" s="1">
        <v>0</v>
      </c>
      <c r="I1643" s="1">
        <v>2278.5729999999999</v>
      </c>
    </row>
    <row r="1644" spans="1:9" hidden="1" x14ac:dyDescent="0.25">
      <c r="A1644" s="1" t="s">
        <v>16</v>
      </c>
      <c r="B1644" s="1" t="s">
        <v>221</v>
      </c>
      <c r="C1644" s="1" t="s">
        <v>25</v>
      </c>
      <c r="D1644" s="1">
        <v>0</v>
      </c>
      <c r="E1644" s="1">
        <v>189.88</v>
      </c>
      <c r="F1644" s="1">
        <v>0</v>
      </c>
      <c r="G1644" s="1">
        <v>-2563.395</v>
      </c>
      <c r="H1644" s="1">
        <v>0</v>
      </c>
      <c r="I1644" s="1">
        <v>1519.049</v>
      </c>
    </row>
    <row r="1645" spans="1:9" hidden="1" x14ac:dyDescent="0.25">
      <c r="A1645" s="1" t="s">
        <v>16</v>
      </c>
      <c r="B1645" s="1" t="s">
        <v>221</v>
      </c>
      <c r="C1645" s="1" t="s">
        <v>10</v>
      </c>
      <c r="D1645" s="1">
        <v>0</v>
      </c>
      <c r="E1645" s="1">
        <v>189.88</v>
      </c>
      <c r="F1645" s="1">
        <v>0</v>
      </c>
      <c r="G1645" s="1">
        <v>-2563.395</v>
      </c>
      <c r="H1645" s="1">
        <v>0</v>
      </c>
      <c r="I1645" s="1">
        <v>2278.5729999999999</v>
      </c>
    </row>
    <row r="1646" spans="1:9" hidden="1" x14ac:dyDescent="0.25">
      <c r="A1646" s="1" t="s">
        <v>16</v>
      </c>
      <c r="B1646" s="1" t="s">
        <v>222</v>
      </c>
      <c r="C1646" s="1" t="s">
        <v>25</v>
      </c>
      <c r="D1646" s="1">
        <v>0</v>
      </c>
      <c r="E1646" s="1">
        <v>0</v>
      </c>
      <c r="F1646" s="1">
        <v>-229.52</v>
      </c>
      <c r="G1646" s="1">
        <v>-4544.4960000000001</v>
      </c>
      <c r="H1646" s="1">
        <v>1836.16</v>
      </c>
      <c r="I1646" s="1">
        <v>0</v>
      </c>
    </row>
    <row r="1647" spans="1:9" hidden="1" x14ac:dyDescent="0.25">
      <c r="A1647" s="1" t="s">
        <v>16</v>
      </c>
      <c r="B1647" s="1" t="s">
        <v>222</v>
      </c>
      <c r="C1647" s="1" t="s">
        <v>10</v>
      </c>
      <c r="D1647" s="1">
        <v>0</v>
      </c>
      <c r="E1647" s="1">
        <v>0</v>
      </c>
      <c r="F1647" s="1">
        <v>-229.52</v>
      </c>
      <c r="G1647" s="1">
        <v>-4544.4960000000001</v>
      </c>
      <c r="H1647" s="1">
        <v>2754.24</v>
      </c>
      <c r="I1647" s="1">
        <v>0</v>
      </c>
    </row>
    <row r="1648" spans="1:9" hidden="1" x14ac:dyDescent="0.25">
      <c r="A1648" s="1" t="s">
        <v>16</v>
      </c>
      <c r="B1648" s="1" t="s">
        <v>223</v>
      </c>
      <c r="C1648" s="1" t="s">
        <v>25</v>
      </c>
      <c r="D1648" s="1">
        <v>0</v>
      </c>
      <c r="E1648" s="1">
        <v>0</v>
      </c>
      <c r="F1648" s="1">
        <v>-229.52</v>
      </c>
      <c r="G1648" s="1">
        <v>-3718.2240000000002</v>
      </c>
      <c r="H1648" s="1">
        <v>1836.16</v>
      </c>
      <c r="I1648" s="1">
        <v>0</v>
      </c>
    </row>
    <row r="1649" spans="1:9" hidden="1" x14ac:dyDescent="0.25">
      <c r="A1649" s="1" t="s">
        <v>16</v>
      </c>
      <c r="B1649" s="1" t="s">
        <v>223</v>
      </c>
      <c r="C1649" s="1" t="s">
        <v>10</v>
      </c>
      <c r="D1649" s="1">
        <v>0</v>
      </c>
      <c r="E1649" s="1">
        <v>0</v>
      </c>
      <c r="F1649" s="1">
        <v>-229.52</v>
      </c>
      <c r="G1649" s="1">
        <v>-3718.2240000000002</v>
      </c>
      <c r="H1649" s="1">
        <v>2754.24</v>
      </c>
      <c r="I1649" s="1">
        <v>0</v>
      </c>
    </row>
    <row r="1650" spans="1:9" hidden="1" x14ac:dyDescent="0.25">
      <c r="A1650" s="1" t="s">
        <v>16</v>
      </c>
      <c r="B1650" s="1" t="s">
        <v>224</v>
      </c>
      <c r="C1650" s="1" t="s">
        <v>25</v>
      </c>
      <c r="D1650" s="1">
        <v>0</v>
      </c>
      <c r="E1650" s="1">
        <v>0</v>
      </c>
      <c r="F1650" s="1">
        <v>229.52</v>
      </c>
      <c r="G1650" s="1">
        <v>4544.4960000000001</v>
      </c>
      <c r="H1650" s="1">
        <v>-1836.16</v>
      </c>
      <c r="I1650" s="1">
        <v>0</v>
      </c>
    </row>
    <row r="1651" spans="1:9" hidden="1" x14ac:dyDescent="0.25">
      <c r="A1651" s="1" t="s">
        <v>16</v>
      </c>
      <c r="B1651" s="1" t="s">
        <v>224</v>
      </c>
      <c r="C1651" s="1" t="s">
        <v>10</v>
      </c>
      <c r="D1651" s="1">
        <v>0</v>
      </c>
      <c r="E1651" s="1">
        <v>0</v>
      </c>
      <c r="F1651" s="1">
        <v>229.52</v>
      </c>
      <c r="G1651" s="1">
        <v>4544.4960000000001</v>
      </c>
      <c r="H1651" s="1">
        <v>-2754.24</v>
      </c>
      <c r="I1651" s="1">
        <v>0</v>
      </c>
    </row>
    <row r="1652" spans="1:9" hidden="1" x14ac:dyDescent="0.25">
      <c r="A1652" s="1" t="s">
        <v>16</v>
      </c>
      <c r="B1652" s="1" t="s">
        <v>225</v>
      </c>
      <c r="C1652" s="1" t="s">
        <v>25</v>
      </c>
      <c r="D1652" s="1">
        <v>0</v>
      </c>
      <c r="E1652" s="1">
        <v>0</v>
      </c>
      <c r="F1652" s="1">
        <v>229.52</v>
      </c>
      <c r="G1652" s="1">
        <v>3718.2240000000002</v>
      </c>
      <c r="H1652" s="1">
        <v>-1836.16</v>
      </c>
      <c r="I1652" s="1">
        <v>0</v>
      </c>
    </row>
    <row r="1653" spans="1:9" hidden="1" x14ac:dyDescent="0.25">
      <c r="A1653" s="1" t="s">
        <v>16</v>
      </c>
      <c r="B1653" s="1" t="s">
        <v>225</v>
      </c>
      <c r="C1653" s="1" t="s">
        <v>10</v>
      </c>
      <c r="D1653" s="1">
        <v>0</v>
      </c>
      <c r="E1653" s="1">
        <v>0</v>
      </c>
      <c r="F1653" s="1">
        <v>229.52</v>
      </c>
      <c r="G1653" s="1">
        <v>3718.2240000000002</v>
      </c>
      <c r="H1653" s="1">
        <v>-2754.24</v>
      </c>
      <c r="I1653" s="1">
        <v>0</v>
      </c>
    </row>
    <row r="1654" spans="1:9" hidden="1" x14ac:dyDescent="0.25">
      <c r="A1654" s="1" t="s">
        <v>16</v>
      </c>
      <c r="B1654" s="1" t="s">
        <v>327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16</v>
      </c>
      <c r="B1655" s="1" t="s">
        <v>327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16</v>
      </c>
      <c r="B1656" s="1" t="s">
        <v>328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16</v>
      </c>
      <c r="B1657" s="1" t="s">
        <v>328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9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9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26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26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20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20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21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21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22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22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23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23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321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321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322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322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323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323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324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324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325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325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326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326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27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27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30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30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11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11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12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12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13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13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31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31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33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33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34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34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35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35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36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36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37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37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38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38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39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39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40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40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41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41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42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42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43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43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44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44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45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45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46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46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47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47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48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48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49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49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50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50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51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51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52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52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53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53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54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54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55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55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56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56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57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57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58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58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59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59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60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60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61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61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62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62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63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63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64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64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65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65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66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66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67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67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68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68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69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69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70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70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71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71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72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72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73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73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74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74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75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75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76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76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77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77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78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78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79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79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80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80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81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81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82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82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83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83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84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84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85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85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86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86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87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87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88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88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89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89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90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90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91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91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92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92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93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93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94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94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95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95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96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96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97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97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14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14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98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98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15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15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99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99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100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100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101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101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102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102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103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103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104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104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105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105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106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106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107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107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108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108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109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109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110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110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111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111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112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112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113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113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114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114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115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115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116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116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117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117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118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118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119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119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120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120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121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121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122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122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123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123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124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124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125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125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126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126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127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127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128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128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129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129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130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130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131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131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132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132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133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133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134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134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135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135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136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136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137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137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138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138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139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139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140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140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141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141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142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142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143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143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144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144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145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145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146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146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147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147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159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159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160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160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161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161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162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162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163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163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164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164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165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165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166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166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167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167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168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168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169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169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170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170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171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171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172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172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173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173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174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174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175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175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176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176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177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177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178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178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179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179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180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180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181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181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182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182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183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183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184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184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185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185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186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186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187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187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188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188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189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189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190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190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191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191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192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192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193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193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194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194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195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195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196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196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197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197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198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198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199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199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200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200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201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201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202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202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203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203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204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204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205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205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206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206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207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207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208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208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209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209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210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210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211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211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212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212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213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213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214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214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215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215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216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216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217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217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218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218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219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219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220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220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221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221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222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222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223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223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224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224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225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225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327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327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328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328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</sheetData>
  <autoFilter ref="A1:I2071" xr:uid="{DDA0AE34-05D5-43E1-97EF-002AECF53D1F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 filterMode="1"/>
  <dimension ref="A1:I2071"/>
  <sheetViews>
    <sheetView workbookViewId="0">
      <selection sqref="A1:I2071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-180.84</v>
      </c>
      <c r="F6" s="1">
        <v>0</v>
      </c>
      <c r="G6" s="1">
        <v>2983.846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-180.84</v>
      </c>
      <c r="F7" s="1">
        <v>0</v>
      </c>
      <c r="G7" s="1">
        <v>2983.846</v>
      </c>
      <c r="H7" s="1">
        <v>0</v>
      </c>
      <c r="I7" s="1">
        <v>-723.35699999999997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-180.84</v>
      </c>
      <c r="F8" s="1">
        <v>0</v>
      </c>
      <c r="G8" s="1">
        <v>2441.3290000000002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-180.84</v>
      </c>
      <c r="F9" s="1">
        <v>0</v>
      </c>
      <c r="G9" s="1">
        <v>2441.3290000000002</v>
      </c>
      <c r="H9" s="1">
        <v>0</v>
      </c>
      <c r="I9" s="1">
        <v>-723.35699999999997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-218.59</v>
      </c>
      <c r="G10" s="1">
        <v>-4328.0910000000003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-218.59</v>
      </c>
      <c r="G11" s="1">
        <v>-4328.0910000000003</v>
      </c>
      <c r="H11" s="1">
        <v>874.36199999999997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-218.59</v>
      </c>
      <c r="G12" s="1">
        <v>-3541.1660000000002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-218.59</v>
      </c>
      <c r="G13" s="1">
        <v>-3541.1660000000002</v>
      </c>
      <c r="H13" s="1">
        <v>874.36199999999997</v>
      </c>
      <c r="I13" s="1">
        <v>0</v>
      </c>
    </row>
    <row r="14" spans="1:9" hidden="1" x14ac:dyDescent="0.25">
      <c r="A14" s="1" t="s">
        <v>157</v>
      </c>
      <c r="B14" s="1" t="s">
        <v>321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321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322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322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323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324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325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326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326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109.33</v>
      </c>
      <c r="F34" s="1">
        <v>0</v>
      </c>
      <c r="G34" s="1">
        <v>1804.0119999999999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109.33</v>
      </c>
      <c r="F35" s="1">
        <v>0</v>
      </c>
      <c r="G35" s="1">
        <v>1804.0119999999999</v>
      </c>
      <c r="H35" s="1">
        <v>0</v>
      </c>
      <c r="I35" s="1">
        <v>437.33600000000001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</v>
      </c>
      <c r="F36" s="1">
        <v>242.18</v>
      </c>
      <c r="G36" s="1">
        <v>4795.2110000000002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</v>
      </c>
      <c r="F37" s="1">
        <v>242.18</v>
      </c>
      <c r="G37" s="1">
        <v>4795.2110000000002</v>
      </c>
      <c r="H37" s="1">
        <v>968.72900000000004</v>
      </c>
      <c r="I37" s="1">
        <v>0</v>
      </c>
    </row>
    <row r="38" spans="1:9" hidden="1" x14ac:dyDescent="0.25">
      <c r="A38" s="1" t="s">
        <v>157</v>
      </c>
      <c r="B38" s="1" t="s">
        <v>13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13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31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31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32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32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34</v>
      </c>
      <c r="C46" s="1" t="s">
        <v>25</v>
      </c>
      <c r="D46" s="1">
        <v>0</v>
      </c>
      <c r="E46" s="1">
        <v>-180.84</v>
      </c>
      <c r="F46" s="1">
        <v>0</v>
      </c>
      <c r="G46" s="1">
        <v>2983.846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34</v>
      </c>
      <c r="C47" s="1" t="s">
        <v>10</v>
      </c>
      <c r="D47" s="1">
        <v>0</v>
      </c>
      <c r="E47" s="1">
        <v>-180.84</v>
      </c>
      <c r="F47" s="1">
        <v>0</v>
      </c>
      <c r="G47" s="1">
        <v>2983.846</v>
      </c>
      <c r="H47" s="1">
        <v>0</v>
      </c>
      <c r="I47" s="1">
        <v>-723.35699999999997</v>
      </c>
    </row>
    <row r="48" spans="1:9" hidden="1" x14ac:dyDescent="0.25">
      <c r="A48" s="1" t="s">
        <v>157</v>
      </c>
      <c r="B48" s="1" t="s">
        <v>35</v>
      </c>
      <c r="C48" s="1" t="s">
        <v>25</v>
      </c>
      <c r="D48" s="1">
        <v>0</v>
      </c>
      <c r="E48" s="1">
        <v>-180.84</v>
      </c>
      <c r="F48" s="1">
        <v>0</v>
      </c>
      <c r="G48" s="1">
        <v>2441.3290000000002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35</v>
      </c>
      <c r="C49" s="1" t="s">
        <v>10</v>
      </c>
      <c r="D49" s="1">
        <v>0</v>
      </c>
      <c r="E49" s="1">
        <v>-180.84</v>
      </c>
      <c r="F49" s="1">
        <v>0</v>
      </c>
      <c r="G49" s="1">
        <v>2441.3290000000002</v>
      </c>
      <c r="H49" s="1">
        <v>0</v>
      </c>
      <c r="I49" s="1">
        <v>-723.35699999999997</v>
      </c>
    </row>
    <row r="50" spans="1:9" hidden="1" x14ac:dyDescent="0.25">
      <c r="A50" s="1" t="s">
        <v>157</v>
      </c>
      <c r="B50" s="1" t="s">
        <v>36</v>
      </c>
      <c r="C50" s="1" t="s">
        <v>25</v>
      </c>
      <c r="D50" s="1">
        <v>0</v>
      </c>
      <c r="E50" s="1">
        <v>180.84</v>
      </c>
      <c r="F50" s="1">
        <v>0</v>
      </c>
      <c r="G50" s="1">
        <v>-2983.846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36</v>
      </c>
      <c r="C51" s="1" t="s">
        <v>10</v>
      </c>
      <c r="D51" s="1">
        <v>0</v>
      </c>
      <c r="E51" s="1">
        <v>180.84</v>
      </c>
      <c r="F51" s="1">
        <v>0</v>
      </c>
      <c r="G51" s="1">
        <v>-2983.846</v>
      </c>
      <c r="H51" s="1">
        <v>0</v>
      </c>
      <c r="I51" s="1">
        <v>723.35699999999997</v>
      </c>
    </row>
    <row r="52" spans="1:9" hidden="1" x14ac:dyDescent="0.25">
      <c r="A52" s="1" t="s">
        <v>157</v>
      </c>
      <c r="B52" s="1" t="s">
        <v>37</v>
      </c>
      <c r="C52" s="1" t="s">
        <v>25</v>
      </c>
      <c r="D52" s="1">
        <v>0</v>
      </c>
      <c r="E52" s="1">
        <v>180.84</v>
      </c>
      <c r="F52" s="1">
        <v>0</v>
      </c>
      <c r="G52" s="1">
        <v>-2441.3290000000002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37</v>
      </c>
      <c r="C53" s="1" t="s">
        <v>10</v>
      </c>
      <c r="D53" s="1">
        <v>0</v>
      </c>
      <c r="E53" s="1">
        <v>180.84</v>
      </c>
      <c r="F53" s="1">
        <v>0</v>
      </c>
      <c r="G53" s="1">
        <v>-2441.3290000000002</v>
      </c>
      <c r="H53" s="1">
        <v>0</v>
      </c>
      <c r="I53" s="1">
        <v>723.35699999999997</v>
      </c>
    </row>
    <row r="54" spans="1:9" hidden="1" x14ac:dyDescent="0.25">
      <c r="A54" s="1" t="s">
        <v>157</v>
      </c>
      <c r="B54" s="1" t="s">
        <v>38</v>
      </c>
      <c r="C54" s="1" t="s">
        <v>25</v>
      </c>
      <c r="D54" s="1">
        <v>0</v>
      </c>
      <c r="E54" s="1">
        <v>0</v>
      </c>
      <c r="F54" s="1">
        <v>-218.59</v>
      </c>
      <c r="G54" s="1">
        <v>-4328.0910000000003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38</v>
      </c>
      <c r="C55" s="1" t="s">
        <v>10</v>
      </c>
      <c r="D55" s="1">
        <v>0</v>
      </c>
      <c r="E55" s="1">
        <v>0</v>
      </c>
      <c r="F55" s="1">
        <v>-218.59</v>
      </c>
      <c r="G55" s="1">
        <v>-4328.0910000000003</v>
      </c>
      <c r="H55" s="1">
        <v>874.36199999999997</v>
      </c>
      <c r="I55" s="1">
        <v>0</v>
      </c>
    </row>
    <row r="56" spans="1:9" hidden="1" x14ac:dyDescent="0.25">
      <c r="A56" s="1" t="s">
        <v>157</v>
      </c>
      <c r="B56" s="1" t="s">
        <v>39</v>
      </c>
      <c r="C56" s="1" t="s">
        <v>25</v>
      </c>
      <c r="D56" s="1">
        <v>0</v>
      </c>
      <c r="E56" s="1">
        <v>0</v>
      </c>
      <c r="F56" s="1">
        <v>-218.59</v>
      </c>
      <c r="G56" s="1">
        <v>-3541.1660000000002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39</v>
      </c>
      <c r="C57" s="1" t="s">
        <v>10</v>
      </c>
      <c r="D57" s="1">
        <v>0</v>
      </c>
      <c r="E57" s="1">
        <v>0</v>
      </c>
      <c r="F57" s="1">
        <v>-218.59</v>
      </c>
      <c r="G57" s="1">
        <v>-3541.1660000000002</v>
      </c>
      <c r="H57" s="1">
        <v>874.36199999999997</v>
      </c>
      <c r="I57" s="1">
        <v>0</v>
      </c>
    </row>
    <row r="58" spans="1:9" hidden="1" x14ac:dyDescent="0.25">
      <c r="A58" s="1" t="s">
        <v>157</v>
      </c>
      <c r="B58" s="1" t="s">
        <v>40</v>
      </c>
      <c r="C58" s="1" t="s">
        <v>25</v>
      </c>
      <c r="D58" s="1">
        <v>0</v>
      </c>
      <c r="E58" s="1">
        <v>0</v>
      </c>
      <c r="F58" s="1">
        <v>218.59</v>
      </c>
      <c r="G58" s="1">
        <v>4328.0910000000003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40</v>
      </c>
      <c r="C59" s="1" t="s">
        <v>10</v>
      </c>
      <c r="D59" s="1">
        <v>0</v>
      </c>
      <c r="E59" s="1">
        <v>0</v>
      </c>
      <c r="F59" s="1">
        <v>218.59</v>
      </c>
      <c r="G59" s="1">
        <v>4328.0910000000003</v>
      </c>
      <c r="H59" s="1">
        <v>-874.36199999999997</v>
      </c>
      <c r="I59" s="1">
        <v>0</v>
      </c>
    </row>
    <row r="60" spans="1:9" hidden="1" x14ac:dyDescent="0.25">
      <c r="A60" s="1" t="s">
        <v>157</v>
      </c>
      <c r="B60" s="1" t="s">
        <v>41</v>
      </c>
      <c r="C60" s="1" t="s">
        <v>25</v>
      </c>
      <c r="D60" s="1">
        <v>0</v>
      </c>
      <c r="E60" s="1">
        <v>0</v>
      </c>
      <c r="F60" s="1">
        <v>218.59</v>
      </c>
      <c r="G60" s="1">
        <v>3541.1660000000002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41</v>
      </c>
      <c r="C61" s="1" t="s">
        <v>10</v>
      </c>
      <c r="D61" s="1">
        <v>0</v>
      </c>
      <c r="E61" s="1">
        <v>0</v>
      </c>
      <c r="F61" s="1">
        <v>218.59</v>
      </c>
      <c r="G61" s="1">
        <v>3541.1660000000002</v>
      </c>
      <c r="H61" s="1">
        <v>-874.36199999999997</v>
      </c>
      <c r="I61" s="1">
        <v>0</v>
      </c>
    </row>
    <row r="62" spans="1:9" hidden="1" x14ac:dyDescent="0.25">
      <c r="A62" s="1" t="s">
        <v>157</v>
      </c>
      <c r="B62" s="1" t="s">
        <v>42</v>
      </c>
      <c r="C62" s="1" t="s">
        <v>25</v>
      </c>
      <c r="D62" s="1">
        <v>0</v>
      </c>
      <c r="E62" s="1">
        <v>-180.84</v>
      </c>
      <c r="F62" s="1">
        <v>0</v>
      </c>
      <c r="G62" s="1">
        <v>2983.846</v>
      </c>
      <c r="H62" s="1">
        <v>0</v>
      </c>
      <c r="I62" s="1">
        <v>0</v>
      </c>
    </row>
    <row r="63" spans="1:9" hidden="1" x14ac:dyDescent="0.25">
      <c r="A63" s="1" t="s">
        <v>157</v>
      </c>
      <c r="B63" s="1" t="s">
        <v>42</v>
      </c>
      <c r="C63" s="1" t="s">
        <v>10</v>
      </c>
      <c r="D63" s="1">
        <v>0</v>
      </c>
      <c r="E63" s="1">
        <v>-180.84</v>
      </c>
      <c r="F63" s="1">
        <v>0</v>
      </c>
      <c r="G63" s="1">
        <v>2983.846</v>
      </c>
      <c r="H63" s="1">
        <v>0</v>
      </c>
      <c r="I63" s="1">
        <v>-723.35699999999997</v>
      </c>
    </row>
    <row r="64" spans="1:9" hidden="1" x14ac:dyDescent="0.25">
      <c r="A64" s="1" t="s">
        <v>157</v>
      </c>
      <c r="B64" s="1" t="s">
        <v>43</v>
      </c>
      <c r="C64" s="1" t="s">
        <v>25</v>
      </c>
      <c r="D64" s="1">
        <v>0</v>
      </c>
      <c r="E64" s="1">
        <v>-180.84</v>
      </c>
      <c r="F64" s="1">
        <v>0</v>
      </c>
      <c r="G64" s="1">
        <v>2441.3290000000002</v>
      </c>
      <c r="H64" s="1">
        <v>0</v>
      </c>
      <c r="I64" s="1">
        <v>0</v>
      </c>
    </row>
    <row r="65" spans="1:9" hidden="1" x14ac:dyDescent="0.25">
      <c r="A65" s="1" t="s">
        <v>157</v>
      </c>
      <c r="B65" s="1" t="s">
        <v>43</v>
      </c>
      <c r="C65" s="1" t="s">
        <v>10</v>
      </c>
      <c r="D65" s="1">
        <v>0</v>
      </c>
      <c r="E65" s="1">
        <v>-180.84</v>
      </c>
      <c r="F65" s="1">
        <v>0</v>
      </c>
      <c r="G65" s="1">
        <v>2441.3290000000002</v>
      </c>
      <c r="H65" s="1">
        <v>0</v>
      </c>
      <c r="I65" s="1">
        <v>-723.35699999999997</v>
      </c>
    </row>
    <row r="66" spans="1:9" hidden="1" x14ac:dyDescent="0.25">
      <c r="A66" s="1" t="s">
        <v>157</v>
      </c>
      <c r="B66" s="1" t="s">
        <v>44</v>
      </c>
      <c r="C66" s="1" t="s">
        <v>25</v>
      </c>
      <c r="D66" s="1">
        <v>0</v>
      </c>
      <c r="E66" s="1">
        <v>180.84</v>
      </c>
      <c r="F66" s="1">
        <v>0</v>
      </c>
      <c r="G66" s="1">
        <v>-2983.846</v>
      </c>
      <c r="H66" s="1">
        <v>0</v>
      </c>
      <c r="I66" s="1">
        <v>0</v>
      </c>
    </row>
    <row r="67" spans="1:9" hidden="1" x14ac:dyDescent="0.25">
      <c r="A67" s="1" t="s">
        <v>157</v>
      </c>
      <c r="B67" s="1" t="s">
        <v>44</v>
      </c>
      <c r="C67" s="1" t="s">
        <v>10</v>
      </c>
      <c r="D67" s="1">
        <v>0</v>
      </c>
      <c r="E67" s="1">
        <v>180.84</v>
      </c>
      <c r="F67" s="1">
        <v>0</v>
      </c>
      <c r="G67" s="1">
        <v>-2983.846</v>
      </c>
      <c r="H67" s="1">
        <v>0</v>
      </c>
      <c r="I67" s="1">
        <v>723.35699999999997</v>
      </c>
    </row>
    <row r="68" spans="1:9" hidden="1" x14ac:dyDescent="0.25">
      <c r="A68" s="1" t="s">
        <v>157</v>
      </c>
      <c r="B68" s="1" t="s">
        <v>45</v>
      </c>
      <c r="C68" s="1" t="s">
        <v>25</v>
      </c>
      <c r="D68" s="1">
        <v>0</v>
      </c>
      <c r="E68" s="1">
        <v>180.84</v>
      </c>
      <c r="F68" s="1">
        <v>0</v>
      </c>
      <c r="G68" s="1">
        <v>-2441.3290000000002</v>
      </c>
      <c r="H68" s="1">
        <v>0</v>
      </c>
      <c r="I68" s="1">
        <v>0</v>
      </c>
    </row>
    <row r="69" spans="1:9" hidden="1" x14ac:dyDescent="0.25">
      <c r="A69" s="1" t="s">
        <v>157</v>
      </c>
      <c r="B69" s="1" t="s">
        <v>45</v>
      </c>
      <c r="C69" s="1" t="s">
        <v>10</v>
      </c>
      <c r="D69" s="1">
        <v>0</v>
      </c>
      <c r="E69" s="1">
        <v>180.84</v>
      </c>
      <c r="F69" s="1">
        <v>0</v>
      </c>
      <c r="G69" s="1">
        <v>-2441.3290000000002</v>
      </c>
      <c r="H69" s="1">
        <v>0</v>
      </c>
      <c r="I69" s="1">
        <v>723.35699999999997</v>
      </c>
    </row>
    <row r="70" spans="1:9" hidden="1" x14ac:dyDescent="0.25">
      <c r="A70" s="1" t="s">
        <v>157</v>
      </c>
      <c r="B70" s="1" t="s">
        <v>46</v>
      </c>
      <c r="C70" s="1" t="s">
        <v>25</v>
      </c>
      <c r="D70" s="1">
        <v>0</v>
      </c>
      <c r="E70" s="1">
        <v>0</v>
      </c>
      <c r="F70" s="1">
        <v>-218.59</v>
      </c>
      <c r="G70" s="1">
        <v>-4328.0910000000003</v>
      </c>
      <c r="H70" s="1">
        <v>0</v>
      </c>
      <c r="I70" s="1">
        <v>0</v>
      </c>
    </row>
    <row r="71" spans="1:9" hidden="1" x14ac:dyDescent="0.25">
      <c r="A71" s="1" t="s">
        <v>157</v>
      </c>
      <c r="B71" s="1" t="s">
        <v>46</v>
      </c>
      <c r="C71" s="1" t="s">
        <v>10</v>
      </c>
      <c r="D71" s="1">
        <v>0</v>
      </c>
      <c r="E71" s="1">
        <v>0</v>
      </c>
      <c r="F71" s="1">
        <v>-218.59</v>
      </c>
      <c r="G71" s="1">
        <v>-4328.0910000000003</v>
      </c>
      <c r="H71" s="1">
        <v>874.36199999999997</v>
      </c>
      <c r="I71" s="1">
        <v>0</v>
      </c>
    </row>
    <row r="72" spans="1:9" hidden="1" x14ac:dyDescent="0.25">
      <c r="A72" s="1" t="s">
        <v>157</v>
      </c>
      <c r="B72" s="1" t="s">
        <v>47</v>
      </c>
      <c r="C72" s="1" t="s">
        <v>25</v>
      </c>
      <c r="D72" s="1">
        <v>0</v>
      </c>
      <c r="E72" s="1">
        <v>0</v>
      </c>
      <c r="F72" s="1">
        <v>-218.59</v>
      </c>
      <c r="G72" s="1">
        <v>-3541.1660000000002</v>
      </c>
      <c r="H72" s="1">
        <v>0</v>
      </c>
      <c r="I72" s="1">
        <v>0</v>
      </c>
    </row>
    <row r="73" spans="1:9" hidden="1" x14ac:dyDescent="0.25">
      <c r="A73" s="1" t="s">
        <v>157</v>
      </c>
      <c r="B73" s="1" t="s">
        <v>47</v>
      </c>
      <c r="C73" s="1" t="s">
        <v>10</v>
      </c>
      <c r="D73" s="1">
        <v>0</v>
      </c>
      <c r="E73" s="1">
        <v>0</v>
      </c>
      <c r="F73" s="1">
        <v>-218.59</v>
      </c>
      <c r="G73" s="1">
        <v>-3541.1660000000002</v>
      </c>
      <c r="H73" s="1">
        <v>874.36199999999997</v>
      </c>
      <c r="I73" s="1">
        <v>0</v>
      </c>
    </row>
    <row r="74" spans="1:9" hidden="1" x14ac:dyDescent="0.25">
      <c r="A74" s="1" t="s">
        <v>157</v>
      </c>
      <c r="B74" s="1" t="s">
        <v>48</v>
      </c>
      <c r="C74" s="1" t="s">
        <v>25</v>
      </c>
      <c r="D74" s="1">
        <v>0</v>
      </c>
      <c r="E74" s="1">
        <v>0</v>
      </c>
      <c r="F74" s="1">
        <v>218.59</v>
      </c>
      <c r="G74" s="1">
        <v>4328.0910000000003</v>
      </c>
      <c r="H74" s="1">
        <v>0</v>
      </c>
      <c r="I74" s="1">
        <v>0</v>
      </c>
    </row>
    <row r="75" spans="1:9" hidden="1" x14ac:dyDescent="0.25">
      <c r="A75" s="1" t="s">
        <v>157</v>
      </c>
      <c r="B75" s="1" t="s">
        <v>48</v>
      </c>
      <c r="C75" s="1" t="s">
        <v>10</v>
      </c>
      <c r="D75" s="1">
        <v>0</v>
      </c>
      <c r="E75" s="1">
        <v>0</v>
      </c>
      <c r="F75" s="1">
        <v>218.59</v>
      </c>
      <c r="G75" s="1">
        <v>4328.0910000000003</v>
      </c>
      <c r="H75" s="1">
        <v>-874.36199999999997</v>
      </c>
      <c r="I75" s="1">
        <v>0</v>
      </c>
    </row>
    <row r="76" spans="1:9" hidden="1" x14ac:dyDescent="0.25">
      <c r="A76" s="1" t="s">
        <v>157</v>
      </c>
      <c r="B76" s="1" t="s">
        <v>49</v>
      </c>
      <c r="C76" s="1" t="s">
        <v>25</v>
      </c>
      <c r="D76" s="1">
        <v>0</v>
      </c>
      <c r="E76" s="1">
        <v>0</v>
      </c>
      <c r="F76" s="1">
        <v>218.59</v>
      </c>
      <c r="G76" s="1">
        <v>3541.1660000000002</v>
      </c>
      <c r="H76" s="1">
        <v>0</v>
      </c>
      <c r="I76" s="1">
        <v>0</v>
      </c>
    </row>
    <row r="77" spans="1:9" hidden="1" x14ac:dyDescent="0.25">
      <c r="A77" s="1" t="s">
        <v>157</v>
      </c>
      <c r="B77" s="1" t="s">
        <v>49</v>
      </c>
      <c r="C77" s="1" t="s">
        <v>10</v>
      </c>
      <c r="D77" s="1">
        <v>0</v>
      </c>
      <c r="E77" s="1">
        <v>0</v>
      </c>
      <c r="F77" s="1">
        <v>218.59</v>
      </c>
      <c r="G77" s="1">
        <v>3541.1660000000002</v>
      </c>
      <c r="H77" s="1">
        <v>-874.36199999999997</v>
      </c>
      <c r="I77" s="1">
        <v>0</v>
      </c>
    </row>
    <row r="78" spans="1:9" hidden="1" x14ac:dyDescent="0.25">
      <c r="A78" s="1" t="s">
        <v>157</v>
      </c>
      <c r="B78" s="1" t="s">
        <v>50</v>
      </c>
      <c r="C78" s="1" t="s">
        <v>25</v>
      </c>
      <c r="D78" s="1">
        <v>0</v>
      </c>
      <c r="E78" s="1">
        <v>-54.25</v>
      </c>
      <c r="F78" s="1">
        <v>0</v>
      </c>
      <c r="G78" s="1">
        <v>895.154</v>
      </c>
      <c r="H78" s="1">
        <v>0</v>
      </c>
      <c r="I78" s="1">
        <v>0</v>
      </c>
    </row>
    <row r="79" spans="1:9" hidden="1" x14ac:dyDescent="0.25">
      <c r="A79" s="1" t="s">
        <v>157</v>
      </c>
      <c r="B79" s="1" t="s">
        <v>50</v>
      </c>
      <c r="C79" s="1" t="s">
        <v>10</v>
      </c>
      <c r="D79" s="1">
        <v>0</v>
      </c>
      <c r="E79" s="1">
        <v>-54.25</v>
      </c>
      <c r="F79" s="1">
        <v>0</v>
      </c>
      <c r="G79" s="1">
        <v>895.154</v>
      </c>
      <c r="H79" s="1">
        <v>0</v>
      </c>
      <c r="I79" s="1">
        <v>-217.00700000000001</v>
      </c>
    </row>
    <row r="80" spans="1:9" hidden="1" x14ac:dyDescent="0.25">
      <c r="A80" s="1" t="s">
        <v>157</v>
      </c>
      <c r="B80" s="1" t="s">
        <v>51</v>
      </c>
      <c r="C80" s="1" t="s">
        <v>25</v>
      </c>
      <c r="D80" s="1">
        <v>0</v>
      </c>
      <c r="E80" s="1">
        <v>-54.25</v>
      </c>
      <c r="F80" s="1">
        <v>0</v>
      </c>
      <c r="G80" s="1">
        <v>732.399</v>
      </c>
      <c r="H80" s="1">
        <v>0</v>
      </c>
      <c r="I80" s="1">
        <v>0</v>
      </c>
    </row>
    <row r="81" spans="1:9" hidden="1" x14ac:dyDescent="0.25">
      <c r="A81" s="1" t="s">
        <v>157</v>
      </c>
      <c r="B81" s="1" t="s">
        <v>51</v>
      </c>
      <c r="C81" s="1" t="s">
        <v>10</v>
      </c>
      <c r="D81" s="1">
        <v>0</v>
      </c>
      <c r="E81" s="1">
        <v>-54.25</v>
      </c>
      <c r="F81" s="1">
        <v>0</v>
      </c>
      <c r="G81" s="1">
        <v>732.399</v>
      </c>
      <c r="H81" s="1">
        <v>0</v>
      </c>
      <c r="I81" s="1">
        <v>-217.00700000000001</v>
      </c>
    </row>
    <row r="82" spans="1:9" hidden="1" x14ac:dyDescent="0.25">
      <c r="A82" s="1" t="s">
        <v>157</v>
      </c>
      <c r="B82" s="1" t="s">
        <v>52</v>
      </c>
      <c r="C82" s="1" t="s">
        <v>25</v>
      </c>
      <c r="D82" s="1">
        <v>0</v>
      </c>
      <c r="E82" s="1">
        <v>54.25</v>
      </c>
      <c r="F82" s="1">
        <v>0</v>
      </c>
      <c r="G82" s="1">
        <v>-895.154</v>
      </c>
      <c r="H82" s="1">
        <v>0</v>
      </c>
      <c r="I82" s="1">
        <v>0</v>
      </c>
    </row>
    <row r="83" spans="1:9" hidden="1" x14ac:dyDescent="0.25">
      <c r="A83" s="1" t="s">
        <v>157</v>
      </c>
      <c r="B83" s="1" t="s">
        <v>52</v>
      </c>
      <c r="C83" s="1" t="s">
        <v>10</v>
      </c>
      <c r="D83" s="1">
        <v>0</v>
      </c>
      <c r="E83" s="1">
        <v>54.25</v>
      </c>
      <c r="F83" s="1">
        <v>0</v>
      </c>
      <c r="G83" s="1">
        <v>-895.154</v>
      </c>
      <c r="H83" s="1">
        <v>0</v>
      </c>
      <c r="I83" s="1">
        <v>217.00700000000001</v>
      </c>
    </row>
    <row r="84" spans="1:9" hidden="1" x14ac:dyDescent="0.25">
      <c r="A84" s="1" t="s">
        <v>157</v>
      </c>
      <c r="B84" s="1" t="s">
        <v>53</v>
      </c>
      <c r="C84" s="1" t="s">
        <v>25</v>
      </c>
      <c r="D84" s="1">
        <v>0</v>
      </c>
      <c r="E84" s="1">
        <v>54.25</v>
      </c>
      <c r="F84" s="1">
        <v>0</v>
      </c>
      <c r="G84" s="1">
        <v>-732.399</v>
      </c>
      <c r="H84" s="1">
        <v>0</v>
      </c>
      <c r="I84" s="1">
        <v>0</v>
      </c>
    </row>
    <row r="85" spans="1:9" hidden="1" x14ac:dyDescent="0.25">
      <c r="A85" s="1" t="s">
        <v>157</v>
      </c>
      <c r="B85" s="1" t="s">
        <v>53</v>
      </c>
      <c r="C85" s="1" t="s">
        <v>10</v>
      </c>
      <c r="D85" s="1">
        <v>0</v>
      </c>
      <c r="E85" s="1">
        <v>54.25</v>
      </c>
      <c r="F85" s="1">
        <v>0</v>
      </c>
      <c r="G85" s="1">
        <v>-732.399</v>
      </c>
      <c r="H85" s="1">
        <v>0</v>
      </c>
      <c r="I85" s="1">
        <v>217.00700000000001</v>
      </c>
    </row>
    <row r="86" spans="1:9" hidden="1" x14ac:dyDescent="0.25">
      <c r="A86" s="1" t="s">
        <v>157</v>
      </c>
      <c r="B86" s="1" t="s">
        <v>54</v>
      </c>
      <c r="C86" s="1" t="s">
        <v>25</v>
      </c>
      <c r="D86" s="1">
        <v>0</v>
      </c>
      <c r="E86" s="1">
        <v>0</v>
      </c>
      <c r="F86" s="1">
        <v>-65.58</v>
      </c>
      <c r="G86" s="1">
        <v>-1298.4269999999999</v>
      </c>
      <c r="H86" s="1">
        <v>0</v>
      </c>
      <c r="I86" s="1">
        <v>0</v>
      </c>
    </row>
    <row r="87" spans="1:9" hidden="1" x14ac:dyDescent="0.25">
      <c r="A87" s="1" t="s">
        <v>157</v>
      </c>
      <c r="B87" s="1" t="s">
        <v>54</v>
      </c>
      <c r="C87" s="1" t="s">
        <v>10</v>
      </c>
      <c r="D87" s="1">
        <v>0</v>
      </c>
      <c r="E87" s="1">
        <v>0</v>
      </c>
      <c r="F87" s="1">
        <v>-65.58</v>
      </c>
      <c r="G87" s="1">
        <v>-1298.4269999999999</v>
      </c>
      <c r="H87" s="1">
        <v>262.30900000000003</v>
      </c>
      <c r="I87" s="1">
        <v>0</v>
      </c>
    </row>
    <row r="88" spans="1:9" hidden="1" x14ac:dyDescent="0.25">
      <c r="A88" s="1" t="s">
        <v>157</v>
      </c>
      <c r="B88" s="1" t="s">
        <v>55</v>
      </c>
      <c r="C88" s="1" t="s">
        <v>25</v>
      </c>
      <c r="D88" s="1">
        <v>0</v>
      </c>
      <c r="E88" s="1">
        <v>0</v>
      </c>
      <c r="F88" s="1">
        <v>-65.58</v>
      </c>
      <c r="G88" s="1">
        <v>-1062.3499999999999</v>
      </c>
      <c r="H88" s="1">
        <v>0</v>
      </c>
      <c r="I88" s="1">
        <v>0</v>
      </c>
    </row>
    <row r="89" spans="1:9" hidden="1" x14ac:dyDescent="0.25">
      <c r="A89" s="1" t="s">
        <v>157</v>
      </c>
      <c r="B89" s="1" t="s">
        <v>55</v>
      </c>
      <c r="C89" s="1" t="s">
        <v>10</v>
      </c>
      <c r="D89" s="1">
        <v>0</v>
      </c>
      <c r="E89" s="1">
        <v>0</v>
      </c>
      <c r="F89" s="1">
        <v>-65.58</v>
      </c>
      <c r="G89" s="1">
        <v>-1062.3499999999999</v>
      </c>
      <c r="H89" s="1">
        <v>262.30900000000003</v>
      </c>
      <c r="I89" s="1">
        <v>0</v>
      </c>
    </row>
    <row r="90" spans="1:9" hidden="1" x14ac:dyDescent="0.25">
      <c r="A90" s="1" t="s">
        <v>157</v>
      </c>
      <c r="B90" s="1" t="s">
        <v>56</v>
      </c>
      <c r="C90" s="1" t="s">
        <v>25</v>
      </c>
      <c r="D90" s="1">
        <v>0</v>
      </c>
      <c r="E90" s="1">
        <v>0</v>
      </c>
      <c r="F90" s="1">
        <v>65.58</v>
      </c>
      <c r="G90" s="1">
        <v>1298.4269999999999</v>
      </c>
      <c r="H90" s="1">
        <v>0</v>
      </c>
      <c r="I90" s="1">
        <v>0</v>
      </c>
    </row>
    <row r="91" spans="1:9" hidden="1" x14ac:dyDescent="0.25">
      <c r="A91" s="1" t="s">
        <v>157</v>
      </c>
      <c r="B91" s="1" t="s">
        <v>56</v>
      </c>
      <c r="C91" s="1" t="s">
        <v>10</v>
      </c>
      <c r="D91" s="1">
        <v>0</v>
      </c>
      <c r="E91" s="1">
        <v>0</v>
      </c>
      <c r="F91" s="1">
        <v>65.58</v>
      </c>
      <c r="G91" s="1">
        <v>1298.4269999999999</v>
      </c>
      <c r="H91" s="1">
        <v>-262.30900000000003</v>
      </c>
      <c r="I91" s="1">
        <v>0</v>
      </c>
    </row>
    <row r="92" spans="1:9" hidden="1" x14ac:dyDescent="0.25">
      <c r="A92" s="1" t="s">
        <v>157</v>
      </c>
      <c r="B92" s="1" t="s">
        <v>57</v>
      </c>
      <c r="C92" s="1" t="s">
        <v>25</v>
      </c>
      <c r="D92" s="1">
        <v>0</v>
      </c>
      <c r="E92" s="1">
        <v>0</v>
      </c>
      <c r="F92" s="1">
        <v>65.58</v>
      </c>
      <c r="G92" s="1">
        <v>1062.3499999999999</v>
      </c>
      <c r="H92" s="1">
        <v>0</v>
      </c>
      <c r="I92" s="1">
        <v>0</v>
      </c>
    </row>
    <row r="93" spans="1:9" hidden="1" x14ac:dyDescent="0.25">
      <c r="A93" s="1" t="s">
        <v>157</v>
      </c>
      <c r="B93" s="1" t="s">
        <v>57</v>
      </c>
      <c r="C93" s="1" t="s">
        <v>10</v>
      </c>
      <c r="D93" s="1">
        <v>0</v>
      </c>
      <c r="E93" s="1">
        <v>0</v>
      </c>
      <c r="F93" s="1">
        <v>65.58</v>
      </c>
      <c r="G93" s="1">
        <v>1062.3499999999999</v>
      </c>
      <c r="H93" s="1">
        <v>-262.30900000000003</v>
      </c>
      <c r="I93" s="1">
        <v>0</v>
      </c>
    </row>
    <row r="94" spans="1:9" hidden="1" x14ac:dyDescent="0.25">
      <c r="A94" s="1" t="s">
        <v>157</v>
      </c>
      <c r="B94" s="1" t="s">
        <v>58</v>
      </c>
      <c r="C94" s="1" t="s">
        <v>25</v>
      </c>
      <c r="D94" s="1">
        <v>0</v>
      </c>
      <c r="E94" s="1">
        <v>-54.25</v>
      </c>
      <c r="F94" s="1">
        <v>0</v>
      </c>
      <c r="G94" s="1">
        <v>895.154</v>
      </c>
      <c r="H94" s="1">
        <v>0</v>
      </c>
      <c r="I94" s="1">
        <v>0</v>
      </c>
    </row>
    <row r="95" spans="1:9" hidden="1" x14ac:dyDescent="0.25">
      <c r="A95" s="1" t="s">
        <v>157</v>
      </c>
      <c r="B95" s="1" t="s">
        <v>58</v>
      </c>
      <c r="C95" s="1" t="s">
        <v>10</v>
      </c>
      <c r="D95" s="1">
        <v>0</v>
      </c>
      <c r="E95" s="1">
        <v>-54.25</v>
      </c>
      <c r="F95" s="1">
        <v>0</v>
      </c>
      <c r="G95" s="1">
        <v>895.154</v>
      </c>
      <c r="H95" s="1">
        <v>0</v>
      </c>
      <c r="I95" s="1">
        <v>-217.00700000000001</v>
      </c>
    </row>
    <row r="96" spans="1:9" hidden="1" x14ac:dyDescent="0.25">
      <c r="A96" s="1" t="s">
        <v>157</v>
      </c>
      <c r="B96" s="1" t="s">
        <v>59</v>
      </c>
      <c r="C96" s="1" t="s">
        <v>25</v>
      </c>
      <c r="D96" s="1">
        <v>0</v>
      </c>
      <c r="E96" s="1">
        <v>-54.25</v>
      </c>
      <c r="F96" s="1">
        <v>0</v>
      </c>
      <c r="G96" s="1">
        <v>732.399</v>
      </c>
      <c r="H96" s="1">
        <v>0</v>
      </c>
      <c r="I96" s="1">
        <v>0</v>
      </c>
    </row>
    <row r="97" spans="1:9" hidden="1" x14ac:dyDescent="0.25">
      <c r="A97" s="1" t="s">
        <v>157</v>
      </c>
      <c r="B97" s="1" t="s">
        <v>59</v>
      </c>
      <c r="C97" s="1" t="s">
        <v>10</v>
      </c>
      <c r="D97" s="1">
        <v>0</v>
      </c>
      <c r="E97" s="1">
        <v>-54.25</v>
      </c>
      <c r="F97" s="1">
        <v>0</v>
      </c>
      <c r="G97" s="1">
        <v>732.399</v>
      </c>
      <c r="H97" s="1">
        <v>0</v>
      </c>
      <c r="I97" s="1">
        <v>-217.00700000000001</v>
      </c>
    </row>
    <row r="98" spans="1:9" hidden="1" x14ac:dyDescent="0.25">
      <c r="A98" s="1" t="s">
        <v>157</v>
      </c>
      <c r="B98" s="1" t="s">
        <v>60</v>
      </c>
      <c r="C98" s="1" t="s">
        <v>25</v>
      </c>
      <c r="D98" s="1">
        <v>0</v>
      </c>
      <c r="E98" s="1">
        <v>54.25</v>
      </c>
      <c r="F98" s="1">
        <v>0</v>
      </c>
      <c r="G98" s="1">
        <v>-895.154</v>
      </c>
      <c r="H98" s="1">
        <v>0</v>
      </c>
      <c r="I98" s="1">
        <v>0</v>
      </c>
    </row>
    <row r="99" spans="1:9" hidden="1" x14ac:dyDescent="0.25">
      <c r="A99" s="1" t="s">
        <v>157</v>
      </c>
      <c r="B99" s="1" t="s">
        <v>60</v>
      </c>
      <c r="C99" s="1" t="s">
        <v>10</v>
      </c>
      <c r="D99" s="1">
        <v>0</v>
      </c>
      <c r="E99" s="1">
        <v>54.25</v>
      </c>
      <c r="F99" s="1">
        <v>0</v>
      </c>
      <c r="G99" s="1">
        <v>-895.154</v>
      </c>
      <c r="H99" s="1">
        <v>0</v>
      </c>
      <c r="I99" s="1">
        <v>217.00700000000001</v>
      </c>
    </row>
    <row r="100" spans="1:9" hidden="1" x14ac:dyDescent="0.25">
      <c r="A100" s="1" t="s">
        <v>157</v>
      </c>
      <c r="B100" s="1" t="s">
        <v>61</v>
      </c>
      <c r="C100" s="1" t="s">
        <v>25</v>
      </c>
      <c r="D100" s="1">
        <v>0</v>
      </c>
      <c r="E100" s="1">
        <v>54.25</v>
      </c>
      <c r="F100" s="1">
        <v>0</v>
      </c>
      <c r="G100" s="1">
        <v>-732.399</v>
      </c>
      <c r="H100" s="1">
        <v>0</v>
      </c>
      <c r="I100" s="1">
        <v>0</v>
      </c>
    </row>
    <row r="101" spans="1:9" hidden="1" x14ac:dyDescent="0.25">
      <c r="A101" s="1" t="s">
        <v>157</v>
      </c>
      <c r="B101" s="1" t="s">
        <v>61</v>
      </c>
      <c r="C101" s="1" t="s">
        <v>10</v>
      </c>
      <c r="D101" s="1">
        <v>0</v>
      </c>
      <c r="E101" s="1">
        <v>54.25</v>
      </c>
      <c r="F101" s="1">
        <v>0</v>
      </c>
      <c r="G101" s="1">
        <v>-732.399</v>
      </c>
      <c r="H101" s="1">
        <v>0</v>
      </c>
      <c r="I101" s="1">
        <v>217.00700000000001</v>
      </c>
    </row>
    <row r="102" spans="1:9" hidden="1" x14ac:dyDescent="0.25">
      <c r="A102" s="1" t="s">
        <v>157</v>
      </c>
      <c r="B102" s="1" t="s">
        <v>62</v>
      </c>
      <c r="C102" s="1" t="s">
        <v>25</v>
      </c>
      <c r="D102" s="1">
        <v>0</v>
      </c>
      <c r="E102" s="1">
        <v>0</v>
      </c>
      <c r="F102" s="1">
        <v>-65.58</v>
      </c>
      <c r="G102" s="1">
        <v>-1298.4269999999999</v>
      </c>
      <c r="H102" s="1">
        <v>0</v>
      </c>
      <c r="I102" s="1">
        <v>0</v>
      </c>
    </row>
    <row r="103" spans="1:9" hidden="1" x14ac:dyDescent="0.25">
      <c r="A103" s="1" t="s">
        <v>157</v>
      </c>
      <c r="B103" s="1" t="s">
        <v>62</v>
      </c>
      <c r="C103" s="1" t="s">
        <v>10</v>
      </c>
      <c r="D103" s="1">
        <v>0</v>
      </c>
      <c r="E103" s="1">
        <v>0</v>
      </c>
      <c r="F103" s="1">
        <v>-65.58</v>
      </c>
      <c r="G103" s="1">
        <v>-1298.4269999999999</v>
      </c>
      <c r="H103" s="1">
        <v>262.30900000000003</v>
      </c>
      <c r="I103" s="1">
        <v>0</v>
      </c>
    </row>
    <row r="104" spans="1:9" hidden="1" x14ac:dyDescent="0.25">
      <c r="A104" s="1" t="s">
        <v>157</v>
      </c>
      <c r="B104" s="1" t="s">
        <v>63</v>
      </c>
      <c r="C104" s="1" t="s">
        <v>25</v>
      </c>
      <c r="D104" s="1">
        <v>0</v>
      </c>
      <c r="E104" s="1">
        <v>0</v>
      </c>
      <c r="F104" s="1">
        <v>-65.58</v>
      </c>
      <c r="G104" s="1">
        <v>-1062.3499999999999</v>
      </c>
      <c r="H104" s="1">
        <v>0</v>
      </c>
      <c r="I104" s="1">
        <v>0</v>
      </c>
    </row>
    <row r="105" spans="1:9" hidden="1" x14ac:dyDescent="0.25">
      <c r="A105" s="1" t="s">
        <v>157</v>
      </c>
      <c r="B105" s="1" t="s">
        <v>63</v>
      </c>
      <c r="C105" s="1" t="s">
        <v>10</v>
      </c>
      <c r="D105" s="1">
        <v>0</v>
      </c>
      <c r="E105" s="1">
        <v>0</v>
      </c>
      <c r="F105" s="1">
        <v>-65.58</v>
      </c>
      <c r="G105" s="1">
        <v>-1062.3499999999999</v>
      </c>
      <c r="H105" s="1">
        <v>262.30900000000003</v>
      </c>
      <c r="I105" s="1">
        <v>0</v>
      </c>
    </row>
    <row r="106" spans="1:9" hidden="1" x14ac:dyDescent="0.25">
      <c r="A106" s="1" t="s">
        <v>157</v>
      </c>
      <c r="B106" s="1" t="s">
        <v>64</v>
      </c>
      <c r="C106" s="1" t="s">
        <v>25</v>
      </c>
      <c r="D106" s="1">
        <v>0</v>
      </c>
      <c r="E106" s="1">
        <v>0</v>
      </c>
      <c r="F106" s="1">
        <v>65.58</v>
      </c>
      <c r="G106" s="1">
        <v>1298.4269999999999</v>
      </c>
      <c r="H106" s="1">
        <v>0</v>
      </c>
      <c r="I106" s="1">
        <v>0</v>
      </c>
    </row>
    <row r="107" spans="1:9" hidden="1" x14ac:dyDescent="0.25">
      <c r="A107" s="1" t="s">
        <v>157</v>
      </c>
      <c r="B107" s="1" t="s">
        <v>64</v>
      </c>
      <c r="C107" s="1" t="s">
        <v>10</v>
      </c>
      <c r="D107" s="1">
        <v>0</v>
      </c>
      <c r="E107" s="1">
        <v>0</v>
      </c>
      <c r="F107" s="1">
        <v>65.58</v>
      </c>
      <c r="G107" s="1">
        <v>1298.4269999999999</v>
      </c>
      <c r="H107" s="1">
        <v>-262.30900000000003</v>
      </c>
      <c r="I107" s="1">
        <v>0</v>
      </c>
    </row>
    <row r="108" spans="1:9" hidden="1" x14ac:dyDescent="0.25">
      <c r="A108" s="1" t="s">
        <v>157</v>
      </c>
      <c r="B108" s="1" t="s">
        <v>65</v>
      </c>
      <c r="C108" s="1" t="s">
        <v>25</v>
      </c>
      <c r="D108" s="1">
        <v>0</v>
      </c>
      <c r="E108" s="1">
        <v>0</v>
      </c>
      <c r="F108" s="1">
        <v>65.58</v>
      </c>
      <c r="G108" s="1">
        <v>1062.3499999999999</v>
      </c>
      <c r="H108" s="1">
        <v>0</v>
      </c>
      <c r="I108" s="1">
        <v>0</v>
      </c>
    </row>
    <row r="109" spans="1:9" hidden="1" x14ac:dyDescent="0.25">
      <c r="A109" s="1" t="s">
        <v>157</v>
      </c>
      <c r="B109" s="1" t="s">
        <v>65</v>
      </c>
      <c r="C109" s="1" t="s">
        <v>10</v>
      </c>
      <c r="D109" s="1">
        <v>0</v>
      </c>
      <c r="E109" s="1">
        <v>0</v>
      </c>
      <c r="F109" s="1">
        <v>65.58</v>
      </c>
      <c r="G109" s="1">
        <v>1062.3499999999999</v>
      </c>
      <c r="H109" s="1">
        <v>-262.30900000000003</v>
      </c>
      <c r="I109" s="1">
        <v>0</v>
      </c>
    </row>
    <row r="110" spans="1:9" hidden="1" x14ac:dyDescent="0.25">
      <c r="A110" s="1" t="s">
        <v>157</v>
      </c>
      <c r="B110" s="1" t="s">
        <v>66</v>
      </c>
      <c r="C110" s="1" t="s">
        <v>25</v>
      </c>
      <c r="D110" s="1">
        <v>0</v>
      </c>
      <c r="E110" s="1">
        <v>-180.84</v>
      </c>
      <c r="F110" s="1">
        <v>0</v>
      </c>
      <c r="G110" s="1">
        <v>2983.846</v>
      </c>
      <c r="H110" s="1">
        <v>0</v>
      </c>
      <c r="I110" s="1">
        <v>0</v>
      </c>
    </row>
    <row r="111" spans="1:9" hidden="1" x14ac:dyDescent="0.25">
      <c r="A111" s="1" t="s">
        <v>157</v>
      </c>
      <c r="B111" s="1" t="s">
        <v>66</v>
      </c>
      <c r="C111" s="1" t="s">
        <v>10</v>
      </c>
      <c r="D111" s="1">
        <v>0</v>
      </c>
      <c r="E111" s="1">
        <v>-180.84</v>
      </c>
      <c r="F111" s="1">
        <v>0</v>
      </c>
      <c r="G111" s="1">
        <v>2983.846</v>
      </c>
      <c r="H111" s="1">
        <v>0</v>
      </c>
      <c r="I111" s="1">
        <v>-723.35699999999997</v>
      </c>
    </row>
    <row r="112" spans="1:9" hidden="1" x14ac:dyDescent="0.25">
      <c r="A112" s="1" t="s">
        <v>157</v>
      </c>
      <c r="B112" s="1" t="s">
        <v>67</v>
      </c>
      <c r="C112" s="1" t="s">
        <v>25</v>
      </c>
      <c r="D112" s="1">
        <v>0</v>
      </c>
      <c r="E112" s="1">
        <v>-180.84</v>
      </c>
      <c r="F112" s="1">
        <v>0</v>
      </c>
      <c r="G112" s="1">
        <v>2441.3290000000002</v>
      </c>
      <c r="H112" s="1">
        <v>0</v>
      </c>
      <c r="I112" s="1">
        <v>0</v>
      </c>
    </row>
    <row r="113" spans="1:9" hidden="1" x14ac:dyDescent="0.25">
      <c r="A113" s="1" t="s">
        <v>157</v>
      </c>
      <c r="B113" s="1" t="s">
        <v>67</v>
      </c>
      <c r="C113" s="1" t="s">
        <v>10</v>
      </c>
      <c r="D113" s="1">
        <v>0</v>
      </c>
      <c r="E113" s="1">
        <v>-180.84</v>
      </c>
      <c r="F113" s="1">
        <v>0</v>
      </c>
      <c r="G113" s="1">
        <v>2441.3290000000002</v>
      </c>
      <c r="H113" s="1">
        <v>0</v>
      </c>
      <c r="I113" s="1">
        <v>-723.35699999999997</v>
      </c>
    </row>
    <row r="114" spans="1:9" hidden="1" x14ac:dyDescent="0.25">
      <c r="A114" s="1" t="s">
        <v>157</v>
      </c>
      <c r="B114" s="1" t="s">
        <v>68</v>
      </c>
      <c r="C114" s="1" t="s">
        <v>25</v>
      </c>
      <c r="D114" s="1">
        <v>0</v>
      </c>
      <c r="E114" s="1">
        <v>180.84</v>
      </c>
      <c r="F114" s="1">
        <v>0</v>
      </c>
      <c r="G114" s="1">
        <v>-2983.846</v>
      </c>
      <c r="H114" s="1">
        <v>0</v>
      </c>
      <c r="I114" s="1">
        <v>0</v>
      </c>
    </row>
    <row r="115" spans="1:9" hidden="1" x14ac:dyDescent="0.25">
      <c r="A115" s="1" t="s">
        <v>157</v>
      </c>
      <c r="B115" s="1" t="s">
        <v>68</v>
      </c>
      <c r="C115" s="1" t="s">
        <v>10</v>
      </c>
      <c r="D115" s="1">
        <v>0</v>
      </c>
      <c r="E115" s="1">
        <v>180.84</v>
      </c>
      <c r="F115" s="1">
        <v>0</v>
      </c>
      <c r="G115" s="1">
        <v>-2983.846</v>
      </c>
      <c r="H115" s="1">
        <v>0</v>
      </c>
      <c r="I115" s="1">
        <v>723.35699999999997</v>
      </c>
    </row>
    <row r="116" spans="1:9" hidden="1" x14ac:dyDescent="0.25">
      <c r="A116" s="1" t="s">
        <v>157</v>
      </c>
      <c r="B116" s="1" t="s">
        <v>69</v>
      </c>
      <c r="C116" s="1" t="s">
        <v>25</v>
      </c>
      <c r="D116" s="1">
        <v>0</v>
      </c>
      <c r="E116" s="1">
        <v>180.84</v>
      </c>
      <c r="F116" s="1">
        <v>0</v>
      </c>
      <c r="G116" s="1">
        <v>-2441.3290000000002</v>
      </c>
      <c r="H116" s="1">
        <v>0</v>
      </c>
      <c r="I116" s="1">
        <v>0</v>
      </c>
    </row>
    <row r="117" spans="1:9" hidden="1" x14ac:dyDescent="0.25">
      <c r="A117" s="1" t="s">
        <v>157</v>
      </c>
      <c r="B117" s="1" t="s">
        <v>69</v>
      </c>
      <c r="C117" s="1" t="s">
        <v>10</v>
      </c>
      <c r="D117" s="1">
        <v>0</v>
      </c>
      <c r="E117" s="1">
        <v>180.84</v>
      </c>
      <c r="F117" s="1">
        <v>0</v>
      </c>
      <c r="G117" s="1">
        <v>-2441.3290000000002</v>
      </c>
      <c r="H117" s="1">
        <v>0</v>
      </c>
      <c r="I117" s="1">
        <v>723.35699999999997</v>
      </c>
    </row>
    <row r="118" spans="1:9" hidden="1" x14ac:dyDescent="0.25">
      <c r="A118" s="1" t="s">
        <v>157</v>
      </c>
      <c r="B118" s="1" t="s">
        <v>70</v>
      </c>
      <c r="C118" s="1" t="s">
        <v>25</v>
      </c>
      <c r="D118" s="1">
        <v>0</v>
      </c>
      <c r="E118" s="1">
        <v>0</v>
      </c>
      <c r="F118" s="1">
        <v>-218.59</v>
      </c>
      <c r="G118" s="1">
        <v>-4328.0910000000003</v>
      </c>
      <c r="H118" s="1">
        <v>0</v>
      </c>
      <c r="I118" s="1">
        <v>0</v>
      </c>
    </row>
    <row r="119" spans="1:9" hidden="1" x14ac:dyDescent="0.25">
      <c r="A119" s="1" t="s">
        <v>157</v>
      </c>
      <c r="B119" s="1" t="s">
        <v>70</v>
      </c>
      <c r="C119" s="1" t="s">
        <v>10</v>
      </c>
      <c r="D119" s="1">
        <v>0</v>
      </c>
      <c r="E119" s="1">
        <v>0</v>
      </c>
      <c r="F119" s="1">
        <v>-218.59</v>
      </c>
      <c r="G119" s="1">
        <v>-4328.0910000000003</v>
      </c>
      <c r="H119" s="1">
        <v>874.36199999999997</v>
      </c>
      <c r="I119" s="1">
        <v>0</v>
      </c>
    </row>
    <row r="120" spans="1:9" hidden="1" x14ac:dyDescent="0.25">
      <c r="A120" s="1" t="s">
        <v>157</v>
      </c>
      <c r="B120" s="1" t="s">
        <v>71</v>
      </c>
      <c r="C120" s="1" t="s">
        <v>25</v>
      </c>
      <c r="D120" s="1">
        <v>0</v>
      </c>
      <c r="E120" s="1">
        <v>0</v>
      </c>
      <c r="F120" s="1">
        <v>-218.59</v>
      </c>
      <c r="G120" s="1">
        <v>-3541.1660000000002</v>
      </c>
      <c r="H120" s="1">
        <v>0</v>
      </c>
      <c r="I120" s="1">
        <v>0</v>
      </c>
    </row>
    <row r="121" spans="1:9" hidden="1" x14ac:dyDescent="0.25">
      <c r="A121" s="1" t="s">
        <v>157</v>
      </c>
      <c r="B121" s="1" t="s">
        <v>71</v>
      </c>
      <c r="C121" s="1" t="s">
        <v>10</v>
      </c>
      <c r="D121" s="1">
        <v>0</v>
      </c>
      <c r="E121" s="1">
        <v>0</v>
      </c>
      <c r="F121" s="1">
        <v>-218.59</v>
      </c>
      <c r="G121" s="1">
        <v>-3541.1660000000002</v>
      </c>
      <c r="H121" s="1">
        <v>874.36199999999997</v>
      </c>
      <c r="I121" s="1">
        <v>0</v>
      </c>
    </row>
    <row r="122" spans="1:9" hidden="1" x14ac:dyDescent="0.25">
      <c r="A122" s="1" t="s">
        <v>157</v>
      </c>
      <c r="B122" s="1" t="s">
        <v>72</v>
      </c>
      <c r="C122" s="1" t="s">
        <v>25</v>
      </c>
      <c r="D122" s="1">
        <v>0</v>
      </c>
      <c r="E122" s="1">
        <v>0</v>
      </c>
      <c r="F122" s="1">
        <v>218.59</v>
      </c>
      <c r="G122" s="1">
        <v>4328.0910000000003</v>
      </c>
      <c r="H122" s="1">
        <v>0</v>
      </c>
      <c r="I122" s="1">
        <v>0</v>
      </c>
    </row>
    <row r="123" spans="1:9" hidden="1" x14ac:dyDescent="0.25">
      <c r="A123" s="1" t="s">
        <v>157</v>
      </c>
      <c r="B123" s="1" t="s">
        <v>72</v>
      </c>
      <c r="C123" s="1" t="s">
        <v>10</v>
      </c>
      <c r="D123" s="1">
        <v>0</v>
      </c>
      <c r="E123" s="1">
        <v>0</v>
      </c>
      <c r="F123" s="1">
        <v>218.59</v>
      </c>
      <c r="G123" s="1">
        <v>4328.0910000000003</v>
      </c>
      <c r="H123" s="1">
        <v>-874.36199999999997</v>
      </c>
      <c r="I123" s="1">
        <v>0</v>
      </c>
    </row>
    <row r="124" spans="1:9" hidden="1" x14ac:dyDescent="0.25">
      <c r="A124" s="1" t="s">
        <v>157</v>
      </c>
      <c r="B124" s="1" t="s">
        <v>73</v>
      </c>
      <c r="C124" s="1" t="s">
        <v>25</v>
      </c>
      <c r="D124" s="1">
        <v>0</v>
      </c>
      <c r="E124" s="1">
        <v>0</v>
      </c>
      <c r="F124" s="1">
        <v>218.59</v>
      </c>
      <c r="G124" s="1">
        <v>3541.1660000000002</v>
      </c>
      <c r="H124" s="1">
        <v>0</v>
      </c>
      <c r="I124" s="1">
        <v>0</v>
      </c>
    </row>
    <row r="125" spans="1:9" hidden="1" x14ac:dyDescent="0.25">
      <c r="A125" s="1" t="s">
        <v>157</v>
      </c>
      <c r="B125" s="1" t="s">
        <v>73</v>
      </c>
      <c r="C125" s="1" t="s">
        <v>10</v>
      </c>
      <c r="D125" s="1">
        <v>0</v>
      </c>
      <c r="E125" s="1">
        <v>0</v>
      </c>
      <c r="F125" s="1">
        <v>218.59</v>
      </c>
      <c r="G125" s="1">
        <v>3541.1660000000002</v>
      </c>
      <c r="H125" s="1">
        <v>-874.36199999999997</v>
      </c>
      <c r="I125" s="1">
        <v>0</v>
      </c>
    </row>
    <row r="126" spans="1:9" hidden="1" x14ac:dyDescent="0.25">
      <c r="A126" s="1" t="s">
        <v>157</v>
      </c>
      <c r="B126" s="1" t="s">
        <v>74</v>
      </c>
      <c r="C126" s="1" t="s">
        <v>25</v>
      </c>
      <c r="D126" s="1">
        <v>0</v>
      </c>
      <c r="E126" s="1">
        <v>-180.84</v>
      </c>
      <c r="F126" s="1">
        <v>0</v>
      </c>
      <c r="G126" s="1">
        <v>2983.846</v>
      </c>
      <c r="H126" s="1">
        <v>0</v>
      </c>
      <c r="I126" s="1">
        <v>0</v>
      </c>
    </row>
    <row r="127" spans="1:9" hidden="1" x14ac:dyDescent="0.25">
      <c r="A127" s="1" t="s">
        <v>157</v>
      </c>
      <c r="B127" s="1" t="s">
        <v>74</v>
      </c>
      <c r="C127" s="1" t="s">
        <v>10</v>
      </c>
      <c r="D127" s="1">
        <v>0</v>
      </c>
      <c r="E127" s="1">
        <v>-180.84</v>
      </c>
      <c r="F127" s="1">
        <v>0</v>
      </c>
      <c r="G127" s="1">
        <v>2983.846</v>
      </c>
      <c r="H127" s="1">
        <v>0</v>
      </c>
      <c r="I127" s="1">
        <v>-723.35699999999997</v>
      </c>
    </row>
    <row r="128" spans="1:9" hidden="1" x14ac:dyDescent="0.25">
      <c r="A128" s="1" t="s">
        <v>157</v>
      </c>
      <c r="B128" s="1" t="s">
        <v>75</v>
      </c>
      <c r="C128" s="1" t="s">
        <v>25</v>
      </c>
      <c r="D128" s="1">
        <v>0</v>
      </c>
      <c r="E128" s="1">
        <v>-180.84</v>
      </c>
      <c r="F128" s="1">
        <v>0</v>
      </c>
      <c r="G128" s="1">
        <v>2441.3290000000002</v>
      </c>
      <c r="H128" s="1">
        <v>0</v>
      </c>
      <c r="I128" s="1">
        <v>0</v>
      </c>
    </row>
    <row r="129" spans="1:9" hidden="1" x14ac:dyDescent="0.25">
      <c r="A129" s="1" t="s">
        <v>157</v>
      </c>
      <c r="B129" s="1" t="s">
        <v>75</v>
      </c>
      <c r="C129" s="1" t="s">
        <v>10</v>
      </c>
      <c r="D129" s="1">
        <v>0</v>
      </c>
      <c r="E129" s="1">
        <v>-180.84</v>
      </c>
      <c r="F129" s="1">
        <v>0</v>
      </c>
      <c r="G129" s="1">
        <v>2441.3290000000002</v>
      </c>
      <c r="H129" s="1">
        <v>0</v>
      </c>
      <c r="I129" s="1">
        <v>-723.35699999999997</v>
      </c>
    </row>
    <row r="130" spans="1:9" hidden="1" x14ac:dyDescent="0.25">
      <c r="A130" s="1" t="s">
        <v>157</v>
      </c>
      <c r="B130" s="1" t="s">
        <v>76</v>
      </c>
      <c r="C130" s="1" t="s">
        <v>25</v>
      </c>
      <c r="D130" s="1">
        <v>0</v>
      </c>
      <c r="E130" s="1">
        <v>180.84</v>
      </c>
      <c r="F130" s="1">
        <v>0</v>
      </c>
      <c r="G130" s="1">
        <v>-2983.846</v>
      </c>
      <c r="H130" s="1">
        <v>0</v>
      </c>
      <c r="I130" s="1">
        <v>0</v>
      </c>
    </row>
    <row r="131" spans="1:9" hidden="1" x14ac:dyDescent="0.25">
      <c r="A131" s="1" t="s">
        <v>157</v>
      </c>
      <c r="B131" s="1" t="s">
        <v>76</v>
      </c>
      <c r="C131" s="1" t="s">
        <v>10</v>
      </c>
      <c r="D131" s="1">
        <v>0</v>
      </c>
      <c r="E131" s="1">
        <v>180.84</v>
      </c>
      <c r="F131" s="1">
        <v>0</v>
      </c>
      <c r="G131" s="1">
        <v>-2983.846</v>
      </c>
      <c r="H131" s="1">
        <v>0</v>
      </c>
      <c r="I131" s="1">
        <v>723.35699999999997</v>
      </c>
    </row>
    <row r="132" spans="1:9" hidden="1" x14ac:dyDescent="0.25">
      <c r="A132" s="1" t="s">
        <v>157</v>
      </c>
      <c r="B132" s="1" t="s">
        <v>77</v>
      </c>
      <c r="C132" s="1" t="s">
        <v>25</v>
      </c>
      <c r="D132" s="1">
        <v>0</v>
      </c>
      <c r="E132" s="1">
        <v>180.84</v>
      </c>
      <c r="F132" s="1">
        <v>0</v>
      </c>
      <c r="G132" s="1">
        <v>-2441.3290000000002</v>
      </c>
      <c r="H132" s="1">
        <v>0</v>
      </c>
      <c r="I132" s="1">
        <v>0</v>
      </c>
    </row>
    <row r="133" spans="1:9" hidden="1" x14ac:dyDescent="0.25">
      <c r="A133" s="1" t="s">
        <v>157</v>
      </c>
      <c r="B133" s="1" t="s">
        <v>77</v>
      </c>
      <c r="C133" s="1" t="s">
        <v>10</v>
      </c>
      <c r="D133" s="1">
        <v>0</v>
      </c>
      <c r="E133" s="1">
        <v>180.84</v>
      </c>
      <c r="F133" s="1">
        <v>0</v>
      </c>
      <c r="G133" s="1">
        <v>-2441.3290000000002</v>
      </c>
      <c r="H133" s="1">
        <v>0</v>
      </c>
      <c r="I133" s="1">
        <v>723.35699999999997</v>
      </c>
    </row>
    <row r="134" spans="1:9" hidden="1" x14ac:dyDescent="0.25">
      <c r="A134" s="1" t="s">
        <v>157</v>
      </c>
      <c r="B134" s="1" t="s">
        <v>78</v>
      </c>
      <c r="C134" s="1" t="s">
        <v>25</v>
      </c>
      <c r="D134" s="1">
        <v>0</v>
      </c>
      <c r="E134" s="1">
        <v>0</v>
      </c>
      <c r="F134" s="1">
        <v>-218.59</v>
      </c>
      <c r="G134" s="1">
        <v>-4328.0910000000003</v>
      </c>
      <c r="H134" s="1">
        <v>0</v>
      </c>
      <c r="I134" s="1">
        <v>0</v>
      </c>
    </row>
    <row r="135" spans="1:9" hidden="1" x14ac:dyDescent="0.25">
      <c r="A135" s="1" t="s">
        <v>157</v>
      </c>
      <c r="B135" s="1" t="s">
        <v>78</v>
      </c>
      <c r="C135" s="1" t="s">
        <v>10</v>
      </c>
      <c r="D135" s="1">
        <v>0</v>
      </c>
      <c r="E135" s="1">
        <v>0</v>
      </c>
      <c r="F135" s="1">
        <v>-218.59</v>
      </c>
      <c r="G135" s="1">
        <v>-4328.0910000000003</v>
      </c>
      <c r="H135" s="1">
        <v>874.36199999999997</v>
      </c>
      <c r="I135" s="1">
        <v>0</v>
      </c>
    </row>
    <row r="136" spans="1:9" hidden="1" x14ac:dyDescent="0.25">
      <c r="A136" s="1" t="s">
        <v>157</v>
      </c>
      <c r="B136" s="1" t="s">
        <v>79</v>
      </c>
      <c r="C136" s="1" t="s">
        <v>25</v>
      </c>
      <c r="D136" s="1">
        <v>0</v>
      </c>
      <c r="E136" s="1">
        <v>0</v>
      </c>
      <c r="F136" s="1">
        <v>-218.59</v>
      </c>
      <c r="G136" s="1">
        <v>-3541.1660000000002</v>
      </c>
      <c r="H136" s="1">
        <v>0</v>
      </c>
      <c r="I136" s="1">
        <v>0</v>
      </c>
    </row>
    <row r="137" spans="1:9" hidden="1" x14ac:dyDescent="0.25">
      <c r="A137" s="1" t="s">
        <v>157</v>
      </c>
      <c r="B137" s="1" t="s">
        <v>79</v>
      </c>
      <c r="C137" s="1" t="s">
        <v>10</v>
      </c>
      <c r="D137" s="1">
        <v>0</v>
      </c>
      <c r="E137" s="1">
        <v>0</v>
      </c>
      <c r="F137" s="1">
        <v>-218.59</v>
      </c>
      <c r="G137" s="1">
        <v>-3541.1660000000002</v>
      </c>
      <c r="H137" s="1">
        <v>874.36199999999997</v>
      </c>
      <c r="I137" s="1">
        <v>0</v>
      </c>
    </row>
    <row r="138" spans="1:9" hidden="1" x14ac:dyDescent="0.25">
      <c r="A138" s="1" t="s">
        <v>157</v>
      </c>
      <c r="B138" s="1" t="s">
        <v>80</v>
      </c>
      <c r="C138" s="1" t="s">
        <v>25</v>
      </c>
      <c r="D138" s="1">
        <v>0</v>
      </c>
      <c r="E138" s="1">
        <v>0</v>
      </c>
      <c r="F138" s="1">
        <v>218.59</v>
      </c>
      <c r="G138" s="1">
        <v>4328.0910000000003</v>
      </c>
      <c r="H138" s="1">
        <v>0</v>
      </c>
      <c r="I138" s="1">
        <v>0</v>
      </c>
    </row>
    <row r="139" spans="1:9" hidden="1" x14ac:dyDescent="0.25">
      <c r="A139" s="1" t="s">
        <v>157</v>
      </c>
      <c r="B139" s="1" t="s">
        <v>80</v>
      </c>
      <c r="C139" s="1" t="s">
        <v>10</v>
      </c>
      <c r="D139" s="1">
        <v>0</v>
      </c>
      <c r="E139" s="1">
        <v>0</v>
      </c>
      <c r="F139" s="1">
        <v>218.59</v>
      </c>
      <c r="G139" s="1">
        <v>4328.0910000000003</v>
      </c>
      <c r="H139" s="1">
        <v>-874.36199999999997</v>
      </c>
      <c r="I139" s="1">
        <v>0</v>
      </c>
    </row>
    <row r="140" spans="1:9" hidden="1" x14ac:dyDescent="0.25">
      <c r="A140" s="1" t="s">
        <v>157</v>
      </c>
      <c r="B140" s="1" t="s">
        <v>81</v>
      </c>
      <c r="C140" s="1" t="s">
        <v>25</v>
      </c>
      <c r="D140" s="1">
        <v>0</v>
      </c>
      <c r="E140" s="1">
        <v>0</v>
      </c>
      <c r="F140" s="1">
        <v>218.59</v>
      </c>
      <c r="G140" s="1">
        <v>3541.1660000000002</v>
      </c>
      <c r="H140" s="1">
        <v>0</v>
      </c>
      <c r="I140" s="1">
        <v>0</v>
      </c>
    </row>
    <row r="141" spans="1:9" hidden="1" x14ac:dyDescent="0.25">
      <c r="A141" s="1" t="s">
        <v>157</v>
      </c>
      <c r="B141" s="1" t="s">
        <v>81</v>
      </c>
      <c r="C141" s="1" t="s">
        <v>10</v>
      </c>
      <c r="D141" s="1">
        <v>0</v>
      </c>
      <c r="E141" s="1">
        <v>0</v>
      </c>
      <c r="F141" s="1">
        <v>218.59</v>
      </c>
      <c r="G141" s="1">
        <v>3541.1660000000002</v>
      </c>
      <c r="H141" s="1">
        <v>-874.36199999999997</v>
      </c>
      <c r="I141" s="1">
        <v>0</v>
      </c>
    </row>
    <row r="142" spans="1:9" hidden="1" x14ac:dyDescent="0.25">
      <c r="A142" s="1" t="s">
        <v>157</v>
      </c>
      <c r="B142" s="1" t="s">
        <v>82</v>
      </c>
      <c r="C142" s="1" t="s">
        <v>25</v>
      </c>
      <c r="D142" s="1">
        <v>0</v>
      </c>
      <c r="E142" s="1">
        <v>-54.25</v>
      </c>
      <c r="F142" s="1">
        <v>0</v>
      </c>
      <c r="G142" s="1">
        <v>895.154</v>
      </c>
      <c r="H142" s="1">
        <v>0</v>
      </c>
      <c r="I142" s="1">
        <v>0</v>
      </c>
    </row>
    <row r="143" spans="1:9" hidden="1" x14ac:dyDescent="0.25">
      <c r="A143" s="1" t="s">
        <v>157</v>
      </c>
      <c r="B143" s="1" t="s">
        <v>82</v>
      </c>
      <c r="C143" s="1" t="s">
        <v>10</v>
      </c>
      <c r="D143" s="1">
        <v>0</v>
      </c>
      <c r="E143" s="1">
        <v>-54.25</v>
      </c>
      <c r="F143" s="1">
        <v>0</v>
      </c>
      <c r="G143" s="1">
        <v>895.154</v>
      </c>
      <c r="H143" s="1">
        <v>0</v>
      </c>
      <c r="I143" s="1">
        <v>-217.00700000000001</v>
      </c>
    </row>
    <row r="144" spans="1:9" hidden="1" x14ac:dyDescent="0.25">
      <c r="A144" s="1" t="s">
        <v>157</v>
      </c>
      <c r="B144" s="1" t="s">
        <v>83</v>
      </c>
      <c r="C144" s="1" t="s">
        <v>25</v>
      </c>
      <c r="D144" s="1">
        <v>0</v>
      </c>
      <c r="E144" s="1">
        <v>-54.25</v>
      </c>
      <c r="F144" s="1">
        <v>0</v>
      </c>
      <c r="G144" s="1">
        <v>732.399</v>
      </c>
      <c r="H144" s="1">
        <v>0</v>
      </c>
      <c r="I144" s="1">
        <v>0</v>
      </c>
    </row>
    <row r="145" spans="1:9" hidden="1" x14ac:dyDescent="0.25">
      <c r="A145" s="1" t="s">
        <v>157</v>
      </c>
      <c r="B145" s="1" t="s">
        <v>83</v>
      </c>
      <c r="C145" s="1" t="s">
        <v>10</v>
      </c>
      <c r="D145" s="1">
        <v>0</v>
      </c>
      <c r="E145" s="1">
        <v>-54.25</v>
      </c>
      <c r="F145" s="1">
        <v>0</v>
      </c>
      <c r="G145" s="1">
        <v>732.399</v>
      </c>
      <c r="H145" s="1">
        <v>0</v>
      </c>
      <c r="I145" s="1">
        <v>-217.00700000000001</v>
      </c>
    </row>
    <row r="146" spans="1:9" hidden="1" x14ac:dyDescent="0.25">
      <c r="A146" s="1" t="s">
        <v>157</v>
      </c>
      <c r="B146" s="1" t="s">
        <v>84</v>
      </c>
      <c r="C146" s="1" t="s">
        <v>25</v>
      </c>
      <c r="D146" s="1">
        <v>0</v>
      </c>
      <c r="E146" s="1">
        <v>54.25</v>
      </c>
      <c r="F146" s="1">
        <v>0</v>
      </c>
      <c r="G146" s="1">
        <v>-895.154</v>
      </c>
      <c r="H146" s="1">
        <v>0</v>
      </c>
      <c r="I146" s="1">
        <v>0</v>
      </c>
    </row>
    <row r="147" spans="1:9" hidden="1" x14ac:dyDescent="0.25">
      <c r="A147" s="1" t="s">
        <v>157</v>
      </c>
      <c r="B147" s="1" t="s">
        <v>84</v>
      </c>
      <c r="C147" s="1" t="s">
        <v>10</v>
      </c>
      <c r="D147" s="1">
        <v>0</v>
      </c>
      <c r="E147" s="1">
        <v>54.25</v>
      </c>
      <c r="F147" s="1">
        <v>0</v>
      </c>
      <c r="G147" s="1">
        <v>-895.154</v>
      </c>
      <c r="H147" s="1">
        <v>0</v>
      </c>
      <c r="I147" s="1">
        <v>217.00700000000001</v>
      </c>
    </row>
    <row r="148" spans="1:9" hidden="1" x14ac:dyDescent="0.25">
      <c r="A148" s="1" t="s">
        <v>157</v>
      </c>
      <c r="B148" s="1" t="s">
        <v>85</v>
      </c>
      <c r="C148" s="1" t="s">
        <v>25</v>
      </c>
      <c r="D148" s="1">
        <v>0</v>
      </c>
      <c r="E148" s="1">
        <v>54.25</v>
      </c>
      <c r="F148" s="1">
        <v>0</v>
      </c>
      <c r="G148" s="1">
        <v>-732.399</v>
      </c>
      <c r="H148" s="1">
        <v>0</v>
      </c>
      <c r="I148" s="1">
        <v>0</v>
      </c>
    </row>
    <row r="149" spans="1:9" hidden="1" x14ac:dyDescent="0.25">
      <c r="A149" s="1" t="s">
        <v>157</v>
      </c>
      <c r="B149" s="1" t="s">
        <v>85</v>
      </c>
      <c r="C149" s="1" t="s">
        <v>10</v>
      </c>
      <c r="D149" s="1">
        <v>0</v>
      </c>
      <c r="E149" s="1">
        <v>54.25</v>
      </c>
      <c r="F149" s="1">
        <v>0</v>
      </c>
      <c r="G149" s="1">
        <v>-732.399</v>
      </c>
      <c r="H149" s="1">
        <v>0</v>
      </c>
      <c r="I149" s="1">
        <v>217.00700000000001</v>
      </c>
    </row>
    <row r="150" spans="1:9" hidden="1" x14ac:dyDescent="0.25">
      <c r="A150" s="1" t="s">
        <v>157</v>
      </c>
      <c r="B150" s="1" t="s">
        <v>86</v>
      </c>
      <c r="C150" s="1" t="s">
        <v>25</v>
      </c>
      <c r="D150" s="1">
        <v>0</v>
      </c>
      <c r="E150" s="1">
        <v>0</v>
      </c>
      <c r="F150" s="1">
        <v>-65.58</v>
      </c>
      <c r="G150" s="1">
        <v>-1298.4269999999999</v>
      </c>
      <c r="H150" s="1">
        <v>0</v>
      </c>
      <c r="I150" s="1">
        <v>0</v>
      </c>
    </row>
    <row r="151" spans="1:9" hidden="1" x14ac:dyDescent="0.25">
      <c r="A151" s="1" t="s">
        <v>157</v>
      </c>
      <c r="B151" s="1" t="s">
        <v>86</v>
      </c>
      <c r="C151" s="1" t="s">
        <v>10</v>
      </c>
      <c r="D151" s="1">
        <v>0</v>
      </c>
      <c r="E151" s="1">
        <v>0</v>
      </c>
      <c r="F151" s="1">
        <v>-65.58</v>
      </c>
      <c r="G151" s="1">
        <v>-1298.4269999999999</v>
      </c>
      <c r="H151" s="1">
        <v>262.30900000000003</v>
      </c>
      <c r="I151" s="1">
        <v>0</v>
      </c>
    </row>
    <row r="152" spans="1:9" hidden="1" x14ac:dyDescent="0.25">
      <c r="A152" s="1" t="s">
        <v>157</v>
      </c>
      <c r="B152" s="1" t="s">
        <v>87</v>
      </c>
      <c r="C152" s="1" t="s">
        <v>25</v>
      </c>
      <c r="D152" s="1">
        <v>0</v>
      </c>
      <c r="E152" s="1">
        <v>0</v>
      </c>
      <c r="F152" s="1">
        <v>-65.58</v>
      </c>
      <c r="G152" s="1">
        <v>-1062.3499999999999</v>
      </c>
      <c r="H152" s="1">
        <v>0</v>
      </c>
      <c r="I152" s="1">
        <v>0</v>
      </c>
    </row>
    <row r="153" spans="1:9" hidden="1" x14ac:dyDescent="0.25">
      <c r="A153" s="1" t="s">
        <v>157</v>
      </c>
      <c r="B153" s="1" t="s">
        <v>87</v>
      </c>
      <c r="C153" s="1" t="s">
        <v>10</v>
      </c>
      <c r="D153" s="1">
        <v>0</v>
      </c>
      <c r="E153" s="1">
        <v>0</v>
      </c>
      <c r="F153" s="1">
        <v>-65.58</v>
      </c>
      <c r="G153" s="1">
        <v>-1062.3499999999999</v>
      </c>
      <c r="H153" s="1">
        <v>262.30900000000003</v>
      </c>
      <c r="I153" s="1">
        <v>0</v>
      </c>
    </row>
    <row r="154" spans="1:9" hidden="1" x14ac:dyDescent="0.25">
      <c r="A154" s="1" t="s">
        <v>157</v>
      </c>
      <c r="B154" s="1" t="s">
        <v>88</v>
      </c>
      <c r="C154" s="1" t="s">
        <v>25</v>
      </c>
      <c r="D154" s="1">
        <v>0</v>
      </c>
      <c r="E154" s="1">
        <v>0</v>
      </c>
      <c r="F154" s="1">
        <v>65.58</v>
      </c>
      <c r="G154" s="1">
        <v>1298.4269999999999</v>
      </c>
      <c r="H154" s="1">
        <v>0</v>
      </c>
      <c r="I154" s="1">
        <v>0</v>
      </c>
    </row>
    <row r="155" spans="1:9" hidden="1" x14ac:dyDescent="0.25">
      <c r="A155" s="1" t="s">
        <v>157</v>
      </c>
      <c r="B155" s="1" t="s">
        <v>88</v>
      </c>
      <c r="C155" s="1" t="s">
        <v>10</v>
      </c>
      <c r="D155" s="1">
        <v>0</v>
      </c>
      <c r="E155" s="1">
        <v>0</v>
      </c>
      <c r="F155" s="1">
        <v>65.58</v>
      </c>
      <c r="G155" s="1">
        <v>1298.4269999999999</v>
      </c>
      <c r="H155" s="1">
        <v>-262.30900000000003</v>
      </c>
      <c r="I155" s="1">
        <v>0</v>
      </c>
    </row>
    <row r="156" spans="1:9" hidden="1" x14ac:dyDescent="0.25">
      <c r="A156" s="1" t="s">
        <v>157</v>
      </c>
      <c r="B156" s="1" t="s">
        <v>89</v>
      </c>
      <c r="C156" s="1" t="s">
        <v>25</v>
      </c>
      <c r="D156" s="1">
        <v>0</v>
      </c>
      <c r="E156" s="1">
        <v>0</v>
      </c>
      <c r="F156" s="1">
        <v>65.58</v>
      </c>
      <c r="G156" s="1">
        <v>1062.3499999999999</v>
      </c>
      <c r="H156" s="1">
        <v>0</v>
      </c>
      <c r="I156" s="1">
        <v>0</v>
      </c>
    </row>
    <row r="157" spans="1:9" hidden="1" x14ac:dyDescent="0.25">
      <c r="A157" s="1" t="s">
        <v>157</v>
      </c>
      <c r="B157" s="1" t="s">
        <v>89</v>
      </c>
      <c r="C157" s="1" t="s">
        <v>10</v>
      </c>
      <c r="D157" s="1">
        <v>0</v>
      </c>
      <c r="E157" s="1">
        <v>0</v>
      </c>
      <c r="F157" s="1">
        <v>65.58</v>
      </c>
      <c r="G157" s="1">
        <v>1062.3499999999999</v>
      </c>
      <c r="H157" s="1">
        <v>-262.30900000000003</v>
      </c>
      <c r="I157" s="1">
        <v>0</v>
      </c>
    </row>
    <row r="158" spans="1:9" hidden="1" x14ac:dyDescent="0.25">
      <c r="A158" s="1" t="s">
        <v>157</v>
      </c>
      <c r="B158" s="1" t="s">
        <v>90</v>
      </c>
      <c r="C158" s="1" t="s">
        <v>25</v>
      </c>
      <c r="D158" s="1">
        <v>0</v>
      </c>
      <c r="E158" s="1">
        <v>-54.25</v>
      </c>
      <c r="F158" s="1">
        <v>0</v>
      </c>
      <c r="G158" s="1">
        <v>895.154</v>
      </c>
      <c r="H158" s="1">
        <v>0</v>
      </c>
      <c r="I158" s="1">
        <v>0</v>
      </c>
    </row>
    <row r="159" spans="1:9" hidden="1" x14ac:dyDescent="0.25">
      <c r="A159" s="1" t="s">
        <v>157</v>
      </c>
      <c r="B159" s="1" t="s">
        <v>90</v>
      </c>
      <c r="C159" s="1" t="s">
        <v>10</v>
      </c>
      <c r="D159" s="1">
        <v>0</v>
      </c>
      <c r="E159" s="1">
        <v>-54.25</v>
      </c>
      <c r="F159" s="1">
        <v>0</v>
      </c>
      <c r="G159" s="1">
        <v>895.154</v>
      </c>
      <c r="H159" s="1">
        <v>0</v>
      </c>
      <c r="I159" s="1">
        <v>-217.00700000000001</v>
      </c>
    </row>
    <row r="160" spans="1:9" hidden="1" x14ac:dyDescent="0.25">
      <c r="A160" s="1" t="s">
        <v>157</v>
      </c>
      <c r="B160" s="1" t="s">
        <v>91</v>
      </c>
      <c r="C160" s="1" t="s">
        <v>25</v>
      </c>
      <c r="D160" s="1">
        <v>0</v>
      </c>
      <c r="E160" s="1">
        <v>-54.25</v>
      </c>
      <c r="F160" s="1">
        <v>0</v>
      </c>
      <c r="G160" s="1">
        <v>732.399</v>
      </c>
      <c r="H160" s="1">
        <v>0</v>
      </c>
      <c r="I160" s="1">
        <v>0</v>
      </c>
    </row>
    <row r="161" spans="1:9" hidden="1" x14ac:dyDescent="0.25">
      <c r="A161" s="1" t="s">
        <v>157</v>
      </c>
      <c r="B161" s="1" t="s">
        <v>91</v>
      </c>
      <c r="C161" s="1" t="s">
        <v>10</v>
      </c>
      <c r="D161" s="1">
        <v>0</v>
      </c>
      <c r="E161" s="1">
        <v>-54.25</v>
      </c>
      <c r="F161" s="1">
        <v>0</v>
      </c>
      <c r="G161" s="1">
        <v>732.399</v>
      </c>
      <c r="H161" s="1">
        <v>0</v>
      </c>
      <c r="I161" s="1">
        <v>-217.00700000000001</v>
      </c>
    </row>
    <row r="162" spans="1:9" hidden="1" x14ac:dyDescent="0.25">
      <c r="A162" s="1" t="s">
        <v>157</v>
      </c>
      <c r="B162" s="1" t="s">
        <v>92</v>
      </c>
      <c r="C162" s="1" t="s">
        <v>25</v>
      </c>
      <c r="D162" s="1">
        <v>0</v>
      </c>
      <c r="E162" s="1">
        <v>54.25</v>
      </c>
      <c r="F162" s="1">
        <v>0</v>
      </c>
      <c r="G162" s="1">
        <v>-895.154</v>
      </c>
      <c r="H162" s="1">
        <v>0</v>
      </c>
      <c r="I162" s="1">
        <v>0</v>
      </c>
    </row>
    <row r="163" spans="1:9" hidden="1" x14ac:dyDescent="0.25">
      <c r="A163" s="1" t="s">
        <v>157</v>
      </c>
      <c r="B163" s="1" t="s">
        <v>92</v>
      </c>
      <c r="C163" s="1" t="s">
        <v>10</v>
      </c>
      <c r="D163" s="1">
        <v>0</v>
      </c>
      <c r="E163" s="1">
        <v>54.25</v>
      </c>
      <c r="F163" s="1">
        <v>0</v>
      </c>
      <c r="G163" s="1">
        <v>-895.154</v>
      </c>
      <c r="H163" s="1">
        <v>0</v>
      </c>
      <c r="I163" s="1">
        <v>217.00700000000001</v>
      </c>
    </row>
    <row r="164" spans="1:9" hidden="1" x14ac:dyDescent="0.25">
      <c r="A164" s="1" t="s">
        <v>157</v>
      </c>
      <c r="B164" s="1" t="s">
        <v>93</v>
      </c>
      <c r="C164" s="1" t="s">
        <v>25</v>
      </c>
      <c r="D164" s="1">
        <v>0</v>
      </c>
      <c r="E164" s="1">
        <v>54.25</v>
      </c>
      <c r="F164" s="1">
        <v>0</v>
      </c>
      <c r="G164" s="1">
        <v>-732.399</v>
      </c>
      <c r="H164" s="1">
        <v>0</v>
      </c>
      <c r="I164" s="1">
        <v>0</v>
      </c>
    </row>
    <row r="165" spans="1:9" hidden="1" x14ac:dyDescent="0.25">
      <c r="A165" s="1" t="s">
        <v>157</v>
      </c>
      <c r="B165" s="1" t="s">
        <v>93</v>
      </c>
      <c r="C165" s="1" t="s">
        <v>10</v>
      </c>
      <c r="D165" s="1">
        <v>0</v>
      </c>
      <c r="E165" s="1">
        <v>54.25</v>
      </c>
      <c r="F165" s="1">
        <v>0</v>
      </c>
      <c r="G165" s="1">
        <v>-732.399</v>
      </c>
      <c r="H165" s="1">
        <v>0</v>
      </c>
      <c r="I165" s="1">
        <v>217.00700000000001</v>
      </c>
    </row>
    <row r="166" spans="1:9" hidden="1" x14ac:dyDescent="0.25">
      <c r="A166" s="1" t="s">
        <v>157</v>
      </c>
      <c r="B166" s="1" t="s">
        <v>94</v>
      </c>
      <c r="C166" s="1" t="s">
        <v>25</v>
      </c>
      <c r="D166" s="1">
        <v>0</v>
      </c>
      <c r="E166" s="1">
        <v>0</v>
      </c>
      <c r="F166" s="1">
        <v>-65.58</v>
      </c>
      <c r="G166" s="1">
        <v>-1298.4269999999999</v>
      </c>
      <c r="H166" s="1">
        <v>0</v>
      </c>
      <c r="I166" s="1">
        <v>0</v>
      </c>
    </row>
    <row r="167" spans="1:9" hidden="1" x14ac:dyDescent="0.25">
      <c r="A167" s="1" t="s">
        <v>157</v>
      </c>
      <c r="B167" s="1" t="s">
        <v>94</v>
      </c>
      <c r="C167" s="1" t="s">
        <v>10</v>
      </c>
      <c r="D167" s="1">
        <v>0</v>
      </c>
      <c r="E167" s="1">
        <v>0</v>
      </c>
      <c r="F167" s="1">
        <v>-65.58</v>
      </c>
      <c r="G167" s="1">
        <v>-1298.4269999999999</v>
      </c>
      <c r="H167" s="1">
        <v>262.30900000000003</v>
      </c>
      <c r="I167" s="1">
        <v>0</v>
      </c>
    </row>
    <row r="168" spans="1:9" hidden="1" x14ac:dyDescent="0.25">
      <c r="A168" s="1" t="s">
        <v>157</v>
      </c>
      <c r="B168" s="1" t="s">
        <v>95</v>
      </c>
      <c r="C168" s="1" t="s">
        <v>25</v>
      </c>
      <c r="D168" s="1">
        <v>0</v>
      </c>
      <c r="E168" s="1">
        <v>0</v>
      </c>
      <c r="F168" s="1">
        <v>-65.58</v>
      </c>
      <c r="G168" s="1">
        <v>-1062.3499999999999</v>
      </c>
      <c r="H168" s="1">
        <v>0</v>
      </c>
      <c r="I168" s="1">
        <v>0</v>
      </c>
    </row>
    <row r="169" spans="1:9" hidden="1" x14ac:dyDescent="0.25">
      <c r="A169" s="1" t="s">
        <v>157</v>
      </c>
      <c r="B169" s="1" t="s">
        <v>95</v>
      </c>
      <c r="C169" s="1" t="s">
        <v>10</v>
      </c>
      <c r="D169" s="1">
        <v>0</v>
      </c>
      <c r="E169" s="1">
        <v>0</v>
      </c>
      <c r="F169" s="1">
        <v>-65.58</v>
      </c>
      <c r="G169" s="1">
        <v>-1062.3499999999999</v>
      </c>
      <c r="H169" s="1">
        <v>262.30900000000003</v>
      </c>
      <c r="I169" s="1">
        <v>0</v>
      </c>
    </row>
    <row r="170" spans="1:9" hidden="1" x14ac:dyDescent="0.25">
      <c r="A170" s="1" t="s">
        <v>157</v>
      </c>
      <c r="B170" s="1" t="s">
        <v>96</v>
      </c>
      <c r="C170" s="1" t="s">
        <v>25</v>
      </c>
      <c r="D170" s="1">
        <v>0</v>
      </c>
      <c r="E170" s="1">
        <v>0</v>
      </c>
      <c r="F170" s="1">
        <v>65.58</v>
      </c>
      <c r="G170" s="1">
        <v>1298.4269999999999</v>
      </c>
      <c r="H170" s="1">
        <v>0</v>
      </c>
      <c r="I170" s="1">
        <v>0</v>
      </c>
    </row>
    <row r="171" spans="1:9" hidden="1" x14ac:dyDescent="0.25">
      <c r="A171" s="1" t="s">
        <v>157</v>
      </c>
      <c r="B171" s="1" t="s">
        <v>96</v>
      </c>
      <c r="C171" s="1" t="s">
        <v>10</v>
      </c>
      <c r="D171" s="1">
        <v>0</v>
      </c>
      <c r="E171" s="1">
        <v>0</v>
      </c>
      <c r="F171" s="1">
        <v>65.58</v>
      </c>
      <c r="G171" s="1">
        <v>1298.4269999999999</v>
      </c>
      <c r="H171" s="1">
        <v>-262.30900000000003</v>
      </c>
      <c r="I171" s="1">
        <v>0</v>
      </c>
    </row>
    <row r="172" spans="1:9" hidden="1" x14ac:dyDescent="0.25">
      <c r="A172" s="1" t="s">
        <v>157</v>
      </c>
      <c r="B172" s="1" t="s">
        <v>97</v>
      </c>
      <c r="C172" s="1" t="s">
        <v>25</v>
      </c>
      <c r="D172" s="1">
        <v>0</v>
      </c>
      <c r="E172" s="1">
        <v>0</v>
      </c>
      <c r="F172" s="1">
        <v>65.58</v>
      </c>
      <c r="G172" s="1">
        <v>1062.3499999999999</v>
      </c>
      <c r="H172" s="1">
        <v>0</v>
      </c>
      <c r="I172" s="1">
        <v>0</v>
      </c>
    </row>
    <row r="173" spans="1:9" hidden="1" x14ac:dyDescent="0.25">
      <c r="A173" s="1" t="s">
        <v>157</v>
      </c>
      <c r="B173" s="1" t="s">
        <v>97</v>
      </c>
      <c r="C173" s="1" t="s">
        <v>10</v>
      </c>
      <c r="D173" s="1">
        <v>0</v>
      </c>
      <c r="E173" s="1">
        <v>0</v>
      </c>
      <c r="F173" s="1">
        <v>65.58</v>
      </c>
      <c r="G173" s="1">
        <v>1062.3499999999999</v>
      </c>
      <c r="H173" s="1">
        <v>-262.30900000000003</v>
      </c>
      <c r="I173" s="1">
        <v>0</v>
      </c>
    </row>
    <row r="174" spans="1:9" hidden="1" x14ac:dyDescent="0.25">
      <c r="A174" s="1" t="s">
        <v>157</v>
      </c>
      <c r="B174" s="1" t="s">
        <v>14</v>
      </c>
      <c r="C174" s="1" t="s">
        <v>25</v>
      </c>
      <c r="D174" s="1">
        <v>0</v>
      </c>
      <c r="E174" s="1">
        <v>136.57</v>
      </c>
      <c r="F174" s="1">
        <v>0</v>
      </c>
      <c r="G174" s="1">
        <v>2253.422</v>
      </c>
      <c r="H174" s="1">
        <v>0</v>
      </c>
      <c r="I174" s="1">
        <v>0</v>
      </c>
    </row>
    <row r="175" spans="1:9" hidden="1" x14ac:dyDescent="0.25">
      <c r="A175" s="1" t="s">
        <v>157</v>
      </c>
      <c r="B175" s="1" t="s">
        <v>14</v>
      </c>
      <c r="C175" s="1" t="s">
        <v>10</v>
      </c>
      <c r="D175" s="1">
        <v>0</v>
      </c>
      <c r="E175" s="1">
        <v>136.57</v>
      </c>
      <c r="F175" s="1">
        <v>0</v>
      </c>
      <c r="G175" s="1">
        <v>2253.422</v>
      </c>
      <c r="H175" s="1">
        <v>0</v>
      </c>
      <c r="I175" s="1">
        <v>546.28399999999999</v>
      </c>
    </row>
    <row r="176" spans="1:9" hidden="1" x14ac:dyDescent="0.25">
      <c r="A176" s="1" t="s">
        <v>157</v>
      </c>
      <c r="B176" s="1" t="s">
        <v>98</v>
      </c>
      <c r="C176" s="1" t="s">
        <v>25</v>
      </c>
      <c r="D176" s="1">
        <v>0</v>
      </c>
      <c r="E176" s="1">
        <v>-136.57</v>
      </c>
      <c r="F176" s="1">
        <v>0</v>
      </c>
      <c r="G176" s="1">
        <v>-2253.422</v>
      </c>
      <c r="H176" s="1">
        <v>0</v>
      </c>
      <c r="I176" s="1">
        <v>0</v>
      </c>
    </row>
    <row r="177" spans="1:9" hidden="1" x14ac:dyDescent="0.25">
      <c r="A177" s="1" t="s">
        <v>157</v>
      </c>
      <c r="B177" s="1" t="s">
        <v>98</v>
      </c>
      <c r="C177" s="1" t="s">
        <v>10</v>
      </c>
      <c r="D177" s="1">
        <v>0</v>
      </c>
      <c r="E177" s="1">
        <v>-136.57</v>
      </c>
      <c r="F177" s="1">
        <v>0</v>
      </c>
      <c r="G177" s="1">
        <v>-2253.422</v>
      </c>
      <c r="H177" s="1">
        <v>0</v>
      </c>
      <c r="I177" s="1">
        <v>-546.28399999999999</v>
      </c>
    </row>
    <row r="178" spans="1:9" hidden="1" x14ac:dyDescent="0.25">
      <c r="A178" s="1" t="s">
        <v>157</v>
      </c>
      <c r="B178" s="1" t="s">
        <v>15</v>
      </c>
      <c r="C178" s="1" t="s">
        <v>25</v>
      </c>
      <c r="D178" s="1">
        <v>0</v>
      </c>
      <c r="E178" s="1">
        <v>0</v>
      </c>
      <c r="F178" s="1">
        <v>290.91000000000003</v>
      </c>
      <c r="G178" s="1">
        <v>5759.9690000000001</v>
      </c>
      <c r="H178" s="1">
        <v>0</v>
      </c>
      <c r="I178" s="1">
        <v>0</v>
      </c>
    </row>
    <row r="179" spans="1:9" hidden="1" x14ac:dyDescent="0.25">
      <c r="A179" s="1" t="s">
        <v>157</v>
      </c>
      <c r="B179" s="1" t="s">
        <v>15</v>
      </c>
      <c r="C179" s="1" t="s">
        <v>10</v>
      </c>
      <c r="D179" s="1">
        <v>0</v>
      </c>
      <c r="E179" s="1">
        <v>0</v>
      </c>
      <c r="F179" s="1">
        <v>290.91000000000003</v>
      </c>
      <c r="G179" s="1">
        <v>5759.9690000000001</v>
      </c>
      <c r="H179" s="1">
        <v>1163.6300000000001</v>
      </c>
      <c r="I179" s="1">
        <v>0</v>
      </c>
    </row>
    <row r="180" spans="1:9" hidden="1" x14ac:dyDescent="0.25">
      <c r="A180" s="1" t="s">
        <v>157</v>
      </c>
      <c r="B180" s="1" t="s">
        <v>99</v>
      </c>
      <c r="C180" s="1" t="s">
        <v>25</v>
      </c>
      <c r="D180" s="1">
        <v>0</v>
      </c>
      <c r="E180" s="1">
        <v>0</v>
      </c>
      <c r="F180" s="1">
        <v>-290.91000000000003</v>
      </c>
      <c r="G180" s="1">
        <v>-5759.9690000000001</v>
      </c>
      <c r="H180" s="1">
        <v>0</v>
      </c>
      <c r="I180" s="1">
        <v>0</v>
      </c>
    </row>
    <row r="181" spans="1:9" hidden="1" x14ac:dyDescent="0.25">
      <c r="A181" s="1" t="s">
        <v>157</v>
      </c>
      <c r="B181" s="1" t="s">
        <v>99</v>
      </c>
      <c r="C181" s="1" t="s">
        <v>10</v>
      </c>
      <c r="D181" s="1">
        <v>0</v>
      </c>
      <c r="E181" s="1">
        <v>0</v>
      </c>
      <c r="F181" s="1">
        <v>-290.91000000000003</v>
      </c>
      <c r="G181" s="1">
        <v>-5759.9690000000001</v>
      </c>
      <c r="H181" s="1">
        <v>-1163.6300000000001</v>
      </c>
      <c r="I181" s="1">
        <v>0</v>
      </c>
    </row>
    <row r="182" spans="1:9" hidden="1" x14ac:dyDescent="0.25">
      <c r="A182" s="1" t="s">
        <v>157</v>
      </c>
      <c r="B182" s="1" t="s">
        <v>100</v>
      </c>
      <c r="C182" s="1" t="s">
        <v>25</v>
      </c>
      <c r="D182" s="1">
        <v>0</v>
      </c>
      <c r="E182" s="1">
        <v>136.57</v>
      </c>
      <c r="F182" s="1">
        <v>0</v>
      </c>
      <c r="G182" s="1">
        <v>2253.422</v>
      </c>
      <c r="H182" s="1">
        <v>0</v>
      </c>
      <c r="I182" s="1">
        <v>0</v>
      </c>
    </row>
    <row r="183" spans="1:9" hidden="1" x14ac:dyDescent="0.25">
      <c r="A183" s="1" t="s">
        <v>157</v>
      </c>
      <c r="B183" s="1" t="s">
        <v>100</v>
      </c>
      <c r="C183" s="1" t="s">
        <v>10</v>
      </c>
      <c r="D183" s="1">
        <v>0</v>
      </c>
      <c r="E183" s="1">
        <v>136.57</v>
      </c>
      <c r="F183" s="1">
        <v>0</v>
      </c>
      <c r="G183" s="1">
        <v>2253.422</v>
      </c>
      <c r="H183" s="1">
        <v>0</v>
      </c>
      <c r="I183" s="1">
        <v>546.28399999999999</v>
      </c>
    </row>
    <row r="184" spans="1:9" hidden="1" x14ac:dyDescent="0.25">
      <c r="A184" s="1" t="s">
        <v>157</v>
      </c>
      <c r="B184" s="1" t="s">
        <v>101</v>
      </c>
      <c r="C184" s="1" t="s">
        <v>25</v>
      </c>
      <c r="D184" s="1">
        <v>0</v>
      </c>
      <c r="E184" s="1">
        <v>-136.57</v>
      </c>
      <c r="F184" s="1">
        <v>0</v>
      </c>
      <c r="G184" s="1">
        <v>-2253.422</v>
      </c>
      <c r="H184" s="1">
        <v>0</v>
      </c>
      <c r="I184" s="1">
        <v>0</v>
      </c>
    </row>
    <row r="185" spans="1:9" hidden="1" x14ac:dyDescent="0.25">
      <c r="A185" s="1" t="s">
        <v>157</v>
      </c>
      <c r="B185" s="1" t="s">
        <v>101</v>
      </c>
      <c r="C185" s="1" t="s">
        <v>10</v>
      </c>
      <c r="D185" s="1">
        <v>0</v>
      </c>
      <c r="E185" s="1">
        <v>-136.57</v>
      </c>
      <c r="F185" s="1">
        <v>0</v>
      </c>
      <c r="G185" s="1">
        <v>-2253.422</v>
      </c>
      <c r="H185" s="1">
        <v>0</v>
      </c>
      <c r="I185" s="1">
        <v>-546.28399999999999</v>
      </c>
    </row>
    <row r="186" spans="1:9" hidden="1" x14ac:dyDescent="0.25">
      <c r="A186" s="1" t="s">
        <v>157</v>
      </c>
      <c r="B186" s="1" t="s">
        <v>102</v>
      </c>
      <c r="C186" s="1" t="s">
        <v>25</v>
      </c>
      <c r="D186" s="1">
        <v>0</v>
      </c>
      <c r="E186" s="1">
        <v>136.57</v>
      </c>
      <c r="F186" s="1">
        <v>0</v>
      </c>
      <c r="G186" s="1">
        <v>2253.422</v>
      </c>
      <c r="H186" s="1">
        <v>0</v>
      </c>
      <c r="I186" s="1">
        <v>0</v>
      </c>
    </row>
    <row r="187" spans="1:9" hidden="1" x14ac:dyDescent="0.25">
      <c r="A187" s="1" t="s">
        <v>157</v>
      </c>
      <c r="B187" s="1" t="s">
        <v>102</v>
      </c>
      <c r="C187" s="1" t="s">
        <v>10</v>
      </c>
      <c r="D187" s="1">
        <v>0</v>
      </c>
      <c r="E187" s="1">
        <v>136.57</v>
      </c>
      <c r="F187" s="1">
        <v>0</v>
      </c>
      <c r="G187" s="1">
        <v>2253.422</v>
      </c>
      <c r="H187" s="1">
        <v>0</v>
      </c>
      <c r="I187" s="1">
        <v>546.28399999999999</v>
      </c>
    </row>
    <row r="188" spans="1:9" hidden="1" x14ac:dyDescent="0.25">
      <c r="A188" s="1" t="s">
        <v>157</v>
      </c>
      <c r="B188" s="1" t="s">
        <v>103</v>
      </c>
      <c r="C188" s="1" t="s">
        <v>25</v>
      </c>
      <c r="D188" s="1">
        <v>0</v>
      </c>
      <c r="E188" s="1">
        <v>-136.57</v>
      </c>
      <c r="F188" s="1">
        <v>0</v>
      </c>
      <c r="G188" s="1">
        <v>-2253.422</v>
      </c>
      <c r="H188" s="1">
        <v>0</v>
      </c>
      <c r="I188" s="1">
        <v>0</v>
      </c>
    </row>
    <row r="189" spans="1:9" hidden="1" x14ac:dyDescent="0.25">
      <c r="A189" s="1" t="s">
        <v>157</v>
      </c>
      <c r="B189" s="1" t="s">
        <v>103</v>
      </c>
      <c r="C189" s="1" t="s">
        <v>10</v>
      </c>
      <c r="D189" s="1">
        <v>0</v>
      </c>
      <c r="E189" s="1">
        <v>-136.57</v>
      </c>
      <c r="F189" s="1">
        <v>0</v>
      </c>
      <c r="G189" s="1">
        <v>-2253.422</v>
      </c>
      <c r="H189" s="1">
        <v>0</v>
      </c>
      <c r="I189" s="1">
        <v>-546.28399999999999</v>
      </c>
    </row>
    <row r="190" spans="1:9" hidden="1" x14ac:dyDescent="0.25">
      <c r="A190" s="1" t="s">
        <v>157</v>
      </c>
      <c r="B190" s="1" t="s">
        <v>104</v>
      </c>
      <c r="C190" s="1" t="s">
        <v>25</v>
      </c>
      <c r="D190" s="1">
        <v>0</v>
      </c>
      <c r="E190" s="1">
        <v>0</v>
      </c>
      <c r="F190" s="1">
        <v>290.91000000000003</v>
      </c>
      <c r="G190" s="1">
        <v>5759.9690000000001</v>
      </c>
      <c r="H190" s="1">
        <v>0</v>
      </c>
      <c r="I190" s="1">
        <v>0</v>
      </c>
    </row>
    <row r="191" spans="1:9" hidden="1" x14ac:dyDescent="0.25">
      <c r="A191" s="1" t="s">
        <v>157</v>
      </c>
      <c r="B191" s="1" t="s">
        <v>104</v>
      </c>
      <c r="C191" s="1" t="s">
        <v>10</v>
      </c>
      <c r="D191" s="1">
        <v>0</v>
      </c>
      <c r="E191" s="1">
        <v>0</v>
      </c>
      <c r="F191" s="1">
        <v>290.91000000000003</v>
      </c>
      <c r="G191" s="1">
        <v>5759.9690000000001</v>
      </c>
      <c r="H191" s="1">
        <v>1163.6300000000001</v>
      </c>
      <c r="I191" s="1">
        <v>0</v>
      </c>
    </row>
    <row r="192" spans="1:9" hidden="1" x14ac:dyDescent="0.25">
      <c r="A192" s="1" t="s">
        <v>157</v>
      </c>
      <c r="B192" s="1" t="s">
        <v>105</v>
      </c>
      <c r="C192" s="1" t="s">
        <v>25</v>
      </c>
      <c r="D192" s="1">
        <v>0</v>
      </c>
      <c r="E192" s="1">
        <v>0</v>
      </c>
      <c r="F192" s="1">
        <v>-290.91000000000003</v>
      </c>
      <c r="G192" s="1">
        <v>-5759.9690000000001</v>
      </c>
      <c r="H192" s="1">
        <v>0</v>
      </c>
      <c r="I192" s="1">
        <v>0</v>
      </c>
    </row>
    <row r="193" spans="1:9" hidden="1" x14ac:dyDescent="0.25">
      <c r="A193" s="1" t="s">
        <v>157</v>
      </c>
      <c r="B193" s="1" t="s">
        <v>105</v>
      </c>
      <c r="C193" s="1" t="s">
        <v>10</v>
      </c>
      <c r="D193" s="1">
        <v>0</v>
      </c>
      <c r="E193" s="1">
        <v>0</v>
      </c>
      <c r="F193" s="1">
        <v>-290.91000000000003</v>
      </c>
      <c r="G193" s="1">
        <v>-5759.9690000000001</v>
      </c>
      <c r="H193" s="1">
        <v>-1163.6300000000001</v>
      </c>
      <c r="I193" s="1">
        <v>0</v>
      </c>
    </row>
    <row r="194" spans="1:9" hidden="1" x14ac:dyDescent="0.25">
      <c r="A194" s="1" t="s">
        <v>157</v>
      </c>
      <c r="B194" s="1" t="s">
        <v>106</v>
      </c>
      <c r="C194" s="1" t="s">
        <v>25</v>
      </c>
      <c r="D194" s="1">
        <v>0</v>
      </c>
      <c r="E194" s="1">
        <v>0</v>
      </c>
      <c r="F194" s="1">
        <v>290.91000000000003</v>
      </c>
      <c r="G194" s="1">
        <v>5759.9690000000001</v>
      </c>
      <c r="H194" s="1">
        <v>0</v>
      </c>
      <c r="I194" s="1">
        <v>0</v>
      </c>
    </row>
    <row r="195" spans="1:9" hidden="1" x14ac:dyDescent="0.25">
      <c r="A195" s="1" t="s">
        <v>157</v>
      </c>
      <c r="B195" s="1" t="s">
        <v>106</v>
      </c>
      <c r="C195" s="1" t="s">
        <v>10</v>
      </c>
      <c r="D195" s="1">
        <v>0</v>
      </c>
      <c r="E195" s="1">
        <v>0</v>
      </c>
      <c r="F195" s="1">
        <v>290.91000000000003</v>
      </c>
      <c r="G195" s="1">
        <v>5759.9690000000001</v>
      </c>
      <c r="H195" s="1">
        <v>1163.6300000000001</v>
      </c>
      <c r="I195" s="1">
        <v>0</v>
      </c>
    </row>
    <row r="196" spans="1:9" hidden="1" x14ac:dyDescent="0.25">
      <c r="A196" s="1" t="s">
        <v>157</v>
      </c>
      <c r="B196" s="1" t="s">
        <v>107</v>
      </c>
      <c r="C196" s="1" t="s">
        <v>25</v>
      </c>
      <c r="D196" s="1">
        <v>0</v>
      </c>
      <c r="E196" s="1">
        <v>0</v>
      </c>
      <c r="F196" s="1">
        <v>-290.91000000000003</v>
      </c>
      <c r="G196" s="1">
        <v>-5759.9690000000001</v>
      </c>
      <c r="H196" s="1">
        <v>0</v>
      </c>
      <c r="I196" s="1">
        <v>0</v>
      </c>
    </row>
    <row r="197" spans="1:9" hidden="1" x14ac:dyDescent="0.25">
      <c r="A197" s="1" t="s">
        <v>157</v>
      </c>
      <c r="B197" s="1" t="s">
        <v>107</v>
      </c>
      <c r="C197" s="1" t="s">
        <v>10</v>
      </c>
      <c r="D197" s="1">
        <v>0</v>
      </c>
      <c r="E197" s="1">
        <v>0</v>
      </c>
      <c r="F197" s="1">
        <v>-290.91000000000003</v>
      </c>
      <c r="G197" s="1">
        <v>-5759.9690000000001</v>
      </c>
      <c r="H197" s="1">
        <v>-1163.6300000000001</v>
      </c>
      <c r="I197" s="1">
        <v>0</v>
      </c>
    </row>
    <row r="198" spans="1:9" hidden="1" x14ac:dyDescent="0.25">
      <c r="A198" s="1" t="s">
        <v>157</v>
      </c>
      <c r="B198" s="1" t="s">
        <v>108</v>
      </c>
      <c r="C198" s="1" t="s">
        <v>25</v>
      </c>
      <c r="D198" s="1">
        <v>0</v>
      </c>
      <c r="E198" s="1">
        <v>40.97</v>
      </c>
      <c r="F198" s="1">
        <v>0</v>
      </c>
      <c r="G198" s="1">
        <v>676.02599999999995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108</v>
      </c>
      <c r="C199" s="1" t="s">
        <v>10</v>
      </c>
      <c r="D199" s="1">
        <v>0</v>
      </c>
      <c r="E199" s="1">
        <v>40.97</v>
      </c>
      <c r="F199" s="1">
        <v>0</v>
      </c>
      <c r="G199" s="1">
        <v>676.02599999999995</v>
      </c>
      <c r="H199" s="1">
        <v>0</v>
      </c>
      <c r="I199" s="1">
        <v>163.88499999999999</v>
      </c>
    </row>
    <row r="200" spans="1:9" hidden="1" x14ac:dyDescent="0.25">
      <c r="A200" s="1" t="s">
        <v>157</v>
      </c>
      <c r="B200" s="1" t="s">
        <v>109</v>
      </c>
      <c r="C200" s="1" t="s">
        <v>25</v>
      </c>
      <c r="D200" s="1">
        <v>0</v>
      </c>
      <c r="E200" s="1">
        <v>-40.97</v>
      </c>
      <c r="F200" s="1">
        <v>0</v>
      </c>
      <c r="G200" s="1">
        <v>-676.02599999999995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109</v>
      </c>
      <c r="C201" s="1" t="s">
        <v>10</v>
      </c>
      <c r="D201" s="1">
        <v>0</v>
      </c>
      <c r="E201" s="1">
        <v>-40.97</v>
      </c>
      <c r="F201" s="1">
        <v>0</v>
      </c>
      <c r="G201" s="1">
        <v>-676.02599999999995</v>
      </c>
      <c r="H201" s="1">
        <v>0</v>
      </c>
      <c r="I201" s="1">
        <v>-163.88499999999999</v>
      </c>
    </row>
    <row r="202" spans="1:9" hidden="1" x14ac:dyDescent="0.25">
      <c r="A202" s="1" t="s">
        <v>157</v>
      </c>
      <c r="B202" s="1" t="s">
        <v>110</v>
      </c>
      <c r="C202" s="1" t="s">
        <v>25</v>
      </c>
      <c r="D202" s="1">
        <v>0</v>
      </c>
      <c r="E202" s="1">
        <v>40.97</v>
      </c>
      <c r="F202" s="1">
        <v>0</v>
      </c>
      <c r="G202" s="1">
        <v>676.02599999999995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110</v>
      </c>
      <c r="C203" s="1" t="s">
        <v>10</v>
      </c>
      <c r="D203" s="1">
        <v>0</v>
      </c>
      <c r="E203" s="1">
        <v>40.97</v>
      </c>
      <c r="F203" s="1">
        <v>0</v>
      </c>
      <c r="G203" s="1">
        <v>676.02599999999995</v>
      </c>
      <c r="H203" s="1">
        <v>0</v>
      </c>
      <c r="I203" s="1">
        <v>163.88499999999999</v>
      </c>
    </row>
    <row r="204" spans="1:9" hidden="1" x14ac:dyDescent="0.25">
      <c r="A204" s="1" t="s">
        <v>157</v>
      </c>
      <c r="B204" s="1" t="s">
        <v>111</v>
      </c>
      <c r="C204" s="1" t="s">
        <v>25</v>
      </c>
      <c r="D204" s="1">
        <v>0</v>
      </c>
      <c r="E204" s="1">
        <v>-40.97</v>
      </c>
      <c r="F204" s="1">
        <v>0</v>
      </c>
      <c r="G204" s="1">
        <v>-676.02599999999995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111</v>
      </c>
      <c r="C205" s="1" t="s">
        <v>10</v>
      </c>
      <c r="D205" s="1">
        <v>0</v>
      </c>
      <c r="E205" s="1">
        <v>-40.97</v>
      </c>
      <c r="F205" s="1">
        <v>0</v>
      </c>
      <c r="G205" s="1">
        <v>-676.02599999999995</v>
      </c>
      <c r="H205" s="1">
        <v>0</v>
      </c>
      <c r="I205" s="1">
        <v>-163.88499999999999</v>
      </c>
    </row>
    <row r="206" spans="1:9" hidden="1" x14ac:dyDescent="0.25">
      <c r="A206" s="1" t="s">
        <v>157</v>
      </c>
      <c r="B206" s="1" t="s">
        <v>112</v>
      </c>
      <c r="C206" s="1" t="s">
        <v>25</v>
      </c>
      <c r="D206" s="1">
        <v>0</v>
      </c>
      <c r="E206" s="1">
        <v>0</v>
      </c>
      <c r="F206" s="1">
        <v>87.27</v>
      </c>
      <c r="G206" s="1">
        <v>1727.991</v>
      </c>
      <c r="H206" s="1">
        <v>0</v>
      </c>
      <c r="I206" s="1">
        <v>0</v>
      </c>
    </row>
    <row r="207" spans="1:9" hidden="1" x14ac:dyDescent="0.25">
      <c r="A207" s="1" t="s">
        <v>157</v>
      </c>
      <c r="B207" s="1" t="s">
        <v>112</v>
      </c>
      <c r="C207" s="1" t="s">
        <v>10</v>
      </c>
      <c r="D207" s="1">
        <v>0</v>
      </c>
      <c r="E207" s="1">
        <v>0</v>
      </c>
      <c r="F207" s="1">
        <v>87.27</v>
      </c>
      <c r="G207" s="1">
        <v>1727.991</v>
      </c>
      <c r="H207" s="1">
        <v>349.089</v>
      </c>
      <c r="I207" s="1">
        <v>0</v>
      </c>
    </row>
    <row r="208" spans="1:9" hidden="1" x14ac:dyDescent="0.25">
      <c r="A208" s="1" t="s">
        <v>157</v>
      </c>
      <c r="B208" s="1" t="s">
        <v>113</v>
      </c>
      <c r="C208" s="1" t="s">
        <v>25</v>
      </c>
      <c r="D208" s="1">
        <v>0</v>
      </c>
      <c r="E208" s="1">
        <v>0</v>
      </c>
      <c r="F208" s="1">
        <v>-87.27</v>
      </c>
      <c r="G208" s="1">
        <v>-1727.991</v>
      </c>
      <c r="H208" s="1">
        <v>0</v>
      </c>
      <c r="I208" s="1">
        <v>0</v>
      </c>
    </row>
    <row r="209" spans="1:9" hidden="1" x14ac:dyDescent="0.25">
      <c r="A209" s="1" t="s">
        <v>157</v>
      </c>
      <c r="B209" s="1" t="s">
        <v>113</v>
      </c>
      <c r="C209" s="1" t="s">
        <v>10</v>
      </c>
      <c r="D209" s="1">
        <v>0</v>
      </c>
      <c r="E209" s="1">
        <v>0</v>
      </c>
      <c r="F209" s="1">
        <v>-87.27</v>
      </c>
      <c r="G209" s="1">
        <v>-1727.991</v>
      </c>
      <c r="H209" s="1">
        <v>-349.089</v>
      </c>
      <c r="I209" s="1">
        <v>0</v>
      </c>
    </row>
    <row r="210" spans="1:9" hidden="1" x14ac:dyDescent="0.25">
      <c r="A210" s="1" t="s">
        <v>157</v>
      </c>
      <c r="B210" s="1" t="s">
        <v>114</v>
      </c>
      <c r="C210" s="1" t="s">
        <v>25</v>
      </c>
      <c r="D210" s="1">
        <v>0</v>
      </c>
      <c r="E210" s="1">
        <v>0</v>
      </c>
      <c r="F210" s="1">
        <v>87.27</v>
      </c>
      <c r="G210" s="1">
        <v>1727.991</v>
      </c>
      <c r="H210" s="1">
        <v>0</v>
      </c>
      <c r="I210" s="1">
        <v>0</v>
      </c>
    </row>
    <row r="211" spans="1:9" hidden="1" x14ac:dyDescent="0.25">
      <c r="A211" s="1" t="s">
        <v>157</v>
      </c>
      <c r="B211" s="1" t="s">
        <v>114</v>
      </c>
      <c r="C211" s="1" t="s">
        <v>10</v>
      </c>
      <c r="D211" s="1">
        <v>0</v>
      </c>
      <c r="E211" s="1">
        <v>0</v>
      </c>
      <c r="F211" s="1">
        <v>87.27</v>
      </c>
      <c r="G211" s="1">
        <v>1727.991</v>
      </c>
      <c r="H211" s="1">
        <v>349.089</v>
      </c>
      <c r="I211" s="1">
        <v>0</v>
      </c>
    </row>
    <row r="212" spans="1:9" hidden="1" x14ac:dyDescent="0.25">
      <c r="A212" s="1" t="s">
        <v>157</v>
      </c>
      <c r="B212" s="1" t="s">
        <v>115</v>
      </c>
      <c r="C212" s="1" t="s">
        <v>25</v>
      </c>
      <c r="D212" s="1">
        <v>0</v>
      </c>
      <c r="E212" s="1">
        <v>0</v>
      </c>
      <c r="F212" s="1">
        <v>-87.27</v>
      </c>
      <c r="G212" s="1">
        <v>-1727.991</v>
      </c>
      <c r="H212" s="1">
        <v>0</v>
      </c>
      <c r="I212" s="1">
        <v>0</v>
      </c>
    </row>
    <row r="213" spans="1:9" hidden="1" x14ac:dyDescent="0.25">
      <c r="A213" s="1" t="s">
        <v>157</v>
      </c>
      <c r="B213" s="1" t="s">
        <v>115</v>
      </c>
      <c r="C213" s="1" t="s">
        <v>10</v>
      </c>
      <c r="D213" s="1">
        <v>0</v>
      </c>
      <c r="E213" s="1">
        <v>0</v>
      </c>
      <c r="F213" s="1">
        <v>-87.27</v>
      </c>
      <c r="G213" s="1">
        <v>-1727.991</v>
      </c>
      <c r="H213" s="1">
        <v>-349.089</v>
      </c>
      <c r="I213" s="1">
        <v>0</v>
      </c>
    </row>
    <row r="214" spans="1:9" hidden="1" x14ac:dyDescent="0.25">
      <c r="A214" s="1" t="s">
        <v>157</v>
      </c>
      <c r="B214" s="1" t="s">
        <v>116</v>
      </c>
      <c r="C214" s="1" t="s">
        <v>25</v>
      </c>
      <c r="D214" s="1">
        <v>0</v>
      </c>
      <c r="E214" s="1">
        <v>136.57</v>
      </c>
      <c r="F214" s="1">
        <v>0</v>
      </c>
      <c r="G214" s="1">
        <v>2253.422</v>
      </c>
      <c r="H214" s="1">
        <v>0</v>
      </c>
      <c r="I214" s="1">
        <v>0</v>
      </c>
    </row>
    <row r="215" spans="1:9" hidden="1" x14ac:dyDescent="0.25">
      <c r="A215" s="1" t="s">
        <v>157</v>
      </c>
      <c r="B215" s="1" t="s">
        <v>116</v>
      </c>
      <c r="C215" s="1" t="s">
        <v>10</v>
      </c>
      <c r="D215" s="1">
        <v>0</v>
      </c>
      <c r="E215" s="1">
        <v>136.57</v>
      </c>
      <c r="F215" s="1">
        <v>0</v>
      </c>
      <c r="G215" s="1">
        <v>2253.422</v>
      </c>
      <c r="H215" s="1">
        <v>0</v>
      </c>
      <c r="I215" s="1">
        <v>546.28399999999999</v>
      </c>
    </row>
    <row r="216" spans="1:9" hidden="1" x14ac:dyDescent="0.25">
      <c r="A216" s="1" t="s">
        <v>157</v>
      </c>
      <c r="B216" s="1" t="s">
        <v>117</v>
      </c>
      <c r="C216" s="1" t="s">
        <v>25</v>
      </c>
      <c r="D216" s="1">
        <v>0</v>
      </c>
      <c r="E216" s="1">
        <v>-136.57</v>
      </c>
      <c r="F216" s="1">
        <v>0</v>
      </c>
      <c r="G216" s="1">
        <v>-2253.422</v>
      </c>
      <c r="H216" s="1">
        <v>0</v>
      </c>
      <c r="I216" s="1">
        <v>0</v>
      </c>
    </row>
    <row r="217" spans="1:9" hidden="1" x14ac:dyDescent="0.25">
      <c r="A217" s="1" t="s">
        <v>157</v>
      </c>
      <c r="B217" s="1" t="s">
        <v>117</v>
      </c>
      <c r="C217" s="1" t="s">
        <v>10</v>
      </c>
      <c r="D217" s="1">
        <v>0</v>
      </c>
      <c r="E217" s="1">
        <v>-136.57</v>
      </c>
      <c r="F217" s="1">
        <v>0</v>
      </c>
      <c r="G217" s="1">
        <v>-2253.422</v>
      </c>
      <c r="H217" s="1">
        <v>0</v>
      </c>
      <c r="I217" s="1">
        <v>-546.28399999999999</v>
      </c>
    </row>
    <row r="218" spans="1:9" hidden="1" x14ac:dyDescent="0.25">
      <c r="A218" s="1" t="s">
        <v>157</v>
      </c>
      <c r="B218" s="1" t="s">
        <v>118</v>
      </c>
      <c r="C218" s="1" t="s">
        <v>25</v>
      </c>
      <c r="D218" s="1">
        <v>0</v>
      </c>
      <c r="E218" s="1">
        <v>136.57</v>
      </c>
      <c r="F218" s="1">
        <v>0</v>
      </c>
      <c r="G218" s="1">
        <v>2253.422</v>
      </c>
      <c r="H218" s="1">
        <v>0</v>
      </c>
      <c r="I218" s="1">
        <v>0</v>
      </c>
    </row>
    <row r="219" spans="1:9" hidden="1" x14ac:dyDescent="0.25">
      <c r="A219" s="1" t="s">
        <v>157</v>
      </c>
      <c r="B219" s="1" t="s">
        <v>118</v>
      </c>
      <c r="C219" s="1" t="s">
        <v>10</v>
      </c>
      <c r="D219" s="1">
        <v>0</v>
      </c>
      <c r="E219" s="1">
        <v>136.57</v>
      </c>
      <c r="F219" s="1">
        <v>0</v>
      </c>
      <c r="G219" s="1">
        <v>2253.422</v>
      </c>
      <c r="H219" s="1">
        <v>0</v>
      </c>
      <c r="I219" s="1">
        <v>546.28399999999999</v>
      </c>
    </row>
    <row r="220" spans="1:9" hidden="1" x14ac:dyDescent="0.25">
      <c r="A220" s="1" t="s">
        <v>157</v>
      </c>
      <c r="B220" s="1" t="s">
        <v>119</v>
      </c>
      <c r="C220" s="1" t="s">
        <v>25</v>
      </c>
      <c r="D220" s="1">
        <v>0</v>
      </c>
      <c r="E220" s="1">
        <v>-136.57</v>
      </c>
      <c r="F220" s="1">
        <v>0</v>
      </c>
      <c r="G220" s="1">
        <v>-2253.422</v>
      </c>
      <c r="H220" s="1">
        <v>0</v>
      </c>
      <c r="I220" s="1">
        <v>0</v>
      </c>
    </row>
    <row r="221" spans="1:9" hidden="1" x14ac:dyDescent="0.25">
      <c r="A221" s="1" t="s">
        <v>157</v>
      </c>
      <c r="B221" s="1" t="s">
        <v>119</v>
      </c>
      <c r="C221" s="1" t="s">
        <v>10</v>
      </c>
      <c r="D221" s="1">
        <v>0</v>
      </c>
      <c r="E221" s="1">
        <v>-136.57</v>
      </c>
      <c r="F221" s="1">
        <v>0</v>
      </c>
      <c r="G221" s="1">
        <v>-2253.422</v>
      </c>
      <c r="H221" s="1">
        <v>0</v>
      </c>
      <c r="I221" s="1">
        <v>-546.28399999999999</v>
      </c>
    </row>
    <row r="222" spans="1:9" hidden="1" x14ac:dyDescent="0.25">
      <c r="A222" s="1" t="s">
        <v>157</v>
      </c>
      <c r="B222" s="1" t="s">
        <v>120</v>
      </c>
      <c r="C222" s="1" t="s">
        <v>25</v>
      </c>
      <c r="D222" s="1">
        <v>0</v>
      </c>
      <c r="E222" s="1">
        <v>0</v>
      </c>
      <c r="F222" s="1">
        <v>290.91000000000003</v>
      </c>
      <c r="G222" s="1">
        <v>5759.9690000000001</v>
      </c>
      <c r="H222" s="1">
        <v>0</v>
      </c>
      <c r="I222" s="1">
        <v>0</v>
      </c>
    </row>
    <row r="223" spans="1:9" hidden="1" x14ac:dyDescent="0.25">
      <c r="A223" s="1" t="s">
        <v>157</v>
      </c>
      <c r="B223" s="1" t="s">
        <v>120</v>
      </c>
      <c r="C223" s="1" t="s">
        <v>10</v>
      </c>
      <c r="D223" s="1">
        <v>0</v>
      </c>
      <c r="E223" s="1">
        <v>0</v>
      </c>
      <c r="F223" s="1">
        <v>290.91000000000003</v>
      </c>
      <c r="G223" s="1">
        <v>5759.9690000000001</v>
      </c>
      <c r="H223" s="1">
        <v>1163.6300000000001</v>
      </c>
      <c r="I223" s="1">
        <v>0</v>
      </c>
    </row>
    <row r="224" spans="1:9" hidden="1" x14ac:dyDescent="0.25">
      <c r="A224" s="1" t="s">
        <v>157</v>
      </c>
      <c r="B224" s="1" t="s">
        <v>121</v>
      </c>
      <c r="C224" s="1" t="s">
        <v>25</v>
      </c>
      <c r="D224" s="1">
        <v>0</v>
      </c>
      <c r="E224" s="1">
        <v>0</v>
      </c>
      <c r="F224" s="1">
        <v>-290.91000000000003</v>
      </c>
      <c r="G224" s="1">
        <v>-5759.9690000000001</v>
      </c>
      <c r="H224" s="1">
        <v>0</v>
      </c>
      <c r="I224" s="1">
        <v>0</v>
      </c>
    </row>
    <row r="225" spans="1:9" hidden="1" x14ac:dyDescent="0.25">
      <c r="A225" s="1" t="s">
        <v>157</v>
      </c>
      <c r="B225" s="1" t="s">
        <v>121</v>
      </c>
      <c r="C225" s="1" t="s">
        <v>10</v>
      </c>
      <c r="D225" s="1">
        <v>0</v>
      </c>
      <c r="E225" s="1">
        <v>0</v>
      </c>
      <c r="F225" s="1">
        <v>-290.91000000000003</v>
      </c>
      <c r="G225" s="1">
        <v>-5759.9690000000001</v>
      </c>
      <c r="H225" s="1">
        <v>-1163.6300000000001</v>
      </c>
      <c r="I225" s="1">
        <v>0</v>
      </c>
    </row>
    <row r="226" spans="1:9" hidden="1" x14ac:dyDescent="0.25">
      <c r="A226" s="1" t="s">
        <v>157</v>
      </c>
      <c r="B226" s="1" t="s">
        <v>122</v>
      </c>
      <c r="C226" s="1" t="s">
        <v>25</v>
      </c>
      <c r="D226" s="1">
        <v>0</v>
      </c>
      <c r="E226" s="1">
        <v>0</v>
      </c>
      <c r="F226" s="1">
        <v>290.91000000000003</v>
      </c>
      <c r="G226" s="1">
        <v>5759.9690000000001</v>
      </c>
      <c r="H226" s="1">
        <v>0</v>
      </c>
      <c r="I226" s="1">
        <v>0</v>
      </c>
    </row>
    <row r="227" spans="1:9" hidden="1" x14ac:dyDescent="0.25">
      <c r="A227" s="1" t="s">
        <v>157</v>
      </c>
      <c r="B227" s="1" t="s">
        <v>122</v>
      </c>
      <c r="C227" s="1" t="s">
        <v>10</v>
      </c>
      <c r="D227" s="1">
        <v>0</v>
      </c>
      <c r="E227" s="1">
        <v>0</v>
      </c>
      <c r="F227" s="1">
        <v>290.91000000000003</v>
      </c>
      <c r="G227" s="1">
        <v>5759.9690000000001</v>
      </c>
      <c r="H227" s="1">
        <v>1163.6300000000001</v>
      </c>
      <c r="I227" s="1">
        <v>0</v>
      </c>
    </row>
    <row r="228" spans="1:9" hidden="1" x14ac:dyDescent="0.25">
      <c r="A228" s="1" t="s">
        <v>157</v>
      </c>
      <c r="B228" s="1" t="s">
        <v>123</v>
      </c>
      <c r="C228" s="1" t="s">
        <v>25</v>
      </c>
      <c r="D228" s="1">
        <v>0</v>
      </c>
      <c r="E228" s="1">
        <v>0</v>
      </c>
      <c r="F228" s="1">
        <v>-290.91000000000003</v>
      </c>
      <c r="G228" s="1">
        <v>-5759.9690000000001</v>
      </c>
      <c r="H228" s="1">
        <v>0</v>
      </c>
      <c r="I228" s="1">
        <v>0</v>
      </c>
    </row>
    <row r="229" spans="1:9" hidden="1" x14ac:dyDescent="0.25">
      <c r="A229" s="1" t="s">
        <v>157</v>
      </c>
      <c r="B229" s="1" t="s">
        <v>123</v>
      </c>
      <c r="C229" s="1" t="s">
        <v>10</v>
      </c>
      <c r="D229" s="1">
        <v>0</v>
      </c>
      <c r="E229" s="1">
        <v>0</v>
      </c>
      <c r="F229" s="1">
        <v>-290.91000000000003</v>
      </c>
      <c r="G229" s="1">
        <v>-5759.9690000000001</v>
      </c>
      <c r="H229" s="1">
        <v>-1163.6300000000001</v>
      </c>
      <c r="I229" s="1">
        <v>0</v>
      </c>
    </row>
    <row r="230" spans="1:9" hidden="1" x14ac:dyDescent="0.25">
      <c r="A230" s="1" t="s">
        <v>157</v>
      </c>
      <c r="B230" s="1" t="s">
        <v>124</v>
      </c>
      <c r="C230" s="1" t="s">
        <v>25</v>
      </c>
      <c r="D230" s="1">
        <v>0</v>
      </c>
      <c r="E230" s="1">
        <v>40.97</v>
      </c>
      <c r="F230" s="1">
        <v>0</v>
      </c>
      <c r="G230" s="1">
        <v>676.02599999999995</v>
      </c>
      <c r="H230" s="1">
        <v>0</v>
      </c>
      <c r="I230" s="1">
        <v>0</v>
      </c>
    </row>
    <row r="231" spans="1:9" hidden="1" x14ac:dyDescent="0.25">
      <c r="A231" s="1" t="s">
        <v>157</v>
      </c>
      <c r="B231" s="1" t="s">
        <v>124</v>
      </c>
      <c r="C231" s="1" t="s">
        <v>10</v>
      </c>
      <c r="D231" s="1">
        <v>0</v>
      </c>
      <c r="E231" s="1">
        <v>40.97</v>
      </c>
      <c r="F231" s="1">
        <v>0</v>
      </c>
      <c r="G231" s="1">
        <v>676.02599999999995</v>
      </c>
      <c r="H231" s="1">
        <v>0</v>
      </c>
      <c r="I231" s="1">
        <v>163.88499999999999</v>
      </c>
    </row>
    <row r="232" spans="1:9" hidden="1" x14ac:dyDescent="0.25">
      <c r="A232" s="1" t="s">
        <v>157</v>
      </c>
      <c r="B232" s="1" t="s">
        <v>125</v>
      </c>
      <c r="C232" s="1" t="s">
        <v>25</v>
      </c>
      <c r="D232" s="1">
        <v>0</v>
      </c>
      <c r="E232" s="1">
        <v>-40.97</v>
      </c>
      <c r="F232" s="1">
        <v>0</v>
      </c>
      <c r="G232" s="1">
        <v>-676.02599999999995</v>
      </c>
      <c r="H232" s="1">
        <v>0</v>
      </c>
      <c r="I232" s="1">
        <v>0</v>
      </c>
    </row>
    <row r="233" spans="1:9" hidden="1" x14ac:dyDescent="0.25">
      <c r="A233" s="1" t="s">
        <v>157</v>
      </c>
      <c r="B233" s="1" t="s">
        <v>125</v>
      </c>
      <c r="C233" s="1" t="s">
        <v>10</v>
      </c>
      <c r="D233" s="1">
        <v>0</v>
      </c>
      <c r="E233" s="1">
        <v>-40.97</v>
      </c>
      <c r="F233" s="1">
        <v>0</v>
      </c>
      <c r="G233" s="1">
        <v>-676.02599999999995</v>
      </c>
      <c r="H233" s="1">
        <v>0</v>
      </c>
      <c r="I233" s="1">
        <v>-163.88499999999999</v>
      </c>
    </row>
    <row r="234" spans="1:9" hidden="1" x14ac:dyDescent="0.25">
      <c r="A234" s="1" t="s">
        <v>157</v>
      </c>
      <c r="B234" s="1" t="s">
        <v>126</v>
      </c>
      <c r="C234" s="1" t="s">
        <v>25</v>
      </c>
      <c r="D234" s="1">
        <v>0</v>
      </c>
      <c r="E234" s="1">
        <v>40.97</v>
      </c>
      <c r="F234" s="1">
        <v>0</v>
      </c>
      <c r="G234" s="1">
        <v>676.02599999999995</v>
      </c>
      <c r="H234" s="1">
        <v>0</v>
      </c>
      <c r="I234" s="1">
        <v>0</v>
      </c>
    </row>
    <row r="235" spans="1:9" hidden="1" x14ac:dyDescent="0.25">
      <c r="A235" s="1" t="s">
        <v>157</v>
      </c>
      <c r="B235" s="1" t="s">
        <v>126</v>
      </c>
      <c r="C235" s="1" t="s">
        <v>10</v>
      </c>
      <c r="D235" s="1">
        <v>0</v>
      </c>
      <c r="E235" s="1">
        <v>40.97</v>
      </c>
      <c r="F235" s="1">
        <v>0</v>
      </c>
      <c r="G235" s="1">
        <v>676.02599999999995</v>
      </c>
      <c r="H235" s="1">
        <v>0</v>
      </c>
      <c r="I235" s="1">
        <v>163.88499999999999</v>
      </c>
    </row>
    <row r="236" spans="1:9" hidden="1" x14ac:dyDescent="0.25">
      <c r="A236" s="1" t="s">
        <v>157</v>
      </c>
      <c r="B236" s="1" t="s">
        <v>127</v>
      </c>
      <c r="C236" s="1" t="s">
        <v>25</v>
      </c>
      <c r="D236" s="1">
        <v>0</v>
      </c>
      <c r="E236" s="1">
        <v>-40.97</v>
      </c>
      <c r="F236" s="1">
        <v>0</v>
      </c>
      <c r="G236" s="1">
        <v>-676.02599999999995</v>
      </c>
      <c r="H236" s="1">
        <v>0</v>
      </c>
      <c r="I236" s="1">
        <v>0</v>
      </c>
    </row>
    <row r="237" spans="1:9" hidden="1" x14ac:dyDescent="0.25">
      <c r="A237" s="1" t="s">
        <v>157</v>
      </c>
      <c r="B237" s="1" t="s">
        <v>127</v>
      </c>
      <c r="C237" s="1" t="s">
        <v>10</v>
      </c>
      <c r="D237" s="1">
        <v>0</v>
      </c>
      <c r="E237" s="1">
        <v>-40.97</v>
      </c>
      <c r="F237" s="1">
        <v>0</v>
      </c>
      <c r="G237" s="1">
        <v>-676.02599999999995</v>
      </c>
      <c r="H237" s="1">
        <v>0</v>
      </c>
      <c r="I237" s="1">
        <v>-163.88499999999999</v>
      </c>
    </row>
    <row r="238" spans="1:9" hidden="1" x14ac:dyDescent="0.25">
      <c r="A238" s="1" t="s">
        <v>157</v>
      </c>
      <c r="B238" s="1" t="s">
        <v>128</v>
      </c>
      <c r="C238" s="1" t="s">
        <v>25</v>
      </c>
      <c r="D238" s="1">
        <v>0</v>
      </c>
      <c r="E238" s="1">
        <v>0</v>
      </c>
      <c r="F238" s="1">
        <v>87.27</v>
      </c>
      <c r="G238" s="1">
        <v>1727.991</v>
      </c>
      <c r="H238" s="1">
        <v>0</v>
      </c>
      <c r="I238" s="1">
        <v>0</v>
      </c>
    </row>
    <row r="239" spans="1:9" hidden="1" x14ac:dyDescent="0.25">
      <c r="A239" s="1" t="s">
        <v>157</v>
      </c>
      <c r="B239" s="1" t="s">
        <v>128</v>
      </c>
      <c r="C239" s="1" t="s">
        <v>10</v>
      </c>
      <c r="D239" s="1">
        <v>0</v>
      </c>
      <c r="E239" s="1">
        <v>0</v>
      </c>
      <c r="F239" s="1">
        <v>87.27</v>
      </c>
      <c r="G239" s="1">
        <v>1727.991</v>
      </c>
      <c r="H239" s="1">
        <v>349.089</v>
      </c>
      <c r="I239" s="1">
        <v>0</v>
      </c>
    </row>
    <row r="240" spans="1:9" hidden="1" x14ac:dyDescent="0.25">
      <c r="A240" s="1" t="s">
        <v>157</v>
      </c>
      <c r="B240" s="1" t="s">
        <v>129</v>
      </c>
      <c r="C240" s="1" t="s">
        <v>25</v>
      </c>
      <c r="D240" s="1">
        <v>0</v>
      </c>
      <c r="E240" s="1">
        <v>0</v>
      </c>
      <c r="F240" s="1">
        <v>-87.27</v>
      </c>
      <c r="G240" s="1">
        <v>-1727.991</v>
      </c>
      <c r="H240" s="1">
        <v>0</v>
      </c>
      <c r="I240" s="1">
        <v>0</v>
      </c>
    </row>
    <row r="241" spans="1:9" hidden="1" x14ac:dyDescent="0.25">
      <c r="A241" s="1" t="s">
        <v>157</v>
      </c>
      <c r="B241" s="1" t="s">
        <v>129</v>
      </c>
      <c r="C241" s="1" t="s">
        <v>10</v>
      </c>
      <c r="D241" s="1">
        <v>0</v>
      </c>
      <c r="E241" s="1">
        <v>0</v>
      </c>
      <c r="F241" s="1">
        <v>-87.27</v>
      </c>
      <c r="G241" s="1">
        <v>-1727.991</v>
      </c>
      <c r="H241" s="1">
        <v>-349.089</v>
      </c>
      <c r="I241" s="1">
        <v>0</v>
      </c>
    </row>
    <row r="242" spans="1:9" hidden="1" x14ac:dyDescent="0.25">
      <c r="A242" s="1" t="s">
        <v>157</v>
      </c>
      <c r="B242" s="1" t="s">
        <v>130</v>
      </c>
      <c r="C242" s="1" t="s">
        <v>25</v>
      </c>
      <c r="D242" s="1">
        <v>0</v>
      </c>
      <c r="E242" s="1">
        <v>0</v>
      </c>
      <c r="F242" s="1">
        <v>87.27</v>
      </c>
      <c r="G242" s="1">
        <v>1727.991</v>
      </c>
      <c r="H242" s="1">
        <v>0</v>
      </c>
      <c r="I242" s="1">
        <v>0</v>
      </c>
    </row>
    <row r="243" spans="1:9" hidden="1" x14ac:dyDescent="0.25">
      <c r="A243" s="1" t="s">
        <v>157</v>
      </c>
      <c r="B243" s="1" t="s">
        <v>130</v>
      </c>
      <c r="C243" s="1" t="s">
        <v>10</v>
      </c>
      <c r="D243" s="1">
        <v>0</v>
      </c>
      <c r="E243" s="1">
        <v>0</v>
      </c>
      <c r="F243" s="1">
        <v>87.27</v>
      </c>
      <c r="G243" s="1">
        <v>1727.991</v>
      </c>
      <c r="H243" s="1">
        <v>349.089</v>
      </c>
      <c r="I243" s="1">
        <v>0</v>
      </c>
    </row>
    <row r="244" spans="1:9" hidden="1" x14ac:dyDescent="0.25">
      <c r="A244" s="1" t="s">
        <v>157</v>
      </c>
      <c r="B244" s="1" t="s">
        <v>131</v>
      </c>
      <c r="C244" s="1" t="s">
        <v>25</v>
      </c>
      <c r="D244" s="1">
        <v>0</v>
      </c>
      <c r="E244" s="1">
        <v>0</v>
      </c>
      <c r="F244" s="1">
        <v>-87.27</v>
      </c>
      <c r="G244" s="1">
        <v>-1727.991</v>
      </c>
      <c r="H244" s="1">
        <v>0</v>
      </c>
      <c r="I244" s="1">
        <v>0</v>
      </c>
    </row>
    <row r="245" spans="1:9" hidden="1" x14ac:dyDescent="0.25">
      <c r="A245" s="1" t="s">
        <v>157</v>
      </c>
      <c r="B245" s="1" t="s">
        <v>131</v>
      </c>
      <c r="C245" s="1" t="s">
        <v>10</v>
      </c>
      <c r="D245" s="1">
        <v>0</v>
      </c>
      <c r="E245" s="1">
        <v>0</v>
      </c>
      <c r="F245" s="1">
        <v>-87.27</v>
      </c>
      <c r="G245" s="1">
        <v>-1727.991</v>
      </c>
      <c r="H245" s="1">
        <v>-349.089</v>
      </c>
      <c r="I245" s="1">
        <v>0</v>
      </c>
    </row>
    <row r="246" spans="1:9" hidden="1" x14ac:dyDescent="0.25">
      <c r="A246" s="1" t="s">
        <v>157</v>
      </c>
      <c r="B246" s="1" t="s">
        <v>132</v>
      </c>
      <c r="C246" s="1" t="s">
        <v>25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</row>
    <row r="247" spans="1:9" hidden="1" x14ac:dyDescent="0.25">
      <c r="A247" s="1" t="s">
        <v>157</v>
      </c>
      <c r="B247" s="1" t="s">
        <v>132</v>
      </c>
      <c r="C247" s="1" t="s">
        <v>10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</row>
    <row r="248" spans="1:9" hidden="1" x14ac:dyDescent="0.25">
      <c r="A248" s="1" t="s">
        <v>157</v>
      </c>
      <c r="B248" s="1" t="s">
        <v>133</v>
      </c>
      <c r="C248" s="1" t="s">
        <v>25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</row>
    <row r="249" spans="1:9" hidden="1" x14ac:dyDescent="0.25">
      <c r="A249" s="1" t="s">
        <v>157</v>
      </c>
      <c r="B249" s="1" t="s">
        <v>133</v>
      </c>
      <c r="C249" s="1" t="s">
        <v>10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</row>
    <row r="250" spans="1:9" hidden="1" x14ac:dyDescent="0.25">
      <c r="A250" s="1" t="s">
        <v>157</v>
      </c>
      <c r="B250" s="1" t="s">
        <v>134</v>
      </c>
      <c r="C250" s="1" t="s">
        <v>25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</row>
    <row r="251" spans="1:9" hidden="1" x14ac:dyDescent="0.25">
      <c r="A251" s="1" t="s">
        <v>157</v>
      </c>
      <c r="B251" s="1" t="s">
        <v>134</v>
      </c>
      <c r="C251" s="1" t="s">
        <v>10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</row>
    <row r="252" spans="1:9" hidden="1" x14ac:dyDescent="0.25">
      <c r="A252" s="1" t="s">
        <v>157</v>
      </c>
      <c r="B252" s="1" t="s">
        <v>135</v>
      </c>
      <c r="C252" s="1" t="s">
        <v>25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</row>
    <row r="253" spans="1:9" hidden="1" x14ac:dyDescent="0.25">
      <c r="A253" s="1" t="s">
        <v>157</v>
      </c>
      <c r="B253" s="1" t="s">
        <v>135</v>
      </c>
      <c r="C253" s="1" t="s">
        <v>10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</row>
    <row r="254" spans="1:9" hidden="1" x14ac:dyDescent="0.25">
      <c r="A254" s="1" t="s">
        <v>157</v>
      </c>
      <c r="B254" s="1" t="s">
        <v>136</v>
      </c>
      <c r="C254" s="1" t="s">
        <v>25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</row>
    <row r="255" spans="1:9" hidden="1" x14ac:dyDescent="0.25">
      <c r="A255" s="1" t="s">
        <v>157</v>
      </c>
      <c r="B255" s="1" t="s">
        <v>136</v>
      </c>
      <c r="C255" s="1" t="s">
        <v>10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</row>
    <row r="256" spans="1:9" hidden="1" x14ac:dyDescent="0.25">
      <c r="A256" s="1" t="s">
        <v>157</v>
      </c>
      <c r="B256" s="1" t="s">
        <v>137</v>
      </c>
      <c r="C256" s="1" t="s">
        <v>25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</row>
    <row r="257" spans="1:9" hidden="1" x14ac:dyDescent="0.25">
      <c r="A257" s="1" t="s">
        <v>157</v>
      </c>
      <c r="B257" s="1" t="s">
        <v>137</v>
      </c>
      <c r="C257" s="1" t="s">
        <v>10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</row>
    <row r="258" spans="1:9" hidden="1" x14ac:dyDescent="0.25">
      <c r="A258" s="1" t="s">
        <v>157</v>
      </c>
      <c r="B258" s="1" t="s">
        <v>138</v>
      </c>
      <c r="C258" s="1" t="s">
        <v>25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</row>
    <row r="259" spans="1:9" hidden="1" x14ac:dyDescent="0.25">
      <c r="A259" s="1" t="s">
        <v>157</v>
      </c>
      <c r="B259" s="1" t="s">
        <v>138</v>
      </c>
      <c r="C259" s="1" t="s">
        <v>10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</row>
    <row r="260" spans="1:9" hidden="1" x14ac:dyDescent="0.25">
      <c r="A260" s="1" t="s">
        <v>157</v>
      </c>
      <c r="B260" s="1" t="s">
        <v>139</v>
      </c>
      <c r="C260" s="1" t="s">
        <v>25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</row>
    <row r="261" spans="1:9" hidden="1" x14ac:dyDescent="0.25">
      <c r="A261" s="1" t="s">
        <v>157</v>
      </c>
      <c r="B261" s="1" t="s">
        <v>139</v>
      </c>
      <c r="C261" s="1" t="s">
        <v>10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</row>
    <row r="262" spans="1:9" hidden="1" x14ac:dyDescent="0.25">
      <c r="A262" s="1" t="s">
        <v>157</v>
      </c>
      <c r="B262" s="1" t="s">
        <v>140</v>
      </c>
      <c r="C262" s="1" t="s">
        <v>25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</row>
    <row r="263" spans="1:9" hidden="1" x14ac:dyDescent="0.25">
      <c r="A263" s="1" t="s">
        <v>157</v>
      </c>
      <c r="B263" s="1" t="s">
        <v>140</v>
      </c>
      <c r="C263" s="1" t="s">
        <v>10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</row>
    <row r="264" spans="1:9" hidden="1" x14ac:dyDescent="0.25">
      <c r="A264" s="1" t="s">
        <v>157</v>
      </c>
      <c r="B264" s="1" t="s">
        <v>141</v>
      </c>
      <c r="C264" s="1" t="s">
        <v>25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</row>
    <row r="265" spans="1:9" hidden="1" x14ac:dyDescent="0.25">
      <c r="A265" s="1" t="s">
        <v>157</v>
      </c>
      <c r="B265" s="1" t="s">
        <v>141</v>
      </c>
      <c r="C265" s="1" t="s">
        <v>10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</row>
    <row r="266" spans="1:9" hidden="1" x14ac:dyDescent="0.25">
      <c r="A266" s="1" t="s">
        <v>157</v>
      </c>
      <c r="B266" s="1" t="s">
        <v>142</v>
      </c>
      <c r="C266" s="1" t="s">
        <v>25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</row>
    <row r="267" spans="1:9" hidden="1" x14ac:dyDescent="0.25">
      <c r="A267" s="1" t="s">
        <v>157</v>
      </c>
      <c r="B267" s="1" t="s">
        <v>142</v>
      </c>
      <c r="C267" s="1" t="s">
        <v>10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</row>
    <row r="268" spans="1:9" hidden="1" x14ac:dyDescent="0.25">
      <c r="A268" s="1" t="s">
        <v>157</v>
      </c>
      <c r="B268" s="1" t="s">
        <v>143</v>
      </c>
      <c r="C268" s="1" t="s">
        <v>25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</row>
    <row r="269" spans="1:9" hidden="1" x14ac:dyDescent="0.25">
      <c r="A269" s="1" t="s">
        <v>157</v>
      </c>
      <c r="B269" s="1" t="s">
        <v>143</v>
      </c>
      <c r="C269" s="1" t="s">
        <v>10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</row>
    <row r="270" spans="1:9" hidden="1" x14ac:dyDescent="0.25">
      <c r="A270" s="1" t="s">
        <v>157</v>
      </c>
      <c r="B270" s="1" t="s">
        <v>144</v>
      </c>
      <c r="C270" s="1" t="s">
        <v>25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157</v>
      </c>
      <c r="B271" s="1" t="s">
        <v>144</v>
      </c>
      <c r="C271" s="1" t="s">
        <v>10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157</v>
      </c>
      <c r="B272" s="1" t="s">
        <v>145</v>
      </c>
      <c r="C272" s="1" t="s">
        <v>25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</row>
    <row r="273" spans="1:9" hidden="1" x14ac:dyDescent="0.25">
      <c r="A273" s="1" t="s">
        <v>157</v>
      </c>
      <c r="B273" s="1" t="s">
        <v>145</v>
      </c>
      <c r="C273" s="1" t="s">
        <v>10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</row>
    <row r="274" spans="1:9" hidden="1" x14ac:dyDescent="0.25">
      <c r="A274" s="1" t="s">
        <v>157</v>
      </c>
      <c r="B274" s="1" t="s">
        <v>146</v>
      </c>
      <c r="C274" s="1" t="s">
        <v>25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</row>
    <row r="275" spans="1:9" hidden="1" x14ac:dyDescent="0.25">
      <c r="A275" s="1" t="s">
        <v>157</v>
      </c>
      <c r="B275" s="1" t="s">
        <v>146</v>
      </c>
      <c r="C275" s="1" t="s">
        <v>10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</row>
    <row r="276" spans="1:9" hidden="1" x14ac:dyDescent="0.25">
      <c r="A276" s="1" t="s">
        <v>157</v>
      </c>
      <c r="B276" s="1" t="s">
        <v>147</v>
      </c>
      <c r="C276" s="1" t="s">
        <v>25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</row>
    <row r="277" spans="1:9" hidden="1" x14ac:dyDescent="0.25">
      <c r="A277" s="1" t="s">
        <v>157</v>
      </c>
      <c r="B277" s="1" t="s">
        <v>147</v>
      </c>
      <c r="C277" s="1" t="s">
        <v>10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</row>
    <row r="278" spans="1:9" hidden="1" x14ac:dyDescent="0.25">
      <c r="A278" s="1" t="s">
        <v>157</v>
      </c>
      <c r="B278" s="1" t="s">
        <v>159</v>
      </c>
      <c r="C278" s="1" t="s">
        <v>25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</row>
    <row r="279" spans="1:9" hidden="1" x14ac:dyDescent="0.25">
      <c r="A279" s="1" t="s">
        <v>157</v>
      </c>
      <c r="B279" s="1" t="s">
        <v>159</v>
      </c>
      <c r="C279" s="1" t="s">
        <v>10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</row>
    <row r="280" spans="1:9" hidden="1" x14ac:dyDescent="0.25">
      <c r="A280" s="1" t="s">
        <v>157</v>
      </c>
      <c r="B280" s="1" t="s">
        <v>160</v>
      </c>
      <c r="C280" s="1" t="s">
        <v>25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</row>
    <row r="281" spans="1:9" hidden="1" x14ac:dyDescent="0.25">
      <c r="A281" s="1" t="s">
        <v>157</v>
      </c>
      <c r="B281" s="1" t="s">
        <v>160</v>
      </c>
      <c r="C281" s="1" t="s">
        <v>10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</row>
    <row r="282" spans="1:9" hidden="1" x14ac:dyDescent="0.25">
      <c r="A282" s="1" t="s">
        <v>157</v>
      </c>
      <c r="B282" s="1" t="s">
        <v>161</v>
      </c>
      <c r="C282" s="1" t="s">
        <v>25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</row>
    <row r="283" spans="1:9" hidden="1" x14ac:dyDescent="0.25">
      <c r="A283" s="1" t="s">
        <v>157</v>
      </c>
      <c r="B283" s="1" t="s">
        <v>161</v>
      </c>
      <c r="C283" s="1" t="s">
        <v>10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</row>
    <row r="284" spans="1:9" hidden="1" x14ac:dyDescent="0.25">
      <c r="A284" s="1" t="s">
        <v>157</v>
      </c>
      <c r="B284" s="1" t="s">
        <v>162</v>
      </c>
      <c r="C284" s="1" t="s">
        <v>25</v>
      </c>
      <c r="D284" s="1">
        <v>0</v>
      </c>
      <c r="E284" s="1">
        <v>-253.17</v>
      </c>
      <c r="F284" s="1">
        <v>0</v>
      </c>
      <c r="G284" s="1">
        <v>4177.384</v>
      </c>
      <c r="H284" s="1">
        <v>0</v>
      </c>
      <c r="I284" s="1">
        <v>0</v>
      </c>
    </row>
    <row r="285" spans="1:9" hidden="1" x14ac:dyDescent="0.25">
      <c r="A285" s="1" t="s">
        <v>157</v>
      </c>
      <c r="B285" s="1" t="s">
        <v>162</v>
      </c>
      <c r="C285" s="1" t="s">
        <v>10</v>
      </c>
      <c r="D285" s="1">
        <v>0</v>
      </c>
      <c r="E285" s="1">
        <v>-253.17</v>
      </c>
      <c r="F285" s="1">
        <v>0</v>
      </c>
      <c r="G285" s="1">
        <v>4177.384</v>
      </c>
      <c r="H285" s="1">
        <v>0</v>
      </c>
      <c r="I285" s="1">
        <v>-1012.699</v>
      </c>
    </row>
    <row r="286" spans="1:9" hidden="1" x14ac:dyDescent="0.25">
      <c r="A286" s="1" t="s">
        <v>157</v>
      </c>
      <c r="B286" s="1" t="s">
        <v>163</v>
      </c>
      <c r="C286" s="1" t="s">
        <v>25</v>
      </c>
      <c r="D286" s="1">
        <v>0</v>
      </c>
      <c r="E286" s="1">
        <v>-253.17</v>
      </c>
      <c r="F286" s="1">
        <v>0</v>
      </c>
      <c r="G286" s="1">
        <v>3417.86</v>
      </c>
      <c r="H286" s="1">
        <v>0</v>
      </c>
      <c r="I286" s="1">
        <v>0</v>
      </c>
    </row>
    <row r="287" spans="1:9" hidden="1" x14ac:dyDescent="0.25">
      <c r="A287" s="1" t="s">
        <v>157</v>
      </c>
      <c r="B287" s="1" t="s">
        <v>163</v>
      </c>
      <c r="C287" s="1" t="s">
        <v>10</v>
      </c>
      <c r="D287" s="1">
        <v>0</v>
      </c>
      <c r="E287" s="1">
        <v>-253.17</v>
      </c>
      <c r="F287" s="1">
        <v>0</v>
      </c>
      <c r="G287" s="1">
        <v>3417.86</v>
      </c>
      <c r="H287" s="1">
        <v>0</v>
      </c>
      <c r="I287" s="1">
        <v>-1012.699</v>
      </c>
    </row>
    <row r="288" spans="1:9" hidden="1" x14ac:dyDescent="0.25">
      <c r="A288" s="1" t="s">
        <v>157</v>
      </c>
      <c r="B288" s="1" t="s">
        <v>164</v>
      </c>
      <c r="C288" s="1" t="s">
        <v>25</v>
      </c>
      <c r="D288" s="1">
        <v>0</v>
      </c>
      <c r="E288" s="1">
        <v>253.17</v>
      </c>
      <c r="F288" s="1">
        <v>0</v>
      </c>
      <c r="G288" s="1">
        <v>-4177.384</v>
      </c>
      <c r="H288" s="1">
        <v>0</v>
      </c>
      <c r="I288" s="1">
        <v>0</v>
      </c>
    </row>
    <row r="289" spans="1:9" hidden="1" x14ac:dyDescent="0.25">
      <c r="A289" s="1" t="s">
        <v>157</v>
      </c>
      <c r="B289" s="1" t="s">
        <v>164</v>
      </c>
      <c r="C289" s="1" t="s">
        <v>10</v>
      </c>
      <c r="D289" s="1">
        <v>0</v>
      </c>
      <c r="E289" s="1">
        <v>253.17</v>
      </c>
      <c r="F289" s="1">
        <v>0</v>
      </c>
      <c r="G289" s="1">
        <v>-4177.384</v>
      </c>
      <c r="H289" s="1">
        <v>0</v>
      </c>
      <c r="I289" s="1">
        <v>1012.699</v>
      </c>
    </row>
    <row r="290" spans="1:9" hidden="1" x14ac:dyDescent="0.25">
      <c r="A290" s="1" t="s">
        <v>157</v>
      </c>
      <c r="B290" s="1" t="s">
        <v>165</v>
      </c>
      <c r="C290" s="1" t="s">
        <v>25</v>
      </c>
      <c r="D290" s="1">
        <v>0</v>
      </c>
      <c r="E290" s="1">
        <v>253.17</v>
      </c>
      <c r="F290" s="1">
        <v>0</v>
      </c>
      <c r="G290" s="1">
        <v>-3417.86</v>
      </c>
      <c r="H290" s="1">
        <v>0</v>
      </c>
      <c r="I290" s="1">
        <v>0</v>
      </c>
    </row>
    <row r="291" spans="1:9" hidden="1" x14ac:dyDescent="0.25">
      <c r="A291" s="1" t="s">
        <v>157</v>
      </c>
      <c r="B291" s="1" t="s">
        <v>165</v>
      </c>
      <c r="C291" s="1" t="s">
        <v>10</v>
      </c>
      <c r="D291" s="1">
        <v>0</v>
      </c>
      <c r="E291" s="1">
        <v>253.17</v>
      </c>
      <c r="F291" s="1">
        <v>0</v>
      </c>
      <c r="G291" s="1">
        <v>-3417.86</v>
      </c>
      <c r="H291" s="1">
        <v>0</v>
      </c>
      <c r="I291" s="1">
        <v>1012.699</v>
      </c>
    </row>
    <row r="292" spans="1:9" hidden="1" x14ac:dyDescent="0.25">
      <c r="A292" s="1" t="s">
        <v>157</v>
      </c>
      <c r="B292" s="1" t="s">
        <v>166</v>
      </c>
      <c r="C292" s="1" t="s">
        <v>25</v>
      </c>
      <c r="D292" s="1">
        <v>0</v>
      </c>
      <c r="E292" s="1">
        <v>0</v>
      </c>
      <c r="F292" s="1">
        <v>-306.02999999999997</v>
      </c>
      <c r="G292" s="1">
        <v>-6059.3280000000004</v>
      </c>
      <c r="H292" s="1">
        <v>0</v>
      </c>
      <c r="I292" s="1">
        <v>0</v>
      </c>
    </row>
    <row r="293" spans="1:9" hidden="1" x14ac:dyDescent="0.25">
      <c r="A293" s="1" t="s">
        <v>157</v>
      </c>
      <c r="B293" s="1" t="s">
        <v>166</v>
      </c>
      <c r="C293" s="1" t="s">
        <v>10</v>
      </c>
      <c r="D293" s="1">
        <v>0</v>
      </c>
      <c r="E293" s="1">
        <v>0</v>
      </c>
      <c r="F293" s="1">
        <v>-306.02999999999997</v>
      </c>
      <c r="G293" s="1">
        <v>-6059.3280000000004</v>
      </c>
      <c r="H293" s="1">
        <v>1224.107</v>
      </c>
      <c r="I293" s="1">
        <v>0</v>
      </c>
    </row>
    <row r="294" spans="1:9" hidden="1" x14ac:dyDescent="0.25">
      <c r="A294" s="1" t="s">
        <v>157</v>
      </c>
      <c r="B294" s="1" t="s">
        <v>167</v>
      </c>
      <c r="C294" s="1" t="s">
        <v>25</v>
      </c>
      <c r="D294" s="1">
        <v>0</v>
      </c>
      <c r="E294" s="1">
        <v>0</v>
      </c>
      <c r="F294" s="1">
        <v>-306.02999999999997</v>
      </c>
      <c r="G294" s="1">
        <v>-4957.6319999999996</v>
      </c>
      <c r="H294" s="1">
        <v>0</v>
      </c>
      <c r="I294" s="1">
        <v>0</v>
      </c>
    </row>
    <row r="295" spans="1:9" hidden="1" x14ac:dyDescent="0.25">
      <c r="A295" s="1" t="s">
        <v>157</v>
      </c>
      <c r="B295" s="1" t="s">
        <v>167</v>
      </c>
      <c r="C295" s="1" t="s">
        <v>10</v>
      </c>
      <c r="D295" s="1">
        <v>0</v>
      </c>
      <c r="E295" s="1">
        <v>0</v>
      </c>
      <c r="F295" s="1">
        <v>-306.02999999999997</v>
      </c>
      <c r="G295" s="1">
        <v>-4957.6319999999996</v>
      </c>
      <c r="H295" s="1">
        <v>1224.107</v>
      </c>
      <c r="I295" s="1">
        <v>0</v>
      </c>
    </row>
    <row r="296" spans="1:9" hidden="1" x14ac:dyDescent="0.25">
      <c r="A296" s="1" t="s">
        <v>157</v>
      </c>
      <c r="B296" s="1" t="s">
        <v>168</v>
      </c>
      <c r="C296" s="1" t="s">
        <v>25</v>
      </c>
      <c r="D296" s="1">
        <v>0</v>
      </c>
      <c r="E296" s="1">
        <v>0</v>
      </c>
      <c r="F296" s="1">
        <v>306.02999999999997</v>
      </c>
      <c r="G296" s="1">
        <v>6059.3280000000004</v>
      </c>
      <c r="H296" s="1">
        <v>0</v>
      </c>
      <c r="I296" s="1">
        <v>0</v>
      </c>
    </row>
    <row r="297" spans="1:9" hidden="1" x14ac:dyDescent="0.25">
      <c r="A297" s="1" t="s">
        <v>157</v>
      </c>
      <c r="B297" s="1" t="s">
        <v>168</v>
      </c>
      <c r="C297" s="1" t="s">
        <v>10</v>
      </c>
      <c r="D297" s="1">
        <v>0</v>
      </c>
      <c r="E297" s="1">
        <v>0</v>
      </c>
      <c r="F297" s="1">
        <v>306.02999999999997</v>
      </c>
      <c r="G297" s="1">
        <v>6059.3280000000004</v>
      </c>
      <c r="H297" s="1">
        <v>-1224.107</v>
      </c>
      <c r="I297" s="1">
        <v>0</v>
      </c>
    </row>
    <row r="298" spans="1:9" hidden="1" x14ac:dyDescent="0.25">
      <c r="A298" s="1" t="s">
        <v>157</v>
      </c>
      <c r="B298" s="1" t="s">
        <v>169</v>
      </c>
      <c r="C298" s="1" t="s">
        <v>25</v>
      </c>
      <c r="D298" s="1">
        <v>0</v>
      </c>
      <c r="E298" s="1">
        <v>0</v>
      </c>
      <c r="F298" s="1">
        <v>306.02999999999997</v>
      </c>
      <c r="G298" s="1">
        <v>4957.6319999999996</v>
      </c>
      <c r="H298" s="1">
        <v>0</v>
      </c>
      <c r="I298" s="1">
        <v>0</v>
      </c>
    </row>
    <row r="299" spans="1:9" hidden="1" x14ac:dyDescent="0.25">
      <c r="A299" s="1" t="s">
        <v>157</v>
      </c>
      <c r="B299" s="1" t="s">
        <v>169</v>
      </c>
      <c r="C299" s="1" t="s">
        <v>10</v>
      </c>
      <c r="D299" s="1">
        <v>0</v>
      </c>
      <c r="E299" s="1">
        <v>0</v>
      </c>
      <c r="F299" s="1">
        <v>306.02999999999997</v>
      </c>
      <c r="G299" s="1">
        <v>4957.6319999999996</v>
      </c>
      <c r="H299" s="1">
        <v>-1224.107</v>
      </c>
      <c r="I299" s="1">
        <v>0</v>
      </c>
    </row>
    <row r="300" spans="1:9" hidden="1" x14ac:dyDescent="0.25">
      <c r="A300" s="1" t="s">
        <v>157</v>
      </c>
      <c r="B300" s="1" t="s">
        <v>170</v>
      </c>
      <c r="C300" s="1" t="s">
        <v>25</v>
      </c>
      <c r="D300" s="1">
        <v>0</v>
      </c>
      <c r="E300" s="1">
        <v>-253.17</v>
      </c>
      <c r="F300" s="1">
        <v>0</v>
      </c>
      <c r="G300" s="1">
        <v>4177.384</v>
      </c>
      <c r="H300" s="1">
        <v>0</v>
      </c>
      <c r="I300" s="1">
        <v>0</v>
      </c>
    </row>
    <row r="301" spans="1:9" hidden="1" x14ac:dyDescent="0.25">
      <c r="A301" s="1" t="s">
        <v>157</v>
      </c>
      <c r="B301" s="1" t="s">
        <v>170</v>
      </c>
      <c r="C301" s="1" t="s">
        <v>10</v>
      </c>
      <c r="D301" s="1">
        <v>0</v>
      </c>
      <c r="E301" s="1">
        <v>-253.17</v>
      </c>
      <c r="F301" s="1">
        <v>0</v>
      </c>
      <c r="G301" s="1">
        <v>4177.384</v>
      </c>
      <c r="H301" s="1">
        <v>0</v>
      </c>
      <c r="I301" s="1">
        <v>-1012.699</v>
      </c>
    </row>
    <row r="302" spans="1:9" hidden="1" x14ac:dyDescent="0.25">
      <c r="A302" s="1" t="s">
        <v>157</v>
      </c>
      <c r="B302" s="1" t="s">
        <v>171</v>
      </c>
      <c r="C302" s="1" t="s">
        <v>25</v>
      </c>
      <c r="D302" s="1">
        <v>0</v>
      </c>
      <c r="E302" s="1">
        <v>-253.17</v>
      </c>
      <c r="F302" s="1">
        <v>0</v>
      </c>
      <c r="G302" s="1">
        <v>3417.86</v>
      </c>
      <c r="H302" s="1">
        <v>0</v>
      </c>
      <c r="I302" s="1">
        <v>0</v>
      </c>
    </row>
    <row r="303" spans="1:9" hidden="1" x14ac:dyDescent="0.25">
      <c r="A303" s="1" t="s">
        <v>157</v>
      </c>
      <c r="B303" s="1" t="s">
        <v>171</v>
      </c>
      <c r="C303" s="1" t="s">
        <v>10</v>
      </c>
      <c r="D303" s="1">
        <v>0</v>
      </c>
      <c r="E303" s="1">
        <v>-253.17</v>
      </c>
      <c r="F303" s="1">
        <v>0</v>
      </c>
      <c r="G303" s="1">
        <v>3417.86</v>
      </c>
      <c r="H303" s="1">
        <v>0</v>
      </c>
      <c r="I303" s="1">
        <v>-1012.699</v>
      </c>
    </row>
    <row r="304" spans="1:9" hidden="1" x14ac:dyDescent="0.25">
      <c r="A304" s="1" t="s">
        <v>157</v>
      </c>
      <c r="B304" s="1" t="s">
        <v>172</v>
      </c>
      <c r="C304" s="1" t="s">
        <v>25</v>
      </c>
      <c r="D304" s="1">
        <v>0</v>
      </c>
      <c r="E304" s="1">
        <v>253.17</v>
      </c>
      <c r="F304" s="1">
        <v>0</v>
      </c>
      <c r="G304" s="1">
        <v>-4177.384</v>
      </c>
      <c r="H304" s="1">
        <v>0</v>
      </c>
      <c r="I304" s="1">
        <v>0</v>
      </c>
    </row>
    <row r="305" spans="1:9" hidden="1" x14ac:dyDescent="0.25">
      <c r="A305" s="1" t="s">
        <v>157</v>
      </c>
      <c r="B305" s="1" t="s">
        <v>172</v>
      </c>
      <c r="C305" s="1" t="s">
        <v>10</v>
      </c>
      <c r="D305" s="1">
        <v>0</v>
      </c>
      <c r="E305" s="1">
        <v>253.17</v>
      </c>
      <c r="F305" s="1">
        <v>0</v>
      </c>
      <c r="G305" s="1">
        <v>-4177.384</v>
      </c>
      <c r="H305" s="1">
        <v>0</v>
      </c>
      <c r="I305" s="1">
        <v>1012.699</v>
      </c>
    </row>
    <row r="306" spans="1:9" hidden="1" x14ac:dyDescent="0.25">
      <c r="A306" s="1" t="s">
        <v>157</v>
      </c>
      <c r="B306" s="1" t="s">
        <v>173</v>
      </c>
      <c r="C306" s="1" t="s">
        <v>25</v>
      </c>
      <c r="D306" s="1">
        <v>0</v>
      </c>
      <c r="E306" s="1">
        <v>253.17</v>
      </c>
      <c r="F306" s="1">
        <v>0</v>
      </c>
      <c r="G306" s="1">
        <v>-3417.86</v>
      </c>
      <c r="H306" s="1">
        <v>0</v>
      </c>
      <c r="I306" s="1">
        <v>0</v>
      </c>
    </row>
    <row r="307" spans="1:9" hidden="1" x14ac:dyDescent="0.25">
      <c r="A307" s="1" t="s">
        <v>157</v>
      </c>
      <c r="B307" s="1" t="s">
        <v>173</v>
      </c>
      <c r="C307" s="1" t="s">
        <v>10</v>
      </c>
      <c r="D307" s="1">
        <v>0</v>
      </c>
      <c r="E307" s="1">
        <v>253.17</v>
      </c>
      <c r="F307" s="1">
        <v>0</v>
      </c>
      <c r="G307" s="1">
        <v>-3417.86</v>
      </c>
      <c r="H307" s="1">
        <v>0</v>
      </c>
      <c r="I307" s="1">
        <v>1012.699</v>
      </c>
    </row>
    <row r="308" spans="1:9" hidden="1" x14ac:dyDescent="0.25">
      <c r="A308" s="1" t="s">
        <v>157</v>
      </c>
      <c r="B308" s="1" t="s">
        <v>174</v>
      </c>
      <c r="C308" s="1" t="s">
        <v>25</v>
      </c>
      <c r="D308" s="1">
        <v>0</v>
      </c>
      <c r="E308" s="1">
        <v>0</v>
      </c>
      <c r="F308" s="1">
        <v>-306.02999999999997</v>
      </c>
      <c r="G308" s="1">
        <v>-6059.3280000000004</v>
      </c>
      <c r="H308" s="1">
        <v>0</v>
      </c>
      <c r="I308" s="1">
        <v>0</v>
      </c>
    </row>
    <row r="309" spans="1:9" hidden="1" x14ac:dyDescent="0.25">
      <c r="A309" s="1" t="s">
        <v>157</v>
      </c>
      <c r="B309" s="1" t="s">
        <v>174</v>
      </c>
      <c r="C309" s="1" t="s">
        <v>10</v>
      </c>
      <c r="D309" s="1">
        <v>0</v>
      </c>
      <c r="E309" s="1">
        <v>0</v>
      </c>
      <c r="F309" s="1">
        <v>-306.02999999999997</v>
      </c>
      <c r="G309" s="1">
        <v>-6059.3280000000004</v>
      </c>
      <c r="H309" s="1">
        <v>1224.107</v>
      </c>
      <c r="I309" s="1">
        <v>0</v>
      </c>
    </row>
    <row r="310" spans="1:9" hidden="1" x14ac:dyDescent="0.25">
      <c r="A310" s="1" t="s">
        <v>157</v>
      </c>
      <c r="B310" s="1" t="s">
        <v>175</v>
      </c>
      <c r="C310" s="1" t="s">
        <v>25</v>
      </c>
      <c r="D310" s="1">
        <v>0</v>
      </c>
      <c r="E310" s="1">
        <v>0</v>
      </c>
      <c r="F310" s="1">
        <v>-306.02999999999997</v>
      </c>
      <c r="G310" s="1">
        <v>-4957.6319999999996</v>
      </c>
      <c r="H310" s="1">
        <v>0</v>
      </c>
      <c r="I310" s="1">
        <v>0</v>
      </c>
    </row>
    <row r="311" spans="1:9" hidden="1" x14ac:dyDescent="0.25">
      <c r="A311" s="1" t="s">
        <v>157</v>
      </c>
      <c r="B311" s="1" t="s">
        <v>175</v>
      </c>
      <c r="C311" s="1" t="s">
        <v>10</v>
      </c>
      <c r="D311" s="1">
        <v>0</v>
      </c>
      <c r="E311" s="1">
        <v>0</v>
      </c>
      <c r="F311" s="1">
        <v>-306.02999999999997</v>
      </c>
      <c r="G311" s="1">
        <v>-4957.6319999999996</v>
      </c>
      <c r="H311" s="1">
        <v>1224.107</v>
      </c>
      <c r="I311" s="1">
        <v>0</v>
      </c>
    </row>
    <row r="312" spans="1:9" hidden="1" x14ac:dyDescent="0.25">
      <c r="A312" s="1" t="s">
        <v>157</v>
      </c>
      <c r="B312" s="1" t="s">
        <v>176</v>
      </c>
      <c r="C312" s="1" t="s">
        <v>25</v>
      </c>
      <c r="D312" s="1">
        <v>0</v>
      </c>
      <c r="E312" s="1">
        <v>0</v>
      </c>
      <c r="F312" s="1">
        <v>306.02999999999997</v>
      </c>
      <c r="G312" s="1">
        <v>6059.3280000000004</v>
      </c>
      <c r="H312" s="1">
        <v>0</v>
      </c>
      <c r="I312" s="1">
        <v>0</v>
      </c>
    </row>
    <row r="313" spans="1:9" hidden="1" x14ac:dyDescent="0.25">
      <c r="A313" s="1" t="s">
        <v>157</v>
      </c>
      <c r="B313" s="1" t="s">
        <v>176</v>
      </c>
      <c r="C313" s="1" t="s">
        <v>10</v>
      </c>
      <c r="D313" s="1">
        <v>0</v>
      </c>
      <c r="E313" s="1">
        <v>0</v>
      </c>
      <c r="F313" s="1">
        <v>306.02999999999997</v>
      </c>
      <c r="G313" s="1">
        <v>6059.3280000000004</v>
      </c>
      <c r="H313" s="1">
        <v>-1224.107</v>
      </c>
      <c r="I313" s="1">
        <v>0</v>
      </c>
    </row>
    <row r="314" spans="1:9" hidden="1" x14ac:dyDescent="0.25">
      <c r="A314" s="1" t="s">
        <v>157</v>
      </c>
      <c r="B314" s="1" t="s">
        <v>177</v>
      </c>
      <c r="C314" s="1" t="s">
        <v>25</v>
      </c>
      <c r="D314" s="1">
        <v>0</v>
      </c>
      <c r="E314" s="1">
        <v>0</v>
      </c>
      <c r="F314" s="1">
        <v>306.02999999999997</v>
      </c>
      <c r="G314" s="1">
        <v>4957.6319999999996</v>
      </c>
      <c r="H314" s="1">
        <v>0</v>
      </c>
      <c r="I314" s="1">
        <v>0</v>
      </c>
    </row>
    <row r="315" spans="1:9" hidden="1" x14ac:dyDescent="0.25">
      <c r="A315" s="1" t="s">
        <v>157</v>
      </c>
      <c r="B315" s="1" t="s">
        <v>177</v>
      </c>
      <c r="C315" s="1" t="s">
        <v>10</v>
      </c>
      <c r="D315" s="1">
        <v>0</v>
      </c>
      <c r="E315" s="1">
        <v>0</v>
      </c>
      <c r="F315" s="1">
        <v>306.02999999999997</v>
      </c>
      <c r="G315" s="1">
        <v>4957.6319999999996</v>
      </c>
      <c r="H315" s="1">
        <v>-1224.107</v>
      </c>
      <c r="I315" s="1">
        <v>0</v>
      </c>
    </row>
    <row r="316" spans="1:9" hidden="1" x14ac:dyDescent="0.25">
      <c r="A316" s="1" t="s">
        <v>157</v>
      </c>
      <c r="B316" s="1" t="s">
        <v>178</v>
      </c>
      <c r="C316" s="1" t="s">
        <v>25</v>
      </c>
      <c r="D316" s="1">
        <v>0</v>
      </c>
      <c r="E316" s="1">
        <v>-75.95</v>
      </c>
      <c r="F316" s="1">
        <v>0</v>
      </c>
      <c r="G316" s="1">
        <v>1253.2149999999999</v>
      </c>
      <c r="H316" s="1">
        <v>0</v>
      </c>
      <c r="I316" s="1">
        <v>0</v>
      </c>
    </row>
    <row r="317" spans="1:9" hidden="1" x14ac:dyDescent="0.25">
      <c r="A317" s="1" t="s">
        <v>157</v>
      </c>
      <c r="B317" s="1" t="s">
        <v>178</v>
      </c>
      <c r="C317" s="1" t="s">
        <v>10</v>
      </c>
      <c r="D317" s="1">
        <v>0</v>
      </c>
      <c r="E317" s="1">
        <v>-75.95</v>
      </c>
      <c r="F317" s="1">
        <v>0</v>
      </c>
      <c r="G317" s="1">
        <v>1253.2149999999999</v>
      </c>
      <c r="H317" s="1">
        <v>0</v>
      </c>
      <c r="I317" s="1">
        <v>-303.81</v>
      </c>
    </row>
    <row r="318" spans="1:9" hidden="1" x14ac:dyDescent="0.25">
      <c r="A318" s="1" t="s">
        <v>157</v>
      </c>
      <c r="B318" s="1" t="s">
        <v>179</v>
      </c>
      <c r="C318" s="1" t="s">
        <v>25</v>
      </c>
      <c r="D318" s="1">
        <v>0</v>
      </c>
      <c r="E318" s="1">
        <v>-75.95</v>
      </c>
      <c r="F318" s="1">
        <v>0</v>
      </c>
      <c r="G318" s="1">
        <v>1025.3579999999999</v>
      </c>
      <c r="H318" s="1">
        <v>0</v>
      </c>
      <c r="I318" s="1">
        <v>0</v>
      </c>
    </row>
    <row r="319" spans="1:9" hidden="1" x14ac:dyDescent="0.25">
      <c r="A319" s="1" t="s">
        <v>157</v>
      </c>
      <c r="B319" s="1" t="s">
        <v>179</v>
      </c>
      <c r="C319" s="1" t="s">
        <v>10</v>
      </c>
      <c r="D319" s="1">
        <v>0</v>
      </c>
      <c r="E319" s="1">
        <v>-75.95</v>
      </c>
      <c r="F319" s="1">
        <v>0</v>
      </c>
      <c r="G319" s="1">
        <v>1025.3579999999999</v>
      </c>
      <c r="H319" s="1">
        <v>0</v>
      </c>
      <c r="I319" s="1">
        <v>-303.81</v>
      </c>
    </row>
    <row r="320" spans="1:9" hidden="1" x14ac:dyDescent="0.25">
      <c r="A320" s="1" t="s">
        <v>157</v>
      </c>
      <c r="B320" s="1" t="s">
        <v>180</v>
      </c>
      <c r="C320" s="1" t="s">
        <v>25</v>
      </c>
      <c r="D320" s="1">
        <v>0</v>
      </c>
      <c r="E320" s="1">
        <v>75.95</v>
      </c>
      <c r="F320" s="1">
        <v>0</v>
      </c>
      <c r="G320" s="1">
        <v>-1253.2149999999999</v>
      </c>
      <c r="H320" s="1">
        <v>0</v>
      </c>
      <c r="I320" s="1">
        <v>0</v>
      </c>
    </row>
    <row r="321" spans="1:9" hidden="1" x14ac:dyDescent="0.25">
      <c r="A321" s="1" t="s">
        <v>157</v>
      </c>
      <c r="B321" s="1" t="s">
        <v>180</v>
      </c>
      <c r="C321" s="1" t="s">
        <v>10</v>
      </c>
      <c r="D321" s="1">
        <v>0</v>
      </c>
      <c r="E321" s="1">
        <v>75.95</v>
      </c>
      <c r="F321" s="1">
        <v>0</v>
      </c>
      <c r="G321" s="1">
        <v>-1253.2149999999999</v>
      </c>
      <c r="H321" s="1">
        <v>0</v>
      </c>
      <c r="I321" s="1">
        <v>303.81</v>
      </c>
    </row>
    <row r="322" spans="1:9" hidden="1" x14ac:dyDescent="0.25">
      <c r="A322" s="1" t="s">
        <v>157</v>
      </c>
      <c r="B322" s="1" t="s">
        <v>181</v>
      </c>
      <c r="C322" s="1" t="s">
        <v>25</v>
      </c>
      <c r="D322" s="1">
        <v>0</v>
      </c>
      <c r="E322" s="1">
        <v>75.95</v>
      </c>
      <c r="F322" s="1">
        <v>0</v>
      </c>
      <c r="G322" s="1">
        <v>-1025.3579999999999</v>
      </c>
      <c r="H322" s="1">
        <v>0</v>
      </c>
      <c r="I322" s="1">
        <v>0</v>
      </c>
    </row>
    <row r="323" spans="1:9" hidden="1" x14ac:dyDescent="0.25">
      <c r="A323" s="1" t="s">
        <v>157</v>
      </c>
      <c r="B323" s="1" t="s">
        <v>181</v>
      </c>
      <c r="C323" s="1" t="s">
        <v>10</v>
      </c>
      <c r="D323" s="1">
        <v>0</v>
      </c>
      <c r="E323" s="1">
        <v>75.95</v>
      </c>
      <c r="F323" s="1">
        <v>0</v>
      </c>
      <c r="G323" s="1">
        <v>-1025.3579999999999</v>
      </c>
      <c r="H323" s="1">
        <v>0</v>
      </c>
      <c r="I323" s="1">
        <v>303.81</v>
      </c>
    </row>
    <row r="324" spans="1:9" hidden="1" x14ac:dyDescent="0.25">
      <c r="A324" s="1" t="s">
        <v>157</v>
      </c>
      <c r="B324" s="1" t="s">
        <v>182</v>
      </c>
      <c r="C324" s="1" t="s">
        <v>25</v>
      </c>
      <c r="D324" s="1">
        <v>0</v>
      </c>
      <c r="E324" s="1">
        <v>0</v>
      </c>
      <c r="F324" s="1">
        <v>-91.81</v>
      </c>
      <c r="G324" s="1">
        <v>-1817.798</v>
      </c>
      <c r="H324" s="1">
        <v>0</v>
      </c>
      <c r="I324" s="1">
        <v>0</v>
      </c>
    </row>
    <row r="325" spans="1:9" hidden="1" x14ac:dyDescent="0.25">
      <c r="A325" s="1" t="s">
        <v>157</v>
      </c>
      <c r="B325" s="1" t="s">
        <v>182</v>
      </c>
      <c r="C325" s="1" t="s">
        <v>10</v>
      </c>
      <c r="D325" s="1">
        <v>0</v>
      </c>
      <c r="E325" s="1">
        <v>0</v>
      </c>
      <c r="F325" s="1">
        <v>-91.81</v>
      </c>
      <c r="G325" s="1">
        <v>-1817.798</v>
      </c>
      <c r="H325" s="1">
        <v>367.23200000000003</v>
      </c>
      <c r="I325" s="1">
        <v>0</v>
      </c>
    </row>
    <row r="326" spans="1:9" hidden="1" x14ac:dyDescent="0.25">
      <c r="A326" s="1" t="s">
        <v>157</v>
      </c>
      <c r="B326" s="1" t="s">
        <v>183</v>
      </c>
      <c r="C326" s="1" t="s">
        <v>25</v>
      </c>
      <c r="D326" s="1">
        <v>0</v>
      </c>
      <c r="E326" s="1">
        <v>0</v>
      </c>
      <c r="F326" s="1">
        <v>-91.81</v>
      </c>
      <c r="G326" s="1">
        <v>-1487.29</v>
      </c>
      <c r="H326" s="1">
        <v>0</v>
      </c>
      <c r="I326" s="1">
        <v>0</v>
      </c>
    </row>
    <row r="327" spans="1:9" hidden="1" x14ac:dyDescent="0.25">
      <c r="A327" s="1" t="s">
        <v>157</v>
      </c>
      <c r="B327" s="1" t="s">
        <v>183</v>
      </c>
      <c r="C327" s="1" t="s">
        <v>10</v>
      </c>
      <c r="D327" s="1">
        <v>0</v>
      </c>
      <c r="E327" s="1">
        <v>0</v>
      </c>
      <c r="F327" s="1">
        <v>-91.81</v>
      </c>
      <c r="G327" s="1">
        <v>-1487.29</v>
      </c>
      <c r="H327" s="1">
        <v>367.23200000000003</v>
      </c>
      <c r="I327" s="1">
        <v>0</v>
      </c>
    </row>
    <row r="328" spans="1:9" hidden="1" x14ac:dyDescent="0.25">
      <c r="A328" s="1" t="s">
        <v>157</v>
      </c>
      <c r="B328" s="1" t="s">
        <v>184</v>
      </c>
      <c r="C328" s="1" t="s">
        <v>25</v>
      </c>
      <c r="D328" s="1">
        <v>0</v>
      </c>
      <c r="E328" s="1">
        <v>0</v>
      </c>
      <c r="F328" s="1">
        <v>91.81</v>
      </c>
      <c r="G328" s="1">
        <v>1817.798</v>
      </c>
      <c r="H328" s="1">
        <v>0</v>
      </c>
      <c r="I328" s="1">
        <v>0</v>
      </c>
    </row>
    <row r="329" spans="1:9" hidden="1" x14ac:dyDescent="0.25">
      <c r="A329" s="1" t="s">
        <v>157</v>
      </c>
      <c r="B329" s="1" t="s">
        <v>184</v>
      </c>
      <c r="C329" s="1" t="s">
        <v>10</v>
      </c>
      <c r="D329" s="1">
        <v>0</v>
      </c>
      <c r="E329" s="1">
        <v>0</v>
      </c>
      <c r="F329" s="1">
        <v>91.81</v>
      </c>
      <c r="G329" s="1">
        <v>1817.798</v>
      </c>
      <c r="H329" s="1">
        <v>-367.23200000000003</v>
      </c>
      <c r="I329" s="1">
        <v>0</v>
      </c>
    </row>
    <row r="330" spans="1:9" hidden="1" x14ac:dyDescent="0.25">
      <c r="A330" s="1" t="s">
        <v>157</v>
      </c>
      <c r="B330" s="1" t="s">
        <v>185</v>
      </c>
      <c r="C330" s="1" t="s">
        <v>25</v>
      </c>
      <c r="D330" s="1">
        <v>0</v>
      </c>
      <c r="E330" s="1">
        <v>0</v>
      </c>
      <c r="F330" s="1">
        <v>91.81</v>
      </c>
      <c r="G330" s="1">
        <v>1487.29</v>
      </c>
      <c r="H330" s="1">
        <v>0</v>
      </c>
      <c r="I330" s="1">
        <v>0</v>
      </c>
    </row>
    <row r="331" spans="1:9" hidden="1" x14ac:dyDescent="0.25">
      <c r="A331" s="1" t="s">
        <v>157</v>
      </c>
      <c r="B331" s="1" t="s">
        <v>185</v>
      </c>
      <c r="C331" s="1" t="s">
        <v>10</v>
      </c>
      <c r="D331" s="1">
        <v>0</v>
      </c>
      <c r="E331" s="1">
        <v>0</v>
      </c>
      <c r="F331" s="1">
        <v>91.81</v>
      </c>
      <c r="G331" s="1">
        <v>1487.29</v>
      </c>
      <c r="H331" s="1">
        <v>-367.23200000000003</v>
      </c>
      <c r="I331" s="1">
        <v>0</v>
      </c>
    </row>
    <row r="332" spans="1:9" hidden="1" x14ac:dyDescent="0.25">
      <c r="A332" s="1" t="s">
        <v>157</v>
      </c>
      <c r="B332" s="1" t="s">
        <v>186</v>
      </c>
      <c r="C332" s="1" t="s">
        <v>25</v>
      </c>
      <c r="D332" s="1">
        <v>0</v>
      </c>
      <c r="E332" s="1">
        <v>-75.95</v>
      </c>
      <c r="F332" s="1">
        <v>0</v>
      </c>
      <c r="G332" s="1">
        <v>1253.2149999999999</v>
      </c>
      <c r="H332" s="1">
        <v>0</v>
      </c>
      <c r="I332" s="1">
        <v>0</v>
      </c>
    </row>
    <row r="333" spans="1:9" hidden="1" x14ac:dyDescent="0.25">
      <c r="A333" s="1" t="s">
        <v>157</v>
      </c>
      <c r="B333" s="1" t="s">
        <v>186</v>
      </c>
      <c r="C333" s="1" t="s">
        <v>10</v>
      </c>
      <c r="D333" s="1">
        <v>0</v>
      </c>
      <c r="E333" s="1">
        <v>-75.95</v>
      </c>
      <c r="F333" s="1">
        <v>0</v>
      </c>
      <c r="G333" s="1">
        <v>1253.2149999999999</v>
      </c>
      <c r="H333" s="1">
        <v>0</v>
      </c>
      <c r="I333" s="1">
        <v>-303.81</v>
      </c>
    </row>
    <row r="334" spans="1:9" hidden="1" x14ac:dyDescent="0.25">
      <c r="A334" s="1" t="s">
        <v>157</v>
      </c>
      <c r="B334" s="1" t="s">
        <v>187</v>
      </c>
      <c r="C334" s="1" t="s">
        <v>25</v>
      </c>
      <c r="D334" s="1">
        <v>0</v>
      </c>
      <c r="E334" s="1">
        <v>-75.95</v>
      </c>
      <c r="F334" s="1">
        <v>0</v>
      </c>
      <c r="G334" s="1">
        <v>1025.3579999999999</v>
      </c>
      <c r="H334" s="1">
        <v>0</v>
      </c>
      <c r="I334" s="1">
        <v>0</v>
      </c>
    </row>
    <row r="335" spans="1:9" hidden="1" x14ac:dyDescent="0.25">
      <c r="A335" s="1" t="s">
        <v>157</v>
      </c>
      <c r="B335" s="1" t="s">
        <v>187</v>
      </c>
      <c r="C335" s="1" t="s">
        <v>10</v>
      </c>
      <c r="D335" s="1">
        <v>0</v>
      </c>
      <c r="E335" s="1">
        <v>-75.95</v>
      </c>
      <c r="F335" s="1">
        <v>0</v>
      </c>
      <c r="G335" s="1">
        <v>1025.3579999999999</v>
      </c>
      <c r="H335" s="1">
        <v>0</v>
      </c>
      <c r="I335" s="1">
        <v>-303.81</v>
      </c>
    </row>
    <row r="336" spans="1:9" hidden="1" x14ac:dyDescent="0.25">
      <c r="A336" s="1" t="s">
        <v>157</v>
      </c>
      <c r="B336" s="1" t="s">
        <v>188</v>
      </c>
      <c r="C336" s="1" t="s">
        <v>25</v>
      </c>
      <c r="D336" s="1">
        <v>0</v>
      </c>
      <c r="E336" s="1">
        <v>75.95</v>
      </c>
      <c r="F336" s="1">
        <v>0</v>
      </c>
      <c r="G336" s="1">
        <v>-1253.2149999999999</v>
      </c>
      <c r="H336" s="1">
        <v>0</v>
      </c>
      <c r="I336" s="1">
        <v>0</v>
      </c>
    </row>
    <row r="337" spans="1:9" hidden="1" x14ac:dyDescent="0.25">
      <c r="A337" s="1" t="s">
        <v>157</v>
      </c>
      <c r="B337" s="1" t="s">
        <v>188</v>
      </c>
      <c r="C337" s="1" t="s">
        <v>10</v>
      </c>
      <c r="D337" s="1">
        <v>0</v>
      </c>
      <c r="E337" s="1">
        <v>75.95</v>
      </c>
      <c r="F337" s="1">
        <v>0</v>
      </c>
      <c r="G337" s="1">
        <v>-1253.2149999999999</v>
      </c>
      <c r="H337" s="1">
        <v>0</v>
      </c>
      <c r="I337" s="1">
        <v>303.81</v>
      </c>
    </row>
    <row r="338" spans="1:9" hidden="1" x14ac:dyDescent="0.25">
      <c r="A338" s="1" t="s">
        <v>157</v>
      </c>
      <c r="B338" s="1" t="s">
        <v>189</v>
      </c>
      <c r="C338" s="1" t="s">
        <v>25</v>
      </c>
      <c r="D338" s="1">
        <v>0</v>
      </c>
      <c r="E338" s="1">
        <v>75.95</v>
      </c>
      <c r="F338" s="1">
        <v>0</v>
      </c>
      <c r="G338" s="1">
        <v>-1025.3579999999999</v>
      </c>
      <c r="H338" s="1">
        <v>0</v>
      </c>
      <c r="I338" s="1">
        <v>0</v>
      </c>
    </row>
    <row r="339" spans="1:9" hidden="1" x14ac:dyDescent="0.25">
      <c r="A339" s="1" t="s">
        <v>157</v>
      </c>
      <c r="B339" s="1" t="s">
        <v>189</v>
      </c>
      <c r="C339" s="1" t="s">
        <v>10</v>
      </c>
      <c r="D339" s="1">
        <v>0</v>
      </c>
      <c r="E339" s="1">
        <v>75.95</v>
      </c>
      <c r="F339" s="1">
        <v>0</v>
      </c>
      <c r="G339" s="1">
        <v>-1025.3579999999999</v>
      </c>
      <c r="H339" s="1">
        <v>0</v>
      </c>
      <c r="I339" s="1">
        <v>303.81</v>
      </c>
    </row>
    <row r="340" spans="1:9" hidden="1" x14ac:dyDescent="0.25">
      <c r="A340" s="1" t="s">
        <v>157</v>
      </c>
      <c r="B340" s="1" t="s">
        <v>190</v>
      </c>
      <c r="C340" s="1" t="s">
        <v>25</v>
      </c>
      <c r="D340" s="1">
        <v>0</v>
      </c>
      <c r="E340" s="1">
        <v>0</v>
      </c>
      <c r="F340" s="1">
        <v>-91.81</v>
      </c>
      <c r="G340" s="1">
        <v>-1817.798</v>
      </c>
      <c r="H340" s="1">
        <v>0</v>
      </c>
      <c r="I340" s="1">
        <v>0</v>
      </c>
    </row>
    <row r="341" spans="1:9" hidden="1" x14ac:dyDescent="0.25">
      <c r="A341" s="1" t="s">
        <v>157</v>
      </c>
      <c r="B341" s="1" t="s">
        <v>190</v>
      </c>
      <c r="C341" s="1" t="s">
        <v>10</v>
      </c>
      <c r="D341" s="1">
        <v>0</v>
      </c>
      <c r="E341" s="1">
        <v>0</v>
      </c>
      <c r="F341" s="1">
        <v>-91.81</v>
      </c>
      <c r="G341" s="1">
        <v>-1817.798</v>
      </c>
      <c r="H341" s="1">
        <v>367.23200000000003</v>
      </c>
      <c r="I341" s="1">
        <v>0</v>
      </c>
    </row>
    <row r="342" spans="1:9" hidden="1" x14ac:dyDescent="0.25">
      <c r="A342" s="1" t="s">
        <v>157</v>
      </c>
      <c r="B342" s="1" t="s">
        <v>191</v>
      </c>
      <c r="C342" s="1" t="s">
        <v>25</v>
      </c>
      <c r="D342" s="1">
        <v>0</v>
      </c>
      <c r="E342" s="1">
        <v>0</v>
      </c>
      <c r="F342" s="1">
        <v>-91.81</v>
      </c>
      <c r="G342" s="1">
        <v>-1487.29</v>
      </c>
      <c r="H342" s="1">
        <v>0</v>
      </c>
      <c r="I342" s="1">
        <v>0</v>
      </c>
    </row>
    <row r="343" spans="1:9" hidden="1" x14ac:dyDescent="0.25">
      <c r="A343" s="1" t="s">
        <v>157</v>
      </c>
      <c r="B343" s="1" t="s">
        <v>191</v>
      </c>
      <c r="C343" s="1" t="s">
        <v>10</v>
      </c>
      <c r="D343" s="1">
        <v>0</v>
      </c>
      <c r="E343" s="1">
        <v>0</v>
      </c>
      <c r="F343" s="1">
        <v>-91.81</v>
      </c>
      <c r="G343" s="1">
        <v>-1487.29</v>
      </c>
      <c r="H343" s="1">
        <v>367.23200000000003</v>
      </c>
      <c r="I343" s="1">
        <v>0</v>
      </c>
    </row>
    <row r="344" spans="1:9" hidden="1" x14ac:dyDescent="0.25">
      <c r="A344" s="1" t="s">
        <v>157</v>
      </c>
      <c r="B344" s="1" t="s">
        <v>192</v>
      </c>
      <c r="C344" s="1" t="s">
        <v>25</v>
      </c>
      <c r="D344" s="1">
        <v>0</v>
      </c>
      <c r="E344" s="1">
        <v>0</v>
      </c>
      <c r="F344" s="1">
        <v>91.81</v>
      </c>
      <c r="G344" s="1">
        <v>1817.798</v>
      </c>
      <c r="H344" s="1">
        <v>0</v>
      </c>
      <c r="I344" s="1">
        <v>0</v>
      </c>
    </row>
    <row r="345" spans="1:9" hidden="1" x14ac:dyDescent="0.25">
      <c r="A345" s="1" t="s">
        <v>157</v>
      </c>
      <c r="B345" s="1" t="s">
        <v>192</v>
      </c>
      <c r="C345" s="1" t="s">
        <v>10</v>
      </c>
      <c r="D345" s="1">
        <v>0</v>
      </c>
      <c r="E345" s="1">
        <v>0</v>
      </c>
      <c r="F345" s="1">
        <v>91.81</v>
      </c>
      <c r="G345" s="1">
        <v>1817.798</v>
      </c>
      <c r="H345" s="1">
        <v>-367.23200000000003</v>
      </c>
      <c r="I345" s="1">
        <v>0</v>
      </c>
    </row>
    <row r="346" spans="1:9" hidden="1" x14ac:dyDescent="0.25">
      <c r="A346" s="1" t="s">
        <v>157</v>
      </c>
      <c r="B346" s="1" t="s">
        <v>193</v>
      </c>
      <c r="C346" s="1" t="s">
        <v>25</v>
      </c>
      <c r="D346" s="1">
        <v>0</v>
      </c>
      <c r="E346" s="1">
        <v>0</v>
      </c>
      <c r="F346" s="1">
        <v>91.81</v>
      </c>
      <c r="G346" s="1">
        <v>1487.29</v>
      </c>
      <c r="H346" s="1">
        <v>0</v>
      </c>
      <c r="I346" s="1">
        <v>0</v>
      </c>
    </row>
    <row r="347" spans="1:9" hidden="1" x14ac:dyDescent="0.25">
      <c r="A347" s="1" t="s">
        <v>157</v>
      </c>
      <c r="B347" s="1" t="s">
        <v>193</v>
      </c>
      <c r="C347" s="1" t="s">
        <v>10</v>
      </c>
      <c r="D347" s="1">
        <v>0</v>
      </c>
      <c r="E347" s="1">
        <v>0</v>
      </c>
      <c r="F347" s="1">
        <v>91.81</v>
      </c>
      <c r="G347" s="1">
        <v>1487.29</v>
      </c>
      <c r="H347" s="1">
        <v>-367.23200000000003</v>
      </c>
      <c r="I347" s="1">
        <v>0</v>
      </c>
    </row>
    <row r="348" spans="1:9" hidden="1" x14ac:dyDescent="0.25">
      <c r="A348" s="1" t="s">
        <v>157</v>
      </c>
      <c r="B348" s="1" t="s">
        <v>194</v>
      </c>
      <c r="C348" s="1" t="s">
        <v>25</v>
      </c>
      <c r="D348" s="1">
        <v>0</v>
      </c>
      <c r="E348" s="1">
        <v>-253.17</v>
      </c>
      <c r="F348" s="1">
        <v>0</v>
      </c>
      <c r="G348" s="1">
        <v>4177.384</v>
      </c>
      <c r="H348" s="1">
        <v>0</v>
      </c>
      <c r="I348" s="1">
        <v>0</v>
      </c>
    </row>
    <row r="349" spans="1:9" hidden="1" x14ac:dyDescent="0.25">
      <c r="A349" s="1" t="s">
        <v>157</v>
      </c>
      <c r="B349" s="1" t="s">
        <v>194</v>
      </c>
      <c r="C349" s="1" t="s">
        <v>10</v>
      </c>
      <c r="D349" s="1">
        <v>0</v>
      </c>
      <c r="E349" s="1">
        <v>-253.17</v>
      </c>
      <c r="F349" s="1">
        <v>0</v>
      </c>
      <c r="G349" s="1">
        <v>4177.384</v>
      </c>
      <c r="H349" s="1">
        <v>0</v>
      </c>
      <c r="I349" s="1">
        <v>-1012.699</v>
      </c>
    </row>
    <row r="350" spans="1:9" hidden="1" x14ac:dyDescent="0.25">
      <c r="A350" s="1" t="s">
        <v>157</v>
      </c>
      <c r="B350" s="1" t="s">
        <v>195</v>
      </c>
      <c r="C350" s="1" t="s">
        <v>25</v>
      </c>
      <c r="D350" s="1">
        <v>0</v>
      </c>
      <c r="E350" s="1">
        <v>-253.17</v>
      </c>
      <c r="F350" s="1">
        <v>0</v>
      </c>
      <c r="G350" s="1">
        <v>3417.86</v>
      </c>
      <c r="H350" s="1">
        <v>0</v>
      </c>
      <c r="I350" s="1">
        <v>0</v>
      </c>
    </row>
    <row r="351" spans="1:9" hidden="1" x14ac:dyDescent="0.25">
      <c r="A351" s="1" t="s">
        <v>157</v>
      </c>
      <c r="B351" s="1" t="s">
        <v>195</v>
      </c>
      <c r="C351" s="1" t="s">
        <v>10</v>
      </c>
      <c r="D351" s="1">
        <v>0</v>
      </c>
      <c r="E351" s="1">
        <v>-253.17</v>
      </c>
      <c r="F351" s="1">
        <v>0</v>
      </c>
      <c r="G351" s="1">
        <v>3417.86</v>
      </c>
      <c r="H351" s="1">
        <v>0</v>
      </c>
      <c r="I351" s="1">
        <v>-1012.699</v>
      </c>
    </row>
    <row r="352" spans="1:9" hidden="1" x14ac:dyDescent="0.25">
      <c r="A352" s="1" t="s">
        <v>157</v>
      </c>
      <c r="B352" s="1" t="s">
        <v>196</v>
      </c>
      <c r="C352" s="1" t="s">
        <v>25</v>
      </c>
      <c r="D352" s="1">
        <v>0</v>
      </c>
      <c r="E352" s="1">
        <v>253.17</v>
      </c>
      <c r="F352" s="1">
        <v>0</v>
      </c>
      <c r="G352" s="1">
        <v>-4177.384</v>
      </c>
      <c r="H352" s="1">
        <v>0</v>
      </c>
      <c r="I352" s="1">
        <v>0</v>
      </c>
    </row>
    <row r="353" spans="1:9" hidden="1" x14ac:dyDescent="0.25">
      <c r="A353" s="1" t="s">
        <v>157</v>
      </c>
      <c r="B353" s="1" t="s">
        <v>196</v>
      </c>
      <c r="C353" s="1" t="s">
        <v>10</v>
      </c>
      <c r="D353" s="1">
        <v>0</v>
      </c>
      <c r="E353" s="1">
        <v>253.17</v>
      </c>
      <c r="F353" s="1">
        <v>0</v>
      </c>
      <c r="G353" s="1">
        <v>-4177.384</v>
      </c>
      <c r="H353" s="1">
        <v>0</v>
      </c>
      <c r="I353" s="1">
        <v>1012.699</v>
      </c>
    </row>
    <row r="354" spans="1:9" hidden="1" x14ac:dyDescent="0.25">
      <c r="A354" s="1" t="s">
        <v>157</v>
      </c>
      <c r="B354" s="1" t="s">
        <v>197</v>
      </c>
      <c r="C354" s="1" t="s">
        <v>25</v>
      </c>
      <c r="D354" s="1">
        <v>0</v>
      </c>
      <c r="E354" s="1">
        <v>253.17</v>
      </c>
      <c r="F354" s="1">
        <v>0</v>
      </c>
      <c r="G354" s="1">
        <v>-3417.86</v>
      </c>
      <c r="H354" s="1">
        <v>0</v>
      </c>
      <c r="I354" s="1">
        <v>0</v>
      </c>
    </row>
    <row r="355" spans="1:9" hidden="1" x14ac:dyDescent="0.25">
      <c r="A355" s="1" t="s">
        <v>157</v>
      </c>
      <c r="B355" s="1" t="s">
        <v>197</v>
      </c>
      <c r="C355" s="1" t="s">
        <v>10</v>
      </c>
      <c r="D355" s="1">
        <v>0</v>
      </c>
      <c r="E355" s="1">
        <v>253.17</v>
      </c>
      <c r="F355" s="1">
        <v>0</v>
      </c>
      <c r="G355" s="1">
        <v>-3417.86</v>
      </c>
      <c r="H355" s="1">
        <v>0</v>
      </c>
      <c r="I355" s="1">
        <v>1012.699</v>
      </c>
    </row>
    <row r="356" spans="1:9" hidden="1" x14ac:dyDescent="0.25">
      <c r="A356" s="1" t="s">
        <v>157</v>
      </c>
      <c r="B356" s="1" t="s">
        <v>198</v>
      </c>
      <c r="C356" s="1" t="s">
        <v>25</v>
      </c>
      <c r="D356" s="1">
        <v>0</v>
      </c>
      <c r="E356" s="1">
        <v>0</v>
      </c>
      <c r="F356" s="1">
        <v>-306.02999999999997</v>
      </c>
      <c r="G356" s="1">
        <v>-6059.3280000000004</v>
      </c>
      <c r="H356" s="1">
        <v>0</v>
      </c>
      <c r="I356" s="1">
        <v>0</v>
      </c>
    </row>
    <row r="357" spans="1:9" hidden="1" x14ac:dyDescent="0.25">
      <c r="A357" s="1" t="s">
        <v>157</v>
      </c>
      <c r="B357" s="1" t="s">
        <v>198</v>
      </c>
      <c r="C357" s="1" t="s">
        <v>10</v>
      </c>
      <c r="D357" s="1">
        <v>0</v>
      </c>
      <c r="E357" s="1">
        <v>0</v>
      </c>
      <c r="F357" s="1">
        <v>-306.02999999999997</v>
      </c>
      <c r="G357" s="1">
        <v>-6059.3280000000004</v>
      </c>
      <c r="H357" s="1">
        <v>1224.107</v>
      </c>
      <c r="I357" s="1">
        <v>0</v>
      </c>
    </row>
    <row r="358" spans="1:9" hidden="1" x14ac:dyDescent="0.25">
      <c r="A358" s="1" t="s">
        <v>157</v>
      </c>
      <c r="B358" s="1" t="s">
        <v>199</v>
      </c>
      <c r="C358" s="1" t="s">
        <v>25</v>
      </c>
      <c r="D358" s="1">
        <v>0</v>
      </c>
      <c r="E358" s="1">
        <v>0</v>
      </c>
      <c r="F358" s="1">
        <v>-306.02999999999997</v>
      </c>
      <c r="G358" s="1">
        <v>-4957.6319999999996</v>
      </c>
      <c r="H358" s="1">
        <v>0</v>
      </c>
      <c r="I358" s="1">
        <v>0</v>
      </c>
    </row>
    <row r="359" spans="1:9" hidden="1" x14ac:dyDescent="0.25">
      <c r="A359" s="1" t="s">
        <v>157</v>
      </c>
      <c r="B359" s="1" t="s">
        <v>199</v>
      </c>
      <c r="C359" s="1" t="s">
        <v>10</v>
      </c>
      <c r="D359" s="1">
        <v>0</v>
      </c>
      <c r="E359" s="1">
        <v>0</v>
      </c>
      <c r="F359" s="1">
        <v>-306.02999999999997</v>
      </c>
      <c r="G359" s="1">
        <v>-4957.6319999999996</v>
      </c>
      <c r="H359" s="1">
        <v>1224.107</v>
      </c>
      <c r="I359" s="1">
        <v>0</v>
      </c>
    </row>
    <row r="360" spans="1:9" hidden="1" x14ac:dyDescent="0.25">
      <c r="A360" s="1" t="s">
        <v>157</v>
      </c>
      <c r="B360" s="1" t="s">
        <v>200</v>
      </c>
      <c r="C360" s="1" t="s">
        <v>25</v>
      </c>
      <c r="D360" s="1">
        <v>0</v>
      </c>
      <c r="E360" s="1">
        <v>0</v>
      </c>
      <c r="F360" s="1">
        <v>306.02999999999997</v>
      </c>
      <c r="G360" s="1">
        <v>6059.3280000000004</v>
      </c>
      <c r="H360" s="1">
        <v>0</v>
      </c>
      <c r="I360" s="1">
        <v>0</v>
      </c>
    </row>
    <row r="361" spans="1:9" hidden="1" x14ac:dyDescent="0.25">
      <c r="A361" s="1" t="s">
        <v>157</v>
      </c>
      <c r="B361" s="1" t="s">
        <v>200</v>
      </c>
      <c r="C361" s="1" t="s">
        <v>10</v>
      </c>
      <c r="D361" s="1">
        <v>0</v>
      </c>
      <c r="E361" s="1">
        <v>0</v>
      </c>
      <c r="F361" s="1">
        <v>306.02999999999997</v>
      </c>
      <c r="G361" s="1">
        <v>6059.3280000000004</v>
      </c>
      <c r="H361" s="1">
        <v>-1224.107</v>
      </c>
      <c r="I361" s="1">
        <v>0</v>
      </c>
    </row>
    <row r="362" spans="1:9" hidden="1" x14ac:dyDescent="0.25">
      <c r="A362" s="1" t="s">
        <v>157</v>
      </c>
      <c r="B362" s="1" t="s">
        <v>201</v>
      </c>
      <c r="C362" s="1" t="s">
        <v>25</v>
      </c>
      <c r="D362" s="1">
        <v>0</v>
      </c>
      <c r="E362" s="1">
        <v>0</v>
      </c>
      <c r="F362" s="1">
        <v>306.02999999999997</v>
      </c>
      <c r="G362" s="1">
        <v>4957.6319999999996</v>
      </c>
      <c r="H362" s="1">
        <v>0</v>
      </c>
      <c r="I362" s="1">
        <v>0</v>
      </c>
    </row>
    <row r="363" spans="1:9" hidden="1" x14ac:dyDescent="0.25">
      <c r="A363" s="1" t="s">
        <v>157</v>
      </c>
      <c r="B363" s="1" t="s">
        <v>201</v>
      </c>
      <c r="C363" s="1" t="s">
        <v>10</v>
      </c>
      <c r="D363" s="1">
        <v>0</v>
      </c>
      <c r="E363" s="1">
        <v>0</v>
      </c>
      <c r="F363" s="1">
        <v>306.02999999999997</v>
      </c>
      <c r="G363" s="1">
        <v>4957.6319999999996</v>
      </c>
      <c r="H363" s="1">
        <v>-1224.107</v>
      </c>
      <c r="I363" s="1">
        <v>0</v>
      </c>
    </row>
    <row r="364" spans="1:9" hidden="1" x14ac:dyDescent="0.25">
      <c r="A364" s="1" t="s">
        <v>157</v>
      </c>
      <c r="B364" s="1" t="s">
        <v>202</v>
      </c>
      <c r="C364" s="1" t="s">
        <v>25</v>
      </c>
      <c r="D364" s="1">
        <v>0</v>
      </c>
      <c r="E364" s="1">
        <v>-253.17</v>
      </c>
      <c r="F364" s="1">
        <v>0</v>
      </c>
      <c r="G364" s="1">
        <v>4177.384</v>
      </c>
      <c r="H364" s="1">
        <v>0</v>
      </c>
      <c r="I364" s="1">
        <v>0</v>
      </c>
    </row>
    <row r="365" spans="1:9" hidden="1" x14ac:dyDescent="0.25">
      <c r="A365" s="1" t="s">
        <v>157</v>
      </c>
      <c r="B365" s="1" t="s">
        <v>202</v>
      </c>
      <c r="C365" s="1" t="s">
        <v>10</v>
      </c>
      <c r="D365" s="1">
        <v>0</v>
      </c>
      <c r="E365" s="1">
        <v>-253.17</v>
      </c>
      <c r="F365" s="1">
        <v>0</v>
      </c>
      <c r="G365" s="1">
        <v>4177.384</v>
      </c>
      <c r="H365" s="1">
        <v>0</v>
      </c>
      <c r="I365" s="1">
        <v>-1012.699</v>
      </c>
    </row>
    <row r="366" spans="1:9" hidden="1" x14ac:dyDescent="0.25">
      <c r="A366" s="1" t="s">
        <v>157</v>
      </c>
      <c r="B366" s="1" t="s">
        <v>203</v>
      </c>
      <c r="C366" s="1" t="s">
        <v>25</v>
      </c>
      <c r="D366" s="1">
        <v>0</v>
      </c>
      <c r="E366" s="1">
        <v>-253.17</v>
      </c>
      <c r="F366" s="1">
        <v>0</v>
      </c>
      <c r="G366" s="1">
        <v>3417.86</v>
      </c>
      <c r="H366" s="1">
        <v>0</v>
      </c>
      <c r="I366" s="1">
        <v>0</v>
      </c>
    </row>
    <row r="367" spans="1:9" hidden="1" x14ac:dyDescent="0.25">
      <c r="A367" s="1" t="s">
        <v>157</v>
      </c>
      <c r="B367" s="1" t="s">
        <v>203</v>
      </c>
      <c r="C367" s="1" t="s">
        <v>10</v>
      </c>
      <c r="D367" s="1">
        <v>0</v>
      </c>
      <c r="E367" s="1">
        <v>-253.17</v>
      </c>
      <c r="F367" s="1">
        <v>0</v>
      </c>
      <c r="G367" s="1">
        <v>3417.86</v>
      </c>
      <c r="H367" s="1">
        <v>0</v>
      </c>
      <c r="I367" s="1">
        <v>-1012.699</v>
      </c>
    </row>
    <row r="368" spans="1:9" hidden="1" x14ac:dyDescent="0.25">
      <c r="A368" s="1" t="s">
        <v>157</v>
      </c>
      <c r="B368" s="1" t="s">
        <v>204</v>
      </c>
      <c r="C368" s="1" t="s">
        <v>25</v>
      </c>
      <c r="D368" s="1">
        <v>0</v>
      </c>
      <c r="E368" s="1">
        <v>253.17</v>
      </c>
      <c r="F368" s="1">
        <v>0</v>
      </c>
      <c r="G368" s="1">
        <v>-4177.384</v>
      </c>
      <c r="H368" s="1">
        <v>0</v>
      </c>
      <c r="I368" s="1">
        <v>0</v>
      </c>
    </row>
    <row r="369" spans="1:9" hidden="1" x14ac:dyDescent="0.25">
      <c r="A369" s="1" t="s">
        <v>157</v>
      </c>
      <c r="B369" s="1" t="s">
        <v>204</v>
      </c>
      <c r="C369" s="1" t="s">
        <v>10</v>
      </c>
      <c r="D369" s="1">
        <v>0</v>
      </c>
      <c r="E369" s="1">
        <v>253.17</v>
      </c>
      <c r="F369" s="1">
        <v>0</v>
      </c>
      <c r="G369" s="1">
        <v>-4177.384</v>
      </c>
      <c r="H369" s="1">
        <v>0</v>
      </c>
      <c r="I369" s="1">
        <v>1012.699</v>
      </c>
    </row>
    <row r="370" spans="1:9" hidden="1" x14ac:dyDescent="0.25">
      <c r="A370" s="1" t="s">
        <v>157</v>
      </c>
      <c r="B370" s="1" t="s">
        <v>205</v>
      </c>
      <c r="C370" s="1" t="s">
        <v>25</v>
      </c>
      <c r="D370" s="1">
        <v>0</v>
      </c>
      <c r="E370" s="1">
        <v>253.17</v>
      </c>
      <c r="F370" s="1">
        <v>0</v>
      </c>
      <c r="G370" s="1">
        <v>-3417.86</v>
      </c>
      <c r="H370" s="1">
        <v>0</v>
      </c>
      <c r="I370" s="1">
        <v>0</v>
      </c>
    </row>
    <row r="371" spans="1:9" hidden="1" x14ac:dyDescent="0.25">
      <c r="A371" s="1" t="s">
        <v>157</v>
      </c>
      <c r="B371" s="1" t="s">
        <v>205</v>
      </c>
      <c r="C371" s="1" t="s">
        <v>10</v>
      </c>
      <c r="D371" s="1">
        <v>0</v>
      </c>
      <c r="E371" s="1">
        <v>253.17</v>
      </c>
      <c r="F371" s="1">
        <v>0</v>
      </c>
      <c r="G371" s="1">
        <v>-3417.86</v>
      </c>
      <c r="H371" s="1">
        <v>0</v>
      </c>
      <c r="I371" s="1">
        <v>1012.699</v>
      </c>
    </row>
    <row r="372" spans="1:9" hidden="1" x14ac:dyDescent="0.25">
      <c r="A372" s="1" t="s">
        <v>157</v>
      </c>
      <c r="B372" s="1" t="s">
        <v>206</v>
      </c>
      <c r="C372" s="1" t="s">
        <v>25</v>
      </c>
      <c r="D372" s="1">
        <v>0</v>
      </c>
      <c r="E372" s="1">
        <v>0</v>
      </c>
      <c r="F372" s="1">
        <v>-306.02999999999997</v>
      </c>
      <c r="G372" s="1">
        <v>-6059.3280000000004</v>
      </c>
      <c r="H372" s="1">
        <v>0</v>
      </c>
      <c r="I372" s="1">
        <v>0</v>
      </c>
    </row>
    <row r="373" spans="1:9" hidden="1" x14ac:dyDescent="0.25">
      <c r="A373" s="1" t="s">
        <v>157</v>
      </c>
      <c r="B373" s="1" t="s">
        <v>206</v>
      </c>
      <c r="C373" s="1" t="s">
        <v>10</v>
      </c>
      <c r="D373" s="1">
        <v>0</v>
      </c>
      <c r="E373" s="1">
        <v>0</v>
      </c>
      <c r="F373" s="1">
        <v>-306.02999999999997</v>
      </c>
      <c r="G373" s="1">
        <v>-6059.3280000000004</v>
      </c>
      <c r="H373" s="1">
        <v>1224.107</v>
      </c>
      <c r="I373" s="1">
        <v>0</v>
      </c>
    </row>
    <row r="374" spans="1:9" hidden="1" x14ac:dyDescent="0.25">
      <c r="A374" s="1" t="s">
        <v>157</v>
      </c>
      <c r="B374" s="1" t="s">
        <v>207</v>
      </c>
      <c r="C374" s="1" t="s">
        <v>25</v>
      </c>
      <c r="D374" s="1">
        <v>0</v>
      </c>
      <c r="E374" s="1">
        <v>0</v>
      </c>
      <c r="F374" s="1">
        <v>-306.02999999999997</v>
      </c>
      <c r="G374" s="1">
        <v>-4957.6319999999996</v>
      </c>
      <c r="H374" s="1">
        <v>0</v>
      </c>
      <c r="I374" s="1">
        <v>0</v>
      </c>
    </row>
    <row r="375" spans="1:9" hidden="1" x14ac:dyDescent="0.25">
      <c r="A375" s="1" t="s">
        <v>157</v>
      </c>
      <c r="B375" s="1" t="s">
        <v>207</v>
      </c>
      <c r="C375" s="1" t="s">
        <v>10</v>
      </c>
      <c r="D375" s="1">
        <v>0</v>
      </c>
      <c r="E375" s="1">
        <v>0</v>
      </c>
      <c r="F375" s="1">
        <v>-306.02999999999997</v>
      </c>
      <c r="G375" s="1">
        <v>-4957.6319999999996</v>
      </c>
      <c r="H375" s="1">
        <v>1224.107</v>
      </c>
      <c r="I375" s="1">
        <v>0</v>
      </c>
    </row>
    <row r="376" spans="1:9" hidden="1" x14ac:dyDescent="0.25">
      <c r="A376" s="1" t="s">
        <v>157</v>
      </c>
      <c r="B376" s="1" t="s">
        <v>208</v>
      </c>
      <c r="C376" s="1" t="s">
        <v>25</v>
      </c>
      <c r="D376" s="1">
        <v>0</v>
      </c>
      <c r="E376" s="1">
        <v>0</v>
      </c>
      <c r="F376" s="1">
        <v>306.02999999999997</v>
      </c>
      <c r="G376" s="1">
        <v>6059.3280000000004</v>
      </c>
      <c r="H376" s="1">
        <v>0</v>
      </c>
      <c r="I376" s="1">
        <v>0</v>
      </c>
    </row>
    <row r="377" spans="1:9" hidden="1" x14ac:dyDescent="0.25">
      <c r="A377" s="1" t="s">
        <v>157</v>
      </c>
      <c r="B377" s="1" t="s">
        <v>208</v>
      </c>
      <c r="C377" s="1" t="s">
        <v>10</v>
      </c>
      <c r="D377" s="1">
        <v>0</v>
      </c>
      <c r="E377" s="1">
        <v>0</v>
      </c>
      <c r="F377" s="1">
        <v>306.02999999999997</v>
      </c>
      <c r="G377" s="1">
        <v>6059.3280000000004</v>
      </c>
      <c r="H377" s="1">
        <v>-1224.107</v>
      </c>
      <c r="I377" s="1">
        <v>0</v>
      </c>
    </row>
    <row r="378" spans="1:9" hidden="1" x14ac:dyDescent="0.25">
      <c r="A378" s="1" t="s">
        <v>157</v>
      </c>
      <c r="B378" s="1" t="s">
        <v>209</v>
      </c>
      <c r="C378" s="1" t="s">
        <v>25</v>
      </c>
      <c r="D378" s="1">
        <v>0</v>
      </c>
      <c r="E378" s="1">
        <v>0</v>
      </c>
      <c r="F378" s="1">
        <v>306.02999999999997</v>
      </c>
      <c r="G378" s="1">
        <v>4957.6319999999996</v>
      </c>
      <c r="H378" s="1">
        <v>0</v>
      </c>
      <c r="I378" s="1">
        <v>0</v>
      </c>
    </row>
    <row r="379" spans="1:9" hidden="1" x14ac:dyDescent="0.25">
      <c r="A379" s="1" t="s">
        <v>157</v>
      </c>
      <c r="B379" s="1" t="s">
        <v>209</v>
      </c>
      <c r="C379" s="1" t="s">
        <v>10</v>
      </c>
      <c r="D379" s="1">
        <v>0</v>
      </c>
      <c r="E379" s="1">
        <v>0</v>
      </c>
      <c r="F379" s="1">
        <v>306.02999999999997</v>
      </c>
      <c r="G379" s="1">
        <v>4957.6319999999996</v>
      </c>
      <c r="H379" s="1">
        <v>-1224.107</v>
      </c>
      <c r="I379" s="1">
        <v>0</v>
      </c>
    </row>
    <row r="380" spans="1:9" hidden="1" x14ac:dyDescent="0.25">
      <c r="A380" s="1" t="s">
        <v>157</v>
      </c>
      <c r="B380" s="1" t="s">
        <v>210</v>
      </c>
      <c r="C380" s="1" t="s">
        <v>25</v>
      </c>
      <c r="D380" s="1">
        <v>0</v>
      </c>
      <c r="E380" s="1">
        <v>-75.95</v>
      </c>
      <c r="F380" s="1">
        <v>0</v>
      </c>
      <c r="G380" s="1">
        <v>1253.2149999999999</v>
      </c>
      <c r="H380" s="1">
        <v>0</v>
      </c>
      <c r="I380" s="1">
        <v>0</v>
      </c>
    </row>
    <row r="381" spans="1:9" hidden="1" x14ac:dyDescent="0.25">
      <c r="A381" s="1" t="s">
        <v>157</v>
      </c>
      <c r="B381" s="1" t="s">
        <v>210</v>
      </c>
      <c r="C381" s="1" t="s">
        <v>10</v>
      </c>
      <c r="D381" s="1">
        <v>0</v>
      </c>
      <c r="E381" s="1">
        <v>-75.95</v>
      </c>
      <c r="F381" s="1">
        <v>0</v>
      </c>
      <c r="G381" s="1">
        <v>1253.2149999999999</v>
      </c>
      <c r="H381" s="1">
        <v>0</v>
      </c>
      <c r="I381" s="1">
        <v>-303.81</v>
      </c>
    </row>
    <row r="382" spans="1:9" hidden="1" x14ac:dyDescent="0.25">
      <c r="A382" s="1" t="s">
        <v>157</v>
      </c>
      <c r="B382" s="1" t="s">
        <v>211</v>
      </c>
      <c r="C382" s="1" t="s">
        <v>25</v>
      </c>
      <c r="D382" s="1">
        <v>0</v>
      </c>
      <c r="E382" s="1">
        <v>-75.95</v>
      </c>
      <c r="F382" s="1">
        <v>0</v>
      </c>
      <c r="G382" s="1">
        <v>1025.3579999999999</v>
      </c>
      <c r="H382" s="1">
        <v>0</v>
      </c>
      <c r="I382" s="1">
        <v>0</v>
      </c>
    </row>
    <row r="383" spans="1:9" hidden="1" x14ac:dyDescent="0.25">
      <c r="A383" s="1" t="s">
        <v>157</v>
      </c>
      <c r="B383" s="1" t="s">
        <v>211</v>
      </c>
      <c r="C383" s="1" t="s">
        <v>10</v>
      </c>
      <c r="D383" s="1">
        <v>0</v>
      </c>
      <c r="E383" s="1">
        <v>-75.95</v>
      </c>
      <c r="F383" s="1">
        <v>0</v>
      </c>
      <c r="G383" s="1">
        <v>1025.3579999999999</v>
      </c>
      <c r="H383" s="1">
        <v>0</v>
      </c>
      <c r="I383" s="1">
        <v>-303.81</v>
      </c>
    </row>
    <row r="384" spans="1:9" hidden="1" x14ac:dyDescent="0.25">
      <c r="A384" s="1" t="s">
        <v>157</v>
      </c>
      <c r="B384" s="1" t="s">
        <v>212</v>
      </c>
      <c r="C384" s="1" t="s">
        <v>25</v>
      </c>
      <c r="D384" s="1">
        <v>0</v>
      </c>
      <c r="E384" s="1">
        <v>75.95</v>
      </c>
      <c r="F384" s="1">
        <v>0</v>
      </c>
      <c r="G384" s="1">
        <v>-1253.2149999999999</v>
      </c>
      <c r="H384" s="1">
        <v>0</v>
      </c>
      <c r="I384" s="1">
        <v>0</v>
      </c>
    </row>
    <row r="385" spans="1:9" hidden="1" x14ac:dyDescent="0.25">
      <c r="A385" s="1" t="s">
        <v>157</v>
      </c>
      <c r="B385" s="1" t="s">
        <v>212</v>
      </c>
      <c r="C385" s="1" t="s">
        <v>10</v>
      </c>
      <c r="D385" s="1">
        <v>0</v>
      </c>
      <c r="E385" s="1">
        <v>75.95</v>
      </c>
      <c r="F385" s="1">
        <v>0</v>
      </c>
      <c r="G385" s="1">
        <v>-1253.2149999999999</v>
      </c>
      <c r="H385" s="1">
        <v>0</v>
      </c>
      <c r="I385" s="1">
        <v>303.81</v>
      </c>
    </row>
    <row r="386" spans="1:9" hidden="1" x14ac:dyDescent="0.25">
      <c r="A386" s="1" t="s">
        <v>157</v>
      </c>
      <c r="B386" s="1" t="s">
        <v>213</v>
      </c>
      <c r="C386" s="1" t="s">
        <v>25</v>
      </c>
      <c r="D386" s="1">
        <v>0</v>
      </c>
      <c r="E386" s="1">
        <v>75.95</v>
      </c>
      <c r="F386" s="1">
        <v>0</v>
      </c>
      <c r="G386" s="1">
        <v>-1025.3579999999999</v>
      </c>
      <c r="H386" s="1">
        <v>0</v>
      </c>
      <c r="I386" s="1">
        <v>0</v>
      </c>
    </row>
    <row r="387" spans="1:9" hidden="1" x14ac:dyDescent="0.25">
      <c r="A387" s="1" t="s">
        <v>157</v>
      </c>
      <c r="B387" s="1" t="s">
        <v>213</v>
      </c>
      <c r="C387" s="1" t="s">
        <v>10</v>
      </c>
      <c r="D387" s="1">
        <v>0</v>
      </c>
      <c r="E387" s="1">
        <v>75.95</v>
      </c>
      <c r="F387" s="1">
        <v>0</v>
      </c>
      <c r="G387" s="1">
        <v>-1025.3579999999999</v>
      </c>
      <c r="H387" s="1">
        <v>0</v>
      </c>
      <c r="I387" s="1">
        <v>303.81</v>
      </c>
    </row>
    <row r="388" spans="1:9" hidden="1" x14ac:dyDescent="0.25">
      <c r="A388" s="1" t="s">
        <v>157</v>
      </c>
      <c r="B388" s="1" t="s">
        <v>214</v>
      </c>
      <c r="C388" s="1" t="s">
        <v>25</v>
      </c>
      <c r="D388" s="1">
        <v>0</v>
      </c>
      <c r="E388" s="1">
        <v>0</v>
      </c>
      <c r="F388" s="1">
        <v>-91.81</v>
      </c>
      <c r="G388" s="1">
        <v>-1817.798</v>
      </c>
      <c r="H388" s="1">
        <v>0</v>
      </c>
      <c r="I388" s="1">
        <v>0</v>
      </c>
    </row>
    <row r="389" spans="1:9" hidden="1" x14ac:dyDescent="0.25">
      <c r="A389" s="1" t="s">
        <v>157</v>
      </c>
      <c r="B389" s="1" t="s">
        <v>214</v>
      </c>
      <c r="C389" s="1" t="s">
        <v>10</v>
      </c>
      <c r="D389" s="1">
        <v>0</v>
      </c>
      <c r="E389" s="1">
        <v>0</v>
      </c>
      <c r="F389" s="1">
        <v>-91.81</v>
      </c>
      <c r="G389" s="1">
        <v>-1817.798</v>
      </c>
      <c r="H389" s="1">
        <v>367.23200000000003</v>
      </c>
      <c r="I389" s="1">
        <v>0</v>
      </c>
    </row>
    <row r="390" spans="1:9" hidden="1" x14ac:dyDescent="0.25">
      <c r="A390" s="1" t="s">
        <v>157</v>
      </c>
      <c r="B390" s="1" t="s">
        <v>215</v>
      </c>
      <c r="C390" s="1" t="s">
        <v>25</v>
      </c>
      <c r="D390" s="1">
        <v>0</v>
      </c>
      <c r="E390" s="1">
        <v>0</v>
      </c>
      <c r="F390" s="1">
        <v>-91.81</v>
      </c>
      <c r="G390" s="1">
        <v>-1487.29</v>
      </c>
      <c r="H390" s="1">
        <v>0</v>
      </c>
      <c r="I390" s="1">
        <v>0</v>
      </c>
    </row>
    <row r="391" spans="1:9" hidden="1" x14ac:dyDescent="0.25">
      <c r="A391" s="1" t="s">
        <v>157</v>
      </c>
      <c r="B391" s="1" t="s">
        <v>215</v>
      </c>
      <c r="C391" s="1" t="s">
        <v>10</v>
      </c>
      <c r="D391" s="1">
        <v>0</v>
      </c>
      <c r="E391" s="1">
        <v>0</v>
      </c>
      <c r="F391" s="1">
        <v>-91.81</v>
      </c>
      <c r="G391" s="1">
        <v>-1487.29</v>
      </c>
      <c r="H391" s="1">
        <v>367.23200000000003</v>
      </c>
      <c r="I391" s="1">
        <v>0</v>
      </c>
    </row>
    <row r="392" spans="1:9" hidden="1" x14ac:dyDescent="0.25">
      <c r="A392" s="1" t="s">
        <v>157</v>
      </c>
      <c r="B392" s="1" t="s">
        <v>216</v>
      </c>
      <c r="C392" s="1" t="s">
        <v>25</v>
      </c>
      <c r="D392" s="1">
        <v>0</v>
      </c>
      <c r="E392" s="1">
        <v>0</v>
      </c>
      <c r="F392" s="1">
        <v>91.81</v>
      </c>
      <c r="G392" s="1">
        <v>1817.798</v>
      </c>
      <c r="H392" s="1">
        <v>0</v>
      </c>
      <c r="I392" s="1">
        <v>0</v>
      </c>
    </row>
    <row r="393" spans="1:9" hidden="1" x14ac:dyDescent="0.25">
      <c r="A393" s="1" t="s">
        <v>157</v>
      </c>
      <c r="B393" s="1" t="s">
        <v>216</v>
      </c>
      <c r="C393" s="1" t="s">
        <v>10</v>
      </c>
      <c r="D393" s="1">
        <v>0</v>
      </c>
      <c r="E393" s="1">
        <v>0</v>
      </c>
      <c r="F393" s="1">
        <v>91.81</v>
      </c>
      <c r="G393" s="1">
        <v>1817.798</v>
      </c>
      <c r="H393" s="1">
        <v>-367.23200000000003</v>
      </c>
      <c r="I393" s="1">
        <v>0</v>
      </c>
    </row>
    <row r="394" spans="1:9" hidden="1" x14ac:dyDescent="0.25">
      <c r="A394" s="1" t="s">
        <v>157</v>
      </c>
      <c r="B394" s="1" t="s">
        <v>217</v>
      </c>
      <c r="C394" s="1" t="s">
        <v>25</v>
      </c>
      <c r="D394" s="1">
        <v>0</v>
      </c>
      <c r="E394" s="1">
        <v>0</v>
      </c>
      <c r="F394" s="1">
        <v>91.81</v>
      </c>
      <c r="G394" s="1">
        <v>1487.29</v>
      </c>
      <c r="H394" s="1">
        <v>0</v>
      </c>
      <c r="I394" s="1">
        <v>0</v>
      </c>
    </row>
    <row r="395" spans="1:9" hidden="1" x14ac:dyDescent="0.25">
      <c r="A395" s="1" t="s">
        <v>157</v>
      </c>
      <c r="B395" s="1" t="s">
        <v>217</v>
      </c>
      <c r="C395" s="1" t="s">
        <v>10</v>
      </c>
      <c r="D395" s="1">
        <v>0</v>
      </c>
      <c r="E395" s="1">
        <v>0</v>
      </c>
      <c r="F395" s="1">
        <v>91.81</v>
      </c>
      <c r="G395" s="1">
        <v>1487.29</v>
      </c>
      <c r="H395" s="1">
        <v>-367.23200000000003</v>
      </c>
      <c r="I395" s="1">
        <v>0</v>
      </c>
    </row>
    <row r="396" spans="1:9" hidden="1" x14ac:dyDescent="0.25">
      <c r="A396" s="1" t="s">
        <v>157</v>
      </c>
      <c r="B396" s="1" t="s">
        <v>218</v>
      </c>
      <c r="C396" s="1" t="s">
        <v>25</v>
      </c>
      <c r="D396" s="1">
        <v>0</v>
      </c>
      <c r="E396" s="1">
        <v>-75.95</v>
      </c>
      <c r="F396" s="1">
        <v>0</v>
      </c>
      <c r="G396" s="1">
        <v>1253.2149999999999</v>
      </c>
      <c r="H396" s="1">
        <v>0</v>
      </c>
      <c r="I396" s="1">
        <v>0</v>
      </c>
    </row>
    <row r="397" spans="1:9" hidden="1" x14ac:dyDescent="0.25">
      <c r="A397" s="1" t="s">
        <v>157</v>
      </c>
      <c r="B397" s="1" t="s">
        <v>218</v>
      </c>
      <c r="C397" s="1" t="s">
        <v>10</v>
      </c>
      <c r="D397" s="1">
        <v>0</v>
      </c>
      <c r="E397" s="1">
        <v>-75.95</v>
      </c>
      <c r="F397" s="1">
        <v>0</v>
      </c>
      <c r="G397" s="1">
        <v>1253.2149999999999</v>
      </c>
      <c r="H397" s="1">
        <v>0</v>
      </c>
      <c r="I397" s="1">
        <v>-303.81</v>
      </c>
    </row>
    <row r="398" spans="1:9" hidden="1" x14ac:dyDescent="0.25">
      <c r="A398" s="1" t="s">
        <v>157</v>
      </c>
      <c r="B398" s="1" t="s">
        <v>219</v>
      </c>
      <c r="C398" s="1" t="s">
        <v>25</v>
      </c>
      <c r="D398" s="1">
        <v>0</v>
      </c>
      <c r="E398" s="1">
        <v>-75.95</v>
      </c>
      <c r="F398" s="1">
        <v>0</v>
      </c>
      <c r="G398" s="1">
        <v>1025.3579999999999</v>
      </c>
      <c r="H398" s="1">
        <v>0</v>
      </c>
      <c r="I398" s="1">
        <v>0</v>
      </c>
    </row>
    <row r="399" spans="1:9" hidden="1" x14ac:dyDescent="0.25">
      <c r="A399" s="1" t="s">
        <v>157</v>
      </c>
      <c r="B399" s="1" t="s">
        <v>219</v>
      </c>
      <c r="C399" s="1" t="s">
        <v>10</v>
      </c>
      <c r="D399" s="1">
        <v>0</v>
      </c>
      <c r="E399" s="1">
        <v>-75.95</v>
      </c>
      <c r="F399" s="1">
        <v>0</v>
      </c>
      <c r="G399" s="1">
        <v>1025.3579999999999</v>
      </c>
      <c r="H399" s="1">
        <v>0</v>
      </c>
      <c r="I399" s="1">
        <v>-303.81</v>
      </c>
    </row>
    <row r="400" spans="1:9" hidden="1" x14ac:dyDescent="0.25">
      <c r="A400" s="1" t="s">
        <v>157</v>
      </c>
      <c r="B400" s="1" t="s">
        <v>220</v>
      </c>
      <c r="C400" s="1" t="s">
        <v>25</v>
      </c>
      <c r="D400" s="1">
        <v>0</v>
      </c>
      <c r="E400" s="1">
        <v>75.95</v>
      </c>
      <c r="F400" s="1">
        <v>0</v>
      </c>
      <c r="G400" s="1">
        <v>-1253.2149999999999</v>
      </c>
      <c r="H400" s="1">
        <v>0</v>
      </c>
      <c r="I400" s="1">
        <v>0</v>
      </c>
    </row>
    <row r="401" spans="1:9" hidden="1" x14ac:dyDescent="0.25">
      <c r="A401" s="1" t="s">
        <v>157</v>
      </c>
      <c r="B401" s="1" t="s">
        <v>220</v>
      </c>
      <c r="C401" s="1" t="s">
        <v>10</v>
      </c>
      <c r="D401" s="1">
        <v>0</v>
      </c>
      <c r="E401" s="1">
        <v>75.95</v>
      </c>
      <c r="F401" s="1">
        <v>0</v>
      </c>
      <c r="G401" s="1">
        <v>-1253.2149999999999</v>
      </c>
      <c r="H401" s="1">
        <v>0</v>
      </c>
      <c r="I401" s="1">
        <v>303.81</v>
      </c>
    </row>
    <row r="402" spans="1:9" hidden="1" x14ac:dyDescent="0.25">
      <c r="A402" s="1" t="s">
        <v>157</v>
      </c>
      <c r="B402" s="1" t="s">
        <v>221</v>
      </c>
      <c r="C402" s="1" t="s">
        <v>25</v>
      </c>
      <c r="D402" s="1">
        <v>0</v>
      </c>
      <c r="E402" s="1">
        <v>75.95</v>
      </c>
      <c r="F402" s="1">
        <v>0</v>
      </c>
      <c r="G402" s="1">
        <v>-1025.3579999999999</v>
      </c>
      <c r="H402" s="1">
        <v>0</v>
      </c>
      <c r="I402" s="1">
        <v>0</v>
      </c>
    </row>
    <row r="403" spans="1:9" hidden="1" x14ac:dyDescent="0.25">
      <c r="A403" s="1" t="s">
        <v>157</v>
      </c>
      <c r="B403" s="1" t="s">
        <v>221</v>
      </c>
      <c r="C403" s="1" t="s">
        <v>10</v>
      </c>
      <c r="D403" s="1">
        <v>0</v>
      </c>
      <c r="E403" s="1">
        <v>75.95</v>
      </c>
      <c r="F403" s="1">
        <v>0</v>
      </c>
      <c r="G403" s="1">
        <v>-1025.3579999999999</v>
      </c>
      <c r="H403" s="1">
        <v>0</v>
      </c>
      <c r="I403" s="1">
        <v>303.81</v>
      </c>
    </row>
    <row r="404" spans="1:9" hidden="1" x14ac:dyDescent="0.25">
      <c r="A404" s="1" t="s">
        <v>157</v>
      </c>
      <c r="B404" s="1" t="s">
        <v>222</v>
      </c>
      <c r="C404" s="1" t="s">
        <v>25</v>
      </c>
      <c r="D404" s="1">
        <v>0</v>
      </c>
      <c r="E404" s="1">
        <v>0</v>
      </c>
      <c r="F404" s="1">
        <v>-91.81</v>
      </c>
      <c r="G404" s="1">
        <v>-1817.798</v>
      </c>
      <c r="H404" s="1">
        <v>0</v>
      </c>
      <c r="I404" s="1">
        <v>0</v>
      </c>
    </row>
    <row r="405" spans="1:9" hidden="1" x14ac:dyDescent="0.25">
      <c r="A405" s="1" t="s">
        <v>157</v>
      </c>
      <c r="B405" s="1" t="s">
        <v>222</v>
      </c>
      <c r="C405" s="1" t="s">
        <v>10</v>
      </c>
      <c r="D405" s="1">
        <v>0</v>
      </c>
      <c r="E405" s="1">
        <v>0</v>
      </c>
      <c r="F405" s="1">
        <v>-91.81</v>
      </c>
      <c r="G405" s="1">
        <v>-1817.798</v>
      </c>
      <c r="H405" s="1">
        <v>367.23200000000003</v>
      </c>
      <c r="I405" s="1">
        <v>0</v>
      </c>
    </row>
    <row r="406" spans="1:9" hidden="1" x14ac:dyDescent="0.25">
      <c r="A406" s="1" t="s">
        <v>157</v>
      </c>
      <c r="B406" s="1" t="s">
        <v>223</v>
      </c>
      <c r="C406" s="1" t="s">
        <v>25</v>
      </c>
      <c r="D406" s="1">
        <v>0</v>
      </c>
      <c r="E406" s="1">
        <v>0</v>
      </c>
      <c r="F406" s="1">
        <v>-91.81</v>
      </c>
      <c r="G406" s="1">
        <v>-1487.29</v>
      </c>
      <c r="H406" s="1">
        <v>0</v>
      </c>
      <c r="I406" s="1">
        <v>0</v>
      </c>
    </row>
    <row r="407" spans="1:9" hidden="1" x14ac:dyDescent="0.25">
      <c r="A407" s="1" t="s">
        <v>157</v>
      </c>
      <c r="B407" s="1" t="s">
        <v>223</v>
      </c>
      <c r="C407" s="1" t="s">
        <v>10</v>
      </c>
      <c r="D407" s="1">
        <v>0</v>
      </c>
      <c r="E407" s="1">
        <v>0</v>
      </c>
      <c r="F407" s="1">
        <v>-91.81</v>
      </c>
      <c r="G407" s="1">
        <v>-1487.29</v>
      </c>
      <c r="H407" s="1">
        <v>367.23200000000003</v>
      </c>
      <c r="I407" s="1">
        <v>0</v>
      </c>
    </row>
    <row r="408" spans="1:9" hidden="1" x14ac:dyDescent="0.25">
      <c r="A408" s="1" t="s">
        <v>157</v>
      </c>
      <c r="B408" s="1" t="s">
        <v>224</v>
      </c>
      <c r="C408" s="1" t="s">
        <v>25</v>
      </c>
      <c r="D408" s="1">
        <v>0</v>
      </c>
      <c r="E408" s="1">
        <v>0</v>
      </c>
      <c r="F408" s="1">
        <v>91.81</v>
      </c>
      <c r="G408" s="1">
        <v>1817.798</v>
      </c>
      <c r="H408" s="1">
        <v>0</v>
      </c>
      <c r="I408" s="1">
        <v>0</v>
      </c>
    </row>
    <row r="409" spans="1:9" hidden="1" x14ac:dyDescent="0.25">
      <c r="A409" s="1" t="s">
        <v>157</v>
      </c>
      <c r="B409" s="1" t="s">
        <v>224</v>
      </c>
      <c r="C409" s="1" t="s">
        <v>10</v>
      </c>
      <c r="D409" s="1">
        <v>0</v>
      </c>
      <c r="E409" s="1">
        <v>0</v>
      </c>
      <c r="F409" s="1">
        <v>91.81</v>
      </c>
      <c r="G409" s="1">
        <v>1817.798</v>
      </c>
      <c r="H409" s="1">
        <v>-367.23200000000003</v>
      </c>
      <c r="I409" s="1">
        <v>0</v>
      </c>
    </row>
    <row r="410" spans="1:9" hidden="1" x14ac:dyDescent="0.25">
      <c r="A410" s="1" t="s">
        <v>157</v>
      </c>
      <c r="B410" s="1" t="s">
        <v>225</v>
      </c>
      <c r="C410" s="1" t="s">
        <v>25</v>
      </c>
      <c r="D410" s="1">
        <v>0</v>
      </c>
      <c r="E410" s="1">
        <v>0</v>
      </c>
      <c r="F410" s="1">
        <v>91.81</v>
      </c>
      <c r="G410" s="1">
        <v>1487.29</v>
      </c>
      <c r="H410" s="1">
        <v>0</v>
      </c>
      <c r="I410" s="1">
        <v>0</v>
      </c>
    </row>
    <row r="411" spans="1:9" hidden="1" x14ac:dyDescent="0.25">
      <c r="A411" s="1" t="s">
        <v>157</v>
      </c>
      <c r="B411" s="1" t="s">
        <v>225</v>
      </c>
      <c r="C411" s="1" t="s">
        <v>10</v>
      </c>
      <c r="D411" s="1">
        <v>0</v>
      </c>
      <c r="E411" s="1">
        <v>0</v>
      </c>
      <c r="F411" s="1">
        <v>91.81</v>
      </c>
      <c r="G411" s="1">
        <v>1487.29</v>
      </c>
      <c r="H411" s="1">
        <v>-367.23200000000003</v>
      </c>
      <c r="I411" s="1">
        <v>0</v>
      </c>
    </row>
    <row r="412" spans="1:9" hidden="1" x14ac:dyDescent="0.25">
      <c r="A412" s="1" t="s">
        <v>157</v>
      </c>
      <c r="B412" s="1" t="s">
        <v>327</v>
      </c>
      <c r="C412" s="1" t="s">
        <v>25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</row>
    <row r="413" spans="1:9" hidden="1" x14ac:dyDescent="0.25">
      <c r="A413" s="1" t="s">
        <v>157</v>
      </c>
      <c r="B413" s="1" t="s">
        <v>327</v>
      </c>
      <c r="C413" s="1" t="s">
        <v>10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</row>
    <row r="414" spans="1:9" hidden="1" x14ac:dyDescent="0.25">
      <c r="A414" s="1" t="s">
        <v>157</v>
      </c>
      <c r="B414" s="1" t="s">
        <v>328</v>
      </c>
      <c r="C414" s="1" t="s">
        <v>25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</row>
    <row r="415" spans="1:9" hidden="1" x14ac:dyDescent="0.25">
      <c r="A415" s="1" t="s">
        <v>157</v>
      </c>
      <c r="B415" s="1" t="s">
        <v>328</v>
      </c>
      <c r="C415" s="1" t="s">
        <v>10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</row>
    <row r="416" spans="1:9" hidden="1" x14ac:dyDescent="0.25">
      <c r="A416" s="1" t="s">
        <v>158</v>
      </c>
      <c r="B416" s="1" t="s">
        <v>9</v>
      </c>
      <c r="C416" s="1" t="s">
        <v>25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</row>
    <row r="417" spans="1:9" hidden="1" x14ac:dyDescent="0.25">
      <c r="A417" s="1" t="s">
        <v>158</v>
      </c>
      <c r="B417" s="1" t="s">
        <v>9</v>
      </c>
      <c r="C417" s="1" t="s">
        <v>10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</row>
    <row r="418" spans="1:9" hidden="1" x14ac:dyDescent="0.25">
      <c r="A418" s="1" t="s">
        <v>158</v>
      </c>
      <c r="B418" s="1" t="s">
        <v>26</v>
      </c>
      <c r="C418" s="1" t="s">
        <v>25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</row>
    <row r="419" spans="1:9" hidden="1" x14ac:dyDescent="0.25">
      <c r="A419" s="1" t="s">
        <v>158</v>
      </c>
      <c r="B419" s="1" t="s">
        <v>26</v>
      </c>
      <c r="C419" s="1" t="s">
        <v>10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</row>
    <row r="420" spans="1:9" hidden="1" x14ac:dyDescent="0.25">
      <c r="A420" s="1" t="s">
        <v>158</v>
      </c>
      <c r="B420" s="1" t="s">
        <v>20</v>
      </c>
      <c r="C420" s="1" t="s">
        <v>25</v>
      </c>
      <c r="D420" s="1">
        <v>0</v>
      </c>
      <c r="E420" s="1">
        <v>-316.47000000000003</v>
      </c>
      <c r="F420" s="1">
        <v>0</v>
      </c>
      <c r="G420" s="1">
        <v>5221.7299999999996</v>
      </c>
      <c r="H420" s="1">
        <v>0</v>
      </c>
      <c r="I420" s="1">
        <v>-723.35699999999997</v>
      </c>
    </row>
    <row r="421" spans="1:9" hidden="1" x14ac:dyDescent="0.25">
      <c r="A421" s="1" t="s">
        <v>158</v>
      </c>
      <c r="B421" s="1" t="s">
        <v>20</v>
      </c>
      <c r="C421" s="1" t="s">
        <v>10</v>
      </c>
      <c r="D421" s="1">
        <v>0</v>
      </c>
      <c r="E421" s="1">
        <v>-316.47000000000003</v>
      </c>
      <c r="F421" s="1">
        <v>0</v>
      </c>
      <c r="G421" s="1">
        <v>5221.7299999999996</v>
      </c>
      <c r="H421" s="1">
        <v>0</v>
      </c>
      <c r="I421" s="1">
        <v>-1989.231</v>
      </c>
    </row>
    <row r="422" spans="1:9" hidden="1" x14ac:dyDescent="0.25">
      <c r="A422" s="1" t="s">
        <v>158</v>
      </c>
      <c r="B422" s="1" t="s">
        <v>21</v>
      </c>
      <c r="C422" s="1" t="s">
        <v>25</v>
      </c>
      <c r="D422" s="1">
        <v>0</v>
      </c>
      <c r="E422" s="1">
        <v>-316.47000000000003</v>
      </c>
      <c r="F422" s="1">
        <v>0</v>
      </c>
      <c r="G422" s="1">
        <v>4272.3249999999998</v>
      </c>
      <c r="H422" s="1">
        <v>0</v>
      </c>
      <c r="I422" s="1">
        <v>-723.35699999999997</v>
      </c>
    </row>
    <row r="423" spans="1:9" hidden="1" x14ac:dyDescent="0.25">
      <c r="A423" s="1" t="s">
        <v>158</v>
      </c>
      <c r="B423" s="1" t="s">
        <v>21</v>
      </c>
      <c r="C423" s="1" t="s">
        <v>10</v>
      </c>
      <c r="D423" s="1">
        <v>0</v>
      </c>
      <c r="E423" s="1">
        <v>-316.47000000000003</v>
      </c>
      <c r="F423" s="1">
        <v>0</v>
      </c>
      <c r="G423" s="1">
        <v>4272.3249999999998</v>
      </c>
      <c r="H423" s="1">
        <v>0</v>
      </c>
      <c r="I423" s="1">
        <v>-1989.231</v>
      </c>
    </row>
    <row r="424" spans="1:9" hidden="1" x14ac:dyDescent="0.25">
      <c r="A424" s="1" t="s">
        <v>158</v>
      </c>
      <c r="B424" s="1" t="s">
        <v>22</v>
      </c>
      <c r="C424" s="1" t="s">
        <v>25</v>
      </c>
      <c r="D424" s="1">
        <v>0</v>
      </c>
      <c r="E424" s="1">
        <v>0</v>
      </c>
      <c r="F424" s="1">
        <v>-382.53</v>
      </c>
      <c r="G424" s="1">
        <v>-7574.16</v>
      </c>
      <c r="H424" s="1">
        <v>874.36199999999997</v>
      </c>
      <c r="I424" s="1">
        <v>0</v>
      </c>
    </row>
    <row r="425" spans="1:9" hidden="1" x14ac:dyDescent="0.25">
      <c r="A425" s="1" t="s">
        <v>158</v>
      </c>
      <c r="B425" s="1" t="s">
        <v>22</v>
      </c>
      <c r="C425" s="1" t="s">
        <v>10</v>
      </c>
      <c r="D425" s="1">
        <v>0</v>
      </c>
      <c r="E425" s="1">
        <v>0</v>
      </c>
      <c r="F425" s="1">
        <v>-382.53</v>
      </c>
      <c r="G425" s="1">
        <v>-7574.16</v>
      </c>
      <c r="H425" s="1">
        <v>2404.4949999999999</v>
      </c>
      <c r="I425" s="1">
        <v>0</v>
      </c>
    </row>
    <row r="426" spans="1:9" hidden="1" x14ac:dyDescent="0.25">
      <c r="A426" s="1" t="s">
        <v>158</v>
      </c>
      <c r="B426" s="1" t="s">
        <v>23</v>
      </c>
      <c r="C426" s="1" t="s">
        <v>25</v>
      </c>
      <c r="D426" s="1">
        <v>0</v>
      </c>
      <c r="E426" s="1">
        <v>0</v>
      </c>
      <c r="F426" s="1">
        <v>-382.53</v>
      </c>
      <c r="G426" s="1">
        <v>-6197.04</v>
      </c>
      <c r="H426" s="1">
        <v>874.36199999999997</v>
      </c>
      <c r="I426" s="1">
        <v>0</v>
      </c>
    </row>
    <row r="427" spans="1:9" hidden="1" x14ac:dyDescent="0.25">
      <c r="A427" s="1" t="s">
        <v>158</v>
      </c>
      <c r="B427" s="1" t="s">
        <v>23</v>
      </c>
      <c r="C427" s="1" t="s">
        <v>10</v>
      </c>
      <c r="D427" s="1">
        <v>0</v>
      </c>
      <c r="E427" s="1">
        <v>0</v>
      </c>
      <c r="F427" s="1">
        <v>-382.53</v>
      </c>
      <c r="G427" s="1">
        <v>-6197.04</v>
      </c>
      <c r="H427" s="1">
        <v>2404.4949999999999</v>
      </c>
      <c r="I427" s="1">
        <v>0</v>
      </c>
    </row>
    <row r="428" spans="1:9" hidden="1" x14ac:dyDescent="0.25">
      <c r="A428" s="1" t="s">
        <v>158</v>
      </c>
      <c r="B428" s="1" t="s">
        <v>321</v>
      </c>
      <c r="C428" s="1" t="s">
        <v>25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158</v>
      </c>
      <c r="B429" s="1" t="s">
        <v>321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158</v>
      </c>
      <c r="B430" s="1" t="s">
        <v>322</v>
      </c>
      <c r="C430" s="1" t="s">
        <v>25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158</v>
      </c>
      <c r="B431" s="1" t="s">
        <v>322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158</v>
      </c>
      <c r="B432" s="1" t="s">
        <v>323</v>
      </c>
      <c r="C432" s="1" t="s">
        <v>25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158</v>
      </c>
      <c r="B433" s="1" t="s">
        <v>323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158</v>
      </c>
      <c r="B434" s="1" t="s">
        <v>324</v>
      </c>
      <c r="C434" s="1" t="s">
        <v>25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158</v>
      </c>
      <c r="B435" s="1" t="s">
        <v>324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158</v>
      </c>
      <c r="B436" s="1" t="s">
        <v>325</v>
      </c>
      <c r="C436" s="1" t="s">
        <v>25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158</v>
      </c>
      <c r="B437" s="1" t="s">
        <v>325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158</v>
      </c>
      <c r="B438" s="1" t="s">
        <v>326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158</v>
      </c>
      <c r="B439" s="1" t="s">
        <v>326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158</v>
      </c>
      <c r="B440" s="1" t="s">
        <v>27</v>
      </c>
      <c r="C440" s="1" t="s">
        <v>25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158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158</v>
      </c>
      <c r="B442" s="1" t="s">
        <v>28</v>
      </c>
      <c r="C442" s="1" t="s">
        <v>25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158</v>
      </c>
      <c r="B443" s="1" t="s">
        <v>28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158</v>
      </c>
      <c r="B444" s="1" t="s">
        <v>29</v>
      </c>
      <c r="C444" s="1" t="s">
        <v>25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158</v>
      </c>
      <c r="B445" s="1" t="s">
        <v>29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158</v>
      </c>
      <c r="B446" s="1" t="s">
        <v>30</v>
      </c>
      <c r="C446" s="1" t="s">
        <v>25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158</v>
      </c>
      <c r="B447" s="1" t="s">
        <v>30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158</v>
      </c>
      <c r="B448" s="1" t="s">
        <v>11</v>
      </c>
      <c r="C448" s="1" t="s">
        <v>25</v>
      </c>
      <c r="D448" s="1">
        <v>0</v>
      </c>
      <c r="E448" s="1">
        <v>155.59</v>
      </c>
      <c r="F448" s="1">
        <v>0</v>
      </c>
      <c r="G448" s="1">
        <v>2628.0709999999999</v>
      </c>
      <c r="H448" s="1">
        <v>0</v>
      </c>
      <c r="I448" s="1">
        <v>437.33600000000001</v>
      </c>
    </row>
    <row r="449" spans="1:9" hidden="1" x14ac:dyDescent="0.25">
      <c r="A449" s="1" t="s">
        <v>158</v>
      </c>
      <c r="B449" s="1" t="s">
        <v>11</v>
      </c>
      <c r="C449" s="1" t="s">
        <v>10</v>
      </c>
      <c r="D449" s="1">
        <v>0</v>
      </c>
      <c r="E449" s="1">
        <v>155.59</v>
      </c>
      <c r="F449" s="1">
        <v>0</v>
      </c>
      <c r="G449" s="1">
        <v>2628.0709999999999</v>
      </c>
      <c r="H449" s="1">
        <v>0</v>
      </c>
      <c r="I449" s="1">
        <v>1018.086</v>
      </c>
    </row>
    <row r="450" spans="1:9" hidden="1" x14ac:dyDescent="0.25">
      <c r="A450" s="1" t="s">
        <v>158</v>
      </c>
      <c r="B450" s="1" t="s">
        <v>12</v>
      </c>
      <c r="C450" s="1" t="s">
        <v>25</v>
      </c>
      <c r="D450" s="1">
        <v>0</v>
      </c>
      <c r="E450" s="1">
        <v>0</v>
      </c>
      <c r="F450" s="1">
        <v>402.26</v>
      </c>
      <c r="G450" s="1">
        <v>8000.375</v>
      </c>
      <c r="H450" s="1">
        <v>968.72900000000004</v>
      </c>
      <c r="I450" s="1">
        <v>0</v>
      </c>
    </row>
    <row r="451" spans="1:9" hidden="1" x14ac:dyDescent="0.25">
      <c r="A451" s="1" t="s">
        <v>158</v>
      </c>
      <c r="B451" s="1" t="s">
        <v>12</v>
      </c>
      <c r="C451" s="1" t="s">
        <v>10</v>
      </c>
      <c r="D451" s="1">
        <v>0</v>
      </c>
      <c r="E451" s="1">
        <v>0</v>
      </c>
      <c r="F451" s="1">
        <v>402.26</v>
      </c>
      <c r="G451" s="1">
        <v>8000.375</v>
      </c>
      <c r="H451" s="1">
        <v>2556.8760000000002</v>
      </c>
      <c r="I451" s="1">
        <v>0</v>
      </c>
    </row>
    <row r="452" spans="1:9" hidden="1" x14ac:dyDescent="0.25">
      <c r="A452" s="1" t="s">
        <v>158</v>
      </c>
      <c r="B452" s="1" t="s">
        <v>13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158</v>
      </c>
      <c r="B453" s="1" t="s">
        <v>13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158</v>
      </c>
      <c r="B454" s="1" t="s">
        <v>31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158</v>
      </c>
      <c r="B455" s="1" t="s">
        <v>31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158</v>
      </c>
      <c r="B456" s="1" t="s">
        <v>32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158</v>
      </c>
      <c r="B457" s="1" t="s">
        <v>32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158</v>
      </c>
      <c r="B458" s="1" t="s">
        <v>33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158</v>
      </c>
      <c r="B459" s="1" t="s">
        <v>33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158</v>
      </c>
      <c r="B460" s="1" t="s">
        <v>34</v>
      </c>
      <c r="C460" s="1" t="s">
        <v>25</v>
      </c>
      <c r="D460" s="1">
        <v>0</v>
      </c>
      <c r="E460" s="1">
        <v>-316.47000000000003</v>
      </c>
      <c r="F460" s="1">
        <v>0</v>
      </c>
      <c r="G460" s="1">
        <v>5221.7299999999996</v>
      </c>
      <c r="H460" s="1">
        <v>0</v>
      </c>
      <c r="I460" s="1">
        <v>-723.35699999999997</v>
      </c>
    </row>
    <row r="461" spans="1:9" hidden="1" x14ac:dyDescent="0.25">
      <c r="A461" s="1" t="s">
        <v>158</v>
      </c>
      <c r="B461" s="1" t="s">
        <v>34</v>
      </c>
      <c r="C461" s="1" t="s">
        <v>10</v>
      </c>
      <c r="D461" s="1">
        <v>0</v>
      </c>
      <c r="E461" s="1">
        <v>-316.47000000000003</v>
      </c>
      <c r="F461" s="1">
        <v>0</v>
      </c>
      <c r="G461" s="1">
        <v>5221.7299999999996</v>
      </c>
      <c r="H461" s="1">
        <v>0</v>
      </c>
      <c r="I461" s="1">
        <v>-1989.231</v>
      </c>
    </row>
    <row r="462" spans="1:9" hidden="1" x14ac:dyDescent="0.25">
      <c r="A462" s="1" t="s">
        <v>158</v>
      </c>
      <c r="B462" s="1" t="s">
        <v>35</v>
      </c>
      <c r="C462" s="1" t="s">
        <v>25</v>
      </c>
      <c r="D462" s="1">
        <v>0</v>
      </c>
      <c r="E462" s="1">
        <v>-316.47000000000003</v>
      </c>
      <c r="F462" s="1">
        <v>0</v>
      </c>
      <c r="G462" s="1">
        <v>4272.3249999999998</v>
      </c>
      <c r="H462" s="1">
        <v>0</v>
      </c>
      <c r="I462" s="1">
        <v>-723.35699999999997</v>
      </c>
    </row>
    <row r="463" spans="1:9" hidden="1" x14ac:dyDescent="0.25">
      <c r="A463" s="1" t="s">
        <v>158</v>
      </c>
      <c r="B463" s="1" t="s">
        <v>35</v>
      </c>
      <c r="C463" s="1" t="s">
        <v>10</v>
      </c>
      <c r="D463" s="1">
        <v>0</v>
      </c>
      <c r="E463" s="1">
        <v>-316.47000000000003</v>
      </c>
      <c r="F463" s="1">
        <v>0</v>
      </c>
      <c r="G463" s="1">
        <v>4272.3249999999998</v>
      </c>
      <c r="H463" s="1">
        <v>0</v>
      </c>
      <c r="I463" s="1">
        <v>-1989.231</v>
      </c>
    </row>
    <row r="464" spans="1:9" hidden="1" x14ac:dyDescent="0.25">
      <c r="A464" s="1" t="s">
        <v>158</v>
      </c>
      <c r="B464" s="1" t="s">
        <v>36</v>
      </c>
      <c r="C464" s="1" t="s">
        <v>25</v>
      </c>
      <c r="D464" s="1">
        <v>0</v>
      </c>
      <c r="E464" s="1">
        <v>316.47000000000003</v>
      </c>
      <c r="F464" s="1">
        <v>0</v>
      </c>
      <c r="G464" s="1">
        <v>-5221.7299999999996</v>
      </c>
      <c r="H464" s="1">
        <v>0</v>
      </c>
      <c r="I464" s="1">
        <v>723.35699999999997</v>
      </c>
    </row>
    <row r="465" spans="1:9" hidden="1" x14ac:dyDescent="0.25">
      <c r="A465" s="1" t="s">
        <v>158</v>
      </c>
      <c r="B465" s="1" t="s">
        <v>36</v>
      </c>
      <c r="C465" s="1" t="s">
        <v>10</v>
      </c>
      <c r="D465" s="1">
        <v>0</v>
      </c>
      <c r="E465" s="1">
        <v>316.47000000000003</v>
      </c>
      <c r="F465" s="1">
        <v>0</v>
      </c>
      <c r="G465" s="1">
        <v>-5221.7299999999996</v>
      </c>
      <c r="H465" s="1">
        <v>0</v>
      </c>
      <c r="I465" s="1">
        <v>1989.231</v>
      </c>
    </row>
    <row r="466" spans="1:9" hidden="1" x14ac:dyDescent="0.25">
      <c r="A466" s="1" t="s">
        <v>158</v>
      </c>
      <c r="B466" s="1" t="s">
        <v>37</v>
      </c>
      <c r="C466" s="1" t="s">
        <v>25</v>
      </c>
      <c r="D466" s="1">
        <v>0</v>
      </c>
      <c r="E466" s="1">
        <v>316.47000000000003</v>
      </c>
      <c r="F466" s="1">
        <v>0</v>
      </c>
      <c r="G466" s="1">
        <v>-4272.3249999999998</v>
      </c>
      <c r="H466" s="1">
        <v>0</v>
      </c>
      <c r="I466" s="1">
        <v>723.35699999999997</v>
      </c>
    </row>
    <row r="467" spans="1:9" hidden="1" x14ac:dyDescent="0.25">
      <c r="A467" s="1" t="s">
        <v>158</v>
      </c>
      <c r="B467" s="1" t="s">
        <v>37</v>
      </c>
      <c r="C467" s="1" t="s">
        <v>10</v>
      </c>
      <c r="D467" s="1">
        <v>0</v>
      </c>
      <c r="E467" s="1">
        <v>316.47000000000003</v>
      </c>
      <c r="F467" s="1">
        <v>0</v>
      </c>
      <c r="G467" s="1">
        <v>-4272.3249999999998</v>
      </c>
      <c r="H467" s="1">
        <v>0</v>
      </c>
      <c r="I467" s="1">
        <v>1989.231</v>
      </c>
    </row>
    <row r="468" spans="1:9" hidden="1" x14ac:dyDescent="0.25">
      <c r="A468" s="1" t="s">
        <v>158</v>
      </c>
      <c r="B468" s="1" t="s">
        <v>38</v>
      </c>
      <c r="C468" s="1" t="s">
        <v>25</v>
      </c>
      <c r="D468" s="1">
        <v>0</v>
      </c>
      <c r="E468" s="1">
        <v>0</v>
      </c>
      <c r="F468" s="1">
        <v>-382.53</v>
      </c>
      <c r="G468" s="1">
        <v>-7574.16</v>
      </c>
      <c r="H468" s="1">
        <v>874.36199999999997</v>
      </c>
      <c r="I468" s="1">
        <v>0</v>
      </c>
    </row>
    <row r="469" spans="1:9" hidden="1" x14ac:dyDescent="0.25">
      <c r="A469" s="1" t="s">
        <v>158</v>
      </c>
      <c r="B469" s="1" t="s">
        <v>38</v>
      </c>
      <c r="C469" s="1" t="s">
        <v>10</v>
      </c>
      <c r="D469" s="1">
        <v>0</v>
      </c>
      <c r="E469" s="1">
        <v>0</v>
      </c>
      <c r="F469" s="1">
        <v>-382.53</v>
      </c>
      <c r="G469" s="1">
        <v>-7574.16</v>
      </c>
      <c r="H469" s="1">
        <v>2404.4949999999999</v>
      </c>
      <c r="I469" s="1">
        <v>0</v>
      </c>
    </row>
    <row r="470" spans="1:9" hidden="1" x14ac:dyDescent="0.25">
      <c r="A470" s="1" t="s">
        <v>158</v>
      </c>
      <c r="B470" s="1" t="s">
        <v>39</v>
      </c>
      <c r="C470" s="1" t="s">
        <v>25</v>
      </c>
      <c r="D470" s="1">
        <v>0</v>
      </c>
      <c r="E470" s="1">
        <v>0</v>
      </c>
      <c r="F470" s="1">
        <v>-382.53</v>
      </c>
      <c r="G470" s="1">
        <v>-6197.04</v>
      </c>
      <c r="H470" s="1">
        <v>874.36199999999997</v>
      </c>
      <c r="I470" s="1">
        <v>0</v>
      </c>
    </row>
    <row r="471" spans="1:9" hidden="1" x14ac:dyDescent="0.25">
      <c r="A471" s="1" t="s">
        <v>158</v>
      </c>
      <c r="B471" s="1" t="s">
        <v>39</v>
      </c>
      <c r="C471" s="1" t="s">
        <v>10</v>
      </c>
      <c r="D471" s="1">
        <v>0</v>
      </c>
      <c r="E471" s="1">
        <v>0</v>
      </c>
      <c r="F471" s="1">
        <v>-382.53</v>
      </c>
      <c r="G471" s="1">
        <v>-6197.04</v>
      </c>
      <c r="H471" s="1">
        <v>2404.4949999999999</v>
      </c>
      <c r="I471" s="1">
        <v>0</v>
      </c>
    </row>
    <row r="472" spans="1:9" hidden="1" x14ac:dyDescent="0.25">
      <c r="A472" s="1" t="s">
        <v>158</v>
      </c>
      <c r="B472" s="1" t="s">
        <v>40</v>
      </c>
      <c r="C472" s="1" t="s">
        <v>25</v>
      </c>
      <c r="D472" s="1">
        <v>0</v>
      </c>
      <c r="E472" s="1">
        <v>0</v>
      </c>
      <c r="F472" s="1">
        <v>382.53</v>
      </c>
      <c r="G472" s="1">
        <v>7574.16</v>
      </c>
      <c r="H472" s="1">
        <v>-874.36199999999997</v>
      </c>
      <c r="I472" s="1">
        <v>0</v>
      </c>
    </row>
    <row r="473" spans="1:9" hidden="1" x14ac:dyDescent="0.25">
      <c r="A473" s="1" t="s">
        <v>158</v>
      </c>
      <c r="B473" s="1" t="s">
        <v>40</v>
      </c>
      <c r="C473" s="1" t="s">
        <v>10</v>
      </c>
      <c r="D473" s="1">
        <v>0</v>
      </c>
      <c r="E473" s="1">
        <v>0</v>
      </c>
      <c r="F473" s="1">
        <v>382.53</v>
      </c>
      <c r="G473" s="1">
        <v>7574.16</v>
      </c>
      <c r="H473" s="1">
        <v>-2404.4949999999999</v>
      </c>
      <c r="I473" s="1">
        <v>0</v>
      </c>
    </row>
    <row r="474" spans="1:9" hidden="1" x14ac:dyDescent="0.25">
      <c r="A474" s="1" t="s">
        <v>158</v>
      </c>
      <c r="B474" s="1" t="s">
        <v>41</v>
      </c>
      <c r="C474" s="1" t="s">
        <v>25</v>
      </c>
      <c r="D474" s="1">
        <v>0</v>
      </c>
      <c r="E474" s="1">
        <v>0</v>
      </c>
      <c r="F474" s="1">
        <v>382.53</v>
      </c>
      <c r="G474" s="1">
        <v>6197.04</v>
      </c>
      <c r="H474" s="1">
        <v>-874.36199999999997</v>
      </c>
      <c r="I474" s="1">
        <v>0</v>
      </c>
    </row>
    <row r="475" spans="1:9" hidden="1" x14ac:dyDescent="0.25">
      <c r="A475" s="1" t="s">
        <v>158</v>
      </c>
      <c r="B475" s="1" t="s">
        <v>41</v>
      </c>
      <c r="C475" s="1" t="s">
        <v>10</v>
      </c>
      <c r="D475" s="1">
        <v>0</v>
      </c>
      <c r="E475" s="1">
        <v>0</v>
      </c>
      <c r="F475" s="1">
        <v>382.53</v>
      </c>
      <c r="G475" s="1">
        <v>6197.04</v>
      </c>
      <c r="H475" s="1">
        <v>-2404.4949999999999</v>
      </c>
      <c r="I475" s="1">
        <v>0</v>
      </c>
    </row>
    <row r="476" spans="1:9" hidden="1" x14ac:dyDescent="0.25">
      <c r="A476" s="1" t="s">
        <v>158</v>
      </c>
      <c r="B476" s="1" t="s">
        <v>42</v>
      </c>
      <c r="C476" s="1" t="s">
        <v>25</v>
      </c>
      <c r="D476" s="1">
        <v>0</v>
      </c>
      <c r="E476" s="1">
        <v>-316.47000000000003</v>
      </c>
      <c r="F476" s="1">
        <v>0</v>
      </c>
      <c r="G476" s="1">
        <v>5221.7299999999996</v>
      </c>
      <c r="H476" s="1">
        <v>0</v>
      </c>
      <c r="I476" s="1">
        <v>-723.35699999999997</v>
      </c>
    </row>
    <row r="477" spans="1:9" hidden="1" x14ac:dyDescent="0.25">
      <c r="A477" s="1" t="s">
        <v>158</v>
      </c>
      <c r="B477" s="1" t="s">
        <v>42</v>
      </c>
      <c r="C477" s="1" t="s">
        <v>10</v>
      </c>
      <c r="D477" s="1">
        <v>0</v>
      </c>
      <c r="E477" s="1">
        <v>-316.47000000000003</v>
      </c>
      <c r="F477" s="1">
        <v>0</v>
      </c>
      <c r="G477" s="1">
        <v>5221.7299999999996</v>
      </c>
      <c r="H477" s="1">
        <v>0</v>
      </c>
      <c r="I477" s="1">
        <v>-1989.231</v>
      </c>
    </row>
    <row r="478" spans="1:9" hidden="1" x14ac:dyDescent="0.25">
      <c r="A478" s="1" t="s">
        <v>158</v>
      </c>
      <c r="B478" s="1" t="s">
        <v>43</v>
      </c>
      <c r="C478" s="1" t="s">
        <v>25</v>
      </c>
      <c r="D478" s="1">
        <v>0</v>
      </c>
      <c r="E478" s="1">
        <v>-316.47000000000003</v>
      </c>
      <c r="F478" s="1">
        <v>0</v>
      </c>
      <c r="G478" s="1">
        <v>4272.3249999999998</v>
      </c>
      <c r="H478" s="1">
        <v>0</v>
      </c>
      <c r="I478" s="1">
        <v>-723.35699999999997</v>
      </c>
    </row>
    <row r="479" spans="1:9" hidden="1" x14ac:dyDescent="0.25">
      <c r="A479" s="1" t="s">
        <v>158</v>
      </c>
      <c r="B479" s="1" t="s">
        <v>43</v>
      </c>
      <c r="C479" s="1" t="s">
        <v>10</v>
      </c>
      <c r="D479" s="1">
        <v>0</v>
      </c>
      <c r="E479" s="1">
        <v>-316.47000000000003</v>
      </c>
      <c r="F479" s="1">
        <v>0</v>
      </c>
      <c r="G479" s="1">
        <v>4272.3249999999998</v>
      </c>
      <c r="H479" s="1">
        <v>0</v>
      </c>
      <c r="I479" s="1">
        <v>-1989.231</v>
      </c>
    </row>
    <row r="480" spans="1:9" hidden="1" x14ac:dyDescent="0.25">
      <c r="A480" s="1" t="s">
        <v>158</v>
      </c>
      <c r="B480" s="1" t="s">
        <v>44</v>
      </c>
      <c r="C480" s="1" t="s">
        <v>25</v>
      </c>
      <c r="D480" s="1">
        <v>0</v>
      </c>
      <c r="E480" s="1">
        <v>316.47000000000003</v>
      </c>
      <c r="F480" s="1">
        <v>0</v>
      </c>
      <c r="G480" s="1">
        <v>-5221.7299999999996</v>
      </c>
      <c r="H480" s="1">
        <v>0</v>
      </c>
      <c r="I480" s="1">
        <v>723.35699999999997</v>
      </c>
    </row>
    <row r="481" spans="1:9" hidden="1" x14ac:dyDescent="0.25">
      <c r="A481" s="1" t="s">
        <v>158</v>
      </c>
      <c r="B481" s="1" t="s">
        <v>44</v>
      </c>
      <c r="C481" s="1" t="s">
        <v>10</v>
      </c>
      <c r="D481" s="1">
        <v>0</v>
      </c>
      <c r="E481" s="1">
        <v>316.47000000000003</v>
      </c>
      <c r="F481" s="1">
        <v>0</v>
      </c>
      <c r="G481" s="1">
        <v>-5221.7299999999996</v>
      </c>
      <c r="H481" s="1">
        <v>0</v>
      </c>
      <c r="I481" s="1">
        <v>1989.231</v>
      </c>
    </row>
    <row r="482" spans="1:9" hidden="1" x14ac:dyDescent="0.25">
      <c r="A482" s="1" t="s">
        <v>158</v>
      </c>
      <c r="B482" s="1" t="s">
        <v>45</v>
      </c>
      <c r="C482" s="1" t="s">
        <v>25</v>
      </c>
      <c r="D482" s="1">
        <v>0</v>
      </c>
      <c r="E482" s="1">
        <v>316.47000000000003</v>
      </c>
      <c r="F482" s="1">
        <v>0</v>
      </c>
      <c r="G482" s="1">
        <v>-4272.3249999999998</v>
      </c>
      <c r="H482" s="1">
        <v>0</v>
      </c>
      <c r="I482" s="1">
        <v>723.35699999999997</v>
      </c>
    </row>
    <row r="483" spans="1:9" hidden="1" x14ac:dyDescent="0.25">
      <c r="A483" s="1" t="s">
        <v>158</v>
      </c>
      <c r="B483" s="1" t="s">
        <v>45</v>
      </c>
      <c r="C483" s="1" t="s">
        <v>10</v>
      </c>
      <c r="D483" s="1">
        <v>0</v>
      </c>
      <c r="E483" s="1">
        <v>316.47000000000003</v>
      </c>
      <c r="F483" s="1">
        <v>0</v>
      </c>
      <c r="G483" s="1">
        <v>-4272.3249999999998</v>
      </c>
      <c r="H483" s="1">
        <v>0</v>
      </c>
      <c r="I483" s="1">
        <v>1989.231</v>
      </c>
    </row>
    <row r="484" spans="1:9" hidden="1" x14ac:dyDescent="0.25">
      <c r="A484" s="1" t="s">
        <v>158</v>
      </c>
      <c r="B484" s="1" t="s">
        <v>46</v>
      </c>
      <c r="C484" s="1" t="s">
        <v>25</v>
      </c>
      <c r="D484" s="1">
        <v>0</v>
      </c>
      <c r="E484" s="1">
        <v>0</v>
      </c>
      <c r="F484" s="1">
        <v>-382.53</v>
      </c>
      <c r="G484" s="1">
        <v>-7574.16</v>
      </c>
      <c r="H484" s="1">
        <v>874.36199999999997</v>
      </c>
      <c r="I484" s="1">
        <v>0</v>
      </c>
    </row>
    <row r="485" spans="1:9" hidden="1" x14ac:dyDescent="0.25">
      <c r="A485" s="1" t="s">
        <v>158</v>
      </c>
      <c r="B485" s="1" t="s">
        <v>46</v>
      </c>
      <c r="C485" s="1" t="s">
        <v>10</v>
      </c>
      <c r="D485" s="1">
        <v>0</v>
      </c>
      <c r="E485" s="1">
        <v>0</v>
      </c>
      <c r="F485" s="1">
        <v>-382.53</v>
      </c>
      <c r="G485" s="1">
        <v>-7574.16</v>
      </c>
      <c r="H485" s="1">
        <v>2404.4949999999999</v>
      </c>
      <c r="I485" s="1">
        <v>0</v>
      </c>
    </row>
    <row r="486" spans="1:9" hidden="1" x14ac:dyDescent="0.25">
      <c r="A486" s="1" t="s">
        <v>158</v>
      </c>
      <c r="B486" s="1" t="s">
        <v>47</v>
      </c>
      <c r="C486" s="1" t="s">
        <v>25</v>
      </c>
      <c r="D486" s="1">
        <v>0</v>
      </c>
      <c r="E486" s="1">
        <v>0</v>
      </c>
      <c r="F486" s="1">
        <v>-382.53</v>
      </c>
      <c r="G486" s="1">
        <v>-6197.04</v>
      </c>
      <c r="H486" s="1">
        <v>874.36199999999997</v>
      </c>
      <c r="I486" s="1">
        <v>0</v>
      </c>
    </row>
    <row r="487" spans="1:9" hidden="1" x14ac:dyDescent="0.25">
      <c r="A487" s="1" t="s">
        <v>158</v>
      </c>
      <c r="B487" s="1" t="s">
        <v>47</v>
      </c>
      <c r="C487" s="1" t="s">
        <v>10</v>
      </c>
      <c r="D487" s="1">
        <v>0</v>
      </c>
      <c r="E487" s="1">
        <v>0</v>
      </c>
      <c r="F487" s="1">
        <v>-382.53</v>
      </c>
      <c r="G487" s="1">
        <v>-6197.04</v>
      </c>
      <c r="H487" s="1">
        <v>2404.4949999999999</v>
      </c>
      <c r="I487" s="1">
        <v>0</v>
      </c>
    </row>
    <row r="488" spans="1:9" hidden="1" x14ac:dyDescent="0.25">
      <c r="A488" s="1" t="s">
        <v>158</v>
      </c>
      <c r="B488" s="1" t="s">
        <v>48</v>
      </c>
      <c r="C488" s="1" t="s">
        <v>25</v>
      </c>
      <c r="D488" s="1">
        <v>0</v>
      </c>
      <c r="E488" s="1">
        <v>0</v>
      </c>
      <c r="F488" s="1">
        <v>382.53</v>
      </c>
      <c r="G488" s="1">
        <v>7574.16</v>
      </c>
      <c r="H488" s="1">
        <v>-874.36199999999997</v>
      </c>
      <c r="I488" s="1">
        <v>0</v>
      </c>
    </row>
    <row r="489" spans="1:9" hidden="1" x14ac:dyDescent="0.25">
      <c r="A489" s="1" t="s">
        <v>158</v>
      </c>
      <c r="B489" s="1" t="s">
        <v>48</v>
      </c>
      <c r="C489" s="1" t="s">
        <v>10</v>
      </c>
      <c r="D489" s="1">
        <v>0</v>
      </c>
      <c r="E489" s="1">
        <v>0</v>
      </c>
      <c r="F489" s="1">
        <v>382.53</v>
      </c>
      <c r="G489" s="1">
        <v>7574.16</v>
      </c>
      <c r="H489" s="1">
        <v>-2404.4949999999999</v>
      </c>
      <c r="I489" s="1">
        <v>0</v>
      </c>
    </row>
    <row r="490" spans="1:9" hidden="1" x14ac:dyDescent="0.25">
      <c r="A490" s="1" t="s">
        <v>158</v>
      </c>
      <c r="B490" s="1" t="s">
        <v>49</v>
      </c>
      <c r="C490" s="1" t="s">
        <v>25</v>
      </c>
      <c r="D490" s="1">
        <v>0</v>
      </c>
      <c r="E490" s="1">
        <v>0</v>
      </c>
      <c r="F490" s="1">
        <v>382.53</v>
      </c>
      <c r="G490" s="1">
        <v>6197.04</v>
      </c>
      <c r="H490" s="1">
        <v>-874.36199999999997</v>
      </c>
      <c r="I490" s="1">
        <v>0</v>
      </c>
    </row>
    <row r="491" spans="1:9" hidden="1" x14ac:dyDescent="0.25">
      <c r="A491" s="1" t="s">
        <v>158</v>
      </c>
      <c r="B491" s="1" t="s">
        <v>49</v>
      </c>
      <c r="C491" s="1" t="s">
        <v>10</v>
      </c>
      <c r="D491" s="1">
        <v>0</v>
      </c>
      <c r="E491" s="1">
        <v>0</v>
      </c>
      <c r="F491" s="1">
        <v>382.53</v>
      </c>
      <c r="G491" s="1">
        <v>6197.04</v>
      </c>
      <c r="H491" s="1">
        <v>-2404.4949999999999</v>
      </c>
      <c r="I491" s="1">
        <v>0</v>
      </c>
    </row>
    <row r="492" spans="1:9" hidden="1" x14ac:dyDescent="0.25">
      <c r="A492" s="1" t="s">
        <v>158</v>
      </c>
      <c r="B492" s="1" t="s">
        <v>50</v>
      </c>
      <c r="C492" s="1" t="s">
        <v>25</v>
      </c>
      <c r="D492" s="1">
        <v>0</v>
      </c>
      <c r="E492" s="1">
        <v>-94.94</v>
      </c>
      <c r="F492" s="1">
        <v>0</v>
      </c>
      <c r="G492" s="1">
        <v>1566.519</v>
      </c>
      <c r="H492" s="1">
        <v>0</v>
      </c>
      <c r="I492" s="1">
        <v>-217.00700000000001</v>
      </c>
    </row>
    <row r="493" spans="1:9" hidden="1" x14ac:dyDescent="0.25">
      <c r="A493" s="1" t="s">
        <v>158</v>
      </c>
      <c r="B493" s="1" t="s">
        <v>50</v>
      </c>
      <c r="C493" s="1" t="s">
        <v>10</v>
      </c>
      <c r="D493" s="1">
        <v>0</v>
      </c>
      <c r="E493" s="1">
        <v>-94.94</v>
      </c>
      <c r="F493" s="1">
        <v>0</v>
      </c>
      <c r="G493" s="1">
        <v>1566.519</v>
      </c>
      <c r="H493" s="1">
        <v>0</v>
      </c>
      <c r="I493" s="1">
        <v>-596.76900000000001</v>
      </c>
    </row>
    <row r="494" spans="1:9" hidden="1" x14ac:dyDescent="0.25">
      <c r="A494" s="1" t="s">
        <v>158</v>
      </c>
      <c r="B494" s="1" t="s">
        <v>51</v>
      </c>
      <c r="C494" s="1" t="s">
        <v>25</v>
      </c>
      <c r="D494" s="1">
        <v>0</v>
      </c>
      <c r="E494" s="1">
        <v>-94.94</v>
      </c>
      <c r="F494" s="1">
        <v>0</v>
      </c>
      <c r="G494" s="1">
        <v>1281.6969999999999</v>
      </c>
      <c r="H494" s="1">
        <v>0</v>
      </c>
      <c r="I494" s="1">
        <v>-217.00700000000001</v>
      </c>
    </row>
    <row r="495" spans="1:9" hidden="1" x14ac:dyDescent="0.25">
      <c r="A495" s="1" t="s">
        <v>158</v>
      </c>
      <c r="B495" s="1" t="s">
        <v>51</v>
      </c>
      <c r="C495" s="1" t="s">
        <v>10</v>
      </c>
      <c r="D495" s="1">
        <v>0</v>
      </c>
      <c r="E495" s="1">
        <v>-94.94</v>
      </c>
      <c r="F495" s="1">
        <v>0</v>
      </c>
      <c r="G495" s="1">
        <v>1281.6969999999999</v>
      </c>
      <c r="H495" s="1">
        <v>0</v>
      </c>
      <c r="I495" s="1">
        <v>-596.76900000000001</v>
      </c>
    </row>
    <row r="496" spans="1:9" hidden="1" x14ac:dyDescent="0.25">
      <c r="A496" s="1" t="s">
        <v>158</v>
      </c>
      <c r="B496" s="1" t="s">
        <v>52</v>
      </c>
      <c r="C496" s="1" t="s">
        <v>25</v>
      </c>
      <c r="D496" s="1">
        <v>0</v>
      </c>
      <c r="E496" s="1">
        <v>94.94</v>
      </c>
      <c r="F496" s="1">
        <v>0</v>
      </c>
      <c r="G496" s="1">
        <v>-1566.519</v>
      </c>
      <c r="H496" s="1">
        <v>0</v>
      </c>
      <c r="I496" s="1">
        <v>217.00700000000001</v>
      </c>
    </row>
    <row r="497" spans="1:9" hidden="1" x14ac:dyDescent="0.25">
      <c r="A497" s="1" t="s">
        <v>158</v>
      </c>
      <c r="B497" s="1" t="s">
        <v>52</v>
      </c>
      <c r="C497" s="1" t="s">
        <v>10</v>
      </c>
      <c r="D497" s="1">
        <v>0</v>
      </c>
      <c r="E497" s="1">
        <v>94.94</v>
      </c>
      <c r="F497" s="1">
        <v>0</v>
      </c>
      <c r="G497" s="1">
        <v>-1566.519</v>
      </c>
      <c r="H497" s="1">
        <v>0</v>
      </c>
      <c r="I497" s="1">
        <v>596.76900000000001</v>
      </c>
    </row>
    <row r="498" spans="1:9" hidden="1" x14ac:dyDescent="0.25">
      <c r="A498" s="1" t="s">
        <v>158</v>
      </c>
      <c r="B498" s="1" t="s">
        <v>53</v>
      </c>
      <c r="C498" s="1" t="s">
        <v>25</v>
      </c>
      <c r="D498" s="1">
        <v>0</v>
      </c>
      <c r="E498" s="1">
        <v>94.94</v>
      </c>
      <c r="F498" s="1">
        <v>0</v>
      </c>
      <c r="G498" s="1">
        <v>-1281.6969999999999</v>
      </c>
      <c r="H498" s="1">
        <v>0</v>
      </c>
      <c r="I498" s="1">
        <v>217.00700000000001</v>
      </c>
    </row>
    <row r="499" spans="1:9" hidden="1" x14ac:dyDescent="0.25">
      <c r="A499" s="1" t="s">
        <v>158</v>
      </c>
      <c r="B499" s="1" t="s">
        <v>53</v>
      </c>
      <c r="C499" s="1" t="s">
        <v>10</v>
      </c>
      <c r="D499" s="1">
        <v>0</v>
      </c>
      <c r="E499" s="1">
        <v>94.94</v>
      </c>
      <c r="F499" s="1">
        <v>0</v>
      </c>
      <c r="G499" s="1">
        <v>-1281.6969999999999</v>
      </c>
      <c r="H499" s="1">
        <v>0</v>
      </c>
      <c r="I499" s="1">
        <v>596.76900000000001</v>
      </c>
    </row>
    <row r="500" spans="1:9" hidden="1" x14ac:dyDescent="0.25">
      <c r="A500" s="1" t="s">
        <v>158</v>
      </c>
      <c r="B500" s="1" t="s">
        <v>54</v>
      </c>
      <c r="C500" s="1" t="s">
        <v>25</v>
      </c>
      <c r="D500" s="1">
        <v>0</v>
      </c>
      <c r="E500" s="1">
        <v>0</v>
      </c>
      <c r="F500" s="1">
        <v>-114.76</v>
      </c>
      <c r="G500" s="1">
        <v>-2272.248</v>
      </c>
      <c r="H500" s="1">
        <v>262.30900000000003</v>
      </c>
      <c r="I500" s="1">
        <v>0</v>
      </c>
    </row>
    <row r="501" spans="1:9" hidden="1" x14ac:dyDescent="0.25">
      <c r="A501" s="1" t="s">
        <v>158</v>
      </c>
      <c r="B501" s="1" t="s">
        <v>54</v>
      </c>
      <c r="C501" s="1" t="s">
        <v>10</v>
      </c>
      <c r="D501" s="1">
        <v>0</v>
      </c>
      <c r="E501" s="1">
        <v>0</v>
      </c>
      <c r="F501" s="1">
        <v>-114.76</v>
      </c>
      <c r="G501" s="1">
        <v>-2272.248</v>
      </c>
      <c r="H501" s="1">
        <v>721.34900000000005</v>
      </c>
      <c r="I501" s="1">
        <v>0</v>
      </c>
    </row>
    <row r="502" spans="1:9" hidden="1" x14ac:dyDescent="0.25">
      <c r="A502" s="1" t="s">
        <v>158</v>
      </c>
      <c r="B502" s="1" t="s">
        <v>55</v>
      </c>
      <c r="C502" s="1" t="s">
        <v>25</v>
      </c>
      <c r="D502" s="1">
        <v>0</v>
      </c>
      <c r="E502" s="1">
        <v>0</v>
      </c>
      <c r="F502" s="1">
        <v>-114.76</v>
      </c>
      <c r="G502" s="1">
        <v>-1859.1120000000001</v>
      </c>
      <c r="H502" s="1">
        <v>262.30900000000003</v>
      </c>
      <c r="I502" s="1">
        <v>0</v>
      </c>
    </row>
    <row r="503" spans="1:9" hidden="1" x14ac:dyDescent="0.25">
      <c r="A503" s="1" t="s">
        <v>158</v>
      </c>
      <c r="B503" s="1" t="s">
        <v>55</v>
      </c>
      <c r="C503" s="1" t="s">
        <v>10</v>
      </c>
      <c r="D503" s="1">
        <v>0</v>
      </c>
      <c r="E503" s="1">
        <v>0</v>
      </c>
      <c r="F503" s="1">
        <v>-114.76</v>
      </c>
      <c r="G503" s="1">
        <v>-1859.1120000000001</v>
      </c>
      <c r="H503" s="1">
        <v>721.34900000000005</v>
      </c>
      <c r="I503" s="1">
        <v>0</v>
      </c>
    </row>
    <row r="504" spans="1:9" hidden="1" x14ac:dyDescent="0.25">
      <c r="A504" s="1" t="s">
        <v>158</v>
      </c>
      <c r="B504" s="1" t="s">
        <v>56</v>
      </c>
      <c r="C504" s="1" t="s">
        <v>25</v>
      </c>
      <c r="D504" s="1">
        <v>0</v>
      </c>
      <c r="E504" s="1">
        <v>0</v>
      </c>
      <c r="F504" s="1">
        <v>114.76</v>
      </c>
      <c r="G504" s="1">
        <v>2272.248</v>
      </c>
      <c r="H504" s="1">
        <v>-262.30900000000003</v>
      </c>
      <c r="I504" s="1">
        <v>0</v>
      </c>
    </row>
    <row r="505" spans="1:9" hidden="1" x14ac:dyDescent="0.25">
      <c r="A505" s="1" t="s">
        <v>158</v>
      </c>
      <c r="B505" s="1" t="s">
        <v>56</v>
      </c>
      <c r="C505" s="1" t="s">
        <v>10</v>
      </c>
      <c r="D505" s="1">
        <v>0</v>
      </c>
      <c r="E505" s="1">
        <v>0</v>
      </c>
      <c r="F505" s="1">
        <v>114.76</v>
      </c>
      <c r="G505" s="1">
        <v>2272.248</v>
      </c>
      <c r="H505" s="1">
        <v>-721.34900000000005</v>
      </c>
      <c r="I505" s="1">
        <v>0</v>
      </c>
    </row>
    <row r="506" spans="1:9" hidden="1" x14ac:dyDescent="0.25">
      <c r="A506" s="1" t="s">
        <v>158</v>
      </c>
      <c r="B506" s="1" t="s">
        <v>57</v>
      </c>
      <c r="C506" s="1" t="s">
        <v>25</v>
      </c>
      <c r="D506" s="1">
        <v>0</v>
      </c>
      <c r="E506" s="1">
        <v>0</v>
      </c>
      <c r="F506" s="1">
        <v>114.76</v>
      </c>
      <c r="G506" s="1">
        <v>1859.1120000000001</v>
      </c>
      <c r="H506" s="1">
        <v>-262.30900000000003</v>
      </c>
      <c r="I506" s="1">
        <v>0</v>
      </c>
    </row>
    <row r="507" spans="1:9" hidden="1" x14ac:dyDescent="0.25">
      <c r="A507" s="1" t="s">
        <v>158</v>
      </c>
      <c r="B507" s="1" t="s">
        <v>57</v>
      </c>
      <c r="C507" s="1" t="s">
        <v>10</v>
      </c>
      <c r="D507" s="1">
        <v>0</v>
      </c>
      <c r="E507" s="1">
        <v>0</v>
      </c>
      <c r="F507" s="1">
        <v>114.76</v>
      </c>
      <c r="G507" s="1">
        <v>1859.1120000000001</v>
      </c>
      <c r="H507" s="1">
        <v>-721.34900000000005</v>
      </c>
      <c r="I507" s="1">
        <v>0</v>
      </c>
    </row>
    <row r="508" spans="1:9" hidden="1" x14ac:dyDescent="0.25">
      <c r="A508" s="1" t="s">
        <v>158</v>
      </c>
      <c r="B508" s="1" t="s">
        <v>58</v>
      </c>
      <c r="C508" s="1" t="s">
        <v>25</v>
      </c>
      <c r="D508" s="1">
        <v>0</v>
      </c>
      <c r="E508" s="1">
        <v>-94.94</v>
      </c>
      <c r="F508" s="1">
        <v>0</v>
      </c>
      <c r="G508" s="1">
        <v>1566.519</v>
      </c>
      <c r="H508" s="1">
        <v>0</v>
      </c>
      <c r="I508" s="1">
        <v>-217.00700000000001</v>
      </c>
    </row>
    <row r="509" spans="1:9" hidden="1" x14ac:dyDescent="0.25">
      <c r="A509" s="1" t="s">
        <v>158</v>
      </c>
      <c r="B509" s="1" t="s">
        <v>58</v>
      </c>
      <c r="C509" s="1" t="s">
        <v>10</v>
      </c>
      <c r="D509" s="1">
        <v>0</v>
      </c>
      <c r="E509" s="1">
        <v>-94.94</v>
      </c>
      <c r="F509" s="1">
        <v>0</v>
      </c>
      <c r="G509" s="1">
        <v>1566.519</v>
      </c>
      <c r="H509" s="1">
        <v>0</v>
      </c>
      <c r="I509" s="1">
        <v>-596.76900000000001</v>
      </c>
    </row>
    <row r="510" spans="1:9" hidden="1" x14ac:dyDescent="0.25">
      <c r="A510" s="1" t="s">
        <v>158</v>
      </c>
      <c r="B510" s="1" t="s">
        <v>59</v>
      </c>
      <c r="C510" s="1" t="s">
        <v>25</v>
      </c>
      <c r="D510" s="1">
        <v>0</v>
      </c>
      <c r="E510" s="1">
        <v>-94.94</v>
      </c>
      <c r="F510" s="1">
        <v>0</v>
      </c>
      <c r="G510" s="1">
        <v>1281.6969999999999</v>
      </c>
      <c r="H510" s="1">
        <v>0</v>
      </c>
      <c r="I510" s="1">
        <v>-217.00700000000001</v>
      </c>
    </row>
    <row r="511" spans="1:9" hidden="1" x14ac:dyDescent="0.25">
      <c r="A511" s="1" t="s">
        <v>158</v>
      </c>
      <c r="B511" s="1" t="s">
        <v>59</v>
      </c>
      <c r="C511" s="1" t="s">
        <v>10</v>
      </c>
      <c r="D511" s="1">
        <v>0</v>
      </c>
      <c r="E511" s="1">
        <v>-94.94</v>
      </c>
      <c r="F511" s="1">
        <v>0</v>
      </c>
      <c r="G511" s="1">
        <v>1281.6969999999999</v>
      </c>
      <c r="H511" s="1">
        <v>0</v>
      </c>
      <c r="I511" s="1">
        <v>-596.76900000000001</v>
      </c>
    </row>
    <row r="512" spans="1:9" hidden="1" x14ac:dyDescent="0.25">
      <c r="A512" s="1" t="s">
        <v>158</v>
      </c>
      <c r="B512" s="1" t="s">
        <v>60</v>
      </c>
      <c r="C512" s="1" t="s">
        <v>25</v>
      </c>
      <c r="D512" s="1">
        <v>0</v>
      </c>
      <c r="E512" s="1">
        <v>94.94</v>
      </c>
      <c r="F512" s="1">
        <v>0</v>
      </c>
      <c r="G512" s="1">
        <v>-1566.519</v>
      </c>
      <c r="H512" s="1">
        <v>0</v>
      </c>
      <c r="I512" s="1">
        <v>217.00700000000001</v>
      </c>
    </row>
    <row r="513" spans="1:9" hidden="1" x14ac:dyDescent="0.25">
      <c r="A513" s="1" t="s">
        <v>158</v>
      </c>
      <c r="B513" s="1" t="s">
        <v>60</v>
      </c>
      <c r="C513" s="1" t="s">
        <v>10</v>
      </c>
      <c r="D513" s="1">
        <v>0</v>
      </c>
      <c r="E513" s="1">
        <v>94.94</v>
      </c>
      <c r="F513" s="1">
        <v>0</v>
      </c>
      <c r="G513" s="1">
        <v>-1566.519</v>
      </c>
      <c r="H513" s="1">
        <v>0</v>
      </c>
      <c r="I513" s="1">
        <v>596.76900000000001</v>
      </c>
    </row>
    <row r="514" spans="1:9" hidden="1" x14ac:dyDescent="0.25">
      <c r="A514" s="1" t="s">
        <v>158</v>
      </c>
      <c r="B514" s="1" t="s">
        <v>61</v>
      </c>
      <c r="C514" s="1" t="s">
        <v>25</v>
      </c>
      <c r="D514" s="1">
        <v>0</v>
      </c>
      <c r="E514" s="1">
        <v>94.94</v>
      </c>
      <c r="F514" s="1">
        <v>0</v>
      </c>
      <c r="G514" s="1">
        <v>-1281.6969999999999</v>
      </c>
      <c r="H514" s="1">
        <v>0</v>
      </c>
      <c r="I514" s="1">
        <v>217.00700000000001</v>
      </c>
    </row>
    <row r="515" spans="1:9" hidden="1" x14ac:dyDescent="0.25">
      <c r="A515" s="1" t="s">
        <v>158</v>
      </c>
      <c r="B515" s="1" t="s">
        <v>61</v>
      </c>
      <c r="C515" s="1" t="s">
        <v>10</v>
      </c>
      <c r="D515" s="1">
        <v>0</v>
      </c>
      <c r="E515" s="1">
        <v>94.94</v>
      </c>
      <c r="F515" s="1">
        <v>0</v>
      </c>
      <c r="G515" s="1">
        <v>-1281.6969999999999</v>
      </c>
      <c r="H515" s="1">
        <v>0</v>
      </c>
      <c r="I515" s="1">
        <v>596.76900000000001</v>
      </c>
    </row>
    <row r="516" spans="1:9" hidden="1" x14ac:dyDescent="0.25">
      <c r="A516" s="1" t="s">
        <v>158</v>
      </c>
      <c r="B516" s="1" t="s">
        <v>62</v>
      </c>
      <c r="C516" s="1" t="s">
        <v>25</v>
      </c>
      <c r="D516" s="1">
        <v>0</v>
      </c>
      <c r="E516" s="1">
        <v>0</v>
      </c>
      <c r="F516" s="1">
        <v>-114.76</v>
      </c>
      <c r="G516" s="1">
        <v>-2272.248</v>
      </c>
      <c r="H516" s="1">
        <v>262.30900000000003</v>
      </c>
      <c r="I516" s="1">
        <v>0</v>
      </c>
    </row>
    <row r="517" spans="1:9" hidden="1" x14ac:dyDescent="0.25">
      <c r="A517" s="1" t="s">
        <v>158</v>
      </c>
      <c r="B517" s="1" t="s">
        <v>62</v>
      </c>
      <c r="C517" s="1" t="s">
        <v>10</v>
      </c>
      <c r="D517" s="1">
        <v>0</v>
      </c>
      <c r="E517" s="1">
        <v>0</v>
      </c>
      <c r="F517" s="1">
        <v>-114.76</v>
      </c>
      <c r="G517" s="1">
        <v>-2272.248</v>
      </c>
      <c r="H517" s="1">
        <v>721.34900000000005</v>
      </c>
      <c r="I517" s="1">
        <v>0</v>
      </c>
    </row>
    <row r="518" spans="1:9" hidden="1" x14ac:dyDescent="0.25">
      <c r="A518" s="1" t="s">
        <v>158</v>
      </c>
      <c r="B518" s="1" t="s">
        <v>63</v>
      </c>
      <c r="C518" s="1" t="s">
        <v>25</v>
      </c>
      <c r="D518" s="1">
        <v>0</v>
      </c>
      <c r="E518" s="1">
        <v>0</v>
      </c>
      <c r="F518" s="1">
        <v>-114.76</v>
      </c>
      <c r="G518" s="1">
        <v>-1859.1120000000001</v>
      </c>
      <c r="H518" s="1">
        <v>262.30900000000003</v>
      </c>
      <c r="I518" s="1">
        <v>0</v>
      </c>
    </row>
    <row r="519" spans="1:9" hidden="1" x14ac:dyDescent="0.25">
      <c r="A519" s="1" t="s">
        <v>158</v>
      </c>
      <c r="B519" s="1" t="s">
        <v>63</v>
      </c>
      <c r="C519" s="1" t="s">
        <v>10</v>
      </c>
      <c r="D519" s="1">
        <v>0</v>
      </c>
      <c r="E519" s="1">
        <v>0</v>
      </c>
      <c r="F519" s="1">
        <v>-114.76</v>
      </c>
      <c r="G519" s="1">
        <v>-1859.1120000000001</v>
      </c>
      <c r="H519" s="1">
        <v>721.34900000000005</v>
      </c>
      <c r="I519" s="1">
        <v>0</v>
      </c>
    </row>
    <row r="520" spans="1:9" hidden="1" x14ac:dyDescent="0.25">
      <c r="A520" s="1" t="s">
        <v>158</v>
      </c>
      <c r="B520" s="1" t="s">
        <v>64</v>
      </c>
      <c r="C520" s="1" t="s">
        <v>25</v>
      </c>
      <c r="D520" s="1">
        <v>0</v>
      </c>
      <c r="E520" s="1">
        <v>0</v>
      </c>
      <c r="F520" s="1">
        <v>114.76</v>
      </c>
      <c r="G520" s="1">
        <v>2272.248</v>
      </c>
      <c r="H520" s="1">
        <v>-262.30900000000003</v>
      </c>
      <c r="I520" s="1">
        <v>0</v>
      </c>
    </row>
    <row r="521" spans="1:9" hidden="1" x14ac:dyDescent="0.25">
      <c r="A521" s="1" t="s">
        <v>158</v>
      </c>
      <c r="B521" s="1" t="s">
        <v>64</v>
      </c>
      <c r="C521" s="1" t="s">
        <v>10</v>
      </c>
      <c r="D521" s="1">
        <v>0</v>
      </c>
      <c r="E521" s="1">
        <v>0</v>
      </c>
      <c r="F521" s="1">
        <v>114.76</v>
      </c>
      <c r="G521" s="1">
        <v>2272.248</v>
      </c>
      <c r="H521" s="1">
        <v>-721.34900000000005</v>
      </c>
      <c r="I521" s="1">
        <v>0</v>
      </c>
    </row>
    <row r="522" spans="1:9" hidden="1" x14ac:dyDescent="0.25">
      <c r="A522" s="1" t="s">
        <v>158</v>
      </c>
      <c r="B522" s="1" t="s">
        <v>65</v>
      </c>
      <c r="C522" s="1" t="s">
        <v>25</v>
      </c>
      <c r="D522" s="1">
        <v>0</v>
      </c>
      <c r="E522" s="1">
        <v>0</v>
      </c>
      <c r="F522" s="1">
        <v>114.76</v>
      </c>
      <c r="G522" s="1">
        <v>1859.1120000000001</v>
      </c>
      <c r="H522" s="1">
        <v>-262.30900000000003</v>
      </c>
      <c r="I522" s="1">
        <v>0</v>
      </c>
    </row>
    <row r="523" spans="1:9" hidden="1" x14ac:dyDescent="0.25">
      <c r="A523" s="1" t="s">
        <v>158</v>
      </c>
      <c r="B523" s="1" t="s">
        <v>65</v>
      </c>
      <c r="C523" s="1" t="s">
        <v>10</v>
      </c>
      <c r="D523" s="1">
        <v>0</v>
      </c>
      <c r="E523" s="1">
        <v>0</v>
      </c>
      <c r="F523" s="1">
        <v>114.76</v>
      </c>
      <c r="G523" s="1">
        <v>1859.1120000000001</v>
      </c>
      <c r="H523" s="1">
        <v>-721.34900000000005</v>
      </c>
      <c r="I523" s="1">
        <v>0</v>
      </c>
    </row>
    <row r="524" spans="1:9" hidden="1" x14ac:dyDescent="0.25">
      <c r="A524" s="1" t="s">
        <v>158</v>
      </c>
      <c r="B524" s="1" t="s">
        <v>66</v>
      </c>
      <c r="C524" s="1" t="s">
        <v>25</v>
      </c>
      <c r="D524" s="1">
        <v>0</v>
      </c>
      <c r="E524" s="1">
        <v>-316.47000000000003</v>
      </c>
      <c r="F524" s="1">
        <v>0</v>
      </c>
      <c r="G524" s="1">
        <v>5221.7299999999996</v>
      </c>
      <c r="H524" s="1">
        <v>0</v>
      </c>
      <c r="I524" s="1">
        <v>-723.35699999999997</v>
      </c>
    </row>
    <row r="525" spans="1:9" hidden="1" x14ac:dyDescent="0.25">
      <c r="A525" s="1" t="s">
        <v>158</v>
      </c>
      <c r="B525" s="1" t="s">
        <v>66</v>
      </c>
      <c r="C525" s="1" t="s">
        <v>10</v>
      </c>
      <c r="D525" s="1">
        <v>0</v>
      </c>
      <c r="E525" s="1">
        <v>-316.47000000000003</v>
      </c>
      <c r="F525" s="1">
        <v>0</v>
      </c>
      <c r="G525" s="1">
        <v>5221.7299999999996</v>
      </c>
      <c r="H525" s="1">
        <v>0</v>
      </c>
      <c r="I525" s="1">
        <v>-1989.231</v>
      </c>
    </row>
    <row r="526" spans="1:9" hidden="1" x14ac:dyDescent="0.25">
      <c r="A526" s="1" t="s">
        <v>158</v>
      </c>
      <c r="B526" s="1" t="s">
        <v>67</v>
      </c>
      <c r="C526" s="1" t="s">
        <v>25</v>
      </c>
      <c r="D526" s="1">
        <v>0</v>
      </c>
      <c r="E526" s="1">
        <v>-316.47000000000003</v>
      </c>
      <c r="F526" s="1">
        <v>0</v>
      </c>
      <c r="G526" s="1">
        <v>4272.3249999999998</v>
      </c>
      <c r="H526" s="1">
        <v>0</v>
      </c>
      <c r="I526" s="1">
        <v>-723.35699999999997</v>
      </c>
    </row>
    <row r="527" spans="1:9" hidden="1" x14ac:dyDescent="0.25">
      <c r="A527" s="1" t="s">
        <v>158</v>
      </c>
      <c r="B527" s="1" t="s">
        <v>67</v>
      </c>
      <c r="C527" s="1" t="s">
        <v>10</v>
      </c>
      <c r="D527" s="1">
        <v>0</v>
      </c>
      <c r="E527" s="1">
        <v>-316.47000000000003</v>
      </c>
      <c r="F527" s="1">
        <v>0</v>
      </c>
      <c r="G527" s="1">
        <v>4272.3249999999998</v>
      </c>
      <c r="H527" s="1">
        <v>0</v>
      </c>
      <c r="I527" s="1">
        <v>-1989.231</v>
      </c>
    </row>
    <row r="528" spans="1:9" hidden="1" x14ac:dyDescent="0.25">
      <c r="A528" s="1" t="s">
        <v>158</v>
      </c>
      <c r="B528" s="1" t="s">
        <v>68</v>
      </c>
      <c r="C528" s="1" t="s">
        <v>25</v>
      </c>
      <c r="D528" s="1">
        <v>0</v>
      </c>
      <c r="E528" s="1">
        <v>316.47000000000003</v>
      </c>
      <c r="F528" s="1">
        <v>0</v>
      </c>
      <c r="G528" s="1">
        <v>-5221.7299999999996</v>
      </c>
      <c r="H528" s="1">
        <v>0</v>
      </c>
      <c r="I528" s="1">
        <v>723.35699999999997</v>
      </c>
    </row>
    <row r="529" spans="1:9" hidden="1" x14ac:dyDescent="0.25">
      <c r="A529" s="1" t="s">
        <v>158</v>
      </c>
      <c r="B529" s="1" t="s">
        <v>68</v>
      </c>
      <c r="C529" s="1" t="s">
        <v>10</v>
      </c>
      <c r="D529" s="1">
        <v>0</v>
      </c>
      <c r="E529" s="1">
        <v>316.47000000000003</v>
      </c>
      <c r="F529" s="1">
        <v>0</v>
      </c>
      <c r="G529" s="1">
        <v>-5221.7299999999996</v>
      </c>
      <c r="H529" s="1">
        <v>0</v>
      </c>
      <c r="I529" s="1">
        <v>1989.231</v>
      </c>
    </row>
    <row r="530" spans="1:9" hidden="1" x14ac:dyDescent="0.25">
      <c r="A530" s="1" t="s">
        <v>158</v>
      </c>
      <c r="B530" s="1" t="s">
        <v>69</v>
      </c>
      <c r="C530" s="1" t="s">
        <v>25</v>
      </c>
      <c r="D530" s="1">
        <v>0</v>
      </c>
      <c r="E530" s="1">
        <v>316.47000000000003</v>
      </c>
      <c r="F530" s="1">
        <v>0</v>
      </c>
      <c r="G530" s="1">
        <v>-4272.3249999999998</v>
      </c>
      <c r="H530" s="1">
        <v>0</v>
      </c>
      <c r="I530" s="1">
        <v>723.35699999999997</v>
      </c>
    </row>
    <row r="531" spans="1:9" hidden="1" x14ac:dyDescent="0.25">
      <c r="A531" s="1" t="s">
        <v>158</v>
      </c>
      <c r="B531" s="1" t="s">
        <v>69</v>
      </c>
      <c r="C531" s="1" t="s">
        <v>10</v>
      </c>
      <c r="D531" s="1">
        <v>0</v>
      </c>
      <c r="E531" s="1">
        <v>316.47000000000003</v>
      </c>
      <c r="F531" s="1">
        <v>0</v>
      </c>
      <c r="G531" s="1">
        <v>-4272.3249999999998</v>
      </c>
      <c r="H531" s="1">
        <v>0</v>
      </c>
      <c r="I531" s="1">
        <v>1989.231</v>
      </c>
    </row>
    <row r="532" spans="1:9" hidden="1" x14ac:dyDescent="0.25">
      <c r="A532" s="1" t="s">
        <v>158</v>
      </c>
      <c r="B532" s="1" t="s">
        <v>70</v>
      </c>
      <c r="C532" s="1" t="s">
        <v>25</v>
      </c>
      <c r="D532" s="1">
        <v>0</v>
      </c>
      <c r="E532" s="1">
        <v>0</v>
      </c>
      <c r="F532" s="1">
        <v>-382.53</v>
      </c>
      <c r="G532" s="1">
        <v>-7574.16</v>
      </c>
      <c r="H532" s="1">
        <v>874.36199999999997</v>
      </c>
      <c r="I532" s="1">
        <v>0</v>
      </c>
    </row>
    <row r="533" spans="1:9" hidden="1" x14ac:dyDescent="0.25">
      <c r="A533" s="1" t="s">
        <v>158</v>
      </c>
      <c r="B533" s="1" t="s">
        <v>70</v>
      </c>
      <c r="C533" s="1" t="s">
        <v>10</v>
      </c>
      <c r="D533" s="1">
        <v>0</v>
      </c>
      <c r="E533" s="1">
        <v>0</v>
      </c>
      <c r="F533" s="1">
        <v>-382.53</v>
      </c>
      <c r="G533" s="1">
        <v>-7574.16</v>
      </c>
      <c r="H533" s="1">
        <v>2404.4949999999999</v>
      </c>
      <c r="I533" s="1">
        <v>0</v>
      </c>
    </row>
    <row r="534" spans="1:9" hidden="1" x14ac:dyDescent="0.25">
      <c r="A534" s="1" t="s">
        <v>158</v>
      </c>
      <c r="B534" s="1" t="s">
        <v>71</v>
      </c>
      <c r="C534" s="1" t="s">
        <v>25</v>
      </c>
      <c r="D534" s="1">
        <v>0</v>
      </c>
      <c r="E534" s="1">
        <v>0</v>
      </c>
      <c r="F534" s="1">
        <v>-382.53</v>
      </c>
      <c r="G534" s="1">
        <v>-6197.04</v>
      </c>
      <c r="H534" s="1">
        <v>874.36199999999997</v>
      </c>
      <c r="I534" s="1">
        <v>0</v>
      </c>
    </row>
    <row r="535" spans="1:9" hidden="1" x14ac:dyDescent="0.25">
      <c r="A535" s="1" t="s">
        <v>158</v>
      </c>
      <c r="B535" s="1" t="s">
        <v>71</v>
      </c>
      <c r="C535" s="1" t="s">
        <v>10</v>
      </c>
      <c r="D535" s="1">
        <v>0</v>
      </c>
      <c r="E535" s="1">
        <v>0</v>
      </c>
      <c r="F535" s="1">
        <v>-382.53</v>
      </c>
      <c r="G535" s="1">
        <v>-6197.04</v>
      </c>
      <c r="H535" s="1">
        <v>2404.4949999999999</v>
      </c>
      <c r="I535" s="1">
        <v>0</v>
      </c>
    </row>
    <row r="536" spans="1:9" hidden="1" x14ac:dyDescent="0.25">
      <c r="A536" s="1" t="s">
        <v>158</v>
      </c>
      <c r="B536" s="1" t="s">
        <v>72</v>
      </c>
      <c r="C536" s="1" t="s">
        <v>25</v>
      </c>
      <c r="D536" s="1">
        <v>0</v>
      </c>
      <c r="E536" s="1">
        <v>0</v>
      </c>
      <c r="F536" s="1">
        <v>382.53</v>
      </c>
      <c r="G536" s="1">
        <v>7574.16</v>
      </c>
      <c r="H536" s="1">
        <v>-874.36199999999997</v>
      </c>
      <c r="I536" s="1">
        <v>0</v>
      </c>
    </row>
    <row r="537" spans="1:9" hidden="1" x14ac:dyDescent="0.25">
      <c r="A537" s="1" t="s">
        <v>158</v>
      </c>
      <c r="B537" s="1" t="s">
        <v>72</v>
      </c>
      <c r="C537" s="1" t="s">
        <v>10</v>
      </c>
      <c r="D537" s="1">
        <v>0</v>
      </c>
      <c r="E537" s="1">
        <v>0</v>
      </c>
      <c r="F537" s="1">
        <v>382.53</v>
      </c>
      <c r="G537" s="1">
        <v>7574.16</v>
      </c>
      <c r="H537" s="1">
        <v>-2404.4949999999999</v>
      </c>
      <c r="I537" s="1">
        <v>0</v>
      </c>
    </row>
    <row r="538" spans="1:9" hidden="1" x14ac:dyDescent="0.25">
      <c r="A538" s="1" t="s">
        <v>158</v>
      </c>
      <c r="B538" s="1" t="s">
        <v>73</v>
      </c>
      <c r="C538" s="1" t="s">
        <v>25</v>
      </c>
      <c r="D538" s="1">
        <v>0</v>
      </c>
      <c r="E538" s="1">
        <v>0</v>
      </c>
      <c r="F538" s="1">
        <v>382.53</v>
      </c>
      <c r="G538" s="1">
        <v>6197.04</v>
      </c>
      <c r="H538" s="1">
        <v>-874.36199999999997</v>
      </c>
      <c r="I538" s="1">
        <v>0</v>
      </c>
    </row>
    <row r="539" spans="1:9" hidden="1" x14ac:dyDescent="0.25">
      <c r="A539" s="1" t="s">
        <v>158</v>
      </c>
      <c r="B539" s="1" t="s">
        <v>73</v>
      </c>
      <c r="C539" s="1" t="s">
        <v>10</v>
      </c>
      <c r="D539" s="1">
        <v>0</v>
      </c>
      <c r="E539" s="1">
        <v>0</v>
      </c>
      <c r="F539" s="1">
        <v>382.53</v>
      </c>
      <c r="G539" s="1">
        <v>6197.04</v>
      </c>
      <c r="H539" s="1">
        <v>-2404.4949999999999</v>
      </c>
      <c r="I539" s="1">
        <v>0</v>
      </c>
    </row>
    <row r="540" spans="1:9" hidden="1" x14ac:dyDescent="0.25">
      <c r="A540" s="1" t="s">
        <v>158</v>
      </c>
      <c r="B540" s="1" t="s">
        <v>74</v>
      </c>
      <c r="C540" s="1" t="s">
        <v>25</v>
      </c>
      <c r="D540" s="1">
        <v>0</v>
      </c>
      <c r="E540" s="1">
        <v>-316.47000000000003</v>
      </c>
      <c r="F540" s="1">
        <v>0</v>
      </c>
      <c r="G540" s="1">
        <v>5221.7299999999996</v>
      </c>
      <c r="H540" s="1">
        <v>0</v>
      </c>
      <c r="I540" s="1">
        <v>-723.35699999999997</v>
      </c>
    </row>
    <row r="541" spans="1:9" hidden="1" x14ac:dyDescent="0.25">
      <c r="A541" s="1" t="s">
        <v>158</v>
      </c>
      <c r="B541" s="1" t="s">
        <v>74</v>
      </c>
      <c r="C541" s="1" t="s">
        <v>10</v>
      </c>
      <c r="D541" s="1">
        <v>0</v>
      </c>
      <c r="E541" s="1">
        <v>-316.47000000000003</v>
      </c>
      <c r="F541" s="1">
        <v>0</v>
      </c>
      <c r="G541" s="1">
        <v>5221.7299999999996</v>
      </c>
      <c r="H541" s="1">
        <v>0</v>
      </c>
      <c r="I541" s="1">
        <v>-1989.231</v>
      </c>
    </row>
    <row r="542" spans="1:9" hidden="1" x14ac:dyDescent="0.25">
      <c r="A542" s="1" t="s">
        <v>158</v>
      </c>
      <c r="B542" s="1" t="s">
        <v>75</v>
      </c>
      <c r="C542" s="1" t="s">
        <v>25</v>
      </c>
      <c r="D542" s="1">
        <v>0</v>
      </c>
      <c r="E542" s="1">
        <v>-316.47000000000003</v>
      </c>
      <c r="F542" s="1">
        <v>0</v>
      </c>
      <c r="G542" s="1">
        <v>4272.3249999999998</v>
      </c>
      <c r="H542" s="1">
        <v>0</v>
      </c>
      <c r="I542" s="1">
        <v>-723.35699999999997</v>
      </c>
    </row>
    <row r="543" spans="1:9" hidden="1" x14ac:dyDescent="0.25">
      <c r="A543" s="1" t="s">
        <v>158</v>
      </c>
      <c r="B543" s="1" t="s">
        <v>75</v>
      </c>
      <c r="C543" s="1" t="s">
        <v>10</v>
      </c>
      <c r="D543" s="1">
        <v>0</v>
      </c>
      <c r="E543" s="1">
        <v>-316.47000000000003</v>
      </c>
      <c r="F543" s="1">
        <v>0</v>
      </c>
      <c r="G543" s="1">
        <v>4272.3249999999998</v>
      </c>
      <c r="H543" s="1">
        <v>0</v>
      </c>
      <c r="I543" s="1">
        <v>-1989.231</v>
      </c>
    </row>
    <row r="544" spans="1:9" hidden="1" x14ac:dyDescent="0.25">
      <c r="A544" s="1" t="s">
        <v>158</v>
      </c>
      <c r="B544" s="1" t="s">
        <v>76</v>
      </c>
      <c r="C544" s="1" t="s">
        <v>25</v>
      </c>
      <c r="D544" s="1">
        <v>0</v>
      </c>
      <c r="E544" s="1">
        <v>316.47000000000003</v>
      </c>
      <c r="F544" s="1">
        <v>0</v>
      </c>
      <c r="G544" s="1">
        <v>-5221.7299999999996</v>
      </c>
      <c r="H544" s="1">
        <v>0</v>
      </c>
      <c r="I544" s="1">
        <v>723.35699999999997</v>
      </c>
    </row>
    <row r="545" spans="1:9" hidden="1" x14ac:dyDescent="0.25">
      <c r="A545" s="1" t="s">
        <v>158</v>
      </c>
      <c r="B545" s="1" t="s">
        <v>76</v>
      </c>
      <c r="C545" s="1" t="s">
        <v>10</v>
      </c>
      <c r="D545" s="1">
        <v>0</v>
      </c>
      <c r="E545" s="1">
        <v>316.47000000000003</v>
      </c>
      <c r="F545" s="1">
        <v>0</v>
      </c>
      <c r="G545" s="1">
        <v>-5221.7299999999996</v>
      </c>
      <c r="H545" s="1">
        <v>0</v>
      </c>
      <c r="I545" s="1">
        <v>1989.231</v>
      </c>
    </row>
    <row r="546" spans="1:9" hidden="1" x14ac:dyDescent="0.25">
      <c r="A546" s="1" t="s">
        <v>158</v>
      </c>
      <c r="B546" s="1" t="s">
        <v>77</v>
      </c>
      <c r="C546" s="1" t="s">
        <v>25</v>
      </c>
      <c r="D546" s="1">
        <v>0</v>
      </c>
      <c r="E546" s="1">
        <v>316.47000000000003</v>
      </c>
      <c r="F546" s="1">
        <v>0</v>
      </c>
      <c r="G546" s="1">
        <v>-4272.3249999999998</v>
      </c>
      <c r="H546" s="1">
        <v>0</v>
      </c>
      <c r="I546" s="1">
        <v>723.35699999999997</v>
      </c>
    </row>
    <row r="547" spans="1:9" hidden="1" x14ac:dyDescent="0.25">
      <c r="A547" s="1" t="s">
        <v>158</v>
      </c>
      <c r="B547" s="1" t="s">
        <v>77</v>
      </c>
      <c r="C547" s="1" t="s">
        <v>10</v>
      </c>
      <c r="D547" s="1">
        <v>0</v>
      </c>
      <c r="E547" s="1">
        <v>316.47000000000003</v>
      </c>
      <c r="F547" s="1">
        <v>0</v>
      </c>
      <c r="G547" s="1">
        <v>-4272.3249999999998</v>
      </c>
      <c r="H547" s="1">
        <v>0</v>
      </c>
      <c r="I547" s="1">
        <v>1989.231</v>
      </c>
    </row>
    <row r="548" spans="1:9" hidden="1" x14ac:dyDescent="0.25">
      <c r="A548" s="1" t="s">
        <v>158</v>
      </c>
      <c r="B548" s="1" t="s">
        <v>78</v>
      </c>
      <c r="C548" s="1" t="s">
        <v>25</v>
      </c>
      <c r="D548" s="1">
        <v>0</v>
      </c>
      <c r="E548" s="1">
        <v>0</v>
      </c>
      <c r="F548" s="1">
        <v>-382.53</v>
      </c>
      <c r="G548" s="1">
        <v>-7574.16</v>
      </c>
      <c r="H548" s="1">
        <v>874.36199999999997</v>
      </c>
      <c r="I548" s="1">
        <v>0</v>
      </c>
    </row>
    <row r="549" spans="1:9" hidden="1" x14ac:dyDescent="0.25">
      <c r="A549" s="1" t="s">
        <v>158</v>
      </c>
      <c r="B549" s="1" t="s">
        <v>78</v>
      </c>
      <c r="C549" s="1" t="s">
        <v>10</v>
      </c>
      <c r="D549" s="1">
        <v>0</v>
      </c>
      <c r="E549" s="1">
        <v>0</v>
      </c>
      <c r="F549" s="1">
        <v>-382.53</v>
      </c>
      <c r="G549" s="1">
        <v>-7574.16</v>
      </c>
      <c r="H549" s="1">
        <v>2404.4949999999999</v>
      </c>
      <c r="I549" s="1">
        <v>0</v>
      </c>
    </row>
    <row r="550" spans="1:9" hidden="1" x14ac:dyDescent="0.25">
      <c r="A550" s="1" t="s">
        <v>158</v>
      </c>
      <c r="B550" s="1" t="s">
        <v>79</v>
      </c>
      <c r="C550" s="1" t="s">
        <v>25</v>
      </c>
      <c r="D550" s="1">
        <v>0</v>
      </c>
      <c r="E550" s="1">
        <v>0</v>
      </c>
      <c r="F550" s="1">
        <v>-382.53</v>
      </c>
      <c r="G550" s="1">
        <v>-6197.04</v>
      </c>
      <c r="H550" s="1">
        <v>874.36199999999997</v>
      </c>
      <c r="I550" s="1">
        <v>0</v>
      </c>
    </row>
    <row r="551" spans="1:9" hidden="1" x14ac:dyDescent="0.25">
      <c r="A551" s="1" t="s">
        <v>158</v>
      </c>
      <c r="B551" s="1" t="s">
        <v>79</v>
      </c>
      <c r="C551" s="1" t="s">
        <v>10</v>
      </c>
      <c r="D551" s="1">
        <v>0</v>
      </c>
      <c r="E551" s="1">
        <v>0</v>
      </c>
      <c r="F551" s="1">
        <v>-382.53</v>
      </c>
      <c r="G551" s="1">
        <v>-6197.04</v>
      </c>
      <c r="H551" s="1">
        <v>2404.4949999999999</v>
      </c>
      <c r="I551" s="1">
        <v>0</v>
      </c>
    </row>
    <row r="552" spans="1:9" hidden="1" x14ac:dyDescent="0.25">
      <c r="A552" s="1" t="s">
        <v>158</v>
      </c>
      <c r="B552" s="1" t="s">
        <v>80</v>
      </c>
      <c r="C552" s="1" t="s">
        <v>25</v>
      </c>
      <c r="D552" s="1">
        <v>0</v>
      </c>
      <c r="E552" s="1">
        <v>0</v>
      </c>
      <c r="F552" s="1">
        <v>382.53</v>
      </c>
      <c r="G552" s="1">
        <v>7574.16</v>
      </c>
      <c r="H552" s="1">
        <v>-874.36199999999997</v>
      </c>
      <c r="I552" s="1">
        <v>0</v>
      </c>
    </row>
    <row r="553" spans="1:9" hidden="1" x14ac:dyDescent="0.25">
      <c r="A553" s="1" t="s">
        <v>158</v>
      </c>
      <c r="B553" s="1" t="s">
        <v>80</v>
      </c>
      <c r="C553" s="1" t="s">
        <v>10</v>
      </c>
      <c r="D553" s="1">
        <v>0</v>
      </c>
      <c r="E553" s="1">
        <v>0</v>
      </c>
      <c r="F553" s="1">
        <v>382.53</v>
      </c>
      <c r="G553" s="1">
        <v>7574.16</v>
      </c>
      <c r="H553" s="1">
        <v>-2404.4949999999999</v>
      </c>
      <c r="I553" s="1">
        <v>0</v>
      </c>
    </row>
    <row r="554" spans="1:9" hidden="1" x14ac:dyDescent="0.25">
      <c r="A554" s="1" t="s">
        <v>158</v>
      </c>
      <c r="B554" s="1" t="s">
        <v>81</v>
      </c>
      <c r="C554" s="1" t="s">
        <v>25</v>
      </c>
      <c r="D554" s="1">
        <v>0</v>
      </c>
      <c r="E554" s="1">
        <v>0</v>
      </c>
      <c r="F554" s="1">
        <v>382.53</v>
      </c>
      <c r="G554" s="1">
        <v>6197.04</v>
      </c>
      <c r="H554" s="1">
        <v>-874.36199999999997</v>
      </c>
      <c r="I554" s="1">
        <v>0</v>
      </c>
    </row>
    <row r="555" spans="1:9" hidden="1" x14ac:dyDescent="0.25">
      <c r="A555" s="1" t="s">
        <v>158</v>
      </c>
      <c r="B555" s="1" t="s">
        <v>81</v>
      </c>
      <c r="C555" s="1" t="s">
        <v>10</v>
      </c>
      <c r="D555" s="1">
        <v>0</v>
      </c>
      <c r="E555" s="1">
        <v>0</v>
      </c>
      <c r="F555" s="1">
        <v>382.53</v>
      </c>
      <c r="G555" s="1">
        <v>6197.04</v>
      </c>
      <c r="H555" s="1">
        <v>-2404.4949999999999</v>
      </c>
      <c r="I555" s="1">
        <v>0</v>
      </c>
    </row>
    <row r="556" spans="1:9" hidden="1" x14ac:dyDescent="0.25">
      <c r="A556" s="1" t="s">
        <v>158</v>
      </c>
      <c r="B556" s="1" t="s">
        <v>82</v>
      </c>
      <c r="C556" s="1" t="s">
        <v>25</v>
      </c>
      <c r="D556" s="1">
        <v>0</v>
      </c>
      <c r="E556" s="1">
        <v>-94.94</v>
      </c>
      <c r="F556" s="1">
        <v>0</v>
      </c>
      <c r="G556" s="1">
        <v>1566.519</v>
      </c>
      <c r="H556" s="1">
        <v>0</v>
      </c>
      <c r="I556" s="1">
        <v>-217.00700000000001</v>
      </c>
    </row>
    <row r="557" spans="1:9" hidden="1" x14ac:dyDescent="0.25">
      <c r="A557" s="1" t="s">
        <v>158</v>
      </c>
      <c r="B557" s="1" t="s">
        <v>82</v>
      </c>
      <c r="C557" s="1" t="s">
        <v>10</v>
      </c>
      <c r="D557" s="1">
        <v>0</v>
      </c>
      <c r="E557" s="1">
        <v>-94.94</v>
      </c>
      <c r="F557" s="1">
        <v>0</v>
      </c>
      <c r="G557" s="1">
        <v>1566.519</v>
      </c>
      <c r="H557" s="1">
        <v>0</v>
      </c>
      <c r="I557" s="1">
        <v>-596.76900000000001</v>
      </c>
    </row>
    <row r="558" spans="1:9" hidden="1" x14ac:dyDescent="0.25">
      <c r="A558" s="1" t="s">
        <v>158</v>
      </c>
      <c r="B558" s="1" t="s">
        <v>83</v>
      </c>
      <c r="C558" s="1" t="s">
        <v>25</v>
      </c>
      <c r="D558" s="1">
        <v>0</v>
      </c>
      <c r="E558" s="1">
        <v>-94.94</v>
      </c>
      <c r="F558" s="1">
        <v>0</v>
      </c>
      <c r="G558" s="1">
        <v>1281.6969999999999</v>
      </c>
      <c r="H558" s="1">
        <v>0</v>
      </c>
      <c r="I558" s="1">
        <v>-217.00700000000001</v>
      </c>
    </row>
    <row r="559" spans="1:9" hidden="1" x14ac:dyDescent="0.25">
      <c r="A559" s="1" t="s">
        <v>158</v>
      </c>
      <c r="B559" s="1" t="s">
        <v>83</v>
      </c>
      <c r="C559" s="1" t="s">
        <v>10</v>
      </c>
      <c r="D559" s="1">
        <v>0</v>
      </c>
      <c r="E559" s="1">
        <v>-94.94</v>
      </c>
      <c r="F559" s="1">
        <v>0</v>
      </c>
      <c r="G559" s="1">
        <v>1281.6969999999999</v>
      </c>
      <c r="H559" s="1">
        <v>0</v>
      </c>
      <c r="I559" s="1">
        <v>-596.76900000000001</v>
      </c>
    </row>
    <row r="560" spans="1:9" hidden="1" x14ac:dyDescent="0.25">
      <c r="A560" s="1" t="s">
        <v>158</v>
      </c>
      <c r="B560" s="1" t="s">
        <v>84</v>
      </c>
      <c r="C560" s="1" t="s">
        <v>25</v>
      </c>
      <c r="D560" s="1">
        <v>0</v>
      </c>
      <c r="E560" s="1">
        <v>94.94</v>
      </c>
      <c r="F560" s="1">
        <v>0</v>
      </c>
      <c r="G560" s="1">
        <v>-1566.519</v>
      </c>
      <c r="H560" s="1">
        <v>0</v>
      </c>
      <c r="I560" s="1">
        <v>217.00700000000001</v>
      </c>
    </row>
    <row r="561" spans="1:9" hidden="1" x14ac:dyDescent="0.25">
      <c r="A561" s="1" t="s">
        <v>158</v>
      </c>
      <c r="B561" s="1" t="s">
        <v>84</v>
      </c>
      <c r="C561" s="1" t="s">
        <v>10</v>
      </c>
      <c r="D561" s="1">
        <v>0</v>
      </c>
      <c r="E561" s="1">
        <v>94.94</v>
      </c>
      <c r="F561" s="1">
        <v>0</v>
      </c>
      <c r="G561" s="1">
        <v>-1566.519</v>
      </c>
      <c r="H561" s="1">
        <v>0</v>
      </c>
      <c r="I561" s="1">
        <v>596.76900000000001</v>
      </c>
    </row>
    <row r="562" spans="1:9" hidden="1" x14ac:dyDescent="0.25">
      <c r="A562" s="1" t="s">
        <v>158</v>
      </c>
      <c r="B562" s="1" t="s">
        <v>85</v>
      </c>
      <c r="C562" s="1" t="s">
        <v>25</v>
      </c>
      <c r="D562" s="1">
        <v>0</v>
      </c>
      <c r="E562" s="1">
        <v>94.94</v>
      </c>
      <c r="F562" s="1">
        <v>0</v>
      </c>
      <c r="G562" s="1">
        <v>-1281.6969999999999</v>
      </c>
      <c r="H562" s="1">
        <v>0</v>
      </c>
      <c r="I562" s="1">
        <v>217.00700000000001</v>
      </c>
    </row>
    <row r="563" spans="1:9" hidden="1" x14ac:dyDescent="0.25">
      <c r="A563" s="1" t="s">
        <v>158</v>
      </c>
      <c r="B563" s="1" t="s">
        <v>85</v>
      </c>
      <c r="C563" s="1" t="s">
        <v>10</v>
      </c>
      <c r="D563" s="1">
        <v>0</v>
      </c>
      <c r="E563" s="1">
        <v>94.94</v>
      </c>
      <c r="F563" s="1">
        <v>0</v>
      </c>
      <c r="G563" s="1">
        <v>-1281.6969999999999</v>
      </c>
      <c r="H563" s="1">
        <v>0</v>
      </c>
      <c r="I563" s="1">
        <v>596.76900000000001</v>
      </c>
    </row>
    <row r="564" spans="1:9" hidden="1" x14ac:dyDescent="0.25">
      <c r="A564" s="1" t="s">
        <v>158</v>
      </c>
      <c r="B564" s="1" t="s">
        <v>86</v>
      </c>
      <c r="C564" s="1" t="s">
        <v>25</v>
      </c>
      <c r="D564" s="1">
        <v>0</v>
      </c>
      <c r="E564" s="1">
        <v>0</v>
      </c>
      <c r="F564" s="1">
        <v>-114.76</v>
      </c>
      <c r="G564" s="1">
        <v>-2272.248</v>
      </c>
      <c r="H564" s="1">
        <v>262.30900000000003</v>
      </c>
      <c r="I564" s="1">
        <v>0</v>
      </c>
    </row>
    <row r="565" spans="1:9" hidden="1" x14ac:dyDescent="0.25">
      <c r="A565" s="1" t="s">
        <v>158</v>
      </c>
      <c r="B565" s="1" t="s">
        <v>86</v>
      </c>
      <c r="C565" s="1" t="s">
        <v>10</v>
      </c>
      <c r="D565" s="1">
        <v>0</v>
      </c>
      <c r="E565" s="1">
        <v>0</v>
      </c>
      <c r="F565" s="1">
        <v>-114.76</v>
      </c>
      <c r="G565" s="1">
        <v>-2272.248</v>
      </c>
      <c r="H565" s="1">
        <v>721.34900000000005</v>
      </c>
      <c r="I565" s="1">
        <v>0</v>
      </c>
    </row>
    <row r="566" spans="1:9" hidden="1" x14ac:dyDescent="0.25">
      <c r="A566" s="1" t="s">
        <v>158</v>
      </c>
      <c r="B566" s="1" t="s">
        <v>87</v>
      </c>
      <c r="C566" s="1" t="s">
        <v>25</v>
      </c>
      <c r="D566" s="1">
        <v>0</v>
      </c>
      <c r="E566" s="1">
        <v>0</v>
      </c>
      <c r="F566" s="1">
        <v>-114.76</v>
      </c>
      <c r="G566" s="1">
        <v>-1859.1120000000001</v>
      </c>
      <c r="H566" s="1">
        <v>262.30900000000003</v>
      </c>
      <c r="I566" s="1">
        <v>0</v>
      </c>
    </row>
    <row r="567" spans="1:9" hidden="1" x14ac:dyDescent="0.25">
      <c r="A567" s="1" t="s">
        <v>158</v>
      </c>
      <c r="B567" s="1" t="s">
        <v>87</v>
      </c>
      <c r="C567" s="1" t="s">
        <v>10</v>
      </c>
      <c r="D567" s="1">
        <v>0</v>
      </c>
      <c r="E567" s="1">
        <v>0</v>
      </c>
      <c r="F567" s="1">
        <v>-114.76</v>
      </c>
      <c r="G567" s="1">
        <v>-1859.1120000000001</v>
      </c>
      <c r="H567" s="1">
        <v>721.34900000000005</v>
      </c>
      <c r="I567" s="1">
        <v>0</v>
      </c>
    </row>
    <row r="568" spans="1:9" hidden="1" x14ac:dyDescent="0.25">
      <c r="A568" s="1" t="s">
        <v>158</v>
      </c>
      <c r="B568" s="1" t="s">
        <v>88</v>
      </c>
      <c r="C568" s="1" t="s">
        <v>25</v>
      </c>
      <c r="D568" s="1">
        <v>0</v>
      </c>
      <c r="E568" s="1">
        <v>0</v>
      </c>
      <c r="F568" s="1">
        <v>114.76</v>
      </c>
      <c r="G568" s="1">
        <v>2272.248</v>
      </c>
      <c r="H568" s="1">
        <v>-262.30900000000003</v>
      </c>
      <c r="I568" s="1">
        <v>0</v>
      </c>
    </row>
    <row r="569" spans="1:9" hidden="1" x14ac:dyDescent="0.25">
      <c r="A569" s="1" t="s">
        <v>158</v>
      </c>
      <c r="B569" s="1" t="s">
        <v>88</v>
      </c>
      <c r="C569" s="1" t="s">
        <v>10</v>
      </c>
      <c r="D569" s="1">
        <v>0</v>
      </c>
      <c r="E569" s="1">
        <v>0</v>
      </c>
      <c r="F569" s="1">
        <v>114.76</v>
      </c>
      <c r="G569" s="1">
        <v>2272.248</v>
      </c>
      <c r="H569" s="1">
        <v>-721.34900000000005</v>
      </c>
      <c r="I569" s="1">
        <v>0</v>
      </c>
    </row>
    <row r="570" spans="1:9" hidden="1" x14ac:dyDescent="0.25">
      <c r="A570" s="1" t="s">
        <v>158</v>
      </c>
      <c r="B570" s="1" t="s">
        <v>89</v>
      </c>
      <c r="C570" s="1" t="s">
        <v>25</v>
      </c>
      <c r="D570" s="1">
        <v>0</v>
      </c>
      <c r="E570" s="1">
        <v>0</v>
      </c>
      <c r="F570" s="1">
        <v>114.76</v>
      </c>
      <c r="G570" s="1">
        <v>1859.1120000000001</v>
      </c>
      <c r="H570" s="1">
        <v>-262.30900000000003</v>
      </c>
      <c r="I570" s="1">
        <v>0</v>
      </c>
    </row>
    <row r="571" spans="1:9" hidden="1" x14ac:dyDescent="0.25">
      <c r="A571" s="1" t="s">
        <v>158</v>
      </c>
      <c r="B571" s="1" t="s">
        <v>89</v>
      </c>
      <c r="C571" s="1" t="s">
        <v>10</v>
      </c>
      <c r="D571" s="1">
        <v>0</v>
      </c>
      <c r="E571" s="1">
        <v>0</v>
      </c>
      <c r="F571" s="1">
        <v>114.76</v>
      </c>
      <c r="G571" s="1">
        <v>1859.1120000000001</v>
      </c>
      <c r="H571" s="1">
        <v>-721.34900000000005</v>
      </c>
      <c r="I571" s="1">
        <v>0</v>
      </c>
    </row>
    <row r="572" spans="1:9" hidden="1" x14ac:dyDescent="0.25">
      <c r="A572" s="1" t="s">
        <v>158</v>
      </c>
      <c r="B572" s="1" t="s">
        <v>90</v>
      </c>
      <c r="C572" s="1" t="s">
        <v>25</v>
      </c>
      <c r="D572" s="1">
        <v>0</v>
      </c>
      <c r="E572" s="1">
        <v>-94.94</v>
      </c>
      <c r="F572" s="1">
        <v>0</v>
      </c>
      <c r="G572" s="1">
        <v>1566.519</v>
      </c>
      <c r="H572" s="1">
        <v>0</v>
      </c>
      <c r="I572" s="1">
        <v>-217.00700000000001</v>
      </c>
    </row>
    <row r="573" spans="1:9" hidden="1" x14ac:dyDescent="0.25">
      <c r="A573" s="1" t="s">
        <v>158</v>
      </c>
      <c r="B573" s="1" t="s">
        <v>90</v>
      </c>
      <c r="C573" s="1" t="s">
        <v>10</v>
      </c>
      <c r="D573" s="1">
        <v>0</v>
      </c>
      <c r="E573" s="1">
        <v>-94.94</v>
      </c>
      <c r="F573" s="1">
        <v>0</v>
      </c>
      <c r="G573" s="1">
        <v>1566.519</v>
      </c>
      <c r="H573" s="1">
        <v>0</v>
      </c>
      <c r="I573" s="1">
        <v>-596.76900000000001</v>
      </c>
    </row>
    <row r="574" spans="1:9" hidden="1" x14ac:dyDescent="0.25">
      <c r="A574" s="1" t="s">
        <v>158</v>
      </c>
      <c r="B574" s="1" t="s">
        <v>91</v>
      </c>
      <c r="C574" s="1" t="s">
        <v>25</v>
      </c>
      <c r="D574" s="1">
        <v>0</v>
      </c>
      <c r="E574" s="1">
        <v>-94.94</v>
      </c>
      <c r="F574" s="1">
        <v>0</v>
      </c>
      <c r="G574" s="1">
        <v>1281.6969999999999</v>
      </c>
      <c r="H574" s="1">
        <v>0</v>
      </c>
      <c r="I574" s="1">
        <v>-217.00700000000001</v>
      </c>
    </row>
    <row r="575" spans="1:9" hidden="1" x14ac:dyDescent="0.25">
      <c r="A575" s="1" t="s">
        <v>158</v>
      </c>
      <c r="B575" s="1" t="s">
        <v>91</v>
      </c>
      <c r="C575" s="1" t="s">
        <v>10</v>
      </c>
      <c r="D575" s="1">
        <v>0</v>
      </c>
      <c r="E575" s="1">
        <v>-94.94</v>
      </c>
      <c r="F575" s="1">
        <v>0</v>
      </c>
      <c r="G575" s="1">
        <v>1281.6969999999999</v>
      </c>
      <c r="H575" s="1">
        <v>0</v>
      </c>
      <c r="I575" s="1">
        <v>-596.76900000000001</v>
      </c>
    </row>
    <row r="576" spans="1:9" hidden="1" x14ac:dyDescent="0.25">
      <c r="A576" s="1" t="s">
        <v>158</v>
      </c>
      <c r="B576" s="1" t="s">
        <v>92</v>
      </c>
      <c r="C576" s="1" t="s">
        <v>25</v>
      </c>
      <c r="D576" s="1">
        <v>0</v>
      </c>
      <c r="E576" s="1">
        <v>94.94</v>
      </c>
      <c r="F576" s="1">
        <v>0</v>
      </c>
      <c r="G576" s="1">
        <v>-1566.519</v>
      </c>
      <c r="H576" s="1">
        <v>0</v>
      </c>
      <c r="I576" s="1">
        <v>217.00700000000001</v>
      </c>
    </row>
    <row r="577" spans="1:9" hidden="1" x14ac:dyDescent="0.25">
      <c r="A577" s="1" t="s">
        <v>158</v>
      </c>
      <c r="B577" s="1" t="s">
        <v>92</v>
      </c>
      <c r="C577" s="1" t="s">
        <v>10</v>
      </c>
      <c r="D577" s="1">
        <v>0</v>
      </c>
      <c r="E577" s="1">
        <v>94.94</v>
      </c>
      <c r="F577" s="1">
        <v>0</v>
      </c>
      <c r="G577" s="1">
        <v>-1566.519</v>
      </c>
      <c r="H577" s="1">
        <v>0</v>
      </c>
      <c r="I577" s="1">
        <v>596.76900000000001</v>
      </c>
    </row>
    <row r="578" spans="1:9" hidden="1" x14ac:dyDescent="0.25">
      <c r="A578" s="1" t="s">
        <v>158</v>
      </c>
      <c r="B578" s="1" t="s">
        <v>93</v>
      </c>
      <c r="C578" s="1" t="s">
        <v>25</v>
      </c>
      <c r="D578" s="1">
        <v>0</v>
      </c>
      <c r="E578" s="1">
        <v>94.94</v>
      </c>
      <c r="F578" s="1">
        <v>0</v>
      </c>
      <c r="G578" s="1">
        <v>-1281.6969999999999</v>
      </c>
      <c r="H578" s="1">
        <v>0</v>
      </c>
      <c r="I578" s="1">
        <v>217.00700000000001</v>
      </c>
    </row>
    <row r="579" spans="1:9" hidden="1" x14ac:dyDescent="0.25">
      <c r="A579" s="1" t="s">
        <v>158</v>
      </c>
      <c r="B579" s="1" t="s">
        <v>93</v>
      </c>
      <c r="C579" s="1" t="s">
        <v>10</v>
      </c>
      <c r="D579" s="1">
        <v>0</v>
      </c>
      <c r="E579" s="1">
        <v>94.94</v>
      </c>
      <c r="F579" s="1">
        <v>0</v>
      </c>
      <c r="G579" s="1">
        <v>-1281.6969999999999</v>
      </c>
      <c r="H579" s="1">
        <v>0</v>
      </c>
      <c r="I579" s="1">
        <v>596.76900000000001</v>
      </c>
    </row>
    <row r="580" spans="1:9" hidden="1" x14ac:dyDescent="0.25">
      <c r="A580" s="1" t="s">
        <v>158</v>
      </c>
      <c r="B580" s="1" t="s">
        <v>94</v>
      </c>
      <c r="C580" s="1" t="s">
        <v>25</v>
      </c>
      <c r="D580" s="1">
        <v>0</v>
      </c>
      <c r="E580" s="1">
        <v>0</v>
      </c>
      <c r="F580" s="1">
        <v>-114.76</v>
      </c>
      <c r="G580" s="1">
        <v>-2272.248</v>
      </c>
      <c r="H580" s="1">
        <v>262.30900000000003</v>
      </c>
      <c r="I580" s="1">
        <v>0</v>
      </c>
    </row>
    <row r="581" spans="1:9" hidden="1" x14ac:dyDescent="0.25">
      <c r="A581" s="1" t="s">
        <v>158</v>
      </c>
      <c r="B581" s="1" t="s">
        <v>94</v>
      </c>
      <c r="C581" s="1" t="s">
        <v>10</v>
      </c>
      <c r="D581" s="1">
        <v>0</v>
      </c>
      <c r="E581" s="1">
        <v>0</v>
      </c>
      <c r="F581" s="1">
        <v>-114.76</v>
      </c>
      <c r="G581" s="1">
        <v>-2272.248</v>
      </c>
      <c r="H581" s="1">
        <v>721.34900000000005</v>
      </c>
      <c r="I581" s="1">
        <v>0</v>
      </c>
    </row>
    <row r="582" spans="1:9" hidden="1" x14ac:dyDescent="0.25">
      <c r="A582" s="1" t="s">
        <v>158</v>
      </c>
      <c r="B582" s="1" t="s">
        <v>95</v>
      </c>
      <c r="C582" s="1" t="s">
        <v>25</v>
      </c>
      <c r="D582" s="1">
        <v>0</v>
      </c>
      <c r="E582" s="1">
        <v>0</v>
      </c>
      <c r="F582" s="1">
        <v>-114.76</v>
      </c>
      <c r="G582" s="1">
        <v>-1859.1120000000001</v>
      </c>
      <c r="H582" s="1">
        <v>262.30900000000003</v>
      </c>
      <c r="I582" s="1">
        <v>0</v>
      </c>
    </row>
    <row r="583" spans="1:9" hidden="1" x14ac:dyDescent="0.25">
      <c r="A583" s="1" t="s">
        <v>158</v>
      </c>
      <c r="B583" s="1" t="s">
        <v>95</v>
      </c>
      <c r="C583" s="1" t="s">
        <v>10</v>
      </c>
      <c r="D583" s="1">
        <v>0</v>
      </c>
      <c r="E583" s="1">
        <v>0</v>
      </c>
      <c r="F583" s="1">
        <v>-114.76</v>
      </c>
      <c r="G583" s="1">
        <v>-1859.1120000000001</v>
      </c>
      <c r="H583" s="1">
        <v>721.34900000000005</v>
      </c>
      <c r="I583" s="1">
        <v>0</v>
      </c>
    </row>
    <row r="584" spans="1:9" hidden="1" x14ac:dyDescent="0.25">
      <c r="A584" s="1" t="s">
        <v>158</v>
      </c>
      <c r="B584" s="1" t="s">
        <v>96</v>
      </c>
      <c r="C584" s="1" t="s">
        <v>25</v>
      </c>
      <c r="D584" s="1">
        <v>0</v>
      </c>
      <c r="E584" s="1">
        <v>0</v>
      </c>
      <c r="F584" s="1">
        <v>114.76</v>
      </c>
      <c r="G584" s="1">
        <v>2272.248</v>
      </c>
      <c r="H584" s="1">
        <v>-262.30900000000003</v>
      </c>
      <c r="I584" s="1">
        <v>0</v>
      </c>
    </row>
    <row r="585" spans="1:9" hidden="1" x14ac:dyDescent="0.25">
      <c r="A585" s="1" t="s">
        <v>158</v>
      </c>
      <c r="B585" s="1" t="s">
        <v>96</v>
      </c>
      <c r="C585" s="1" t="s">
        <v>10</v>
      </c>
      <c r="D585" s="1">
        <v>0</v>
      </c>
      <c r="E585" s="1">
        <v>0</v>
      </c>
      <c r="F585" s="1">
        <v>114.76</v>
      </c>
      <c r="G585" s="1">
        <v>2272.248</v>
      </c>
      <c r="H585" s="1">
        <v>-721.34900000000005</v>
      </c>
      <c r="I585" s="1">
        <v>0</v>
      </c>
    </row>
    <row r="586" spans="1:9" hidden="1" x14ac:dyDescent="0.25">
      <c r="A586" s="1" t="s">
        <v>158</v>
      </c>
      <c r="B586" s="1" t="s">
        <v>97</v>
      </c>
      <c r="C586" s="1" t="s">
        <v>25</v>
      </c>
      <c r="D586" s="1">
        <v>0</v>
      </c>
      <c r="E586" s="1">
        <v>0</v>
      </c>
      <c r="F586" s="1">
        <v>114.76</v>
      </c>
      <c r="G586" s="1">
        <v>1859.1120000000001</v>
      </c>
      <c r="H586" s="1">
        <v>-262.30900000000003</v>
      </c>
      <c r="I586" s="1">
        <v>0</v>
      </c>
    </row>
    <row r="587" spans="1:9" hidden="1" x14ac:dyDescent="0.25">
      <c r="A587" s="1" t="s">
        <v>158</v>
      </c>
      <c r="B587" s="1" t="s">
        <v>97</v>
      </c>
      <c r="C587" s="1" t="s">
        <v>10</v>
      </c>
      <c r="D587" s="1">
        <v>0</v>
      </c>
      <c r="E587" s="1">
        <v>0</v>
      </c>
      <c r="F587" s="1">
        <v>114.76</v>
      </c>
      <c r="G587" s="1">
        <v>1859.1120000000001</v>
      </c>
      <c r="H587" s="1">
        <v>-721.34900000000005</v>
      </c>
      <c r="I587" s="1">
        <v>0</v>
      </c>
    </row>
    <row r="588" spans="1:9" hidden="1" x14ac:dyDescent="0.25">
      <c r="A588" s="1" t="s">
        <v>158</v>
      </c>
      <c r="B588" s="1" t="s">
        <v>14</v>
      </c>
      <c r="C588" s="1" t="s">
        <v>25</v>
      </c>
      <c r="D588" s="1">
        <v>0</v>
      </c>
      <c r="E588" s="1">
        <v>194.35</v>
      </c>
      <c r="F588" s="1">
        <v>0</v>
      </c>
      <c r="G588" s="1">
        <v>3282.768</v>
      </c>
      <c r="H588" s="1">
        <v>0</v>
      </c>
      <c r="I588" s="1">
        <v>546.28399999999999</v>
      </c>
    </row>
    <row r="589" spans="1:9" hidden="1" x14ac:dyDescent="0.25">
      <c r="A589" s="1" t="s">
        <v>158</v>
      </c>
      <c r="B589" s="1" t="s">
        <v>14</v>
      </c>
      <c r="C589" s="1" t="s">
        <v>10</v>
      </c>
      <c r="D589" s="1">
        <v>0</v>
      </c>
      <c r="E589" s="1">
        <v>194.35</v>
      </c>
      <c r="F589" s="1">
        <v>0</v>
      </c>
      <c r="G589" s="1">
        <v>3282.768</v>
      </c>
      <c r="H589" s="1">
        <v>0</v>
      </c>
      <c r="I589" s="1">
        <v>1271.7080000000001</v>
      </c>
    </row>
    <row r="590" spans="1:9" hidden="1" x14ac:dyDescent="0.25">
      <c r="A590" s="1" t="s">
        <v>158</v>
      </c>
      <c r="B590" s="1" t="s">
        <v>98</v>
      </c>
      <c r="C590" s="1" t="s">
        <v>25</v>
      </c>
      <c r="D590" s="1">
        <v>0</v>
      </c>
      <c r="E590" s="1">
        <v>-194.35</v>
      </c>
      <c r="F590" s="1">
        <v>0</v>
      </c>
      <c r="G590" s="1">
        <v>-3282.768</v>
      </c>
      <c r="H590" s="1">
        <v>0</v>
      </c>
      <c r="I590" s="1">
        <v>-546.28399999999999</v>
      </c>
    </row>
    <row r="591" spans="1:9" hidden="1" x14ac:dyDescent="0.25">
      <c r="A591" s="1" t="s">
        <v>158</v>
      </c>
      <c r="B591" s="1" t="s">
        <v>98</v>
      </c>
      <c r="C591" s="1" t="s">
        <v>10</v>
      </c>
      <c r="D591" s="1">
        <v>0</v>
      </c>
      <c r="E591" s="1">
        <v>-194.35</v>
      </c>
      <c r="F591" s="1">
        <v>0</v>
      </c>
      <c r="G591" s="1">
        <v>-3282.768</v>
      </c>
      <c r="H591" s="1">
        <v>0</v>
      </c>
      <c r="I591" s="1">
        <v>-1271.7080000000001</v>
      </c>
    </row>
    <row r="592" spans="1:9" hidden="1" x14ac:dyDescent="0.25">
      <c r="A592" s="1" t="s">
        <v>158</v>
      </c>
      <c r="B592" s="1" t="s">
        <v>15</v>
      </c>
      <c r="C592" s="1" t="s">
        <v>25</v>
      </c>
      <c r="D592" s="1">
        <v>0</v>
      </c>
      <c r="E592" s="1">
        <v>0</v>
      </c>
      <c r="F592" s="1">
        <v>483.2</v>
      </c>
      <c r="G592" s="1">
        <v>9609.9860000000008</v>
      </c>
      <c r="H592" s="1">
        <v>1163.6300000000001</v>
      </c>
      <c r="I592" s="1">
        <v>0</v>
      </c>
    </row>
    <row r="593" spans="1:9" hidden="1" x14ac:dyDescent="0.25">
      <c r="A593" s="1" t="s">
        <v>158</v>
      </c>
      <c r="B593" s="1" t="s">
        <v>15</v>
      </c>
      <c r="C593" s="1" t="s">
        <v>10</v>
      </c>
      <c r="D593" s="1">
        <v>0</v>
      </c>
      <c r="E593" s="1">
        <v>0</v>
      </c>
      <c r="F593" s="1">
        <v>483.2</v>
      </c>
      <c r="G593" s="1">
        <v>9609.9860000000008</v>
      </c>
      <c r="H593" s="1">
        <v>3071.299</v>
      </c>
      <c r="I593" s="1">
        <v>0</v>
      </c>
    </row>
    <row r="594" spans="1:9" hidden="1" x14ac:dyDescent="0.25">
      <c r="A594" s="1" t="s">
        <v>158</v>
      </c>
      <c r="B594" s="1" t="s">
        <v>99</v>
      </c>
      <c r="C594" s="1" t="s">
        <v>25</v>
      </c>
      <c r="D594" s="1">
        <v>0</v>
      </c>
      <c r="E594" s="1">
        <v>0</v>
      </c>
      <c r="F594" s="1">
        <v>-483.2</v>
      </c>
      <c r="G594" s="1">
        <v>-9609.9860000000008</v>
      </c>
      <c r="H594" s="1">
        <v>-1163.6300000000001</v>
      </c>
      <c r="I594" s="1">
        <v>0</v>
      </c>
    </row>
    <row r="595" spans="1:9" hidden="1" x14ac:dyDescent="0.25">
      <c r="A595" s="1" t="s">
        <v>158</v>
      </c>
      <c r="B595" s="1" t="s">
        <v>99</v>
      </c>
      <c r="C595" s="1" t="s">
        <v>10</v>
      </c>
      <c r="D595" s="1">
        <v>0</v>
      </c>
      <c r="E595" s="1">
        <v>0</v>
      </c>
      <c r="F595" s="1">
        <v>-483.2</v>
      </c>
      <c r="G595" s="1">
        <v>-9609.9860000000008</v>
      </c>
      <c r="H595" s="1">
        <v>-3071.299</v>
      </c>
      <c r="I595" s="1">
        <v>0</v>
      </c>
    </row>
    <row r="596" spans="1:9" hidden="1" x14ac:dyDescent="0.25">
      <c r="A596" s="1" t="s">
        <v>158</v>
      </c>
      <c r="B596" s="1" t="s">
        <v>100</v>
      </c>
      <c r="C596" s="1" t="s">
        <v>25</v>
      </c>
      <c r="D596" s="1">
        <v>0</v>
      </c>
      <c r="E596" s="1">
        <v>194.35</v>
      </c>
      <c r="F596" s="1">
        <v>0</v>
      </c>
      <c r="G596" s="1">
        <v>3282.768</v>
      </c>
      <c r="H596" s="1">
        <v>0</v>
      </c>
      <c r="I596" s="1">
        <v>546.28399999999999</v>
      </c>
    </row>
    <row r="597" spans="1:9" hidden="1" x14ac:dyDescent="0.25">
      <c r="A597" s="1" t="s">
        <v>158</v>
      </c>
      <c r="B597" s="1" t="s">
        <v>100</v>
      </c>
      <c r="C597" s="1" t="s">
        <v>10</v>
      </c>
      <c r="D597" s="1">
        <v>0</v>
      </c>
      <c r="E597" s="1">
        <v>194.35</v>
      </c>
      <c r="F597" s="1">
        <v>0</v>
      </c>
      <c r="G597" s="1">
        <v>3282.768</v>
      </c>
      <c r="H597" s="1">
        <v>0</v>
      </c>
      <c r="I597" s="1">
        <v>1271.7080000000001</v>
      </c>
    </row>
    <row r="598" spans="1:9" hidden="1" x14ac:dyDescent="0.25">
      <c r="A598" s="1" t="s">
        <v>158</v>
      </c>
      <c r="B598" s="1" t="s">
        <v>101</v>
      </c>
      <c r="C598" s="1" t="s">
        <v>25</v>
      </c>
      <c r="D598" s="1">
        <v>0</v>
      </c>
      <c r="E598" s="1">
        <v>-194.35</v>
      </c>
      <c r="F598" s="1">
        <v>0</v>
      </c>
      <c r="G598" s="1">
        <v>-3282.768</v>
      </c>
      <c r="H598" s="1">
        <v>0</v>
      </c>
      <c r="I598" s="1">
        <v>-546.28399999999999</v>
      </c>
    </row>
    <row r="599" spans="1:9" hidden="1" x14ac:dyDescent="0.25">
      <c r="A599" s="1" t="s">
        <v>158</v>
      </c>
      <c r="B599" s="1" t="s">
        <v>101</v>
      </c>
      <c r="C599" s="1" t="s">
        <v>10</v>
      </c>
      <c r="D599" s="1">
        <v>0</v>
      </c>
      <c r="E599" s="1">
        <v>-194.35</v>
      </c>
      <c r="F599" s="1">
        <v>0</v>
      </c>
      <c r="G599" s="1">
        <v>-3282.768</v>
      </c>
      <c r="H599" s="1">
        <v>0</v>
      </c>
      <c r="I599" s="1">
        <v>-1271.7080000000001</v>
      </c>
    </row>
    <row r="600" spans="1:9" hidden="1" x14ac:dyDescent="0.25">
      <c r="A600" s="1" t="s">
        <v>158</v>
      </c>
      <c r="B600" s="1" t="s">
        <v>102</v>
      </c>
      <c r="C600" s="1" t="s">
        <v>25</v>
      </c>
      <c r="D600" s="1">
        <v>0</v>
      </c>
      <c r="E600" s="1">
        <v>194.35</v>
      </c>
      <c r="F600" s="1">
        <v>0</v>
      </c>
      <c r="G600" s="1">
        <v>3282.768</v>
      </c>
      <c r="H600" s="1">
        <v>0</v>
      </c>
      <c r="I600" s="1">
        <v>546.28399999999999</v>
      </c>
    </row>
    <row r="601" spans="1:9" hidden="1" x14ac:dyDescent="0.25">
      <c r="A601" s="1" t="s">
        <v>158</v>
      </c>
      <c r="B601" s="1" t="s">
        <v>102</v>
      </c>
      <c r="C601" s="1" t="s">
        <v>10</v>
      </c>
      <c r="D601" s="1">
        <v>0</v>
      </c>
      <c r="E601" s="1">
        <v>194.35</v>
      </c>
      <c r="F601" s="1">
        <v>0</v>
      </c>
      <c r="G601" s="1">
        <v>3282.768</v>
      </c>
      <c r="H601" s="1">
        <v>0</v>
      </c>
      <c r="I601" s="1">
        <v>1271.7080000000001</v>
      </c>
    </row>
    <row r="602" spans="1:9" hidden="1" x14ac:dyDescent="0.25">
      <c r="A602" s="1" t="s">
        <v>158</v>
      </c>
      <c r="B602" s="1" t="s">
        <v>103</v>
      </c>
      <c r="C602" s="1" t="s">
        <v>25</v>
      </c>
      <c r="D602" s="1">
        <v>0</v>
      </c>
      <c r="E602" s="1">
        <v>-194.35</v>
      </c>
      <c r="F602" s="1">
        <v>0</v>
      </c>
      <c r="G602" s="1">
        <v>-3282.768</v>
      </c>
      <c r="H602" s="1">
        <v>0</v>
      </c>
      <c r="I602" s="1">
        <v>-546.28399999999999</v>
      </c>
    </row>
    <row r="603" spans="1:9" hidden="1" x14ac:dyDescent="0.25">
      <c r="A603" s="1" t="s">
        <v>158</v>
      </c>
      <c r="B603" s="1" t="s">
        <v>103</v>
      </c>
      <c r="C603" s="1" t="s">
        <v>10</v>
      </c>
      <c r="D603" s="1">
        <v>0</v>
      </c>
      <c r="E603" s="1">
        <v>-194.35</v>
      </c>
      <c r="F603" s="1">
        <v>0</v>
      </c>
      <c r="G603" s="1">
        <v>-3282.768</v>
      </c>
      <c r="H603" s="1">
        <v>0</v>
      </c>
      <c r="I603" s="1">
        <v>-1271.7080000000001</v>
      </c>
    </row>
    <row r="604" spans="1:9" hidden="1" x14ac:dyDescent="0.25">
      <c r="A604" s="1" t="s">
        <v>158</v>
      </c>
      <c r="B604" s="1" t="s">
        <v>104</v>
      </c>
      <c r="C604" s="1" t="s">
        <v>25</v>
      </c>
      <c r="D604" s="1">
        <v>0</v>
      </c>
      <c r="E604" s="1">
        <v>0</v>
      </c>
      <c r="F604" s="1">
        <v>483.2</v>
      </c>
      <c r="G604" s="1">
        <v>9609.9860000000008</v>
      </c>
      <c r="H604" s="1">
        <v>1163.6300000000001</v>
      </c>
      <c r="I604" s="1">
        <v>0</v>
      </c>
    </row>
    <row r="605" spans="1:9" hidden="1" x14ac:dyDescent="0.25">
      <c r="A605" s="1" t="s">
        <v>158</v>
      </c>
      <c r="B605" s="1" t="s">
        <v>104</v>
      </c>
      <c r="C605" s="1" t="s">
        <v>10</v>
      </c>
      <c r="D605" s="1">
        <v>0</v>
      </c>
      <c r="E605" s="1">
        <v>0</v>
      </c>
      <c r="F605" s="1">
        <v>483.2</v>
      </c>
      <c r="G605" s="1">
        <v>9609.9860000000008</v>
      </c>
      <c r="H605" s="1">
        <v>3071.299</v>
      </c>
      <c r="I605" s="1">
        <v>0</v>
      </c>
    </row>
    <row r="606" spans="1:9" hidden="1" x14ac:dyDescent="0.25">
      <c r="A606" s="1" t="s">
        <v>158</v>
      </c>
      <c r="B606" s="1" t="s">
        <v>105</v>
      </c>
      <c r="C606" s="1" t="s">
        <v>25</v>
      </c>
      <c r="D606" s="1">
        <v>0</v>
      </c>
      <c r="E606" s="1">
        <v>0</v>
      </c>
      <c r="F606" s="1">
        <v>-483.2</v>
      </c>
      <c r="G606" s="1">
        <v>-9609.9860000000008</v>
      </c>
      <c r="H606" s="1">
        <v>-1163.6300000000001</v>
      </c>
      <c r="I606" s="1">
        <v>0</v>
      </c>
    </row>
    <row r="607" spans="1:9" hidden="1" x14ac:dyDescent="0.25">
      <c r="A607" s="1" t="s">
        <v>158</v>
      </c>
      <c r="B607" s="1" t="s">
        <v>105</v>
      </c>
      <c r="C607" s="1" t="s">
        <v>10</v>
      </c>
      <c r="D607" s="1">
        <v>0</v>
      </c>
      <c r="E607" s="1">
        <v>0</v>
      </c>
      <c r="F607" s="1">
        <v>-483.2</v>
      </c>
      <c r="G607" s="1">
        <v>-9609.9860000000008</v>
      </c>
      <c r="H607" s="1">
        <v>-3071.299</v>
      </c>
      <c r="I607" s="1">
        <v>0</v>
      </c>
    </row>
    <row r="608" spans="1:9" hidden="1" x14ac:dyDescent="0.25">
      <c r="A608" s="1" t="s">
        <v>158</v>
      </c>
      <c r="B608" s="1" t="s">
        <v>106</v>
      </c>
      <c r="C608" s="1" t="s">
        <v>25</v>
      </c>
      <c r="D608" s="1">
        <v>0</v>
      </c>
      <c r="E608" s="1">
        <v>0</v>
      </c>
      <c r="F608" s="1">
        <v>483.2</v>
      </c>
      <c r="G608" s="1">
        <v>9609.9860000000008</v>
      </c>
      <c r="H608" s="1">
        <v>1163.6300000000001</v>
      </c>
      <c r="I608" s="1">
        <v>0</v>
      </c>
    </row>
    <row r="609" spans="1:9" hidden="1" x14ac:dyDescent="0.25">
      <c r="A609" s="1" t="s">
        <v>158</v>
      </c>
      <c r="B609" s="1" t="s">
        <v>106</v>
      </c>
      <c r="C609" s="1" t="s">
        <v>10</v>
      </c>
      <c r="D609" s="1">
        <v>0</v>
      </c>
      <c r="E609" s="1">
        <v>0</v>
      </c>
      <c r="F609" s="1">
        <v>483.2</v>
      </c>
      <c r="G609" s="1">
        <v>9609.9860000000008</v>
      </c>
      <c r="H609" s="1">
        <v>3071.299</v>
      </c>
      <c r="I609" s="1">
        <v>0</v>
      </c>
    </row>
    <row r="610" spans="1:9" hidden="1" x14ac:dyDescent="0.25">
      <c r="A610" s="1" t="s">
        <v>158</v>
      </c>
      <c r="B610" s="1" t="s">
        <v>107</v>
      </c>
      <c r="C610" s="1" t="s">
        <v>25</v>
      </c>
      <c r="D610" s="1">
        <v>0</v>
      </c>
      <c r="E610" s="1">
        <v>0</v>
      </c>
      <c r="F610" s="1">
        <v>-483.2</v>
      </c>
      <c r="G610" s="1">
        <v>-9609.9860000000008</v>
      </c>
      <c r="H610" s="1">
        <v>-1163.6300000000001</v>
      </c>
      <c r="I610" s="1">
        <v>0</v>
      </c>
    </row>
    <row r="611" spans="1:9" hidden="1" x14ac:dyDescent="0.25">
      <c r="A611" s="1" t="s">
        <v>158</v>
      </c>
      <c r="B611" s="1" t="s">
        <v>107</v>
      </c>
      <c r="C611" s="1" t="s">
        <v>10</v>
      </c>
      <c r="D611" s="1">
        <v>0</v>
      </c>
      <c r="E611" s="1">
        <v>0</v>
      </c>
      <c r="F611" s="1">
        <v>-483.2</v>
      </c>
      <c r="G611" s="1">
        <v>-9609.9860000000008</v>
      </c>
      <c r="H611" s="1">
        <v>-3071.299</v>
      </c>
      <c r="I611" s="1">
        <v>0</v>
      </c>
    </row>
    <row r="612" spans="1:9" hidden="1" x14ac:dyDescent="0.25">
      <c r="A612" s="1" t="s">
        <v>158</v>
      </c>
      <c r="B612" s="1" t="s">
        <v>108</v>
      </c>
      <c r="C612" s="1" t="s">
        <v>25</v>
      </c>
      <c r="D612" s="1">
        <v>0</v>
      </c>
      <c r="E612" s="1">
        <v>58.3</v>
      </c>
      <c r="F612" s="1">
        <v>0</v>
      </c>
      <c r="G612" s="1">
        <v>984.83</v>
      </c>
      <c r="H612" s="1">
        <v>0</v>
      </c>
      <c r="I612" s="1">
        <v>163.88499999999999</v>
      </c>
    </row>
    <row r="613" spans="1:9" hidden="1" x14ac:dyDescent="0.25">
      <c r="A613" s="1" t="s">
        <v>158</v>
      </c>
      <c r="B613" s="1" t="s">
        <v>108</v>
      </c>
      <c r="C613" s="1" t="s">
        <v>10</v>
      </c>
      <c r="D613" s="1">
        <v>0</v>
      </c>
      <c r="E613" s="1">
        <v>58.3</v>
      </c>
      <c r="F613" s="1">
        <v>0</v>
      </c>
      <c r="G613" s="1">
        <v>984.83</v>
      </c>
      <c r="H613" s="1">
        <v>0</v>
      </c>
      <c r="I613" s="1">
        <v>381.512</v>
      </c>
    </row>
    <row r="614" spans="1:9" hidden="1" x14ac:dyDescent="0.25">
      <c r="A614" s="1" t="s">
        <v>158</v>
      </c>
      <c r="B614" s="1" t="s">
        <v>109</v>
      </c>
      <c r="C614" s="1" t="s">
        <v>25</v>
      </c>
      <c r="D614" s="1">
        <v>0</v>
      </c>
      <c r="E614" s="1">
        <v>-58.3</v>
      </c>
      <c r="F614" s="1">
        <v>0</v>
      </c>
      <c r="G614" s="1">
        <v>-984.83</v>
      </c>
      <c r="H614" s="1">
        <v>0</v>
      </c>
      <c r="I614" s="1">
        <v>-163.88499999999999</v>
      </c>
    </row>
    <row r="615" spans="1:9" hidden="1" x14ac:dyDescent="0.25">
      <c r="A615" s="1" t="s">
        <v>158</v>
      </c>
      <c r="B615" s="1" t="s">
        <v>109</v>
      </c>
      <c r="C615" s="1" t="s">
        <v>10</v>
      </c>
      <c r="D615" s="1">
        <v>0</v>
      </c>
      <c r="E615" s="1">
        <v>-58.3</v>
      </c>
      <c r="F615" s="1">
        <v>0</v>
      </c>
      <c r="G615" s="1">
        <v>-984.83</v>
      </c>
      <c r="H615" s="1">
        <v>0</v>
      </c>
      <c r="I615" s="1">
        <v>-381.512</v>
      </c>
    </row>
    <row r="616" spans="1:9" hidden="1" x14ac:dyDescent="0.25">
      <c r="A616" s="1" t="s">
        <v>158</v>
      </c>
      <c r="B616" s="1" t="s">
        <v>110</v>
      </c>
      <c r="C616" s="1" t="s">
        <v>25</v>
      </c>
      <c r="D616" s="1">
        <v>0</v>
      </c>
      <c r="E616" s="1">
        <v>58.3</v>
      </c>
      <c r="F616" s="1">
        <v>0</v>
      </c>
      <c r="G616" s="1">
        <v>984.83</v>
      </c>
      <c r="H616" s="1">
        <v>0</v>
      </c>
      <c r="I616" s="1">
        <v>163.88499999999999</v>
      </c>
    </row>
    <row r="617" spans="1:9" hidden="1" x14ac:dyDescent="0.25">
      <c r="A617" s="1" t="s">
        <v>158</v>
      </c>
      <c r="B617" s="1" t="s">
        <v>110</v>
      </c>
      <c r="C617" s="1" t="s">
        <v>10</v>
      </c>
      <c r="D617" s="1">
        <v>0</v>
      </c>
      <c r="E617" s="1">
        <v>58.3</v>
      </c>
      <c r="F617" s="1">
        <v>0</v>
      </c>
      <c r="G617" s="1">
        <v>984.83</v>
      </c>
      <c r="H617" s="1">
        <v>0</v>
      </c>
      <c r="I617" s="1">
        <v>381.512</v>
      </c>
    </row>
    <row r="618" spans="1:9" hidden="1" x14ac:dyDescent="0.25">
      <c r="A618" s="1" t="s">
        <v>158</v>
      </c>
      <c r="B618" s="1" t="s">
        <v>111</v>
      </c>
      <c r="C618" s="1" t="s">
        <v>25</v>
      </c>
      <c r="D618" s="1">
        <v>0</v>
      </c>
      <c r="E618" s="1">
        <v>-58.3</v>
      </c>
      <c r="F618" s="1">
        <v>0</v>
      </c>
      <c r="G618" s="1">
        <v>-984.83</v>
      </c>
      <c r="H618" s="1">
        <v>0</v>
      </c>
      <c r="I618" s="1">
        <v>-163.88499999999999</v>
      </c>
    </row>
    <row r="619" spans="1:9" hidden="1" x14ac:dyDescent="0.25">
      <c r="A619" s="1" t="s">
        <v>158</v>
      </c>
      <c r="B619" s="1" t="s">
        <v>111</v>
      </c>
      <c r="C619" s="1" t="s">
        <v>10</v>
      </c>
      <c r="D619" s="1">
        <v>0</v>
      </c>
      <c r="E619" s="1">
        <v>-58.3</v>
      </c>
      <c r="F619" s="1">
        <v>0</v>
      </c>
      <c r="G619" s="1">
        <v>-984.83</v>
      </c>
      <c r="H619" s="1">
        <v>0</v>
      </c>
      <c r="I619" s="1">
        <v>-381.512</v>
      </c>
    </row>
    <row r="620" spans="1:9" hidden="1" x14ac:dyDescent="0.25">
      <c r="A620" s="1" t="s">
        <v>158</v>
      </c>
      <c r="B620" s="1" t="s">
        <v>112</v>
      </c>
      <c r="C620" s="1" t="s">
        <v>25</v>
      </c>
      <c r="D620" s="1">
        <v>0</v>
      </c>
      <c r="E620" s="1">
        <v>0</v>
      </c>
      <c r="F620" s="1">
        <v>144.96</v>
      </c>
      <c r="G620" s="1">
        <v>2882.9960000000001</v>
      </c>
      <c r="H620" s="1">
        <v>349.089</v>
      </c>
      <c r="I620" s="1">
        <v>0</v>
      </c>
    </row>
    <row r="621" spans="1:9" hidden="1" x14ac:dyDescent="0.25">
      <c r="A621" s="1" t="s">
        <v>158</v>
      </c>
      <c r="B621" s="1" t="s">
        <v>112</v>
      </c>
      <c r="C621" s="1" t="s">
        <v>10</v>
      </c>
      <c r="D621" s="1">
        <v>0</v>
      </c>
      <c r="E621" s="1">
        <v>0</v>
      </c>
      <c r="F621" s="1">
        <v>144.96</v>
      </c>
      <c r="G621" s="1">
        <v>2882.9960000000001</v>
      </c>
      <c r="H621" s="1">
        <v>921.39</v>
      </c>
      <c r="I621" s="1">
        <v>0</v>
      </c>
    </row>
    <row r="622" spans="1:9" hidden="1" x14ac:dyDescent="0.25">
      <c r="A622" s="1" t="s">
        <v>158</v>
      </c>
      <c r="B622" s="1" t="s">
        <v>113</v>
      </c>
      <c r="C622" s="1" t="s">
        <v>25</v>
      </c>
      <c r="D622" s="1">
        <v>0</v>
      </c>
      <c r="E622" s="1">
        <v>0</v>
      </c>
      <c r="F622" s="1">
        <v>-144.96</v>
      </c>
      <c r="G622" s="1">
        <v>-2882.9960000000001</v>
      </c>
      <c r="H622" s="1">
        <v>-349.089</v>
      </c>
      <c r="I622" s="1">
        <v>0</v>
      </c>
    </row>
    <row r="623" spans="1:9" hidden="1" x14ac:dyDescent="0.25">
      <c r="A623" s="1" t="s">
        <v>158</v>
      </c>
      <c r="B623" s="1" t="s">
        <v>113</v>
      </c>
      <c r="C623" s="1" t="s">
        <v>10</v>
      </c>
      <c r="D623" s="1">
        <v>0</v>
      </c>
      <c r="E623" s="1">
        <v>0</v>
      </c>
      <c r="F623" s="1">
        <v>-144.96</v>
      </c>
      <c r="G623" s="1">
        <v>-2882.9960000000001</v>
      </c>
      <c r="H623" s="1">
        <v>-921.39</v>
      </c>
      <c r="I623" s="1">
        <v>0</v>
      </c>
    </row>
    <row r="624" spans="1:9" hidden="1" x14ac:dyDescent="0.25">
      <c r="A624" s="1" t="s">
        <v>158</v>
      </c>
      <c r="B624" s="1" t="s">
        <v>114</v>
      </c>
      <c r="C624" s="1" t="s">
        <v>25</v>
      </c>
      <c r="D624" s="1">
        <v>0</v>
      </c>
      <c r="E624" s="1">
        <v>0</v>
      </c>
      <c r="F624" s="1">
        <v>144.96</v>
      </c>
      <c r="G624" s="1">
        <v>2882.9960000000001</v>
      </c>
      <c r="H624" s="1">
        <v>349.089</v>
      </c>
      <c r="I624" s="1">
        <v>0</v>
      </c>
    </row>
    <row r="625" spans="1:9" hidden="1" x14ac:dyDescent="0.25">
      <c r="A625" s="1" t="s">
        <v>158</v>
      </c>
      <c r="B625" s="1" t="s">
        <v>114</v>
      </c>
      <c r="C625" s="1" t="s">
        <v>10</v>
      </c>
      <c r="D625" s="1">
        <v>0</v>
      </c>
      <c r="E625" s="1">
        <v>0</v>
      </c>
      <c r="F625" s="1">
        <v>144.96</v>
      </c>
      <c r="G625" s="1">
        <v>2882.9960000000001</v>
      </c>
      <c r="H625" s="1">
        <v>921.39</v>
      </c>
      <c r="I625" s="1">
        <v>0</v>
      </c>
    </row>
    <row r="626" spans="1:9" hidden="1" x14ac:dyDescent="0.25">
      <c r="A626" s="1" t="s">
        <v>158</v>
      </c>
      <c r="B626" s="1" t="s">
        <v>115</v>
      </c>
      <c r="C626" s="1" t="s">
        <v>25</v>
      </c>
      <c r="D626" s="1">
        <v>0</v>
      </c>
      <c r="E626" s="1">
        <v>0</v>
      </c>
      <c r="F626" s="1">
        <v>-144.96</v>
      </c>
      <c r="G626" s="1">
        <v>-2882.9960000000001</v>
      </c>
      <c r="H626" s="1">
        <v>-349.089</v>
      </c>
      <c r="I626" s="1">
        <v>0</v>
      </c>
    </row>
    <row r="627" spans="1:9" hidden="1" x14ac:dyDescent="0.25">
      <c r="A627" s="1" t="s">
        <v>158</v>
      </c>
      <c r="B627" s="1" t="s">
        <v>115</v>
      </c>
      <c r="C627" s="1" t="s">
        <v>10</v>
      </c>
      <c r="D627" s="1">
        <v>0</v>
      </c>
      <c r="E627" s="1">
        <v>0</v>
      </c>
      <c r="F627" s="1">
        <v>-144.96</v>
      </c>
      <c r="G627" s="1">
        <v>-2882.9960000000001</v>
      </c>
      <c r="H627" s="1">
        <v>-921.39</v>
      </c>
      <c r="I627" s="1">
        <v>0</v>
      </c>
    </row>
    <row r="628" spans="1:9" hidden="1" x14ac:dyDescent="0.25">
      <c r="A628" s="1" t="s">
        <v>158</v>
      </c>
      <c r="B628" s="1" t="s">
        <v>116</v>
      </c>
      <c r="C628" s="1" t="s">
        <v>25</v>
      </c>
      <c r="D628" s="1">
        <v>0</v>
      </c>
      <c r="E628" s="1">
        <v>194.35</v>
      </c>
      <c r="F628" s="1">
        <v>0</v>
      </c>
      <c r="G628" s="1">
        <v>3282.768</v>
      </c>
      <c r="H628" s="1">
        <v>0</v>
      </c>
      <c r="I628" s="1">
        <v>546.28399999999999</v>
      </c>
    </row>
    <row r="629" spans="1:9" hidden="1" x14ac:dyDescent="0.25">
      <c r="A629" s="1" t="s">
        <v>158</v>
      </c>
      <c r="B629" s="1" t="s">
        <v>116</v>
      </c>
      <c r="C629" s="1" t="s">
        <v>10</v>
      </c>
      <c r="D629" s="1">
        <v>0</v>
      </c>
      <c r="E629" s="1">
        <v>194.35</v>
      </c>
      <c r="F629" s="1">
        <v>0</v>
      </c>
      <c r="G629" s="1">
        <v>3282.768</v>
      </c>
      <c r="H629" s="1">
        <v>0</v>
      </c>
      <c r="I629" s="1">
        <v>1271.7080000000001</v>
      </c>
    </row>
    <row r="630" spans="1:9" hidden="1" x14ac:dyDescent="0.25">
      <c r="A630" s="1" t="s">
        <v>158</v>
      </c>
      <c r="B630" s="1" t="s">
        <v>117</v>
      </c>
      <c r="C630" s="1" t="s">
        <v>25</v>
      </c>
      <c r="D630" s="1">
        <v>0</v>
      </c>
      <c r="E630" s="1">
        <v>-194.35</v>
      </c>
      <c r="F630" s="1">
        <v>0</v>
      </c>
      <c r="G630" s="1">
        <v>-3282.768</v>
      </c>
      <c r="H630" s="1">
        <v>0</v>
      </c>
      <c r="I630" s="1">
        <v>-546.28399999999999</v>
      </c>
    </row>
    <row r="631" spans="1:9" hidden="1" x14ac:dyDescent="0.25">
      <c r="A631" s="1" t="s">
        <v>158</v>
      </c>
      <c r="B631" s="1" t="s">
        <v>117</v>
      </c>
      <c r="C631" s="1" t="s">
        <v>10</v>
      </c>
      <c r="D631" s="1">
        <v>0</v>
      </c>
      <c r="E631" s="1">
        <v>-194.35</v>
      </c>
      <c r="F631" s="1">
        <v>0</v>
      </c>
      <c r="G631" s="1">
        <v>-3282.768</v>
      </c>
      <c r="H631" s="1">
        <v>0</v>
      </c>
      <c r="I631" s="1">
        <v>-1271.7080000000001</v>
      </c>
    </row>
    <row r="632" spans="1:9" hidden="1" x14ac:dyDescent="0.25">
      <c r="A632" s="1" t="s">
        <v>158</v>
      </c>
      <c r="B632" s="1" t="s">
        <v>118</v>
      </c>
      <c r="C632" s="1" t="s">
        <v>25</v>
      </c>
      <c r="D632" s="1">
        <v>0</v>
      </c>
      <c r="E632" s="1">
        <v>194.35</v>
      </c>
      <c r="F632" s="1">
        <v>0</v>
      </c>
      <c r="G632" s="1">
        <v>3282.768</v>
      </c>
      <c r="H632" s="1">
        <v>0</v>
      </c>
      <c r="I632" s="1">
        <v>546.28399999999999</v>
      </c>
    </row>
    <row r="633" spans="1:9" hidden="1" x14ac:dyDescent="0.25">
      <c r="A633" s="1" t="s">
        <v>158</v>
      </c>
      <c r="B633" s="1" t="s">
        <v>118</v>
      </c>
      <c r="C633" s="1" t="s">
        <v>10</v>
      </c>
      <c r="D633" s="1">
        <v>0</v>
      </c>
      <c r="E633" s="1">
        <v>194.35</v>
      </c>
      <c r="F633" s="1">
        <v>0</v>
      </c>
      <c r="G633" s="1">
        <v>3282.768</v>
      </c>
      <c r="H633" s="1">
        <v>0</v>
      </c>
      <c r="I633" s="1">
        <v>1271.7080000000001</v>
      </c>
    </row>
    <row r="634" spans="1:9" hidden="1" x14ac:dyDescent="0.25">
      <c r="A634" s="1" t="s">
        <v>158</v>
      </c>
      <c r="B634" s="1" t="s">
        <v>119</v>
      </c>
      <c r="C634" s="1" t="s">
        <v>25</v>
      </c>
      <c r="D634" s="1">
        <v>0</v>
      </c>
      <c r="E634" s="1">
        <v>-194.35</v>
      </c>
      <c r="F634" s="1">
        <v>0</v>
      </c>
      <c r="G634" s="1">
        <v>-3282.768</v>
      </c>
      <c r="H634" s="1">
        <v>0</v>
      </c>
      <c r="I634" s="1">
        <v>-546.28399999999999</v>
      </c>
    </row>
    <row r="635" spans="1:9" hidden="1" x14ac:dyDescent="0.25">
      <c r="A635" s="1" t="s">
        <v>158</v>
      </c>
      <c r="B635" s="1" t="s">
        <v>119</v>
      </c>
      <c r="C635" s="1" t="s">
        <v>10</v>
      </c>
      <c r="D635" s="1">
        <v>0</v>
      </c>
      <c r="E635" s="1">
        <v>-194.35</v>
      </c>
      <c r="F635" s="1">
        <v>0</v>
      </c>
      <c r="G635" s="1">
        <v>-3282.768</v>
      </c>
      <c r="H635" s="1">
        <v>0</v>
      </c>
      <c r="I635" s="1">
        <v>-1271.7080000000001</v>
      </c>
    </row>
    <row r="636" spans="1:9" hidden="1" x14ac:dyDescent="0.25">
      <c r="A636" s="1" t="s">
        <v>158</v>
      </c>
      <c r="B636" s="1" t="s">
        <v>120</v>
      </c>
      <c r="C636" s="1" t="s">
        <v>25</v>
      </c>
      <c r="D636" s="1">
        <v>0</v>
      </c>
      <c r="E636" s="1">
        <v>0</v>
      </c>
      <c r="F636" s="1">
        <v>483.2</v>
      </c>
      <c r="G636" s="1">
        <v>9609.9860000000008</v>
      </c>
      <c r="H636" s="1">
        <v>1163.6300000000001</v>
      </c>
      <c r="I636" s="1">
        <v>0</v>
      </c>
    </row>
    <row r="637" spans="1:9" hidden="1" x14ac:dyDescent="0.25">
      <c r="A637" s="1" t="s">
        <v>158</v>
      </c>
      <c r="B637" s="1" t="s">
        <v>120</v>
      </c>
      <c r="C637" s="1" t="s">
        <v>10</v>
      </c>
      <c r="D637" s="1">
        <v>0</v>
      </c>
      <c r="E637" s="1">
        <v>0</v>
      </c>
      <c r="F637" s="1">
        <v>483.2</v>
      </c>
      <c r="G637" s="1">
        <v>9609.9860000000008</v>
      </c>
      <c r="H637" s="1">
        <v>3071.299</v>
      </c>
      <c r="I637" s="1">
        <v>0</v>
      </c>
    </row>
    <row r="638" spans="1:9" hidden="1" x14ac:dyDescent="0.25">
      <c r="A638" s="1" t="s">
        <v>158</v>
      </c>
      <c r="B638" s="1" t="s">
        <v>121</v>
      </c>
      <c r="C638" s="1" t="s">
        <v>25</v>
      </c>
      <c r="D638" s="1">
        <v>0</v>
      </c>
      <c r="E638" s="1">
        <v>0</v>
      </c>
      <c r="F638" s="1">
        <v>-483.2</v>
      </c>
      <c r="G638" s="1">
        <v>-9609.9860000000008</v>
      </c>
      <c r="H638" s="1">
        <v>-1163.6300000000001</v>
      </c>
      <c r="I638" s="1">
        <v>0</v>
      </c>
    </row>
    <row r="639" spans="1:9" hidden="1" x14ac:dyDescent="0.25">
      <c r="A639" s="1" t="s">
        <v>158</v>
      </c>
      <c r="B639" s="1" t="s">
        <v>121</v>
      </c>
      <c r="C639" s="1" t="s">
        <v>10</v>
      </c>
      <c r="D639" s="1">
        <v>0</v>
      </c>
      <c r="E639" s="1">
        <v>0</v>
      </c>
      <c r="F639" s="1">
        <v>-483.2</v>
      </c>
      <c r="G639" s="1">
        <v>-9609.9860000000008</v>
      </c>
      <c r="H639" s="1">
        <v>-3071.299</v>
      </c>
      <c r="I639" s="1">
        <v>0</v>
      </c>
    </row>
    <row r="640" spans="1:9" hidden="1" x14ac:dyDescent="0.25">
      <c r="A640" s="1" t="s">
        <v>158</v>
      </c>
      <c r="B640" s="1" t="s">
        <v>122</v>
      </c>
      <c r="C640" s="1" t="s">
        <v>25</v>
      </c>
      <c r="D640" s="1">
        <v>0</v>
      </c>
      <c r="E640" s="1">
        <v>0</v>
      </c>
      <c r="F640" s="1">
        <v>483.2</v>
      </c>
      <c r="G640" s="1">
        <v>9609.9860000000008</v>
      </c>
      <c r="H640" s="1">
        <v>1163.6300000000001</v>
      </c>
      <c r="I640" s="1">
        <v>0</v>
      </c>
    </row>
    <row r="641" spans="1:9" hidden="1" x14ac:dyDescent="0.25">
      <c r="A641" s="1" t="s">
        <v>158</v>
      </c>
      <c r="B641" s="1" t="s">
        <v>122</v>
      </c>
      <c r="C641" s="1" t="s">
        <v>10</v>
      </c>
      <c r="D641" s="1">
        <v>0</v>
      </c>
      <c r="E641" s="1">
        <v>0</v>
      </c>
      <c r="F641" s="1">
        <v>483.2</v>
      </c>
      <c r="G641" s="1">
        <v>9609.9860000000008</v>
      </c>
      <c r="H641" s="1">
        <v>3071.299</v>
      </c>
      <c r="I641" s="1">
        <v>0</v>
      </c>
    </row>
    <row r="642" spans="1:9" hidden="1" x14ac:dyDescent="0.25">
      <c r="A642" s="1" t="s">
        <v>158</v>
      </c>
      <c r="B642" s="1" t="s">
        <v>123</v>
      </c>
      <c r="C642" s="1" t="s">
        <v>25</v>
      </c>
      <c r="D642" s="1">
        <v>0</v>
      </c>
      <c r="E642" s="1">
        <v>0</v>
      </c>
      <c r="F642" s="1">
        <v>-483.2</v>
      </c>
      <c r="G642" s="1">
        <v>-9609.9860000000008</v>
      </c>
      <c r="H642" s="1">
        <v>-1163.6300000000001</v>
      </c>
      <c r="I642" s="1">
        <v>0</v>
      </c>
    </row>
    <row r="643" spans="1:9" hidden="1" x14ac:dyDescent="0.25">
      <c r="A643" s="1" t="s">
        <v>158</v>
      </c>
      <c r="B643" s="1" t="s">
        <v>123</v>
      </c>
      <c r="C643" s="1" t="s">
        <v>10</v>
      </c>
      <c r="D643" s="1">
        <v>0</v>
      </c>
      <c r="E643" s="1">
        <v>0</v>
      </c>
      <c r="F643" s="1">
        <v>-483.2</v>
      </c>
      <c r="G643" s="1">
        <v>-9609.9860000000008</v>
      </c>
      <c r="H643" s="1">
        <v>-3071.299</v>
      </c>
      <c r="I643" s="1">
        <v>0</v>
      </c>
    </row>
    <row r="644" spans="1:9" hidden="1" x14ac:dyDescent="0.25">
      <c r="A644" s="1" t="s">
        <v>158</v>
      </c>
      <c r="B644" s="1" t="s">
        <v>124</v>
      </c>
      <c r="C644" s="1" t="s">
        <v>25</v>
      </c>
      <c r="D644" s="1">
        <v>0</v>
      </c>
      <c r="E644" s="1">
        <v>58.3</v>
      </c>
      <c r="F644" s="1">
        <v>0</v>
      </c>
      <c r="G644" s="1">
        <v>984.83</v>
      </c>
      <c r="H644" s="1">
        <v>0</v>
      </c>
      <c r="I644" s="1">
        <v>163.88499999999999</v>
      </c>
    </row>
    <row r="645" spans="1:9" hidden="1" x14ac:dyDescent="0.25">
      <c r="A645" s="1" t="s">
        <v>158</v>
      </c>
      <c r="B645" s="1" t="s">
        <v>124</v>
      </c>
      <c r="C645" s="1" t="s">
        <v>10</v>
      </c>
      <c r="D645" s="1">
        <v>0</v>
      </c>
      <c r="E645" s="1">
        <v>58.3</v>
      </c>
      <c r="F645" s="1">
        <v>0</v>
      </c>
      <c r="G645" s="1">
        <v>984.83</v>
      </c>
      <c r="H645" s="1">
        <v>0</v>
      </c>
      <c r="I645" s="1">
        <v>381.512</v>
      </c>
    </row>
    <row r="646" spans="1:9" hidden="1" x14ac:dyDescent="0.25">
      <c r="A646" s="1" t="s">
        <v>158</v>
      </c>
      <c r="B646" s="1" t="s">
        <v>125</v>
      </c>
      <c r="C646" s="1" t="s">
        <v>25</v>
      </c>
      <c r="D646" s="1">
        <v>0</v>
      </c>
      <c r="E646" s="1">
        <v>-58.3</v>
      </c>
      <c r="F646" s="1">
        <v>0</v>
      </c>
      <c r="G646" s="1">
        <v>-984.83</v>
      </c>
      <c r="H646" s="1">
        <v>0</v>
      </c>
      <c r="I646" s="1">
        <v>-163.88499999999999</v>
      </c>
    </row>
    <row r="647" spans="1:9" hidden="1" x14ac:dyDescent="0.25">
      <c r="A647" s="1" t="s">
        <v>158</v>
      </c>
      <c r="B647" s="1" t="s">
        <v>125</v>
      </c>
      <c r="C647" s="1" t="s">
        <v>10</v>
      </c>
      <c r="D647" s="1">
        <v>0</v>
      </c>
      <c r="E647" s="1">
        <v>-58.3</v>
      </c>
      <c r="F647" s="1">
        <v>0</v>
      </c>
      <c r="G647" s="1">
        <v>-984.83</v>
      </c>
      <c r="H647" s="1">
        <v>0</v>
      </c>
      <c r="I647" s="1">
        <v>-381.512</v>
      </c>
    </row>
    <row r="648" spans="1:9" hidden="1" x14ac:dyDescent="0.25">
      <c r="A648" s="1" t="s">
        <v>158</v>
      </c>
      <c r="B648" s="1" t="s">
        <v>126</v>
      </c>
      <c r="C648" s="1" t="s">
        <v>25</v>
      </c>
      <c r="D648" s="1">
        <v>0</v>
      </c>
      <c r="E648" s="1">
        <v>58.3</v>
      </c>
      <c r="F648" s="1">
        <v>0</v>
      </c>
      <c r="G648" s="1">
        <v>984.83</v>
      </c>
      <c r="H648" s="1">
        <v>0</v>
      </c>
      <c r="I648" s="1">
        <v>163.88499999999999</v>
      </c>
    </row>
    <row r="649" spans="1:9" hidden="1" x14ac:dyDescent="0.25">
      <c r="A649" s="1" t="s">
        <v>158</v>
      </c>
      <c r="B649" s="1" t="s">
        <v>126</v>
      </c>
      <c r="C649" s="1" t="s">
        <v>10</v>
      </c>
      <c r="D649" s="1">
        <v>0</v>
      </c>
      <c r="E649" s="1">
        <v>58.3</v>
      </c>
      <c r="F649" s="1">
        <v>0</v>
      </c>
      <c r="G649" s="1">
        <v>984.83</v>
      </c>
      <c r="H649" s="1">
        <v>0</v>
      </c>
      <c r="I649" s="1">
        <v>381.512</v>
      </c>
    </row>
    <row r="650" spans="1:9" hidden="1" x14ac:dyDescent="0.25">
      <c r="A650" s="1" t="s">
        <v>158</v>
      </c>
      <c r="B650" s="1" t="s">
        <v>127</v>
      </c>
      <c r="C650" s="1" t="s">
        <v>25</v>
      </c>
      <c r="D650" s="1">
        <v>0</v>
      </c>
      <c r="E650" s="1">
        <v>-58.3</v>
      </c>
      <c r="F650" s="1">
        <v>0</v>
      </c>
      <c r="G650" s="1">
        <v>-984.83</v>
      </c>
      <c r="H650" s="1">
        <v>0</v>
      </c>
      <c r="I650" s="1">
        <v>-163.88499999999999</v>
      </c>
    </row>
    <row r="651" spans="1:9" hidden="1" x14ac:dyDescent="0.25">
      <c r="A651" s="1" t="s">
        <v>158</v>
      </c>
      <c r="B651" s="1" t="s">
        <v>127</v>
      </c>
      <c r="C651" s="1" t="s">
        <v>10</v>
      </c>
      <c r="D651" s="1">
        <v>0</v>
      </c>
      <c r="E651" s="1">
        <v>-58.3</v>
      </c>
      <c r="F651" s="1">
        <v>0</v>
      </c>
      <c r="G651" s="1">
        <v>-984.83</v>
      </c>
      <c r="H651" s="1">
        <v>0</v>
      </c>
      <c r="I651" s="1">
        <v>-381.512</v>
      </c>
    </row>
    <row r="652" spans="1:9" hidden="1" x14ac:dyDescent="0.25">
      <c r="A652" s="1" t="s">
        <v>158</v>
      </c>
      <c r="B652" s="1" t="s">
        <v>128</v>
      </c>
      <c r="C652" s="1" t="s">
        <v>25</v>
      </c>
      <c r="D652" s="1">
        <v>0</v>
      </c>
      <c r="E652" s="1">
        <v>0</v>
      </c>
      <c r="F652" s="1">
        <v>144.96</v>
      </c>
      <c r="G652" s="1">
        <v>2882.9960000000001</v>
      </c>
      <c r="H652" s="1">
        <v>349.089</v>
      </c>
      <c r="I652" s="1">
        <v>0</v>
      </c>
    </row>
    <row r="653" spans="1:9" hidden="1" x14ac:dyDescent="0.25">
      <c r="A653" s="1" t="s">
        <v>158</v>
      </c>
      <c r="B653" s="1" t="s">
        <v>128</v>
      </c>
      <c r="C653" s="1" t="s">
        <v>10</v>
      </c>
      <c r="D653" s="1">
        <v>0</v>
      </c>
      <c r="E653" s="1">
        <v>0</v>
      </c>
      <c r="F653" s="1">
        <v>144.96</v>
      </c>
      <c r="G653" s="1">
        <v>2882.9960000000001</v>
      </c>
      <c r="H653" s="1">
        <v>921.39</v>
      </c>
      <c r="I653" s="1">
        <v>0</v>
      </c>
    </row>
    <row r="654" spans="1:9" hidden="1" x14ac:dyDescent="0.25">
      <c r="A654" s="1" t="s">
        <v>158</v>
      </c>
      <c r="B654" s="1" t="s">
        <v>129</v>
      </c>
      <c r="C654" s="1" t="s">
        <v>25</v>
      </c>
      <c r="D654" s="1">
        <v>0</v>
      </c>
      <c r="E654" s="1">
        <v>0</v>
      </c>
      <c r="F654" s="1">
        <v>-144.96</v>
      </c>
      <c r="G654" s="1">
        <v>-2882.9960000000001</v>
      </c>
      <c r="H654" s="1">
        <v>-349.089</v>
      </c>
      <c r="I654" s="1">
        <v>0</v>
      </c>
    </row>
    <row r="655" spans="1:9" hidden="1" x14ac:dyDescent="0.25">
      <c r="A655" s="1" t="s">
        <v>158</v>
      </c>
      <c r="B655" s="1" t="s">
        <v>129</v>
      </c>
      <c r="C655" s="1" t="s">
        <v>10</v>
      </c>
      <c r="D655" s="1">
        <v>0</v>
      </c>
      <c r="E655" s="1">
        <v>0</v>
      </c>
      <c r="F655" s="1">
        <v>-144.96</v>
      </c>
      <c r="G655" s="1">
        <v>-2882.9960000000001</v>
      </c>
      <c r="H655" s="1">
        <v>-921.39</v>
      </c>
      <c r="I655" s="1">
        <v>0</v>
      </c>
    </row>
    <row r="656" spans="1:9" hidden="1" x14ac:dyDescent="0.25">
      <c r="A656" s="1" t="s">
        <v>158</v>
      </c>
      <c r="B656" s="1" t="s">
        <v>130</v>
      </c>
      <c r="C656" s="1" t="s">
        <v>25</v>
      </c>
      <c r="D656" s="1">
        <v>0</v>
      </c>
      <c r="E656" s="1">
        <v>0</v>
      </c>
      <c r="F656" s="1">
        <v>144.96</v>
      </c>
      <c r="G656" s="1">
        <v>2882.9960000000001</v>
      </c>
      <c r="H656" s="1">
        <v>349.089</v>
      </c>
      <c r="I656" s="1">
        <v>0</v>
      </c>
    </row>
    <row r="657" spans="1:9" hidden="1" x14ac:dyDescent="0.25">
      <c r="A657" s="1" t="s">
        <v>158</v>
      </c>
      <c r="B657" s="1" t="s">
        <v>130</v>
      </c>
      <c r="C657" s="1" t="s">
        <v>10</v>
      </c>
      <c r="D657" s="1">
        <v>0</v>
      </c>
      <c r="E657" s="1">
        <v>0</v>
      </c>
      <c r="F657" s="1">
        <v>144.96</v>
      </c>
      <c r="G657" s="1">
        <v>2882.9960000000001</v>
      </c>
      <c r="H657" s="1">
        <v>921.39</v>
      </c>
      <c r="I657" s="1">
        <v>0</v>
      </c>
    </row>
    <row r="658" spans="1:9" hidden="1" x14ac:dyDescent="0.25">
      <c r="A658" s="1" t="s">
        <v>158</v>
      </c>
      <c r="B658" s="1" t="s">
        <v>131</v>
      </c>
      <c r="C658" s="1" t="s">
        <v>25</v>
      </c>
      <c r="D658" s="1">
        <v>0</v>
      </c>
      <c r="E658" s="1">
        <v>0</v>
      </c>
      <c r="F658" s="1">
        <v>-144.96</v>
      </c>
      <c r="G658" s="1">
        <v>-2882.9960000000001</v>
      </c>
      <c r="H658" s="1">
        <v>-349.089</v>
      </c>
      <c r="I658" s="1">
        <v>0</v>
      </c>
    </row>
    <row r="659" spans="1:9" hidden="1" x14ac:dyDescent="0.25">
      <c r="A659" s="1" t="s">
        <v>158</v>
      </c>
      <c r="B659" s="1" t="s">
        <v>131</v>
      </c>
      <c r="C659" s="1" t="s">
        <v>10</v>
      </c>
      <c r="D659" s="1">
        <v>0</v>
      </c>
      <c r="E659" s="1">
        <v>0</v>
      </c>
      <c r="F659" s="1">
        <v>-144.96</v>
      </c>
      <c r="G659" s="1">
        <v>-2882.9960000000001</v>
      </c>
      <c r="H659" s="1">
        <v>-921.39</v>
      </c>
      <c r="I659" s="1">
        <v>0</v>
      </c>
    </row>
    <row r="660" spans="1:9" hidden="1" x14ac:dyDescent="0.25">
      <c r="A660" s="1" t="s">
        <v>158</v>
      </c>
      <c r="B660" s="1" t="s">
        <v>132</v>
      </c>
      <c r="C660" s="1" t="s">
        <v>25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</row>
    <row r="661" spans="1:9" hidden="1" x14ac:dyDescent="0.25">
      <c r="A661" s="1" t="s">
        <v>158</v>
      </c>
      <c r="B661" s="1" t="s">
        <v>132</v>
      </c>
      <c r="C661" s="1" t="s">
        <v>10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</row>
    <row r="662" spans="1:9" hidden="1" x14ac:dyDescent="0.25">
      <c r="A662" s="1" t="s">
        <v>158</v>
      </c>
      <c r="B662" s="1" t="s">
        <v>133</v>
      </c>
      <c r="C662" s="1" t="s">
        <v>25</v>
      </c>
      <c r="D662" s="1">
        <v>0</v>
      </c>
      <c r="E662" s="1">
        <v>0</v>
      </c>
      <c r="F662" s="1">
        <v>0</v>
      </c>
      <c r="G662" s="1">
        <v>0</v>
      </c>
      <c r="H662" s="1">
        <v>0</v>
      </c>
      <c r="I662" s="1">
        <v>0</v>
      </c>
    </row>
    <row r="663" spans="1:9" hidden="1" x14ac:dyDescent="0.25">
      <c r="A663" s="1" t="s">
        <v>158</v>
      </c>
      <c r="B663" s="1" t="s">
        <v>133</v>
      </c>
      <c r="C663" s="1" t="s">
        <v>10</v>
      </c>
      <c r="D663" s="1">
        <v>0</v>
      </c>
      <c r="E663" s="1">
        <v>0</v>
      </c>
      <c r="F663" s="1">
        <v>0</v>
      </c>
      <c r="G663" s="1">
        <v>0</v>
      </c>
      <c r="H663" s="1">
        <v>0</v>
      </c>
      <c r="I663" s="1">
        <v>0</v>
      </c>
    </row>
    <row r="664" spans="1:9" hidden="1" x14ac:dyDescent="0.25">
      <c r="A664" s="1" t="s">
        <v>158</v>
      </c>
      <c r="B664" s="1" t="s">
        <v>134</v>
      </c>
      <c r="C664" s="1" t="s">
        <v>25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</row>
    <row r="665" spans="1:9" hidden="1" x14ac:dyDescent="0.25">
      <c r="A665" s="1" t="s">
        <v>158</v>
      </c>
      <c r="B665" s="1" t="s">
        <v>134</v>
      </c>
      <c r="C665" s="1" t="s">
        <v>10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</row>
    <row r="666" spans="1:9" hidden="1" x14ac:dyDescent="0.25">
      <c r="A666" s="1" t="s">
        <v>158</v>
      </c>
      <c r="B666" s="1" t="s">
        <v>135</v>
      </c>
      <c r="C666" s="1" t="s">
        <v>25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</row>
    <row r="667" spans="1:9" hidden="1" x14ac:dyDescent="0.25">
      <c r="A667" s="1" t="s">
        <v>158</v>
      </c>
      <c r="B667" s="1" t="s">
        <v>135</v>
      </c>
      <c r="C667" s="1" t="s">
        <v>10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</row>
    <row r="668" spans="1:9" hidden="1" x14ac:dyDescent="0.25">
      <c r="A668" s="1" t="s">
        <v>158</v>
      </c>
      <c r="B668" s="1" t="s">
        <v>136</v>
      </c>
      <c r="C668" s="1" t="s">
        <v>25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</row>
    <row r="669" spans="1:9" hidden="1" x14ac:dyDescent="0.25">
      <c r="A669" s="1" t="s">
        <v>158</v>
      </c>
      <c r="B669" s="1" t="s">
        <v>136</v>
      </c>
      <c r="C669" s="1" t="s">
        <v>10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</row>
    <row r="670" spans="1:9" hidden="1" x14ac:dyDescent="0.25">
      <c r="A670" s="1" t="s">
        <v>158</v>
      </c>
      <c r="B670" s="1" t="s">
        <v>137</v>
      </c>
      <c r="C670" s="1" t="s">
        <v>25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</row>
    <row r="671" spans="1:9" hidden="1" x14ac:dyDescent="0.25">
      <c r="A671" s="1" t="s">
        <v>158</v>
      </c>
      <c r="B671" s="1" t="s">
        <v>137</v>
      </c>
      <c r="C671" s="1" t="s">
        <v>10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</row>
    <row r="672" spans="1:9" hidden="1" x14ac:dyDescent="0.25">
      <c r="A672" s="1" t="s">
        <v>158</v>
      </c>
      <c r="B672" s="1" t="s">
        <v>138</v>
      </c>
      <c r="C672" s="1" t="s">
        <v>25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</row>
    <row r="673" spans="1:9" hidden="1" x14ac:dyDescent="0.25">
      <c r="A673" s="1" t="s">
        <v>158</v>
      </c>
      <c r="B673" s="1" t="s">
        <v>138</v>
      </c>
      <c r="C673" s="1" t="s">
        <v>10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</row>
    <row r="674" spans="1:9" hidden="1" x14ac:dyDescent="0.25">
      <c r="A674" s="1" t="s">
        <v>158</v>
      </c>
      <c r="B674" s="1" t="s">
        <v>139</v>
      </c>
      <c r="C674" s="1" t="s">
        <v>25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</row>
    <row r="675" spans="1:9" hidden="1" x14ac:dyDescent="0.25">
      <c r="A675" s="1" t="s">
        <v>158</v>
      </c>
      <c r="B675" s="1" t="s">
        <v>139</v>
      </c>
      <c r="C675" s="1" t="s">
        <v>10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</row>
    <row r="676" spans="1:9" hidden="1" x14ac:dyDescent="0.25">
      <c r="A676" s="1" t="s">
        <v>158</v>
      </c>
      <c r="B676" s="1" t="s">
        <v>140</v>
      </c>
      <c r="C676" s="1" t="s">
        <v>25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</row>
    <row r="677" spans="1:9" hidden="1" x14ac:dyDescent="0.25">
      <c r="A677" s="1" t="s">
        <v>158</v>
      </c>
      <c r="B677" s="1" t="s">
        <v>140</v>
      </c>
      <c r="C677" s="1" t="s">
        <v>10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</row>
    <row r="678" spans="1:9" hidden="1" x14ac:dyDescent="0.25">
      <c r="A678" s="1" t="s">
        <v>158</v>
      </c>
      <c r="B678" s="1" t="s">
        <v>141</v>
      </c>
      <c r="C678" s="1" t="s">
        <v>25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</row>
    <row r="679" spans="1:9" hidden="1" x14ac:dyDescent="0.25">
      <c r="A679" s="1" t="s">
        <v>158</v>
      </c>
      <c r="B679" s="1" t="s">
        <v>141</v>
      </c>
      <c r="C679" s="1" t="s">
        <v>10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</row>
    <row r="680" spans="1:9" hidden="1" x14ac:dyDescent="0.25">
      <c r="A680" s="1" t="s">
        <v>158</v>
      </c>
      <c r="B680" s="1" t="s">
        <v>142</v>
      </c>
      <c r="C680" s="1" t="s">
        <v>25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</row>
    <row r="681" spans="1:9" hidden="1" x14ac:dyDescent="0.25">
      <c r="A681" s="1" t="s">
        <v>158</v>
      </c>
      <c r="B681" s="1" t="s">
        <v>142</v>
      </c>
      <c r="C681" s="1" t="s">
        <v>10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</row>
    <row r="682" spans="1:9" hidden="1" x14ac:dyDescent="0.25">
      <c r="A682" s="1" t="s">
        <v>158</v>
      </c>
      <c r="B682" s="1" t="s">
        <v>143</v>
      </c>
      <c r="C682" s="1" t="s">
        <v>25</v>
      </c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</row>
    <row r="683" spans="1:9" hidden="1" x14ac:dyDescent="0.25">
      <c r="A683" s="1" t="s">
        <v>158</v>
      </c>
      <c r="B683" s="1" t="s">
        <v>143</v>
      </c>
      <c r="C683" s="1" t="s">
        <v>10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</row>
    <row r="684" spans="1:9" hidden="1" x14ac:dyDescent="0.25">
      <c r="A684" s="1" t="s">
        <v>158</v>
      </c>
      <c r="B684" s="1" t="s">
        <v>144</v>
      </c>
      <c r="C684" s="1" t="s">
        <v>25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</row>
    <row r="685" spans="1:9" hidden="1" x14ac:dyDescent="0.25">
      <c r="A685" s="1" t="s">
        <v>158</v>
      </c>
      <c r="B685" s="1" t="s">
        <v>144</v>
      </c>
      <c r="C685" s="1" t="s">
        <v>10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</row>
    <row r="686" spans="1:9" hidden="1" x14ac:dyDescent="0.25">
      <c r="A686" s="1" t="s">
        <v>158</v>
      </c>
      <c r="B686" s="1" t="s">
        <v>145</v>
      </c>
      <c r="C686" s="1" t="s">
        <v>25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</row>
    <row r="687" spans="1:9" hidden="1" x14ac:dyDescent="0.25">
      <c r="A687" s="1" t="s">
        <v>158</v>
      </c>
      <c r="B687" s="1" t="s">
        <v>145</v>
      </c>
      <c r="C687" s="1" t="s">
        <v>10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</row>
    <row r="688" spans="1:9" hidden="1" x14ac:dyDescent="0.25">
      <c r="A688" s="1" t="s">
        <v>158</v>
      </c>
      <c r="B688" s="1" t="s">
        <v>146</v>
      </c>
      <c r="C688" s="1" t="s">
        <v>25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</row>
    <row r="689" spans="1:9" hidden="1" x14ac:dyDescent="0.25">
      <c r="A689" s="1" t="s">
        <v>158</v>
      </c>
      <c r="B689" s="1" t="s">
        <v>146</v>
      </c>
      <c r="C689" s="1" t="s">
        <v>10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</row>
    <row r="690" spans="1:9" hidden="1" x14ac:dyDescent="0.25">
      <c r="A690" s="1" t="s">
        <v>158</v>
      </c>
      <c r="B690" s="1" t="s">
        <v>147</v>
      </c>
      <c r="C690" s="1" t="s">
        <v>25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</row>
    <row r="691" spans="1:9" hidden="1" x14ac:dyDescent="0.25">
      <c r="A691" s="1" t="s">
        <v>158</v>
      </c>
      <c r="B691" s="1" t="s">
        <v>147</v>
      </c>
      <c r="C691" s="1" t="s">
        <v>10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</row>
    <row r="692" spans="1:9" hidden="1" x14ac:dyDescent="0.25">
      <c r="A692" s="1" t="s">
        <v>158</v>
      </c>
      <c r="B692" s="1" t="s">
        <v>159</v>
      </c>
      <c r="C692" s="1" t="s">
        <v>25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</row>
    <row r="693" spans="1:9" hidden="1" x14ac:dyDescent="0.25">
      <c r="A693" s="1" t="s">
        <v>158</v>
      </c>
      <c r="B693" s="1" t="s">
        <v>159</v>
      </c>
      <c r="C693" s="1" t="s">
        <v>10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</row>
    <row r="694" spans="1:9" hidden="1" x14ac:dyDescent="0.25">
      <c r="A694" s="1" t="s">
        <v>158</v>
      </c>
      <c r="B694" s="1" t="s">
        <v>160</v>
      </c>
      <c r="C694" s="1" t="s">
        <v>25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</row>
    <row r="695" spans="1:9" hidden="1" x14ac:dyDescent="0.25">
      <c r="A695" s="1" t="s">
        <v>158</v>
      </c>
      <c r="B695" s="1" t="s">
        <v>160</v>
      </c>
      <c r="C695" s="1" t="s">
        <v>10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</row>
    <row r="696" spans="1:9" hidden="1" x14ac:dyDescent="0.25">
      <c r="A696" s="1" t="s">
        <v>158</v>
      </c>
      <c r="B696" s="1" t="s">
        <v>161</v>
      </c>
      <c r="C696" s="1" t="s">
        <v>25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</row>
    <row r="697" spans="1:9" hidden="1" x14ac:dyDescent="0.25">
      <c r="A697" s="1" t="s">
        <v>158</v>
      </c>
      <c r="B697" s="1" t="s">
        <v>161</v>
      </c>
      <c r="C697" s="1" t="s">
        <v>10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</row>
    <row r="698" spans="1:9" hidden="1" x14ac:dyDescent="0.25">
      <c r="A698" s="1" t="s">
        <v>158</v>
      </c>
      <c r="B698" s="1" t="s">
        <v>162</v>
      </c>
      <c r="C698" s="1" t="s">
        <v>25</v>
      </c>
      <c r="D698" s="1">
        <v>0</v>
      </c>
      <c r="E698" s="1">
        <v>-443.06</v>
      </c>
      <c r="F698" s="1">
        <v>0</v>
      </c>
      <c r="G698" s="1">
        <v>7310.4229999999998</v>
      </c>
      <c r="H698" s="1">
        <v>0</v>
      </c>
      <c r="I698" s="1">
        <v>-1012.699</v>
      </c>
    </row>
    <row r="699" spans="1:9" hidden="1" x14ac:dyDescent="0.25">
      <c r="A699" s="1" t="s">
        <v>158</v>
      </c>
      <c r="B699" s="1" t="s">
        <v>162</v>
      </c>
      <c r="C699" s="1" t="s">
        <v>10</v>
      </c>
      <c r="D699" s="1">
        <v>0</v>
      </c>
      <c r="E699" s="1">
        <v>-443.06</v>
      </c>
      <c r="F699" s="1">
        <v>0</v>
      </c>
      <c r="G699" s="1">
        <v>7310.4229999999998</v>
      </c>
      <c r="H699" s="1">
        <v>0</v>
      </c>
      <c r="I699" s="1">
        <v>-2784.9229999999998</v>
      </c>
    </row>
    <row r="700" spans="1:9" hidden="1" x14ac:dyDescent="0.25">
      <c r="A700" s="1" t="s">
        <v>158</v>
      </c>
      <c r="B700" s="1" t="s">
        <v>163</v>
      </c>
      <c r="C700" s="1" t="s">
        <v>25</v>
      </c>
      <c r="D700" s="1">
        <v>0</v>
      </c>
      <c r="E700" s="1">
        <v>-443.06</v>
      </c>
      <c r="F700" s="1">
        <v>0</v>
      </c>
      <c r="G700" s="1">
        <v>5981.2550000000001</v>
      </c>
      <c r="H700" s="1">
        <v>0</v>
      </c>
      <c r="I700" s="1">
        <v>-1012.699</v>
      </c>
    </row>
    <row r="701" spans="1:9" hidden="1" x14ac:dyDescent="0.25">
      <c r="A701" s="1" t="s">
        <v>158</v>
      </c>
      <c r="B701" s="1" t="s">
        <v>163</v>
      </c>
      <c r="C701" s="1" t="s">
        <v>10</v>
      </c>
      <c r="D701" s="1">
        <v>0</v>
      </c>
      <c r="E701" s="1">
        <v>-443.06</v>
      </c>
      <c r="F701" s="1">
        <v>0</v>
      </c>
      <c r="G701" s="1">
        <v>5981.2550000000001</v>
      </c>
      <c r="H701" s="1">
        <v>0</v>
      </c>
      <c r="I701" s="1">
        <v>-2784.9229999999998</v>
      </c>
    </row>
    <row r="702" spans="1:9" hidden="1" x14ac:dyDescent="0.25">
      <c r="A702" s="1" t="s">
        <v>158</v>
      </c>
      <c r="B702" s="1" t="s">
        <v>164</v>
      </c>
      <c r="C702" s="1" t="s">
        <v>25</v>
      </c>
      <c r="D702" s="1">
        <v>0</v>
      </c>
      <c r="E702" s="1">
        <v>443.06</v>
      </c>
      <c r="F702" s="1">
        <v>0</v>
      </c>
      <c r="G702" s="1">
        <v>-7310.4229999999998</v>
      </c>
      <c r="H702" s="1">
        <v>0</v>
      </c>
      <c r="I702" s="1">
        <v>1012.699</v>
      </c>
    </row>
    <row r="703" spans="1:9" hidden="1" x14ac:dyDescent="0.25">
      <c r="A703" s="1" t="s">
        <v>158</v>
      </c>
      <c r="B703" s="1" t="s">
        <v>164</v>
      </c>
      <c r="C703" s="1" t="s">
        <v>10</v>
      </c>
      <c r="D703" s="1">
        <v>0</v>
      </c>
      <c r="E703" s="1">
        <v>443.06</v>
      </c>
      <c r="F703" s="1">
        <v>0</v>
      </c>
      <c r="G703" s="1">
        <v>-7310.4229999999998</v>
      </c>
      <c r="H703" s="1">
        <v>0</v>
      </c>
      <c r="I703" s="1">
        <v>2784.9229999999998</v>
      </c>
    </row>
    <row r="704" spans="1:9" hidden="1" x14ac:dyDescent="0.25">
      <c r="A704" s="1" t="s">
        <v>158</v>
      </c>
      <c r="B704" s="1" t="s">
        <v>165</v>
      </c>
      <c r="C704" s="1" t="s">
        <v>25</v>
      </c>
      <c r="D704" s="1">
        <v>0</v>
      </c>
      <c r="E704" s="1">
        <v>443.06</v>
      </c>
      <c r="F704" s="1">
        <v>0</v>
      </c>
      <c r="G704" s="1">
        <v>-5981.2550000000001</v>
      </c>
      <c r="H704" s="1">
        <v>0</v>
      </c>
      <c r="I704" s="1">
        <v>1012.699</v>
      </c>
    </row>
    <row r="705" spans="1:9" hidden="1" x14ac:dyDescent="0.25">
      <c r="A705" s="1" t="s">
        <v>158</v>
      </c>
      <c r="B705" s="1" t="s">
        <v>165</v>
      </c>
      <c r="C705" s="1" t="s">
        <v>10</v>
      </c>
      <c r="D705" s="1">
        <v>0</v>
      </c>
      <c r="E705" s="1">
        <v>443.06</v>
      </c>
      <c r="F705" s="1">
        <v>0</v>
      </c>
      <c r="G705" s="1">
        <v>-5981.2550000000001</v>
      </c>
      <c r="H705" s="1">
        <v>0</v>
      </c>
      <c r="I705" s="1">
        <v>2784.9229999999998</v>
      </c>
    </row>
    <row r="706" spans="1:9" hidden="1" x14ac:dyDescent="0.25">
      <c r="A706" s="1" t="s">
        <v>158</v>
      </c>
      <c r="B706" s="1" t="s">
        <v>166</v>
      </c>
      <c r="C706" s="1" t="s">
        <v>25</v>
      </c>
      <c r="D706" s="1">
        <v>0</v>
      </c>
      <c r="E706" s="1">
        <v>0</v>
      </c>
      <c r="F706" s="1">
        <v>-535.54999999999995</v>
      </c>
      <c r="G706" s="1">
        <v>-10603.824000000001</v>
      </c>
      <c r="H706" s="1">
        <v>1224.107</v>
      </c>
      <c r="I706" s="1">
        <v>0</v>
      </c>
    </row>
    <row r="707" spans="1:9" hidden="1" x14ac:dyDescent="0.25">
      <c r="A707" s="1" t="s">
        <v>158</v>
      </c>
      <c r="B707" s="1" t="s">
        <v>166</v>
      </c>
      <c r="C707" s="1" t="s">
        <v>10</v>
      </c>
      <c r="D707" s="1">
        <v>0</v>
      </c>
      <c r="E707" s="1">
        <v>0</v>
      </c>
      <c r="F707" s="1">
        <v>-535.54999999999995</v>
      </c>
      <c r="G707" s="1">
        <v>-10603.824000000001</v>
      </c>
      <c r="H707" s="1">
        <v>3366.2930000000001</v>
      </c>
      <c r="I707" s="1">
        <v>0</v>
      </c>
    </row>
    <row r="708" spans="1:9" hidden="1" x14ac:dyDescent="0.25">
      <c r="A708" s="1" t="s">
        <v>158</v>
      </c>
      <c r="B708" s="1" t="s">
        <v>167</v>
      </c>
      <c r="C708" s="1" t="s">
        <v>25</v>
      </c>
      <c r="D708" s="1">
        <v>0</v>
      </c>
      <c r="E708" s="1">
        <v>0</v>
      </c>
      <c r="F708" s="1">
        <v>-535.54999999999995</v>
      </c>
      <c r="G708" s="1">
        <v>-8675.8559999999998</v>
      </c>
      <c r="H708" s="1">
        <v>1224.107</v>
      </c>
      <c r="I708" s="1">
        <v>0</v>
      </c>
    </row>
    <row r="709" spans="1:9" hidden="1" x14ac:dyDescent="0.25">
      <c r="A709" s="1" t="s">
        <v>158</v>
      </c>
      <c r="B709" s="1" t="s">
        <v>167</v>
      </c>
      <c r="C709" s="1" t="s">
        <v>10</v>
      </c>
      <c r="D709" s="1">
        <v>0</v>
      </c>
      <c r="E709" s="1">
        <v>0</v>
      </c>
      <c r="F709" s="1">
        <v>-535.54999999999995</v>
      </c>
      <c r="G709" s="1">
        <v>-8675.8559999999998</v>
      </c>
      <c r="H709" s="1">
        <v>3366.2930000000001</v>
      </c>
      <c r="I709" s="1">
        <v>0</v>
      </c>
    </row>
    <row r="710" spans="1:9" hidden="1" x14ac:dyDescent="0.25">
      <c r="A710" s="1" t="s">
        <v>158</v>
      </c>
      <c r="B710" s="1" t="s">
        <v>168</v>
      </c>
      <c r="C710" s="1" t="s">
        <v>25</v>
      </c>
      <c r="D710" s="1">
        <v>0</v>
      </c>
      <c r="E710" s="1">
        <v>0</v>
      </c>
      <c r="F710" s="1">
        <v>535.54999999999995</v>
      </c>
      <c r="G710" s="1">
        <v>10603.824000000001</v>
      </c>
      <c r="H710" s="1">
        <v>-1224.107</v>
      </c>
      <c r="I710" s="1">
        <v>0</v>
      </c>
    </row>
    <row r="711" spans="1:9" hidden="1" x14ac:dyDescent="0.25">
      <c r="A711" s="1" t="s">
        <v>158</v>
      </c>
      <c r="B711" s="1" t="s">
        <v>168</v>
      </c>
      <c r="C711" s="1" t="s">
        <v>10</v>
      </c>
      <c r="D711" s="1">
        <v>0</v>
      </c>
      <c r="E711" s="1">
        <v>0</v>
      </c>
      <c r="F711" s="1">
        <v>535.54999999999995</v>
      </c>
      <c r="G711" s="1">
        <v>10603.824000000001</v>
      </c>
      <c r="H711" s="1">
        <v>-3366.2930000000001</v>
      </c>
      <c r="I711" s="1">
        <v>0</v>
      </c>
    </row>
    <row r="712" spans="1:9" hidden="1" x14ac:dyDescent="0.25">
      <c r="A712" s="1" t="s">
        <v>158</v>
      </c>
      <c r="B712" s="1" t="s">
        <v>169</v>
      </c>
      <c r="C712" s="1" t="s">
        <v>25</v>
      </c>
      <c r="D712" s="1">
        <v>0</v>
      </c>
      <c r="E712" s="1">
        <v>0</v>
      </c>
      <c r="F712" s="1">
        <v>535.54999999999995</v>
      </c>
      <c r="G712" s="1">
        <v>8675.8559999999998</v>
      </c>
      <c r="H712" s="1">
        <v>-1224.107</v>
      </c>
      <c r="I712" s="1">
        <v>0</v>
      </c>
    </row>
    <row r="713" spans="1:9" hidden="1" x14ac:dyDescent="0.25">
      <c r="A713" s="1" t="s">
        <v>158</v>
      </c>
      <c r="B713" s="1" t="s">
        <v>169</v>
      </c>
      <c r="C713" s="1" t="s">
        <v>10</v>
      </c>
      <c r="D713" s="1">
        <v>0</v>
      </c>
      <c r="E713" s="1">
        <v>0</v>
      </c>
      <c r="F713" s="1">
        <v>535.54999999999995</v>
      </c>
      <c r="G713" s="1">
        <v>8675.8559999999998</v>
      </c>
      <c r="H713" s="1">
        <v>-3366.2930000000001</v>
      </c>
      <c r="I713" s="1">
        <v>0</v>
      </c>
    </row>
    <row r="714" spans="1:9" hidden="1" x14ac:dyDescent="0.25">
      <c r="A714" s="1" t="s">
        <v>158</v>
      </c>
      <c r="B714" s="1" t="s">
        <v>170</v>
      </c>
      <c r="C714" s="1" t="s">
        <v>25</v>
      </c>
      <c r="D714" s="1">
        <v>0</v>
      </c>
      <c r="E714" s="1">
        <v>-443.06</v>
      </c>
      <c r="F714" s="1">
        <v>0</v>
      </c>
      <c r="G714" s="1">
        <v>7310.4229999999998</v>
      </c>
      <c r="H714" s="1">
        <v>0</v>
      </c>
      <c r="I714" s="1">
        <v>-1012.699</v>
      </c>
    </row>
    <row r="715" spans="1:9" hidden="1" x14ac:dyDescent="0.25">
      <c r="A715" s="1" t="s">
        <v>158</v>
      </c>
      <c r="B715" s="1" t="s">
        <v>170</v>
      </c>
      <c r="C715" s="1" t="s">
        <v>10</v>
      </c>
      <c r="D715" s="1">
        <v>0</v>
      </c>
      <c r="E715" s="1">
        <v>-443.06</v>
      </c>
      <c r="F715" s="1">
        <v>0</v>
      </c>
      <c r="G715" s="1">
        <v>7310.4229999999998</v>
      </c>
      <c r="H715" s="1">
        <v>0</v>
      </c>
      <c r="I715" s="1">
        <v>-2784.9229999999998</v>
      </c>
    </row>
    <row r="716" spans="1:9" hidden="1" x14ac:dyDescent="0.25">
      <c r="A716" s="1" t="s">
        <v>158</v>
      </c>
      <c r="B716" s="1" t="s">
        <v>171</v>
      </c>
      <c r="C716" s="1" t="s">
        <v>25</v>
      </c>
      <c r="D716" s="1">
        <v>0</v>
      </c>
      <c r="E716" s="1">
        <v>-443.06</v>
      </c>
      <c r="F716" s="1">
        <v>0</v>
      </c>
      <c r="G716" s="1">
        <v>5981.2550000000001</v>
      </c>
      <c r="H716" s="1">
        <v>0</v>
      </c>
      <c r="I716" s="1">
        <v>-1012.699</v>
      </c>
    </row>
    <row r="717" spans="1:9" hidden="1" x14ac:dyDescent="0.25">
      <c r="A717" s="1" t="s">
        <v>158</v>
      </c>
      <c r="B717" s="1" t="s">
        <v>171</v>
      </c>
      <c r="C717" s="1" t="s">
        <v>10</v>
      </c>
      <c r="D717" s="1">
        <v>0</v>
      </c>
      <c r="E717" s="1">
        <v>-443.06</v>
      </c>
      <c r="F717" s="1">
        <v>0</v>
      </c>
      <c r="G717" s="1">
        <v>5981.2550000000001</v>
      </c>
      <c r="H717" s="1">
        <v>0</v>
      </c>
      <c r="I717" s="1">
        <v>-2784.9229999999998</v>
      </c>
    </row>
    <row r="718" spans="1:9" hidden="1" x14ac:dyDescent="0.25">
      <c r="A718" s="1" t="s">
        <v>158</v>
      </c>
      <c r="B718" s="1" t="s">
        <v>172</v>
      </c>
      <c r="C718" s="1" t="s">
        <v>25</v>
      </c>
      <c r="D718" s="1">
        <v>0</v>
      </c>
      <c r="E718" s="1">
        <v>443.06</v>
      </c>
      <c r="F718" s="1">
        <v>0</v>
      </c>
      <c r="G718" s="1">
        <v>-7310.4229999999998</v>
      </c>
      <c r="H718" s="1">
        <v>0</v>
      </c>
      <c r="I718" s="1">
        <v>1012.699</v>
      </c>
    </row>
    <row r="719" spans="1:9" hidden="1" x14ac:dyDescent="0.25">
      <c r="A719" s="1" t="s">
        <v>158</v>
      </c>
      <c r="B719" s="1" t="s">
        <v>172</v>
      </c>
      <c r="C719" s="1" t="s">
        <v>10</v>
      </c>
      <c r="D719" s="1">
        <v>0</v>
      </c>
      <c r="E719" s="1">
        <v>443.06</v>
      </c>
      <c r="F719" s="1">
        <v>0</v>
      </c>
      <c r="G719" s="1">
        <v>-7310.4229999999998</v>
      </c>
      <c r="H719" s="1">
        <v>0</v>
      </c>
      <c r="I719" s="1">
        <v>2784.9229999999998</v>
      </c>
    </row>
    <row r="720" spans="1:9" hidden="1" x14ac:dyDescent="0.25">
      <c r="A720" s="1" t="s">
        <v>158</v>
      </c>
      <c r="B720" s="1" t="s">
        <v>173</v>
      </c>
      <c r="C720" s="1" t="s">
        <v>25</v>
      </c>
      <c r="D720" s="1">
        <v>0</v>
      </c>
      <c r="E720" s="1">
        <v>443.06</v>
      </c>
      <c r="F720" s="1">
        <v>0</v>
      </c>
      <c r="G720" s="1">
        <v>-5981.2550000000001</v>
      </c>
      <c r="H720" s="1">
        <v>0</v>
      </c>
      <c r="I720" s="1">
        <v>1012.699</v>
      </c>
    </row>
    <row r="721" spans="1:9" hidden="1" x14ac:dyDescent="0.25">
      <c r="A721" s="1" t="s">
        <v>158</v>
      </c>
      <c r="B721" s="1" t="s">
        <v>173</v>
      </c>
      <c r="C721" s="1" t="s">
        <v>10</v>
      </c>
      <c r="D721" s="1">
        <v>0</v>
      </c>
      <c r="E721" s="1">
        <v>443.06</v>
      </c>
      <c r="F721" s="1">
        <v>0</v>
      </c>
      <c r="G721" s="1">
        <v>-5981.2550000000001</v>
      </c>
      <c r="H721" s="1">
        <v>0</v>
      </c>
      <c r="I721" s="1">
        <v>2784.9229999999998</v>
      </c>
    </row>
    <row r="722" spans="1:9" hidden="1" x14ac:dyDescent="0.25">
      <c r="A722" s="1" t="s">
        <v>158</v>
      </c>
      <c r="B722" s="1" t="s">
        <v>174</v>
      </c>
      <c r="C722" s="1" t="s">
        <v>25</v>
      </c>
      <c r="D722" s="1">
        <v>0</v>
      </c>
      <c r="E722" s="1">
        <v>0</v>
      </c>
      <c r="F722" s="1">
        <v>-535.54999999999995</v>
      </c>
      <c r="G722" s="1">
        <v>-10603.824000000001</v>
      </c>
      <c r="H722" s="1">
        <v>1224.107</v>
      </c>
      <c r="I722" s="1">
        <v>0</v>
      </c>
    </row>
    <row r="723" spans="1:9" hidden="1" x14ac:dyDescent="0.25">
      <c r="A723" s="1" t="s">
        <v>158</v>
      </c>
      <c r="B723" s="1" t="s">
        <v>174</v>
      </c>
      <c r="C723" s="1" t="s">
        <v>10</v>
      </c>
      <c r="D723" s="1">
        <v>0</v>
      </c>
      <c r="E723" s="1">
        <v>0</v>
      </c>
      <c r="F723" s="1">
        <v>-535.54999999999995</v>
      </c>
      <c r="G723" s="1">
        <v>-10603.824000000001</v>
      </c>
      <c r="H723" s="1">
        <v>3366.2930000000001</v>
      </c>
      <c r="I723" s="1">
        <v>0</v>
      </c>
    </row>
    <row r="724" spans="1:9" hidden="1" x14ac:dyDescent="0.25">
      <c r="A724" s="1" t="s">
        <v>158</v>
      </c>
      <c r="B724" s="1" t="s">
        <v>175</v>
      </c>
      <c r="C724" s="1" t="s">
        <v>25</v>
      </c>
      <c r="D724" s="1">
        <v>0</v>
      </c>
      <c r="E724" s="1">
        <v>0</v>
      </c>
      <c r="F724" s="1">
        <v>-535.54999999999995</v>
      </c>
      <c r="G724" s="1">
        <v>-8675.8559999999998</v>
      </c>
      <c r="H724" s="1">
        <v>1224.107</v>
      </c>
      <c r="I724" s="1">
        <v>0</v>
      </c>
    </row>
    <row r="725" spans="1:9" hidden="1" x14ac:dyDescent="0.25">
      <c r="A725" s="1" t="s">
        <v>158</v>
      </c>
      <c r="B725" s="1" t="s">
        <v>175</v>
      </c>
      <c r="C725" s="1" t="s">
        <v>10</v>
      </c>
      <c r="D725" s="1">
        <v>0</v>
      </c>
      <c r="E725" s="1">
        <v>0</v>
      </c>
      <c r="F725" s="1">
        <v>-535.54999999999995</v>
      </c>
      <c r="G725" s="1">
        <v>-8675.8559999999998</v>
      </c>
      <c r="H725" s="1">
        <v>3366.2930000000001</v>
      </c>
      <c r="I725" s="1">
        <v>0</v>
      </c>
    </row>
    <row r="726" spans="1:9" hidden="1" x14ac:dyDescent="0.25">
      <c r="A726" s="1" t="s">
        <v>158</v>
      </c>
      <c r="B726" s="1" t="s">
        <v>176</v>
      </c>
      <c r="C726" s="1" t="s">
        <v>25</v>
      </c>
      <c r="D726" s="1">
        <v>0</v>
      </c>
      <c r="E726" s="1">
        <v>0</v>
      </c>
      <c r="F726" s="1">
        <v>535.54999999999995</v>
      </c>
      <c r="G726" s="1">
        <v>10603.824000000001</v>
      </c>
      <c r="H726" s="1">
        <v>-1224.107</v>
      </c>
      <c r="I726" s="1">
        <v>0</v>
      </c>
    </row>
    <row r="727" spans="1:9" hidden="1" x14ac:dyDescent="0.25">
      <c r="A727" s="1" t="s">
        <v>158</v>
      </c>
      <c r="B727" s="1" t="s">
        <v>176</v>
      </c>
      <c r="C727" s="1" t="s">
        <v>10</v>
      </c>
      <c r="D727" s="1">
        <v>0</v>
      </c>
      <c r="E727" s="1">
        <v>0</v>
      </c>
      <c r="F727" s="1">
        <v>535.54999999999995</v>
      </c>
      <c r="G727" s="1">
        <v>10603.824000000001</v>
      </c>
      <c r="H727" s="1">
        <v>-3366.2930000000001</v>
      </c>
      <c r="I727" s="1">
        <v>0</v>
      </c>
    </row>
    <row r="728" spans="1:9" hidden="1" x14ac:dyDescent="0.25">
      <c r="A728" s="1" t="s">
        <v>158</v>
      </c>
      <c r="B728" s="1" t="s">
        <v>177</v>
      </c>
      <c r="C728" s="1" t="s">
        <v>25</v>
      </c>
      <c r="D728" s="1">
        <v>0</v>
      </c>
      <c r="E728" s="1">
        <v>0</v>
      </c>
      <c r="F728" s="1">
        <v>535.54999999999995</v>
      </c>
      <c r="G728" s="1">
        <v>8675.8559999999998</v>
      </c>
      <c r="H728" s="1">
        <v>-1224.107</v>
      </c>
      <c r="I728" s="1">
        <v>0</v>
      </c>
    </row>
    <row r="729" spans="1:9" hidden="1" x14ac:dyDescent="0.25">
      <c r="A729" s="1" t="s">
        <v>158</v>
      </c>
      <c r="B729" s="1" t="s">
        <v>177</v>
      </c>
      <c r="C729" s="1" t="s">
        <v>10</v>
      </c>
      <c r="D729" s="1">
        <v>0</v>
      </c>
      <c r="E729" s="1">
        <v>0</v>
      </c>
      <c r="F729" s="1">
        <v>535.54999999999995</v>
      </c>
      <c r="G729" s="1">
        <v>8675.8559999999998</v>
      </c>
      <c r="H729" s="1">
        <v>-3366.2930000000001</v>
      </c>
      <c r="I729" s="1">
        <v>0</v>
      </c>
    </row>
    <row r="730" spans="1:9" hidden="1" x14ac:dyDescent="0.25">
      <c r="A730" s="1" t="s">
        <v>158</v>
      </c>
      <c r="B730" s="1" t="s">
        <v>178</v>
      </c>
      <c r="C730" s="1" t="s">
        <v>25</v>
      </c>
      <c r="D730" s="1">
        <v>0</v>
      </c>
      <c r="E730" s="1">
        <v>-132.91999999999999</v>
      </c>
      <c r="F730" s="1">
        <v>0</v>
      </c>
      <c r="G730" s="1">
        <v>2193.127</v>
      </c>
      <c r="H730" s="1">
        <v>0</v>
      </c>
      <c r="I730" s="1">
        <v>-303.81</v>
      </c>
    </row>
    <row r="731" spans="1:9" hidden="1" x14ac:dyDescent="0.25">
      <c r="A731" s="1" t="s">
        <v>158</v>
      </c>
      <c r="B731" s="1" t="s">
        <v>178</v>
      </c>
      <c r="C731" s="1" t="s">
        <v>10</v>
      </c>
      <c r="D731" s="1">
        <v>0</v>
      </c>
      <c r="E731" s="1">
        <v>-132.91999999999999</v>
      </c>
      <c r="F731" s="1">
        <v>0</v>
      </c>
      <c r="G731" s="1">
        <v>2193.127</v>
      </c>
      <c r="H731" s="1">
        <v>0</v>
      </c>
      <c r="I731" s="1">
        <v>-835.47699999999998</v>
      </c>
    </row>
    <row r="732" spans="1:9" hidden="1" x14ac:dyDescent="0.25">
      <c r="A732" s="1" t="s">
        <v>158</v>
      </c>
      <c r="B732" s="1" t="s">
        <v>179</v>
      </c>
      <c r="C732" s="1" t="s">
        <v>25</v>
      </c>
      <c r="D732" s="1">
        <v>0</v>
      </c>
      <c r="E732" s="1">
        <v>-132.91999999999999</v>
      </c>
      <c r="F732" s="1">
        <v>0</v>
      </c>
      <c r="G732" s="1">
        <v>1794.376</v>
      </c>
      <c r="H732" s="1">
        <v>0</v>
      </c>
      <c r="I732" s="1">
        <v>-303.81</v>
      </c>
    </row>
    <row r="733" spans="1:9" hidden="1" x14ac:dyDescent="0.25">
      <c r="A733" s="1" t="s">
        <v>158</v>
      </c>
      <c r="B733" s="1" t="s">
        <v>179</v>
      </c>
      <c r="C733" s="1" t="s">
        <v>10</v>
      </c>
      <c r="D733" s="1">
        <v>0</v>
      </c>
      <c r="E733" s="1">
        <v>-132.91999999999999</v>
      </c>
      <c r="F733" s="1">
        <v>0</v>
      </c>
      <c r="G733" s="1">
        <v>1794.376</v>
      </c>
      <c r="H733" s="1">
        <v>0</v>
      </c>
      <c r="I733" s="1">
        <v>-835.47699999999998</v>
      </c>
    </row>
    <row r="734" spans="1:9" hidden="1" x14ac:dyDescent="0.25">
      <c r="A734" s="1" t="s">
        <v>158</v>
      </c>
      <c r="B734" s="1" t="s">
        <v>180</v>
      </c>
      <c r="C734" s="1" t="s">
        <v>25</v>
      </c>
      <c r="D734" s="1">
        <v>0</v>
      </c>
      <c r="E734" s="1">
        <v>132.91999999999999</v>
      </c>
      <c r="F734" s="1">
        <v>0</v>
      </c>
      <c r="G734" s="1">
        <v>-2193.127</v>
      </c>
      <c r="H734" s="1">
        <v>0</v>
      </c>
      <c r="I734" s="1">
        <v>303.81</v>
      </c>
    </row>
    <row r="735" spans="1:9" hidden="1" x14ac:dyDescent="0.25">
      <c r="A735" s="1" t="s">
        <v>158</v>
      </c>
      <c r="B735" s="1" t="s">
        <v>180</v>
      </c>
      <c r="C735" s="1" t="s">
        <v>10</v>
      </c>
      <c r="D735" s="1">
        <v>0</v>
      </c>
      <c r="E735" s="1">
        <v>132.91999999999999</v>
      </c>
      <c r="F735" s="1">
        <v>0</v>
      </c>
      <c r="G735" s="1">
        <v>-2193.127</v>
      </c>
      <c r="H735" s="1">
        <v>0</v>
      </c>
      <c r="I735" s="1">
        <v>835.47699999999998</v>
      </c>
    </row>
    <row r="736" spans="1:9" hidden="1" x14ac:dyDescent="0.25">
      <c r="A736" s="1" t="s">
        <v>158</v>
      </c>
      <c r="B736" s="1" t="s">
        <v>181</v>
      </c>
      <c r="C736" s="1" t="s">
        <v>25</v>
      </c>
      <c r="D736" s="1">
        <v>0</v>
      </c>
      <c r="E736" s="1">
        <v>132.91999999999999</v>
      </c>
      <c r="F736" s="1">
        <v>0</v>
      </c>
      <c r="G736" s="1">
        <v>-1794.376</v>
      </c>
      <c r="H736" s="1">
        <v>0</v>
      </c>
      <c r="I736" s="1">
        <v>303.81</v>
      </c>
    </row>
    <row r="737" spans="1:9" hidden="1" x14ac:dyDescent="0.25">
      <c r="A737" s="1" t="s">
        <v>158</v>
      </c>
      <c r="B737" s="1" t="s">
        <v>181</v>
      </c>
      <c r="C737" s="1" t="s">
        <v>10</v>
      </c>
      <c r="D737" s="1">
        <v>0</v>
      </c>
      <c r="E737" s="1">
        <v>132.91999999999999</v>
      </c>
      <c r="F737" s="1">
        <v>0</v>
      </c>
      <c r="G737" s="1">
        <v>-1794.376</v>
      </c>
      <c r="H737" s="1">
        <v>0</v>
      </c>
      <c r="I737" s="1">
        <v>835.47699999999998</v>
      </c>
    </row>
    <row r="738" spans="1:9" hidden="1" x14ac:dyDescent="0.25">
      <c r="A738" s="1" t="s">
        <v>158</v>
      </c>
      <c r="B738" s="1" t="s">
        <v>182</v>
      </c>
      <c r="C738" s="1" t="s">
        <v>25</v>
      </c>
      <c r="D738" s="1">
        <v>0</v>
      </c>
      <c r="E738" s="1">
        <v>0</v>
      </c>
      <c r="F738" s="1">
        <v>-160.66</v>
      </c>
      <c r="G738" s="1">
        <v>-3181.1469999999999</v>
      </c>
      <c r="H738" s="1">
        <v>367.23200000000003</v>
      </c>
      <c r="I738" s="1">
        <v>0</v>
      </c>
    </row>
    <row r="739" spans="1:9" hidden="1" x14ac:dyDescent="0.25">
      <c r="A739" s="1" t="s">
        <v>158</v>
      </c>
      <c r="B739" s="1" t="s">
        <v>182</v>
      </c>
      <c r="C739" s="1" t="s">
        <v>10</v>
      </c>
      <c r="D739" s="1">
        <v>0</v>
      </c>
      <c r="E739" s="1">
        <v>0</v>
      </c>
      <c r="F739" s="1">
        <v>-160.66</v>
      </c>
      <c r="G739" s="1">
        <v>-3181.1469999999999</v>
      </c>
      <c r="H739" s="1">
        <v>1009.888</v>
      </c>
      <c r="I739" s="1">
        <v>0</v>
      </c>
    </row>
    <row r="740" spans="1:9" hidden="1" x14ac:dyDescent="0.25">
      <c r="A740" s="1" t="s">
        <v>158</v>
      </c>
      <c r="B740" s="1" t="s">
        <v>183</v>
      </c>
      <c r="C740" s="1" t="s">
        <v>25</v>
      </c>
      <c r="D740" s="1">
        <v>0</v>
      </c>
      <c r="E740" s="1">
        <v>0</v>
      </c>
      <c r="F740" s="1">
        <v>-160.66</v>
      </c>
      <c r="G740" s="1">
        <v>-2602.7570000000001</v>
      </c>
      <c r="H740" s="1">
        <v>367.23200000000003</v>
      </c>
      <c r="I740" s="1">
        <v>0</v>
      </c>
    </row>
    <row r="741" spans="1:9" hidden="1" x14ac:dyDescent="0.25">
      <c r="A741" s="1" t="s">
        <v>158</v>
      </c>
      <c r="B741" s="1" t="s">
        <v>183</v>
      </c>
      <c r="C741" s="1" t="s">
        <v>10</v>
      </c>
      <c r="D741" s="1">
        <v>0</v>
      </c>
      <c r="E741" s="1">
        <v>0</v>
      </c>
      <c r="F741" s="1">
        <v>-160.66</v>
      </c>
      <c r="G741" s="1">
        <v>-2602.7570000000001</v>
      </c>
      <c r="H741" s="1">
        <v>1009.888</v>
      </c>
      <c r="I741" s="1">
        <v>0</v>
      </c>
    </row>
    <row r="742" spans="1:9" hidden="1" x14ac:dyDescent="0.25">
      <c r="A742" s="1" t="s">
        <v>158</v>
      </c>
      <c r="B742" s="1" t="s">
        <v>184</v>
      </c>
      <c r="C742" s="1" t="s">
        <v>25</v>
      </c>
      <c r="D742" s="1">
        <v>0</v>
      </c>
      <c r="E742" s="1">
        <v>0</v>
      </c>
      <c r="F742" s="1">
        <v>160.66</v>
      </c>
      <c r="G742" s="1">
        <v>3181.1469999999999</v>
      </c>
      <c r="H742" s="1">
        <v>-367.23200000000003</v>
      </c>
      <c r="I742" s="1">
        <v>0</v>
      </c>
    </row>
    <row r="743" spans="1:9" hidden="1" x14ac:dyDescent="0.25">
      <c r="A743" s="1" t="s">
        <v>158</v>
      </c>
      <c r="B743" s="1" t="s">
        <v>184</v>
      </c>
      <c r="C743" s="1" t="s">
        <v>10</v>
      </c>
      <c r="D743" s="1">
        <v>0</v>
      </c>
      <c r="E743" s="1">
        <v>0</v>
      </c>
      <c r="F743" s="1">
        <v>160.66</v>
      </c>
      <c r="G743" s="1">
        <v>3181.1469999999999</v>
      </c>
      <c r="H743" s="1">
        <v>-1009.888</v>
      </c>
      <c r="I743" s="1">
        <v>0</v>
      </c>
    </row>
    <row r="744" spans="1:9" hidden="1" x14ac:dyDescent="0.25">
      <c r="A744" s="1" t="s">
        <v>158</v>
      </c>
      <c r="B744" s="1" t="s">
        <v>185</v>
      </c>
      <c r="C744" s="1" t="s">
        <v>25</v>
      </c>
      <c r="D744" s="1">
        <v>0</v>
      </c>
      <c r="E744" s="1">
        <v>0</v>
      </c>
      <c r="F744" s="1">
        <v>160.66</v>
      </c>
      <c r="G744" s="1">
        <v>2602.7570000000001</v>
      </c>
      <c r="H744" s="1">
        <v>-367.23200000000003</v>
      </c>
      <c r="I744" s="1">
        <v>0</v>
      </c>
    </row>
    <row r="745" spans="1:9" hidden="1" x14ac:dyDescent="0.25">
      <c r="A745" s="1" t="s">
        <v>158</v>
      </c>
      <c r="B745" s="1" t="s">
        <v>185</v>
      </c>
      <c r="C745" s="1" t="s">
        <v>10</v>
      </c>
      <c r="D745" s="1">
        <v>0</v>
      </c>
      <c r="E745" s="1">
        <v>0</v>
      </c>
      <c r="F745" s="1">
        <v>160.66</v>
      </c>
      <c r="G745" s="1">
        <v>2602.7570000000001</v>
      </c>
      <c r="H745" s="1">
        <v>-1009.888</v>
      </c>
      <c r="I745" s="1">
        <v>0</v>
      </c>
    </row>
    <row r="746" spans="1:9" hidden="1" x14ac:dyDescent="0.25">
      <c r="A746" s="1" t="s">
        <v>158</v>
      </c>
      <c r="B746" s="1" t="s">
        <v>186</v>
      </c>
      <c r="C746" s="1" t="s">
        <v>25</v>
      </c>
      <c r="D746" s="1">
        <v>0</v>
      </c>
      <c r="E746" s="1">
        <v>-132.91999999999999</v>
      </c>
      <c r="F746" s="1">
        <v>0</v>
      </c>
      <c r="G746" s="1">
        <v>2193.127</v>
      </c>
      <c r="H746" s="1">
        <v>0</v>
      </c>
      <c r="I746" s="1">
        <v>-303.81</v>
      </c>
    </row>
    <row r="747" spans="1:9" hidden="1" x14ac:dyDescent="0.25">
      <c r="A747" s="1" t="s">
        <v>158</v>
      </c>
      <c r="B747" s="1" t="s">
        <v>186</v>
      </c>
      <c r="C747" s="1" t="s">
        <v>10</v>
      </c>
      <c r="D747" s="1">
        <v>0</v>
      </c>
      <c r="E747" s="1">
        <v>-132.91999999999999</v>
      </c>
      <c r="F747" s="1">
        <v>0</v>
      </c>
      <c r="G747" s="1">
        <v>2193.127</v>
      </c>
      <c r="H747" s="1">
        <v>0</v>
      </c>
      <c r="I747" s="1">
        <v>-835.47699999999998</v>
      </c>
    </row>
    <row r="748" spans="1:9" hidden="1" x14ac:dyDescent="0.25">
      <c r="A748" s="1" t="s">
        <v>158</v>
      </c>
      <c r="B748" s="1" t="s">
        <v>187</v>
      </c>
      <c r="C748" s="1" t="s">
        <v>25</v>
      </c>
      <c r="D748" s="1">
        <v>0</v>
      </c>
      <c r="E748" s="1">
        <v>-132.91999999999999</v>
      </c>
      <c r="F748" s="1">
        <v>0</v>
      </c>
      <c r="G748" s="1">
        <v>1794.376</v>
      </c>
      <c r="H748" s="1">
        <v>0</v>
      </c>
      <c r="I748" s="1">
        <v>-303.81</v>
      </c>
    </row>
    <row r="749" spans="1:9" hidden="1" x14ac:dyDescent="0.25">
      <c r="A749" s="1" t="s">
        <v>158</v>
      </c>
      <c r="B749" s="1" t="s">
        <v>187</v>
      </c>
      <c r="C749" s="1" t="s">
        <v>10</v>
      </c>
      <c r="D749" s="1">
        <v>0</v>
      </c>
      <c r="E749" s="1">
        <v>-132.91999999999999</v>
      </c>
      <c r="F749" s="1">
        <v>0</v>
      </c>
      <c r="G749" s="1">
        <v>1794.376</v>
      </c>
      <c r="H749" s="1">
        <v>0</v>
      </c>
      <c r="I749" s="1">
        <v>-835.47699999999998</v>
      </c>
    </row>
    <row r="750" spans="1:9" hidden="1" x14ac:dyDescent="0.25">
      <c r="A750" s="1" t="s">
        <v>158</v>
      </c>
      <c r="B750" s="1" t="s">
        <v>188</v>
      </c>
      <c r="C750" s="1" t="s">
        <v>25</v>
      </c>
      <c r="D750" s="1">
        <v>0</v>
      </c>
      <c r="E750" s="1">
        <v>132.91999999999999</v>
      </c>
      <c r="F750" s="1">
        <v>0</v>
      </c>
      <c r="G750" s="1">
        <v>-2193.127</v>
      </c>
      <c r="H750" s="1">
        <v>0</v>
      </c>
      <c r="I750" s="1">
        <v>303.81</v>
      </c>
    </row>
    <row r="751" spans="1:9" hidden="1" x14ac:dyDescent="0.25">
      <c r="A751" s="1" t="s">
        <v>158</v>
      </c>
      <c r="B751" s="1" t="s">
        <v>188</v>
      </c>
      <c r="C751" s="1" t="s">
        <v>10</v>
      </c>
      <c r="D751" s="1">
        <v>0</v>
      </c>
      <c r="E751" s="1">
        <v>132.91999999999999</v>
      </c>
      <c r="F751" s="1">
        <v>0</v>
      </c>
      <c r="G751" s="1">
        <v>-2193.127</v>
      </c>
      <c r="H751" s="1">
        <v>0</v>
      </c>
      <c r="I751" s="1">
        <v>835.47699999999998</v>
      </c>
    </row>
    <row r="752" spans="1:9" hidden="1" x14ac:dyDescent="0.25">
      <c r="A752" s="1" t="s">
        <v>158</v>
      </c>
      <c r="B752" s="1" t="s">
        <v>189</v>
      </c>
      <c r="C752" s="1" t="s">
        <v>25</v>
      </c>
      <c r="D752" s="1">
        <v>0</v>
      </c>
      <c r="E752" s="1">
        <v>132.91999999999999</v>
      </c>
      <c r="F752" s="1">
        <v>0</v>
      </c>
      <c r="G752" s="1">
        <v>-1794.376</v>
      </c>
      <c r="H752" s="1">
        <v>0</v>
      </c>
      <c r="I752" s="1">
        <v>303.81</v>
      </c>
    </row>
    <row r="753" spans="1:9" hidden="1" x14ac:dyDescent="0.25">
      <c r="A753" s="1" t="s">
        <v>158</v>
      </c>
      <c r="B753" s="1" t="s">
        <v>189</v>
      </c>
      <c r="C753" s="1" t="s">
        <v>10</v>
      </c>
      <c r="D753" s="1">
        <v>0</v>
      </c>
      <c r="E753" s="1">
        <v>132.91999999999999</v>
      </c>
      <c r="F753" s="1">
        <v>0</v>
      </c>
      <c r="G753" s="1">
        <v>-1794.376</v>
      </c>
      <c r="H753" s="1">
        <v>0</v>
      </c>
      <c r="I753" s="1">
        <v>835.47699999999998</v>
      </c>
    </row>
    <row r="754" spans="1:9" hidden="1" x14ac:dyDescent="0.25">
      <c r="A754" s="1" t="s">
        <v>158</v>
      </c>
      <c r="B754" s="1" t="s">
        <v>190</v>
      </c>
      <c r="C754" s="1" t="s">
        <v>25</v>
      </c>
      <c r="D754" s="1">
        <v>0</v>
      </c>
      <c r="E754" s="1">
        <v>0</v>
      </c>
      <c r="F754" s="1">
        <v>-160.66</v>
      </c>
      <c r="G754" s="1">
        <v>-3181.1469999999999</v>
      </c>
      <c r="H754" s="1">
        <v>367.23200000000003</v>
      </c>
      <c r="I754" s="1">
        <v>0</v>
      </c>
    </row>
    <row r="755" spans="1:9" hidden="1" x14ac:dyDescent="0.25">
      <c r="A755" s="1" t="s">
        <v>158</v>
      </c>
      <c r="B755" s="1" t="s">
        <v>190</v>
      </c>
      <c r="C755" s="1" t="s">
        <v>10</v>
      </c>
      <c r="D755" s="1">
        <v>0</v>
      </c>
      <c r="E755" s="1">
        <v>0</v>
      </c>
      <c r="F755" s="1">
        <v>-160.66</v>
      </c>
      <c r="G755" s="1">
        <v>-3181.1469999999999</v>
      </c>
      <c r="H755" s="1">
        <v>1009.888</v>
      </c>
      <c r="I755" s="1">
        <v>0</v>
      </c>
    </row>
    <row r="756" spans="1:9" hidden="1" x14ac:dyDescent="0.25">
      <c r="A756" s="1" t="s">
        <v>158</v>
      </c>
      <c r="B756" s="1" t="s">
        <v>191</v>
      </c>
      <c r="C756" s="1" t="s">
        <v>25</v>
      </c>
      <c r="D756" s="1">
        <v>0</v>
      </c>
      <c r="E756" s="1">
        <v>0</v>
      </c>
      <c r="F756" s="1">
        <v>-160.66</v>
      </c>
      <c r="G756" s="1">
        <v>-2602.7570000000001</v>
      </c>
      <c r="H756" s="1">
        <v>367.23200000000003</v>
      </c>
      <c r="I756" s="1">
        <v>0</v>
      </c>
    </row>
    <row r="757" spans="1:9" hidden="1" x14ac:dyDescent="0.25">
      <c r="A757" s="1" t="s">
        <v>158</v>
      </c>
      <c r="B757" s="1" t="s">
        <v>191</v>
      </c>
      <c r="C757" s="1" t="s">
        <v>10</v>
      </c>
      <c r="D757" s="1">
        <v>0</v>
      </c>
      <c r="E757" s="1">
        <v>0</v>
      </c>
      <c r="F757" s="1">
        <v>-160.66</v>
      </c>
      <c r="G757" s="1">
        <v>-2602.7570000000001</v>
      </c>
      <c r="H757" s="1">
        <v>1009.888</v>
      </c>
      <c r="I757" s="1">
        <v>0</v>
      </c>
    </row>
    <row r="758" spans="1:9" hidden="1" x14ac:dyDescent="0.25">
      <c r="A758" s="1" t="s">
        <v>158</v>
      </c>
      <c r="B758" s="1" t="s">
        <v>192</v>
      </c>
      <c r="C758" s="1" t="s">
        <v>25</v>
      </c>
      <c r="D758" s="1">
        <v>0</v>
      </c>
      <c r="E758" s="1">
        <v>0</v>
      </c>
      <c r="F758" s="1">
        <v>160.66</v>
      </c>
      <c r="G758" s="1">
        <v>3181.1469999999999</v>
      </c>
      <c r="H758" s="1">
        <v>-367.23200000000003</v>
      </c>
      <c r="I758" s="1">
        <v>0</v>
      </c>
    </row>
    <row r="759" spans="1:9" hidden="1" x14ac:dyDescent="0.25">
      <c r="A759" s="1" t="s">
        <v>158</v>
      </c>
      <c r="B759" s="1" t="s">
        <v>192</v>
      </c>
      <c r="C759" s="1" t="s">
        <v>10</v>
      </c>
      <c r="D759" s="1">
        <v>0</v>
      </c>
      <c r="E759" s="1">
        <v>0</v>
      </c>
      <c r="F759" s="1">
        <v>160.66</v>
      </c>
      <c r="G759" s="1">
        <v>3181.1469999999999</v>
      </c>
      <c r="H759" s="1">
        <v>-1009.888</v>
      </c>
      <c r="I759" s="1">
        <v>0</v>
      </c>
    </row>
    <row r="760" spans="1:9" hidden="1" x14ac:dyDescent="0.25">
      <c r="A760" s="1" t="s">
        <v>158</v>
      </c>
      <c r="B760" s="1" t="s">
        <v>193</v>
      </c>
      <c r="C760" s="1" t="s">
        <v>25</v>
      </c>
      <c r="D760" s="1">
        <v>0</v>
      </c>
      <c r="E760" s="1">
        <v>0</v>
      </c>
      <c r="F760" s="1">
        <v>160.66</v>
      </c>
      <c r="G760" s="1">
        <v>2602.7570000000001</v>
      </c>
      <c r="H760" s="1">
        <v>-367.23200000000003</v>
      </c>
      <c r="I760" s="1">
        <v>0</v>
      </c>
    </row>
    <row r="761" spans="1:9" hidden="1" x14ac:dyDescent="0.25">
      <c r="A761" s="1" t="s">
        <v>158</v>
      </c>
      <c r="B761" s="1" t="s">
        <v>193</v>
      </c>
      <c r="C761" s="1" t="s">
        <v>10</v>
      </c>
      <c r="D761" s="1">
        <v>0</v>
      </c>
      <c r="E761" s="1">
        <v>0</v>
      </c>
      <c r="F761" s="1">
        <v>160.66</v>
      </c>
      <c r="G761" s="1">
        <v>2602.7570000000001</v>
      </c>
      <c r="H761" s="1">
        <v>-1009.888</v>
      </c>
      <c r="I761" s="1">
        <v>0</v>
      </c>
    </row>
    <row r="762" spans="1:9" hidden="1" x14ac:dyDescent="0.25">
      <c r="A762" s="1" t="s">
        <v>158</v>
      </c>
      <c r="B762" s="1" t="s">
        <v>194</v>
      </c>
      <c r="C762" s="1" t="s">
        <v>25</v>
      </c>
      <c r="D762" s="1">
        <v>0</v>
      </c>
      <c r="E762" s="1">
        <v>-443.06</v>
      </c>
      <c r="F762" s="1">
        <v>0</v>
      </c>
      <c r="G762" s="1">
        <v>7310.4229999999998</v>
      </c>
      <c r="H762" s="1">
        <v>0</v>
      </c>
      <c r="I762" s="1">
        <v>-1012.699</v>
      </c>
    </row>
    <row r="763" spans="1:9" hidden="1" x14ac:dyDescent="0.25">
      <c r="A763" s="1" t="s">
        <v>158</v>
      </c>
      <c r="B763" s="1" t="s">
        <v>194</v>
      </c>
      <c r="C763" s="1" t="s">
        <v>10</v>
      </c>
      <c r="D763" s="1">
        <v>0</v>
      </c>
      <c r="E763" s="1">
        <v>-443.06</v>
      </c>
      <c r="F763" s="1">
        <v>0</v>
      </c>
      <c r="G763" s="1">
        <v>7310.4229999999998</v>
      </c>
      <c r="H763" s="1">
        <v>0</v>
      </c>
      <c r="I763" s="1">
        <v>-2784.9229999999998</v>
      </c>
    </row>
    <row r="764" spans="1:9" hidden="1" x14ac:dyDescent="0.25">
      <c r="A764" s="1" t="s">
        <v>158</v>
      </c>
      <c r="B764" s="1" t="s">
        <v>195</v>
      </c>
      <c r="C764" s="1" t="s">
        <v>25</v>
      </c>
      <c r="D764" s="1">
        <v>0</v>
      </c>
      <c r="E764" s="1">
        <v>-443.06</v>
      </c>
      <c r="F764" s="1">
        <v>0</v>
      </c>
      <c r="G764" s="1">
        <v>5981.2550000000001</v>
      </c>
      <c r="H764" s="1">
        <v>0</v>
      </c>
      <c r="I764" s="1">
        <v>-1012.699</v>
      </c>
    </row>
    <row r="765" spans="1:9" hidden="1" x14ac:dyDescent="0.25">
      <c r="A765" s="1" t="s">
        <v>158</v>
      </c>
      <c r="B765" s="1" t="s">
        <v>195</v>
      </c>
      <c r="C765" s="1" t="s">
        <v>10</v>
      </c>
      <c r="D765" s="1">
        <v>0</v>
      </c>
      <c r="E765" s="1">
        <v>-443.06</v>
      </c>
      <c r="F765" s="1">
        <v>0</v>
      </c>
      <c r="G765" s="1">
        <v>5981.2550000000001</v>
      </c>
      <c r="H765" s="1">
        <v>0</v>
      </c>
      <c r="I765" s="1">
        <v>-2784.9229999999998</v>
      </c>
    </row>
    <row r="766" spans="1:9" hidden="1" x14ac:dyDescent="0.25">
      <c r="A766" s="1" t="s">
        <v>158</v>
      </c>
      <c r="B766" s="1" t="s">
        <v>196</v>
      </c>
      <c r="C766" s="1" t="s">
        <v>25</v>
      </c>
      <c r="D766" s="1">
        <v>0</v>
      </c>
      <c r="E766" s="1">
        <v>443.06</v>
      </c>
      <c r="F766" s="1">
        <v>0</v>
      </c>
      <c r="G766" s="1">
        <v>-7310.4229999999998</v>
      </c>
      <c r="H766" s="1">
        <v>0</v>
      </c>
      <c r="I766" s="1">
        <v>1012.699</v>
      </c>
    </row>
    <row r="767" spans="1:9" hidden="1" x14ac:dyDescent="0.25">
      <c r="A767" s="1" t="s">
        <v>158</v>
      </c>
      <c r="B767" s="1" t="s">
        <v>196</v>
      </c>
      <c r="C767" s="1" t="s">
        <v>10</v>
      </c>
      <c r="D767" s="1">
        <v>0</v>
      </c>
      <c r="E767" s="1">
        <v>443.06</v>
      </c>
      <c r="F767" s="1">
        <v>0</v>
      </c>
      <c r="G767" s="1">
        <v>-7310.4229999999998</v>
      </c>
      <c r="H767" s="1">
        <v>0</v>
      </c>
      <c r="I767" s="1">
        <v>2784.9229999999998</v>
      </c>
    </row>
    <row r="768" spans="1:9" hidden="1" x14ac:dyDescent="0.25">
      <c r="A768" s="1" t="s">
        <v>158</v>
      </c>
      <c r="B768" s="1" t="s">
        <v>197</v>
      </c>
      <c r="C768" s="1" t="s">
        <v>25</v>
      </c>
      <c r="D768" s="1">
        <v>0</v>
      </c>
      <c r="E768" s="1">
        <v>443.06</v>
      </c>
      <c r="F768" s="1">
        <v>0</v>
      </c>
      <c r="G768" s="1">
        <v>-5981.2550000000001</v>
      </c>
      <c r="H768" s="1">
        <v>0</v>
      </c>
      <c r="I768" s="1">
        <v>1012.699</v>
      </c>
    </row>
    <row r="769" spans="1:9" hidden="1" x14ac:dyDescent="0.25">
      <c r="A769" s="1" t="s">
        <v>158</v>
      </c>
      <c r="B769" s="1" t="s">
        <v>197</v>
      </c>
      <c r="C769" s="1" t="s">
        <v>10</v>
      </c>
      <c r="D769" s="1">
        <v>0</v>
      </c>
      <c r="E769" s="1">
        <v>443.06</v>
      </c>
      <c r="F769" s="1">
        <v>0</v>
      </c>
      <c r="G769" s="1">
        <v>-5981.2550000000001</v>
      </c>
      <c r="H769" s="1">
        <v>0</v>
      </c>
      <c r="I769" s="1">
        <v>2784.9229999999998</v>
      </c>
    </row>
    <row r="770" spans="1:9" hidden="1" x14ac:dyDescent="0.25">
      <c r="A770" s="1" t="s">
        <v>158</v>
      </c>
      <c r="B770" s="1" t="s">
        <v>198</v>
      </c>
      <c r="C770" s="1" t="s">
        <v>25</v>
      </c>
      <c r="D770" s="1">
        <v>0</v>
      </c>
      <c r="E770" s="1">
        <v>0</v>
      </c>
      <c r="F770" s="1">
        <v>-535.54999999999995</v>
      </c>
      <c r="G770" s="1">
        <v>-10603.824000000001</v>
      </c>
      <c r="H770" s="1">
        <v>1224.107</v>
      </c>
      <c r="I770" s="1">
        <v>0</v>
      </c>
    </row>
    <row r="771" spans="1:9" hidden="1" x14ac:dyDescent="0.25">
      <c r="A771" s="1" t="s">
        <v>158</v>
      </c>
      <c r="B771" s="1" t="s">
        <v>198</v>
      </c>
      <c r="C771" s="1" t="s">
        <v>10</v>
      </c>
      <c r="D771" s="1">
        <v>0</v>
      </c>
      <c r="E771" s="1">
        <v>0</v>
      </c>
      <c r="F771" s="1">
        <v>-535.54999999999995</v>
      </c>
      <c r="G771" s="1">
        <v>-10603.824000000001</v>
      </c>
      <c r="H771" s="1">
        <v>3366.2930000000001</v>
      </c>
      <c r="I771" s="1">
        <v>0</v>
      </c>
    </row>
    <row r="772" spans="1:9" hidden="1" x14ac:dyDescent="0.25">
      <c r="A772" s="1" t="s">
        <v>158</v>
      </c>
      <c r="B772" s="1" t="s">
        <v>199</v>
      </c>
      <c r="C772" s="1" t="s">
        <v>25</v>
      </c>
      <c r="D772" s="1">
        <v>0</v>
      </c>
      <c r="E772" s="1">
        <v>0</v>
      </c>
      <c r="F772" s="1">
        <v>-535.54999999999995</v>
      </c>
      <c r="G772" s="1">
        <v>-8675.8559999999998</v>
      </c>
      <c r="H772" s="1">
        <v>1224.107</v>
      </c>
      <c r="I772" s="1">
        <v>0</v>
      </c>
    </row>
    <row r="773" spans="1:9" hidden="1" x14ac:dyDescent="0.25">
      <c r="A773" s="1" t="s">
        <v>158</v>
      </c>
      <c r="B773" s="1" t="s">
        <v>199</v>
      </c>
      <c r="C773" s="1" t="s">
        <v>10</v>
      </c>
      <c r="D773" s="1">
        <v>0</v>
      </c>
      <c r="E773" s="1">
        <v>0</v>
      </c>
      <c r="F773" s="1">
        <v>-535.54999999999995</v>
      </c>
      <c r="G773" s="1">
        <v>-8675.8559999999998</v>
      </c>
      <c r="H773" s="1">
        <v>3366.2930000000001</v>
      </c>
      <c r="I773" s="1">
        <v>0</v>
      </c>
    </row>
    <row r="774" spans="1:9" hidden="1" x14ac:dyDescent="0.25">
      <c r="A774" s="1" t="s">
        <v>158</v>
      </c>
      <c r="B774" s="1" t="s">
        <v>200</v>
      </c>
      <c r="C774" s="1" t="s">
        <v>25</v>
      </c>
      <c r="D774" s="1">
        <v>0</v>
      </c>
      <c r="E774" s="1">
        <v>0</v>
      </c>
      <c r="F774" s="1">
        <v>535.54999999999995</v>
      </c>
      <c r="G774" s="1">
        <v>10603.824000000001</v>
      </c>
      <c r="H774" s="1">
        <v>-1224.107</v>
      </c>
      <c r="I774" s="1">
        <v>0</v>
      </c>
    </row>
    <row r="775" spans="1:9" hidden="1" x14ac:dyDescent="0.25">
      <c r="A775" s="1" t="s">
        <v>158</v>
      </c>
      <c r="B775" s="1" t="s">
        <v>200</v>
      </c>
      <c r="C775" s="1" t="s">
        <v>10</v>
      </c>
      <c r="D775" s="1">
        <v>0</v>
      </c>
      <c r="E775" s="1">
        <v>0</v>
      </c>
      <c r="F775" s="1">
        <v>535.54999999999995</v>
      </c>
      <c r="G775" s="1">
        <v>10603.824000000001</v>
      </c>
      <c r="H775" s="1">
        <v>-3366.2930000000001</v>
      </c>
      <c r="I775" s="1">
        <v>0</v>
      </c>
    </row>
    <row r="776" spans="1:9" hidden="1" x14ac:dyDescent="0.25">
      <c r="A776" s="1" t="s">
        <v>158</v>
      </c>
      <c r="B776" s="1" t="s">
        <v>201</v>
      </c>
      <c r="C776" s="1" t="s">
        <v>25</v>
      </c>
      <c r="D776" s="1">
        <v>0</v>
      </c>
      <c r="E776" s="1">
        <v>0</v>
      </c>
      <c r="F776" s="1">
        <v>535.54999999999995</v>
      </c>
      <c r="G776" s="1">
        <v>8675.8559999999998</v>
      </c>
      <c r="H776" s="1">
        <v>-1224.107</v>
      </c>
      <c r="I776" s="1">
        <v>0</v>
      </c>
    </row>
    <row r="777" spans="1:9" hidden="1" x14ac:dyDescent="0.25">
      <c r="A777" s="1" t="s">
        <v>158</v>
      </c>
      <c r="B777" s="1" t="s">
        <v>201</v>
      </c>
      <c r="C777" s="1" t="s">
        <v>10</v>
      </c>
      <c r="D777" s="1">
        <v>0</v>
      </c>
      <c r="E777" s="1">
        <v>0</v>
      </c>
      <c r="F777" s="1">
        <v>535.54999999999995</v>
      </c>
      <c r="G777" s="1">
        <v>8675.8559999999998</v>
      </c>
      <c r="H777" s="1">
        <v>-3366.2930000000001</v>
      </c>
      <c r="I777" s="1">
        <v>0</v>
      </c>
    </row>
    <row r="778" spans="1:9" hidden="1" x14ac:dyDescent="0.25">
      <c r="A778" s="1" t="s">
        <v>158</v>
      </c>
      <c r="B778" s="1" t="s">
        <v>202</v>
      </c>
      <c r="C778" s="1" t="s">
        <v>25</v>
      </c>
      <c r="D778" s="1">
        <v>0</v>
      </c>
      <c r="E778" s="1">
        <v>-443.06</v>
      </c>
      <c r="F778" s="1">
        <v>0</v>
      </c>
      <c r="G778" s="1">
        <v>7310.4229999999998</v>
      </c>
      <c r="H778" s="1">
        <v>0</v>
      </c>
      <c r="I778" s="1">
        <v>-1012.699</v>
      </c>
    </row>
    <row r="779" spans="1:9" hidden="1" x14ac:dyDescent="0.25">
      <c r="A779" s="1" t="s">
        <v>158</v>
      </c>
      <c r="B779" s="1" t="s">
        <v>202</v>
      </c>
      <c r="C779" s="1" t="s">
        <v>10</v>
      </c>
      <c r="D779" s="1">
        <v>0</v>
      </c>
      <c r="E779" s="1">
        <v>-443.06</v>
      </c>
      <c r="F779" s="1">
        <v>0</v>
      </c>
      <c r="G779" s="1">
        <v>7310.4229999999998</v>
      </c>
      <c r="H779" s="1">
        <v>0</v>
      </c>
      <c r="I779" s="1">
        <v>-2784.9229999999998</v>
      </c>
    </row>
    <row r="780" spans="1:9" hidden="1" x14ac:dyDescent="0.25">
      <c r="A780" s="1" t="s">
        <v>158</v>
      </c>
      <c r="B780" s="1" t="s">
        <v>203</v>
      </c>
      <c r="C780" s="1" t="s">
        <v>25</v>
      </c>
      <c r="D780" s="1">
        <v>0</v>
      </c>
      <c r="E780" s="1">
        <v>-443.06</v>
      </c>
      <c r="F780" s="1">
        <v>0</v>
      </c>
      <c r="G780" s="1">
        <v>5981.2550000000001</v>
      </c>
      <c r="H780" s="1">
        <v>0</v>
      </c>
      <c r="I780" s="1">
        <v>-1012.699</v>
      </c>
    </row>
    <row r="781" spans="1:9" hidden="1" x14ac:dyDescent="0.25">
      <c r="A781" s="1" t="s">
        <v>158</v>
      </c>
      <c r="B781" s="1" t="s">
        <v>203</v>
      </c>
      <c r="C781" s="1" t="s">
        <v>10</v>
      </c>
      <c r="D781" s="1">
        <v>0</v>
      </c>
      <c r="E781" s="1">
        <v>-443.06</v>
      </c>
      <c r="F781" s="1">
        <v>0</v>
      </c>
      <c r="G781" s="1">
        <v>5981.2550000000001</v>
      </c>
      <c r="H781" s="1">
        <v>0</v>
      </c>
      <c r="I781" s="1">
        <v>-2784.9229999999998</v>
      </c>
    </row>
    <row r="782" spans="1:9" hidden="1" x14ac:dyDescent="0.25">
      <c r="A782" s="1" t="s">
        <v>158</v>
      </c>
      <c r="B782" s="1" t="s">
        <v>204</v>
      </c>
      <c r="C782" s="1" t="s">
        <v>25</v>
      </c>
      <c r="D782" s="1">
        <v>0</v>
      </c>
      <c r="E782" s="1">
        <v>443.06</v>
      </c>
      <c r="F782" s="1">
        <v>0</v>
      </c>
      <c r="G782" s="1">
        <v>-7310.4229999999998</v>
      </c>
      <c r="H782" s="1">
        <v>0</v>
      </c>
      <c r="I782" s="1">
        <v>1012.699</v>
      </c>
    </row>
    <row r="783" spans="1:9" hidden="1" x14ac:dyDescent="0.25">
      <c r="A783" s="1" t="s">
        <v>158</v>
      </c>
      <c r="B783" s="1" t="s">
        <v>204</v>
      </c>
      <c r="C783" s="1" t="s">
        <v>10</v>
      </c>
      <c r="D783" s="1">
        <v>0</v>
      </c>
      <c r="E783" s="1">
        <v>443.06</v>
      </c>
      <c r="F783" s="1">
        <v>0</v>
      </c>
      <c r="G783" s="1">
        <v>-7310.4229999999998</v>
      </c>
      <c r="H783" s="1">
        <v>0</v>
      </c>
      <c r="I783" s="1">
        <v>2784.9229999999998</v>
      </c>
    </row>
    <row r="784" spans="1:9" hidden="1" x14ac:dyDescent="0.25">
      <c r="A784" s="1" t="s">
        <v>158</v>
      </c>
      <c r="B784" s="1" t="s">
        <v>205</v>
      </c>
      <c r="C784" s="1" t="s">
        <v>25</v>
      </c>
      <c r="D784" s="1">
        <v>0</v>
      </c>
      <c r="E784" s="1">
        <v>443.06</v>
      </c>
      <c r="F784" s="1">
        <v>0</v>
      </c>
      <c r="G784" s="1">
        <v>-5981.2550000000001</v>
      </c>
      <c r="H784" s="1">
        <v>0</v>
      </c>
      <c r="I784" s="1">
        <v>1012.699</v>
      </c>
    </row>
    <row r="785" spans="1:9" hidden="1" x14ac:dyDescent="0.25">
      <c r="A785" s="1" t="s">
        <v>158</v>
      </c>
      <c r="B785" s="1" t="s">
        <v>205</v>
      </c>
      <c r="C785" s="1" t="s">
        <v>10</v>
      </c>
      <c r="D785" s="1">
        <v>0</v>
      </c>
      <c r="E785" s="1">
        <v>443.06</v>
      </c>
      <c r="F785" s="1">
        <v>0</v>
      </c>
      <c r="G785" s="1">
        <v>-5981.2550000000001</v>
      </c>
      <c r="H785" s="1">
        <v>0</v>
      </c>
      <c r="I785" s="1">
        <v>2784.9229999999998</v>
      </c>
    </row>
    <row r="786" spans="1:9" hidden="1" x14ac:dyDescent="0.25">
      <c r="A786" s="1" t="s">
        <v>158</v>
      </c>
      <c r="B786" s="1" t="s">
        <v>206</v>
      </c>
      <c r="C786" s="1" t="s">
        <v>25</v>
      </c>
      <c r="D786" s="1">
        <v>0</v>
      </c>
      <c r="E786" s="1">
        <v>0</v>
      </c>
      <c r="F786" s="1">
        <v>-535.54999999999995</v>
      </c>
      <c r="G786" s="1">
        <v>-10603.824000000001</v>
      </c>
      <c r="H786" s="1">
        <v>1224.107</v>
      </c>
      <c r="I786" s="1">
        <v>0</v>
      </c>
    </row>
    <row r="787" spans="1:9" hidden="1" x14ac:dyDescent="0.25">
      <c r="A787" s="1" t="s">
        <v>158</v>
      </c>
      <c r="B787" s="1" t="s">
        <v>206</v>
      </c>
      <c r="C787" s="1" t="s">
        <v>10</v>
      </c>
      <c r="D787" s="1">
        <v>0</v>
      </c>
      <c r="E787" s="1">
        <v>0</v>
      </c>
      <c r="F787" s="1">
        <v>-535.54999999999995</v>
      </c>
      <c r="G787" s="1">
        <v>-10603.824000000001</v>
      </c>
      <c r="H787" s="1">
        <v>3366.2930000000001</v>
      </c>
      <c r="I787" s="1">
        <v>0</v>
      </c>
    </row>
    <row r="788" spans="1:9" hidden="1" x14ac:dyDescent="0.25">
      <c r="A788" s="1" t="s">
        <v>158</v>
      </c>
      <c r="B788" s="1" t="s">
        <v>207</v>
      </c>
      <c r="C788" s="1" t="s">
        <v>25</v>
      </c>
      <c r="D788" s="1">
        <v>0</v>
      </c>
      <c r="E788" s="1">
        <v>0</v>
      </c>
      <c r="F788" s="1">
        <v>-535.54999999999995</v>
      </c>
      <c r="G788" s="1">
        <v>-8675.8559999999998</v>
      </c>
      <c r="H788" s="1">
        <v>1224.107</v>
      </c>
      <c r="I788" s="1">
        <v>0</v>
      </c>
    </row>
    <row r="789" spans="1:9" hidden="1" x14ac:dyDescent="0.25">
      <c r="A789" s="1" t="s">
        <v>158</v>
      </c>
      <c r="B789" s="1" t="s">
        <v>207</v>
      </c>
      <c r="C789" s="1" t="s">
        <v>10</v>
      </c>
      <c r="D789" s="1">
        <v>0</v>
      </c>
      <c r="E789" s="1">
        <v>0</v>
      </c>
      <c r="F789" s="1">
        <v>-535.54999999999995</v>
      </c>
      <c r="G789" s="1">
        <v>-8675.8559999999998</v>
      </c>
      <c r="H789" s="1">
        <v>3366.2930000000001</v>
      </c>
      <c r="I789" s="1">
        <v>0</v>
      </c>
    </row>
    <row r="790" spans="1:9" hidden="1" x14ac:dyDescent="0.25">
      <c r="A790" s="1" t="s">
        <v>158</v>
      </c>
      <c r="B790" s="1" t="s">
        <v>208</v>
      </c>
      <c r="C790" s="1" t="s">
        <v>25</v>
      </c>
      <c r="D790" s="1">
        <v>0</v>
      </c>
      <c r="E790" s="1">
        <v>0</v>
      </c>
      <c r="F790" s="1">
        <v>535.54999999999995</v>
      </c>
      <c r="G790" s="1">
        <v>10603.824000000001</v>
      </c>
      <c r="H790" s="1">
        <v>-1224.107</v>
      </c>
      <c r="I790" s="1">
        <v>0</v>
      </c>
    </row>
    <row r="791" spans="1:9" hidden="1" x14ac:dyDescent="0.25">
      <c r="A791" s="1" t="s">
        <v>158</v>
      </c>
      <c r="B791" s="1" t="s">
        <v>208</v>
      </c>
      <c r="C791" s="1" t="s">
        <v>10</v>
      </c>
      <c r="D791" s="1">
        <v>0</v>
      </c>
      <c r="E791" s="1">
        <v>0</v>
      </c>
      <c r="F791" s="1">
        <v>535.54999999999995</v>
      </c>
      <c r="G791" s="1">
        <v>10603.824000000001</v>
      </c>
      <c r="H791" s="1">
        <v>-3366.2930000000001</v>
      </c>
      <c r="I791" s="1">
        <v>0</v>
      </c>
    </row>
    <row r="792" spans="1:9" hidden="1" x14ac:dyDescent="0.25">
      <c r="A792" s="1" t="s">
        <v>158</v>
      </c>
      <c r="B792" s="1" t="s">
        <v>209</v>
      </c>
      <c r="C792" s="1" t="s">
        <v>25</v>
      </c>
      <c r="D792" s="1">
        <v>0</v>
      </c>
      <c r="E792" s="1">
        <v>0</v>
      </c>
      <c r="F792" s="1">
        <v>535.54999999999995</v>
      </c>
      <c r="G792" s="1">
        <v>8675.8559999999998</v>
      </c>
      <c r="H792" s="1">
        <v>-1224.107</v>
      </c>
      <c r="I792" s="1">
        <v>0</v>
      </c>
    </row>
    <row r="793" spans="1:9" hidden="1" x14ac:dyDescent="0.25">
      <c r="A793" s="1" t="s">
        <v>158</v>
      </c>
      <c r="B793" s="1" t="s">
        <v>209</v>
      </c>
      <c r="C793" s="1" t="s">
        <v>10</v>
      </c>
      <c r="D793" s="1">
        <v>0</v>
      </c>
      <c r="E793" s="1">
        <v>0</v>
      </c>
      <c r="F793" s="1">
        <v>535.54999999999995</v>
      </c>
      <c r="G793" s="1">
        <v>8675.8559999999998</v>
      </c>
      <c r="H793" s="1">
        <v>-3366.2930000000001</v>
      </c>
      <c r="I793" s="1">
        <v>0</v>
      </c>
    </row>
    <row r="794" spans="1:9" hidden="1" x14ac:dyDescent="0.25">
      <c r="A794" s="1" t="s">
        <v>158</v>
      </c>
      <c r="B794" s="1" t="s">
        <v>210</v>
      </c>
      <c r="C794" s="1" t="s">
        <v>25</v>
      </c>
      <c r="D794" s="1">
        <v>0</v>
      </c>
      <c r="E794" s="1">
        <v>-132.91999999999999</v>
      </c>
      <c r="F794" s="1">
        <v>0</v>
      </c>
      <c r="G794" s="1">
        <v>2193.127</v>
      </c>
      <c r="H794" s="1">
        <v>0</v>
      </c>
      <c r="I794" s="1">
        <v>-303.81</v>
      </c>
    </row>
    <row r="795" spans="1:9" hidden="1" x14ac:dyDescent="0.25">
      <c r="A795" s="1" t="s">
        <v>158</v>
      </c>
      <c r="B795" s="1" t="s">
        <v>210</v>
      </c>
      <c r="C795" s="1" t="s">
        <v>10</v>
      </c>
      <c r="D795" s="1">
        <v>0</v>
      </c>
      <c r="E795" s="1">
        <v>-132.91999999999999</v>
      </c>
      <c r="F795" s="1">
        <v>0</v>
      </c>
      <c r="G795" s="1">
        <v>2193.127</v>
      </c>
      <c r="H795" s="1">
        <v>0</v>
      </c>
      <c r="I795" s="1">
        <v>-835.47699999999998</v>
      </c>
    </row>
    <row r="796" spans="1:9" hidden="1" x14ac:dyDescent="0.25">
      <c r="A796" s="1" t="s">
        <v>158</v>
      </c>
      <c r="B796" s="1" t="s">
        <v>211</v>
      </c>
      <c r="C796" s="1" t="s">
        <v>25</v>
      </c>
      <c r="D796" s="1">
        <v>0</v>
      </c>
      <c r="E796" s="1">
        <v>-132.91999999999999</v>
      </c>
      <c r="F796" s="1">
        <v>0</v>
      </c>
      <c r="G796" s="1">
        <v>1794.376</v>
      </c>
      <c r="H796" s="1">
        <v>0</v>
      </c>
      <c r="I796" s="1">
        <v>-303.81</v>
      </c>
    </row>
    <row r="797" spans="1:9" hidden="1" x14ac:dyDescent="0.25">
      <c r="A797" s="1" t="s">
        <v>158</v>
      </c>
      <c r="B797" s="1" t="s">
        <v>211</v>
      </c>
      <c r="C797" s="1" t="s">
        <v>10</v>
      </c>
      <c r="D797" s="1">
        <v>0</v>
      </c>
      <c r="E797" s="1">
        <v>-132.91999999999999</v>
      </c>
      <c r="F797" s="1">
        <v>0</v>
      </c>
      <c r="G797" s="1">
        <v>1794.376</v>
      </c>
      <c r="H797" s="1">
        <v>0</v>
      </c>
      <c r="I797" s="1">
        <v>-835.47699999999998</v>
      </c>
    </row>
    <row r="798" spans="1:9" hidden="1" x14ac:dyDescent="0.25">
      <c r="A798" s="1" t="s">
        <v>158</v>
      </c>
      <c r="B798" s="1" t="s">
        <v>212</v>
      </c>
      <c r="C798" s="1" t="s">
        <v>25</v>
      </c>
      <c r="D798" s="1">
        <v>0</v>
      </c>
      <c r="E798" s="1">
        <v>132.91999999999999</v>
      </c>
      <c r="F798" s="1">
        <v>0</v>
      </c>
      <c r="G798" s="1">
        <v>-2193.127</v>
      </c>
      <c r="H798" s="1">
        <v>0</v>
      </c>
      <c r="I798" s="1">
        <v>303.81</v>
      </c>
    </row>
    <row r="799" spans="1:9" hidden="1" x14ac:dyDescent="0.25">
      <c r="A799" s="1" t="s">
        <v>158</v>
      </c>
      <c r="B799" s="1" t="s">
        <v>212</v>
      </c>
      <c r="C799" s="1" t="s">
        <v>10</v>
      </c>
      <c r="D799" s="1">
        <v>0</v>
      </c>
      <c r="E799" s="1">
        <v>132.91999999999999</v>
      </c>
      <c r="F799" s="1">
        <v>0</v>
      </c>
      <c r="G799" s="1">
        <v>-2193.127</v>
      </c>
      <c r="H799" s="1">
        <v>0</v>
      </c>
      <c r="I799" s="1">
        <v>835.47699999999998</v>
      </c>
    </row>
    <row r="800" spans="1:9" hidden="1" x14ac:dyDescent="0.25">
      <c r="A800" s="1" t="s">
        <v>158</v>
      </c>
      <c r="B800" s="1" t="s">
        <v>213</v>
      </c>
      <c r="C800" s="1" t="s">
        <v>25</v>
      </c>
      <c r="D800" s="1">
        <v>0</v>
      </c>
      <c r="E800" s="1">
        <v>132.91999999999999</v>
      </c>
      <c r="F800" s="1">
        <v>0</v>
      </c>
      <c r="G800" s="1">
        <v>-1794.376</v>
      </c>
      <c r="H800" s="1">
        <v>0</v>
      </c>
      <c r="I800" s="1">
        <v>303.81</v>
      </c>
    </row>
    <row r="801" spans="1:9" hidden="1" x14ac:dyDescent="0.25">
      <c r="A801" s="1" t="s">
        <v>158</v>
      </c>
      <c r="B801" s="1" t="s">
        <v>213</v>
      </c>
      <c r="C801" s="1" t="s">
        <v>10</v>
      </c>
      <c r="D801" s="1">
        <v>0</v>
      </c>
      <c r="E801" s="1">
        <v>132.91999999999999</v>
      </c>
      <c r="F801" s="1">
        <v>0</v>
      </c>
      <c r="G801" s="1">
        <v>-1794.376</v>
      </c>
      <c r="H801" s="1">
        <v>0</v>
      </c>
      <c r="I801" s="1">
        <v>835.47699999999998</v>
      </c>
    </row>
    <row r="802" spans="1:9" hidden="1" x14ac:dyDescent="0.25">
      <c r="A802" s="1" t="s">
        <v>158</v>
      </c>
      <c r="B802" s="1" t="s">
        <v>214</v>
      </c>
      <c r="C802" s="1" t="s">
        <v>25</v>
      </c>
      <c r="D802" s="1">
        <v>0</v>
      </c>
      <c r="E802" s="1">
        <v>0</v>
      </c>
      <c r="F802" s="1">
        <v>-160.66</v>
      </c>
      <c r="G802" s="1">
        <v>-3181.1469999999999</v>
      </c>
      <c r="H802" s="1">
        <v>367.23200000000003</v>
      </c>
      <c r="I802" s="1">
        <v>0</v>
      </c>
    </row>
    <row r="803" spans="1:9" hidden="1" x14ac:dyDescent="0.25">
      <c r="A803" s="1" t="s">
        <v>158</v>
      </c>
      <c r="B803" s="1" t="s">
        <v>214</v>
      </c>
      <c r="C803" s="1" t="s">
        <v>10</v>
      </c>
      <c r="D803" s="1">
        <v>0</v>
      </c>
      <c r="E803" s="1">
        <v>0</v>
      </c>
      <c r="F803" s="1">
        <v>-160.66</v>
      </c>
      <c r="G803" s="1">
        <v>-3181.1469999999999</v>
      </c>
      <c r="H803" s="1">
        <v>1009.888</v>
      </c>
      <c r="I803" s="1">
        <v>0</v>
      </c>
    </row>
    <row r="804" spans="1:9" hidden="1" x14ac:dyDescent="0.25">
      <c r="A804" s="1" t="s">
        <v>158</v>
      </c>
      <c r="B804" s="1" t="s">
        <v>215</v>
      </c>
      <c r="C804" s="1" t="s">
        <v>25</v>
      </c>
      <c r="D804" s="1">
        <v>0</v>
      </c>
      <c r="E804" s="1">
        <v>0</v>
      </c>
      <c r="F804" s="1">
        <v>-160.66</v>
      </c>
      <c r="G804" s="1">
        <v>-2602.7570000000001</v>
      </c>
      <c r="H804" s="1">
        <v>367.23200000000003</v>
      </c>
      <c r="I804" s="1">
        <v>0</v>
      </c>
    </row>
    <row r="805" spans="1:9" hidden="1" x14ac:dyDescent="0.25">
      <c r="A805" s="1" t="s">
        <v>158</v>
      </c>
      <c r="B805" s="1" t="s">
        <v>215</v>
      </c>
      <c r="C805" s="1" t="s">
        <v>10</v>
      </c>
      <c r="D805" s="1">
        <v>0</v>
      </c>
      <c r="E805" s="1">
        <v>0</v>
      </c>
      <c r="F805" s="1">
        <v>-160.66</v>
      </c>
      <c r="G805" s="1">
        <v>-2602.7570000000001</v>
      </c>
      <c r="H805" s="1">
        <v>1009.888</v>
      </c>
      <c r="I805" s="1">
        <v>0</v>
      </c>
    </row>
    <row r="806" spans="1:9" hidden="1" x14ac:dyDescent="0.25">
      <c r="A806" s="1" t="s">
        <v>158</v>
      </c>
      <c r="B806" s="1" t="s">
        <v>216</v>
      </c>
      <c r="C806" s="1" t="s">
        <v>25</v>
      </c>
      <c r="D806" s="1">
        <v>0</v>
      </c>
      <c r="E806" s="1">
        <v>0</v>
      </c>
      <c r="F806" s="1">
        <v>160.66</v>
      </c>
      <c r="G806" s="1">
        <v>3181.1469999999999</v>
      </c>
      <c r="H806" s="1">
        <v>-367.23200000000003</v>
      </c>
      <c r="I806" s="1">
        <v>0</v>
      </c>
    </row>
    <row r="807" spans="1:9" hidden="1" x14ac:dyDescent="0.25">
      <c r="A807" s="1" t="s">
        <v>158</v>
      </c>
      <c r="B807" s="1" t="s">
        <v>216</v>
      </c>
      <c r="C807" s="1" t="s">
        <v>10</v>
      </c>
      <c r="D807" s="1">
        <v>0</v>
      </c>
      <c r="E807" s="1">
        <v>0</v>
      </c>
      <c r="F807" s="1">
        <v>160.66</v>
      </c>
      <c r="G807" s="1">
        <v>3181.1469999999999</v>
      </c>
      <c r="H807" s="1">
        <v>-1009.888</v>
      </c>
      <c r="I807" s="1">
        <v>0</v>
      </c>
    </row>
    <row r="808" spans="1:9" hidden="1" x14ac:dyDescent="0.25">
      <c r="A808" s="1" t="s">
        <v>158</v>
      </c>
      <c r="B808" s="1" t="s">
        <v>217</v>
      </c>
      <c r="C808" s="1" t="s">
        <v>25</v>
      </c>
      <c r="D808" s="1">
        <v>0</v>
      </c>
      <c r="E808" s="1">
        <v>0</v>
      </c>
      <c r="F808" s="1">
        <v>160.66</v>
      </c>
      <c r="G808" s="1">
        <v>2602.7570000000001</v>
      </c>
      <c r="H808" s="1">
        <v>-367.23200000000003</v>
      </c>
      <c r="I808" s="1">
        <v>0</v>
      </c>
    </row>
    <row r="809" spans="1:9" hidden="1" x14ac:dyDescent="0.25">
      <c r="A809" s="1" t="s">
        <v>158</v>
      </c>
      <c r="B809" s="1" t="s">
        <v>217</v>
      </c>
      <c r="C809" s="1" t="s">
        <v>10</v>
      </c>
      <c r="D809" s="1">
        <v>0</v>
      </c>
      <c r="E809" s="1">
        <v>0</v>
      </c>
      <c r="F809" s="1">
        <v>160.66</v>
      </c>
      <c r="G809" s="1">
        <v>2602.7570000000001</v>
      </c>
      <c r="H809" s="1">
        <v>-1009.888</v>
      </c>
      <c r="I809" s="1">
        <v>0</v>
      </c>
    </row>
    <row r="810" spans="1:9" hidden="1" x14ac:dyDescent="0.25">
      <c r="A810" s="1" t="s">
        <v>158</v>
      </c>
      <c r="B810" s="1" t="s">
        <v>218</v>
      </c>
      <c r="C810" s="1" t="s">
        <v>25</v>
      </c>
      <c r="D810" s="1">
        <v>0</v>
      </c>
      <c r="E810" s="1">
        <v>-132.91999999999999</v>
      </c>
      <c r="F810" s="1">
        <v>0</v>
      </c>
      <c r="G810" s="1">
        <v>2193.127</v>
      </c>
      <c r="H810" s="1">
        <v>0</v>
      </c>
      <c r="I810" s="1">
        <v>-303.81</v>
      </c>
    </row>
    <row r="811" spans="1:9" hidden="1" x14ac:dyDescent="0.25">
      <c r="A811" s="1" t="s">
        <v>158</v>
      </c>
      <c r="B811" s="1" t="s">
        <v>218</v>
      </c>
      <c r="C811" s="1" t="s">
        <v>10</v>
      </c>
      <c r="D811" s="1">
        <v>0</v>
      </c>
      <c r="E811" s="1">
        <v>-132.91999999999999</v>
      </c>
      <c r="F811" s="1">
        <v>0</v>
      </c>
      <c r="G811" s="1">
        <v>2193.127</v>
      </c>
      <c r="H811" s="1">
        <v>0</v>
      </c>
      <c r="I811" s="1">
        <v>-835.47699999999998</v>
      </c>
    </row>
    <row r="812" spans="1:9" hidden="1" x14ac:dyDescent="0.25">
      <c r="A812" s="1" t="s">
        <v>158</v>
      </c>
      <c r="B812" s="1" t="s">
        <v>219</v>
      </c>
      <c r="C812" s="1" t="s">
        <v>25</v>
      </c>
      <c r="D812" s="1">
        <v>0</v>
      </c>
      <c r="E812" s="1">
        <v>-132.91999999999999</v>
      </c>
      <c r="F812" s="1">
        <v>0</v>
      </c>
      <c r="G812" s="1">
        <v>1794.376</v>
      </c>
      <c r="H812" s="1">
        <v>0</v>
      </c>
      <c r="I812" s="1">
        <v>-303.81</v>
      </c>
    </row>
    <row r="813" spans="1:9" hidden="1" x14ac:dyDescent="0.25">
      <c r="A813" s="1" t="s">
        <v>158</v>
      </c>
      <c r="B813" s="1" t="s">
        <v>219</v>
      </c>
      <c r="C813" s="1" t="s">
        <v>10</v>
      </c>
      <c r="D813" s="1">
        <v>0</v>
      </c>
      <c r="E813" s="1">
        <v>-132.91999999999999</v>
      </c>
      <c r="F813" s="1">
        <v>0</v>
      </c>
      <c r="G813" s="1">
        <v>1794.376</v>
      </c>
      <c r="H813" s="1">
        <v>0</v>
      </c>
      <c r="I813" s="1">
        <v>-835.47699999999998</v>
      </c>
    </row>
    <row r="814" spans="1:9" hidden="1" x14ac:dyDescent="0.25">
      <c r="A814" s="1" t="s">
        <v>158</v>
      </c>
      <c r="B814" s="1" t="s">
        <v>220</v>
      </c>
      <c r="C814" s="1" t="s">
        <v>25</v>
      </c>
      <c r="D814" s="1">
        <v>0</v>
      </c>
      <c r="E814" s="1">
        <v>132.91999999999999</v>
      </c>
      <c r="F814" s="1">
        <v>0</v>
      </c>
      <c r="G814" s="1">
        <v>-2193.127</v>
      </c>
      <c r="H814" s="1">
        <v>0</v>
      </c>
      <c r="I814" s="1">
        <v>303.81</v>
      </c>
    </row>
    <row r="815" spans="1:9" hidden="1" x14ac:dyDescent="0.25">
      <c r="A815" s="1" t="s">
        <v>158</v>
      </c>
      <c r="B815" s="1" t="s">
        <v>220</v>
      </c>
      <c r="C815" s="1" t="s">
        <v>10</v>
      </c>
      <c r="D815" s="1">
        <v>0</v>
      </c>
      <c r="E815" s="1">
        <v>132.91999999999999</v>
      </c>
      <c r="F815" s="1">
        <v>0</v>
      </c>
      <c r="G815" s="1">
        <v>-2193.127</v>
      </c>
      <c r="H815" s="1">
        <v>0</v>
      </c>
      <c r="I815" s="1">
        <v>835.47699999999998</v>
      </c>
    </row>
    <row r="816" spans="1:9" hidden="1" x14ac:dyDescent="0.25">
      <c r="A816" s="1" t="s">
        <v>158</v>
      </c>
      <c r="B816" s="1" t="s">
        <v>221</v>
      </c>
      <c r="C816" s="1" t="s">
        <v>25</v>
      </c>
      <c r="D816" s="1">
        <v>0</v>
      </c>
      <c r="E816" s="1">
        <v>132.91999999999999</v>
      </c>
      <c r="F816" s="1">
        <v>0</v>
      </c>
      <c r="G816" s="1">
        <v>-1794.376</v>
      </c>
      <c r="H816" s="1">
        <v>0</v>
      </c>
      <c r="I816" s="1">
        <v>303.81</v>
      </c>
    </row>
    <row r="817" spans="1:9" hidden="1" x14ac:dyDescent="0.25">
      <c r="A817" s="1" t="s">
        <v>158</v>
      </c>
      <c r="B817" s="1" t="s">
        <v>221</v>
      </c>
      <c r="C817" s="1" t="s">
        <v>10</v>
      </c>
      <c r="D817" s="1">
        <v>0</v>
      </c>
      <c r="E817" s="1">
        <v>132.91999999999999</v>
      </c>
      <c r="F817" s="1">
        <v>0</v>
      </c>
      <c r="G817" s="1">
        <v>-1794.376</v>
      </c>
      <c r="H817" s="1">
        <v>0</v>
      </c>
      <c r="I817" s="1">
        <v>835.47699999999998</v>
      </c>
    </row>
    <row r="818" spans="1:9" hidden="1" x14ac:dyDescent="0.25">
      <c r="A818" s="1" t="s">
        <v>158</v>
      </c>
      <c r="B818" s="1" t="s">
        <v>222</v>
      </c>
      <c r="C818" s="1" t="s">
        <v>25</v>
      </c>
      <c r="D818" s="1">
        <v>0</v>
      </c>
      <c r="E818" s="1">
        <v>0</v>
      </c>
      <c r="F818" s="1">
        <v>-160.66</v>
      </c>
      <c r="G818" s="1">
        <v>-3181.1469999999999</v>
      </c>
      <c r="H818" s="1">
        <v>367.23200000000003</v>
      </c>
      <c r="I818" s="1">
        <v>0</v>
      </c>
    </row>
    <row r="819" spans="1:9" hidden="1" x14ac:dyDescent="0.25">
      <c r="A819" s="1" t="s">
        <v>158</v>
      </c>
      <c r="B819" s="1" t="s">
        <v>222</v>
      </c>
      <c r="C819" s="1" t="s">
        <v>10</v>
      </c>
      <c r="D819" s="1">
        <v>0</v>
      </c>
      <c r="E819" s="1">
        <v>0</v>
      </c>
      <c r="F819" s="1">
        <v>-160.66</v>
      </c>
      <c r="G819" s="1">
        <v>-3181.1469999999999</v>
      </c>
      <c r="H819" s="1">
        <v>1009.888</v>
      </c>
      <c r="I819" s="1">
        <v>0</v>
      </c>
    </row>
    <row r="820" spans="1:9" hidden="1" x14ac:dyDescent="0.25">
      <c r="A820" s="1" t="s">
        <v>158</v>
      </c>
      <c r="B820" s="1" t="s">
        <v>223</v>
      </c>
      <c r="C820" s="1" t="s">
        <v>25</v>
      </c>
      <c r="D820" s="1">
        <v>0</v>
      </c>
      <c r="E820" s="1">
        <v>0</v>
      </c>
      <c r="F820" s="1">
        <v>-160.66</v>
      </c>
      <c r="G820" s="1">
        <v>-2602.7570000000001</v>
      </c>
      <c r="H820" s="1">
        <v>367.23200000000003</v>
      </c>
      <c r="I820" s="1">
        <v>0</v>
      </c>
    </row>
    <row r="821" spans="1:9" hidden="1" x14ac:dyDescent="0.25">
      <c r="A821" s="1" t="s">
        <v>158</v>
      </c>
      <c r="B821" s="1" t="s">
        <v>223</v>
      </c>
      <c r="C821" s="1" t="s">
        <v>10</v>
      </c>
      <c r="D821" s="1">
        <v>0</v>
      </c>
      <c r="E821" s="1">
        <v>0</v>
      </c>
      <c r="F821" s="1">
        <v>-160.66</v>
      </c>
      <c r="G821" s="1">
        <v>-2602.7570000000001</v>
      </c>
      <c r="H821" s="1">
        <v>1009.888</v>
      </c>
      <c r="I821" s="1">
        <v>0</v>
      </c>
    </row>
    <row r="822" spans="1:9" hidden="1" x14ac:dyDescent="0.25">
      <c r="A822" s="1" t="s">
        <v>158</v>
      </c>
      <c r="B822" s="1" t="s">
        <v>224</v>
      </c>
      <c r="C822" s="1" t="s">
        <v>25</v>
      </c>
      <c r="D822" s="1">
        <v>0</v>
      </c>
      <c r="E822" s="1">
        <v>0</v>
      </c>
      <c r="F822" s="1">
        <v>160.66</v>
      </c>
      <c r="G822" s="1">
        <v>3181.1469999999999</v>
      </c>
      <c r="H822" s="1">
        <v>-367.23200000000003</v>
      </c>
      <c r="I822" s="1">
        <v>0</v>
      </c>
    </row>
    <row r="823" spans="1:9" hidden="1" x14ac:dyDescent="0.25">
      <c r="A823" s="1" t="s">
        <v>158</v>
      </c>
      <c r="B823" s="1" t="s">
        <v>224</v>
      </c>
      <c r="C823" s="1" t="s">
        <v>10</v>
      </c>
      <c r="D823" s="1">
        <v>0</v>
      </c>
      <c r="E823" s="1">
        <v>0</v>
      </c>
      <c r="F823" s="1">
        <v>160.66</v>
      </c>
      <c r="G823" s="1">
        <v>3181.1469999999999</v>
      </c>
      <c r="H823" s="1">
        <v>-1009.888</v>
      </c>
      <c r="I823" s="1">
        <v>0</v>
      </c>
    </row>
    <row r="824" spans="1:9" hidden="1" x14ac:dyDescent="0.25">
      <c r="A824" s="1" t="s">
        <v>158</v>
      </c>
      <c r="B824" s="1" t="s">
        <v>225</v>
      </c>
      <c r="C824" s="1" t="s">
        <v>25</v>
      </c>
      <c r="D824" s="1">
        <v>0</v>
      </c>
      <c r="E824" s="1">
        <v>0</v>
      </c>
      <c r="F824" s="1">
        <v>160.66</v>
      </c>
      <c r="G824" s="1">
        <v>2602.7570000000001</v>
      </c>
      <c r="H824" s="1">
        <v>-367.23200000000003</v>
      </c>
      <c r="I824" s="1">
        <v>0</v>
      </c>
    </row>
    <row r="825" spans="1:9" hidden="1" x14ac:dyDescent="0.25">
      <c r="A825" s="1" t="s">
        <v>158</v>
      </c>
      <c r="B825" s="1" t="s">
        <v>225</v>
      </c>
      <c r="C825" s="1" t="s">
        <v>10</v>
      </c>
      <c r="D825" s="1">
        <v>0</v>
      </c>
      <c r="E825" s="1">
        <v>0</v>
      </c>
      <c r="F825" s="1">
        <v>160.66</v>
      </c>
      <c r="G825" s="1">
        <v>2602.7570000000001</v>
      </c>
      <c r="H825" s="1">
        <v>-1009.888</v>
      </c>
      <c r="I825" s="1">
        <v>0</v>
      </c>
    </row>
    <row r="826" spans="1:9" hidden="1" x14ac:dyDescent="0.25">
      <c r="A826" s="1" t="s">
        <v>158</v>
      </c>
      <c r="B826" s="1" t="s">
        <v>327</v>
      </c>
      <c r="C826" s="1" t="s">
        <v>25</v>
      </c>
      <c r="D826" s="1">
        <v>0</v>
      </c>
      <c r="E826" s="1">
        <v>0</v>
      </c>
      <c r="F826" s="1">
        <v>0</v>
      </c>
      <c r="G826" s="1">
        <v>0</v>
      </c>
      <c r="H826" s="1">
        <v>0</v>
      </c>
      <c r="I826" s="1">
        <v>0</v>
      </c>
    </row>
    <row r="827" spans="1:9" hidden="1" x14ac:dyDescent="0.25">
      <c r="A827" s="1" t="s">
        <v>158</v>
      </c>
      <c r="B827" s="1" t="s">
        <v>327</v>
      </c>
      <c r="C827" s="1" t="s">
        <v>10</v>
      </c>
      <c r="D827" s="1">
        <v>0</v>
      </c>
      <c r="E827" s="1">
        <v>0</v>
      </c>
      <c r="F827" s="1">
        <v>0</v>
      </c>
      <c r="G827" s="1">
        <v>0</v>
      </c>
      <c r="H827" s="1">
        <v>0</v>
      </c>
      <c r="I827" s="1">
        <v>0</v>
      </c>
    </row>
    <row r="828" spans="1:9" hidden="1" x14ac:dyDescent="0.25">
      <c r="A828" s="1" t="s">
        <v>158</v>
      </c>
      <c r="B828" s="1" t="s">
        <v>328</v>
      </c>
      <c r="C828" s="1" t="s">
        <v>25</v>
      </c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</row>
    <row r="829" spans="1:9" hidden="1" x14ac:dyDescent="0.25">
      <c r="A829" s="1" t="s">
        <v>158</v>
      </c>
      <c r="B829" s="1" t="s">
        <v>328</v>
      </c>
      <c r="C829" s="1" t="s">
        <v>10</v>
      </c>
      <c r="D829" s="1">
        <v>0</v>
      </c>
      <c r="E829" s="1">
        <v>0</v>
      </c>
      <c r="F829" s="1">
        <v>0</v>
      </c>
      <c r="G829" s="1">
        <v>0</v>
      </c>
      <c r="H829" s="1">
        <v>0</v>
      </c>
      <c r="I829" s="1">
        <v>0</v>
      </c>
    </row>
    <row r="830" spans="1:9" hidden="1" x14ac:dyDescent="0.25">
      <c r="A830" s="1" t="s">
        <v>24</v>
      </c>
      <c r="B830" s="1" t="s">
        <v>9</v>
      </c>
      <c r="C830" s="1" t="s">
        <v>25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</row>
    <row r="831" spans="1:9" hidden="1" x14ac:dyDescent="0.25">
      <c r="A831" s="1" t="s">
        <v>24</v>
      </c>
      <c r="B831" s="1" t="s">
        <v>9</v>
      </c>
      <c r="C831" s="1" t="s">
        <v>10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</row>
    <row r="832" spans="1:9" hidden="1" x14ac:dyDescent="0.25">
      <c r="A832" s="1" t="s">
        <v>24</v>
      </c>
      <c r="B832" s="1" t="s">
        <v>26</v>
      </c>
      <c r="C832" s="1" t="s">
        <v>25</v>
      </c>
      <c r="D832" s="1">
        <v>0</v>
      </c>
      <c r="E832" s="1">
        <v>0</v>
      </c>
      <c r="F832" s="1">
        <v>0</v>
      </c>
      <c r="G832" s="1">
        <v>0</v>
      </c>
      <c r="H832" s="1">
        <v>0</v>
      </c>
      <c r="I832" s="1">
        <v>0</v>
      </c>
    </row>
    <row r="833" spans="1:9" hidden="1" x14ac:dyDescent="0.25">
      <c r="A833" s="1" t="s">
        <v>24</v>
      </c>
      <c r="B833" s="1" t="s">
        <v>26</v>
      </c>
      <c r="C833" s="1" t="s">
        <v>10</v>
      </c>
      <c r="D833" s="1">
        <v>0</v>
      </c>
      <c r="E833" s="1">
        <v>0</v>
      </c>
      <c r="F833" s="1">
        <v>0</v>
      </c>
      <c r="G833" s="1">
        <v>0</v>
      </c>
      <c r="H833" s="1">
        <v>0</v>
      </c>
      <c r="I833" s="1">
        <v>0</v>
      </c>
    </row>
    <row r="834" spans="1:9" hidden="1" x14ac:dyDescent="0.25">
      <c r="A834" s="1" t="s">
        <v>24</v>
      </c>
      <c r="B834" s="1" t="s">
        <v>20</v>
      </c>
      <c r="C834" s="1" t="s">
        <v>25</v>
      </c>
      <c r="D834" s="1">
        <v>0</v>
      </c>
      <c r="E834" s="1">
        <v>-406.89</v>
      </c>
      <c r="F834" s="1">
        <v>0</v>
      </c>
      <c r="G834" s="1">
        <v>6713.6530000000002</v>
      </c>
      <c r="H834" s="1">
        <v>0</v>
      </c>
      <c r="I834" s="1">
        <v>-1989.231</v>
      </c>
    </row>
    <row r="835" spans="1:9" hidden="1" x14ac:dyDescent="0.25">
      <c r="A835" s="1" t="s">
        <v>24</v>
      </c>
      <c r="B835" s="1" t="s">
        <v>20</v>
      </c>
      <c r="C835" s="1" t="s">
        <v>10</v>
      </c>
      <c r="D835" s="1">
        <v>0</v>
      </c>
      <c r="E835" s="1">
        <v>-406.89</v>
      </c>
      <c r="F835" s="1">
        <v>0</v>
      </c>
      <c r="G835" s="1">
        <v>6713.6530000000002</v>
      </c>
      <c r="H835" s="1">
        <v>0</v>
      </c>
      <c r="I835" s="1">
        <v>-3616.7829999999999</v>
      </c>
    </row>
    <row r="836" spans="1:9" hidden="1" x14ac:dyDescent="0.25">
      <c r="A836" s="1" t="s">
        <v>24</v>
      </c>
      <c r="B836" s="1" t="s">
        <v>21</v>
      </c>
      <c r="C836" s="1" t="s">
        <v>25</v>
      </c>
      <c r="D836" s="1">
        <v>0</v>
      </c>
      <c r="E836" s="1">
        <v>-406.89</v>
      </c>
      <c r="F836" s="1">
        <v>0</v>
      </c>
      <c r="G836" s="1">
        <v>5492.9889999999996</v>
      </c>
      <c r="H836" s="1">
        <v>0</v>
      </c>
      <c r="I836" s="1">
        <v>-1989.231</v>
      </c>
    </row>
    <row r="837" spans="1:9" hidden="1" x14ac:dyDescent="0.25">
      <c r="A837" s="1" t="s">
        <v>24</v>
      </c>
      <c r="B837" s="1" t="s">
        <v>21</v>
      </c>
      <c r="C837" s="1" t="s">
        <v>10</v>
      </c>
      <c r="D837" s="1">
        <v>0</v>
      </c>
      <c r="E837" s="1">
        <v>-406.89</v>
      </c>
      <c r="F837" s="1">
        <v>0</v>
      </c>
      <c r="G837" s="1">
        <v>5492.9889999999996</v>
      </c>
      <c r="H837" s="1">
        <v>0</v>
      </c>
      <c r="I837" s="1">
        <v>-3616.7829999999999</v>
      </c>
    </row>
    <row r="838" spans="1:9" hidden="1" x14ac:dyDescent="0.25">
      <c r="A838" s="1" t="s">
        <v>24</v>
      </c>
      <c r="B838" s="1" t="s">
        <v>22</v>
      </c>
      <c r="C838" s="1" t="s">
        <v>25</v>
      </c>
      <c r="D838" s="1">
        <v>0</v>
      </c>
      <c r="E838" s="1">
        <v>0</v>
      </c>
      <c r="F838" s="1">
        <v>-491.83</v>
      </c>
      <c r="G838" s="1">
        <v>-9738.2049999999999</v>
      </c>
      <c r="H838" s="1">
        <v>2404.4949999999999</v>
      </c>
      <c r="I838" s="1">
        <v>0</v>
      </c>
    </row>
    <row r="839" spans="1:9" hidden="1" x14ac:dyDescent="0.25">
      <c r="A839" s="1" t="s">
        <v>24</v>
      </c>
      <c r="B839" s="1" t="s">
        <v>22</v>
      </c>
      <c r="C839" s="1" t="s">
        <v>10</v>
      </c>
      <c r="D839" s="1">
        <v>0</v>
      </c>
      <c r="E839" s="1">
        <v>0</v>
      </c>
      <c r="F839" s="1">
        <v>-491.83</v>
      </c>
      <c r="G839" s="1">
        <v>-9738.2049999999999</v>
      </c>
      <c r="H839" s="1">
        <v>4371.8090000000002</v>
      </c>
      <c r="I839" s="1">
        <v>0</v>
      </c>
    </row>
    <row r="840" spans="1:9" hidden="1" x14ac:dyDescent="0.25">
      <c r="A840" s="1" t="s">
        <v>24</v>
      </c>
      <c r="B840" s="1" t="s">
        <v>23</v>
      </c>
      <c r="C840" s="1" t="s">
        <v>25</v>
      </c>
      <c r="D840" s="1">
        <v>0</v>
      </c>
      <c r="E840" s="1">
        <v>0</v>
      </c>
      <c r="F840" s="1">
        <v>-491.83</v>
      </c>
      <c r="G840" s="1">
        <v>-7967.6229999999996</v>
      </c>
      <c r="H840" s="1">
        <v>2404.4949999999999</v>
      </c>
      <c r="I840" s="1">
        <v>0</v>
      </c>
    </row>
    <row r="841" spans="1:9" hidden="1" x14ac:dyDescent="0.25">
      <c r="A841" s="1" t="s">
        <v>24</v>
      </c>
      <c r="B841" s="1" t="s">
        <v>23</v>
      </c>
      <c r="C841" s="1" t="s">
        <v>10</v>
      </c>
      <c r="D841" s="1">
        <v>0</v>
      </c>
      <c r="E841" s="1">
        <v>0</v>
      </c>
      <c r="F841" s="1">
        <v>-491.83</v>
      </c>
      <c r="G841" s="1">
        <v>-7967.6229999999996</v>
      </c>
      <c r="H841" s="1">
        <v>4371.8090000000002</v>
      </c>
      <c r="I841" s="1">
        <v>0</v>
      </c>
    </row>
    <row r="842" spans="1:9" hidden="1" x14ac:dyDescent="0.25">
      <c r="A842" s="1" t="s">
        <v>24</v>
      </c>
      <c r="B842" s="1" t="s">
        <v>321</v>
      </c>
      <c r="C842" s="1" t="s">
        <v>25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24</v>
      </c>
      <c r="B843" s="1" t="s">
        <v>321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24</v>
      </c>
      <c r="B844" s="1" t="s">
        <v>322</v>
      </c>
      <c r="C844" s="1" t="s">
        <v>25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24</v>
      </c>
      <c r="B845" s="1" t="s">
        <v>322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24</v>
      </c>
      <c r="B846" s="1" t="s">
        <v>323</v>
      </c>
      <c r="C846" s="1" t="s">
        <v>25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24</v>
      </c>
      <c r="B847" s="1" t="s">
        <v>323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24</v>
      </c>
      <c r="B848" s="1" t="s">
        <v>324</v>
      </c>
      <c r="C848" s="1" t="s">
        <v>25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24</v>
      </c>
      <c r="B849" s="1" t="s">
        <v>324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24</v>
      </c>
      <c r="B850" s="1" t="s">
        <v>325</v>
      </c>
      <c r="C850" s="1" t="s">
        <v>25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24</v>
      </c>
      <c r="B851" s="1" t="s">
        <v>325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24</v>
      </c>
      <c r="B852" s="1" t="s">
        <v>326</v>
      </c>
      <c r="C852" s="1" t="s">
        <v>25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24</v>
      </c>
      <c r="B853" s="1" t="s">
        <v>326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24</v>
      </c>
      <c r="B854" s="1" t="s">
        <v>27</v>
      </c>
      <c r="C854" s="1" t="s">
        <v>25</v>
      </c>
      <c r="D854" s="1">
        <v>0</v>
      </c>
      <c r="E854" s="1">
        <v>0</v>
      </c>
      <c r="F854" s="1">
        <v>0</v>
      </c>
      <c r="G854" s="1">
        <v>0</v>
      </c>
      <c r="H854" s="1">
        <v>0</v>
      </c>
      <c r="I854" s="1">
        <v>0</v>
      </c>
    </row>
    <row r="855" spans="1:9" hidden="1" x14ac:dyDescent="0.25">
      <c r="A855" s="1" t="s">
        <v>24</v>
      </c>
      <c r="B855" s="1" t="s">
        <v>27</v>
      </c>
      <c r="C855" s="1" t="s">
        <v>10</v>
      </c>
      <c r="D855" s="1">
        <v>0</v>
      </c>
      <c r="E855" s="1">
        <v>0</v>
      </c>
      <c r="F855" s="1">
        <v>0</v>
      </c>
      <c r="G855" s="1">
        <v>0</v>
      </c>
      <c r="H855" s="1">
        <v>0</v>
      </c>
      <c r="I855" s="1">
        <v>0</v>
      </c>
    </row>
    <row r="856" spans="1:9" hidden="1" x14ac:dyDescent="0.25">
      <c r="A856" s="1" t="s">
        <v>24</v>
      </c>
      <c r="B856" s="1" t="s">
        <v>28</v>
      </c>
      <c r="C856" s="1" t="s">
        <v>25</v>
      </c>
      <c r="D856" s="1">
        <v>0</v>
      </c>
      <c r="E856" s="1">
        <v>0</v>
      </c>
      <c r="F856" s="1">
        <v>0</v>
      </c>
      <c r="G856" s="1">
        <v>0</v>
      </c>
      <c r="H856" s="1">
        <v>0</v>
      </c>
      <c r="I856" s="1">
        <v>0</v>
      </c>
    </row>
    <row r="857" spans="1:9" hidden="1" x14ac:dyDescent="0.25">
      <c r="A857" s="1" t="s">
        <v>24</v>
      </c>
      <c r="B857" s="1" t="s">
        <v>28</v>
      </c>
      <c r="C857" s="1" t="s">
        <v>10</v>
      </c>
      <c r="D857" s="1">
        <v>0</v>
      </c>
      <c r="E857" s="1">
        <v>0</v>
      </c>
      <c r="F857" s="1">
        <v>0</v>
      </c>
      <c r="G857" s="1">
        <v>0</v>
      </c>
      <c r="H857" s="1">
        <v>0</v>
      </c>
      <c r="I857" s="1">
        <v>0</v>
      </c>
    </row>
    <row r="858" spans="1:9" hidden="1" x14ac:dyDescent="0.25">
      <c r="A858" s="1" t="s">
        <v>24</v>
      </c>
      <c r="B858" s="1" t="s">
        <v>29</v>
      </c>
      <c r="C858" s="1" t="s">
        <v>25</v>
      </c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</row>
    <row r="859" spans="1:9" hidden="1" x14ac:dyDescent="0.25">
      <c r="A859" s="1" t="s">
        <v>24</v>
      </c>
      <c r="B859" s="1" t="s">
        <v>29</v>
      </c>
      <c r="C859" s="1" t="s">
        <v>10</v>
      </c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</row>
    <row r="860" spans="1:9" hidden="1" x14ac:dyDescent="0.25">
      <c r="A860" s="1" t="s">
        <v>24</v>
      </c>
      <c r="B860" s="1" t="s">
        <v>30</v>
      </c>
      <c r="C860" s="1" t="s">
        <v>25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24</v>
      </c>
      <c r="B861" s="1" t="s">
        <v>30</v>
      </c>
      <c r="C861" s="1" t="s">
        <v>10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24</v>
      </c>
      <c r="B862" s="1" t="s">
        <v>11</v>
      </c>
      <c r="C862" s="1" t="s">
        <v>25</v>
      </c>
      <c r="D862" s="1">
        <v>0</v>
      </c>
      <c r="E862" s="1">
        <v>191.7</v>
      </c>
      <c r="F862" s="1">
        <v>0</v>
      </c>
      <c r="G862" s="1">
        <v>3312.6089999999999</v>
      </c>
      <c r="H862" s="1">
        <v>0</v>
      </c>
      <c r="I862" s="1">
        <v>1018.086</v>
      </c>
    </row>
    <row r="863" spans="1:9" hidden="1" x14ac:dyDescent="0.25">
      <c r="A863" s="1" t="s">
        <v>24</v>
      </c>
      <c r="B863" s="1" t="s">
        <v>11</v>
      </c>
      <c r="C863" s="1" t="s">
        <v>10</v>
      </c>
      <c r="D863" s="1">
        <v>0</v>
      </c>
      <c r="E863" s="1">
        <v>191.7</v>
      </c>
      <c r="F863" s="1">
        <v>0</v>
      </c>
      <c r="G863" s="1">
        <v>3312.6089999999999</v>
      </c>
      <c r="H863" s="1">
        <v>0</v>
      </c>
      <c r="I863" s="1">
        <v>1689.4649999999999</v>
      </c>
    </row>
    <row r="864" spans="1:9" hidden="1" x14ac:dyDescent="0.25">
      <c r="A864" s="1" t="s">
        <v>24</v>
      </c>
      <c r="B864" s="1" t="s">
        <v>12</v>
      </c>
      <c r="C864" s="1" t="s">
        <v>25</v>
      </c>
      <c r="D864" s="1">
        <v>0</v>
      </c>
      <c r="E864" s="1">
        <v>0</v>
      </c>
      <c r="F864" s="1">
        <v>503.47</v>
      </c>
      <c r="G864" s="1">
        <v>10086.433000000001</v>
      </c>
      <c r="H864" s="1">
        <v>2556.8760000000002</v>
      </c>
      <c r="I864" s="1">
        <v>0</v>
      </c>
    </row>
    <row r="865" spans="1:9" hidden="1" x14ac:dyDescent="0.25">
      <c r="A865" s="1" t="s">
        <v>24</v>
      </c>
      <c r="B865" s="1" t="s">
        <v>12</v>
      </c>
      <c r="C865" s="1" t="s">
        <v>10</v>
      </c>
      <c r="D865" s="1">
        <v>0</v>
      </c>
      <c r="E865" s="1">
        <v>0</v>
      </c>
      <c r="F865" s="1">
        <v>503.47</v>
      </c>
      <c r="G865" s="1">
        <v>10086.433000000001</v>
      </c>
      <c r="H865" s="1">
        <v>4515.5739999999996</v>
      </c>
      <c r="I865" s="1">
        <v>0</v>
      </c>
    </row>
    <row r="866" spans="1:9" hidden="1" x14ac:dyDescent="0.25">
      <c r="A866" s="1" t="s">
        <v>24</v>
      </c>
      <c r="B866" s="1" t="s">
        <v>13</v>
      </c>
      <c r="C866" s="1" t="s">
        <v>25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24</v>
      </c>
      <c r="B867" s="1" t="s">
        <v>13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24</v>
      </c>
      <c r="B868" s="1" t="s">
        <v>31</v>
      </c>
      <c r="C868" s="1" t="s">
        <v>25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24</v>
      </c>
      <c r="B869" s="1" t="s">
        <v>31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24</v>
      </c>
      <c r="B870" s="1" t="s">
        <v>32</v>
      </c>
      <c r="C870" s="1" t="s">
        <v>25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24</v>
      </c>
      <c r="B871" s="1" t="s">
        <v>32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24</v>
      </c>
      <c r="B872" s="1" t="s">
        <v>33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24</v>
      </c>
      <c r="B873" s="1" t="s">
        <v>33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24</v>
      </c>
      <c r="B874" s="1" t="s">
        <v>34</v>
      </c>
      <c r="C874" s="1" t="s">
        <v>25</v>
      </c>
      <c r="D874" s="1">
        <v>0</v>
      </c>
      <c r="E874" s="1">
        <v>-406.89</v>
      </c>
      <c r="F874" s="1">
        <v>0</v>
      </c>
      <c r="G874" s="1">
        <v>6713.6530000000002</v>
      </c>
      <c r="H874" s="1">
        <v>0</v>
      </c>
      <c r="I874" s="1">
        <v>-1989.231</v>
      </c>
    </row>
    <row r="875" spans="1:9" hidden="1" x14ac:dyDescent="0.25">
      <c r="A875" s="1" t="s">
        <v>24</v>
      </c>
      <c r="B875" s="1" t="s">
        <v>34</v>
      </c>
      <c r="C875" s="1" t="s">
        <v>10</v>
      </c>
      <c r="D875" s="1">
        <v>0</v>
      </c>
      <c r="E875" s="1">
        <v>-406.89</v>
      </c>
      <c r="F875" s="1">
        <v>0</v>
      </c>
      <c r="G875" s="1">
        <v>6713.6530000000002</v>
      </c>
      <c r="H875" s="1">
        <v>0</v>
      </c>
      <c r="I875" s="1">
        <v>-3616.7829999999999</v>
      </c>
    </row>
    <row r="876" spans="1:9" hidden="1" x14ac:dyDescent="0.25">
      <c r="A876" s="1" t="s">
        <v>24</v>
      </c>
      <c r="B876" s="1" t="s">
        <v>35</v>
      </c>
      <c r="C876" s="1" t="s">
        <v>25</v>
      </c>
      <c r="D876" s="1">
        <v>0</v>
      </c>
      <c r="E876" s="1">
        <v>-406.89</v>
      </c>
      <c r="F876" s="1">
        <v>0</v>
      </c>
      <c r="G876" s="1">
        <v>5492.9889999999996</v>
      </c>
      <c r="H876" s="1">
        <v>0</v>
      </c>
      <c r="I876" s="1">
        <v>-1989.231</v>
      </c>
    </row>
    <row r="877" spans="1:9" hidden="1" x14ac:dyDescent="0.25">
      <c r="A877" s="1" t="s">
        <v>24</v>
      </c>
      <c r="B877" s="1" t="s">
        <v>35</v>
      </c>
      <c r="C877" s="1" t="s">
        <v>10</v>
      </c>
      <c r="D877" s="1">
        <v>0</v>
      </c>
      <c r="E877" s="1">
        <v>-406.89</v>
      </c>
      <c r="F877" s="1">
        <v>0</v>
      </c>
      <c r="G877" s="1">
        <v>5492.9889999999996</v>
      </c>
      <c r="H877" s="1">
        <v>0</v>
      </c>
      <c r="I877" s="1">
        <v>-3616.7829999999999</v>
      </c>
    </row>
    <row r="878" spans="1:9" hidden="1" x14ac:dyDescent="0.25">
      <c r="A878" s="1" t="s">
        <v>24</v>
      </c>
      <c r="B878" s="1" t="s">
        <v>36</v>
      </c>
      <c r="C878" s="1" t="s">
        <v>25</v>
      </c>
      <c r="D878" s="1">
        <v>0</v>
      </c>
      <c r="E878" s="1">
        <v>406.89</v>
      </c>
      <c r="F878" s="1">
        <v>0</v>
      </c>
      <c r="G878" s="1">
        <v>-6713.6530000000002</v>
      </c>
      <c r="H878" s="1">
        <v>0</v>
      </c>
      <c r="I878" s="1">
        <v>1989.231</v>
      </c>
    </row>
    <row r="879" spans="1:9" hidden="1" x14ac:dyDescent="0.25">
      <c r="A879" s="1" t="s">
        <v>24</v>
      </c>
      <c r="B879" s="1" t="s">
        <v>36</v>
      </c>
      <c r="C879" s="1" t="s">
        <v>10</v>
      </c>
      <c r="D879" s="1">
        <v>0</v>
      </c>
      <c r="E879" s="1">
        <v>406.89</v>
      </c>
      <c r="F879" s="1">
        <v>0</v>
      </c>
      <c r="G879" s="1">
        <v>-6713.6530000000002</v>
      </c>
      <c r="H879" s="1">
        <v>0</v>
      </c>
      <c r="I879" s="1">
        <v>3616.7829999999999</v>
      </c>
    </row>
    <row r="880" spans="1:9" hidden="1" x14ac:dyDescent="0.25">
      <c r="A880" s="1" t="s">
        <v>24</v>
      </c>
      <c r="B880" s="1" t="s">
        <v>37</v>
      </c>
      <c r="C880" s="1" t="s">
        <v>25</v>
      </c>
      <c r="D880" s="1">
        <v>0</v>
      </c>
      <c r="E880" s="1">
        <v>406.89</v>
      </c>
      <c r="F880" s="1">
        <v>0</v>
      </c>
      <c r="G880" s="1">
        <v>-5492.9889999999996</v>
      </c>
      <c r="H880" s="1">
        <v>0</v>
      </c>
      <c r="I880" s="1">
        <v>1989.231</v>
      </c>
    </row>
    <row r="881" spans="1:9" hidden="1" x14ac:dyDescent="0.25">
      <c r="A881" s="1" t="s">
        <v>24</v>
      </c>
      <c r="B881" s="1" t="s">
        <v>37</v>
      </c>
      <c r="C881" s="1" t="s">
        <v>10</v>
      </c>
      <c r="D881" s="1">
        <v>0</v>
      </c>
      <c r="E881" s="1">
        <v>406.89</v>
      </c>
      <c r="F881" s="1">
        <v>0</v>
      </c>
      <c r="G881" s="1">
        <v>-5492.9889999999996</v>
      </c>
      <c r="H881" s="1">
        <v>0</v>
      </c>
      <c r="I881" s="1">
        <v>3616.7829999999999</v>
      </c>
    </row>
    <row r="882" spans="1:9" hidden="1" x14ac:dyDescent="0.25">
      <c r="A882" s="1" t="s">
        <v>24</v>
      </c>
      <c r="B882" s="1" t="s">
        <v>38</v>
      </c>
      <c r="C882" s="1" t="s">
        <v>25</v>
      </c>
      <c r="D882" s="1">
        <v>0</v>
      </c>
      <c r="E882" s="1">
        <v>0</v>
      </c>
      <c r="F882" s="1">
        <v>-491.83</v>
      </c>
      <c r="G882" s="1">
        <v>-9738.2049999999999</v>
      </c>
      <c r="H882" s="1">
        <v>2404.4949999999999</v>
      </c>
      <c r="I882" s="1">
        <v>0</v>
      </c>
    </row>
    <row r="883" spans="1:9" hidden="1" x14ac:dyDescent="0.25">
      <c r="A883" s="1" t="s">
        <v>24</v>
      </c>
      <c r="B883" s="1" t="s">
        <v>38</v>
      </c>
      <c r="C883" s="1" t="s">
        <v>10</v>
      </c>
      <c r="D883" s="1">
        <v>0</v>
      </c>
      <c r="E883" s="1">
        <v>0</v>
      </c>
      <c r="F883" s="1">
        <v>-491.83</v>
      </c>
      <c r="G883" s="1">
        <v>-9738.2049999999999</v>
      </c>
      <c r="H883" s="1">
        <v>4371.8090000000002</v>
      </c>
      <c r="I883" s="1">
        <v>0</v>
      </c>
    </row>
    <row r="884" spans="1:9" hidden="1" x14ac:dyDescent="0.25">
      <c r="A884" s="1" t="s">
        <v>24</v>
      </c>
      <c r="B884" s="1" t="s">
        <v>39</v>
      </c>
      <c r="C884" s="1" t="s">
        <v>25</v>
      </c>
      <c r="D884" s="1">
        <v>0</v>
      </c>
      <c r="E884" s="1">
        <v>0</v>
      </c>
      <c r="F884" s="1">
        <v>-491.83</v>
      </c>
      <c r="G884" s="1">
        <v>-7967.6229999999996</v>
      </c>
      <c r="H884" s="1">
        <v>2404.4949999999999</v>
      </c>
      <c r="I884" s="1">
        <v>0</v>
      </c>
    </row>
    <row r="885" spans="1:9" hidden="1" x14ac:dyDescent="0.25">
      <c r="A885" s="1" t="s">
        <v>24</v>
      </c>
      <c r="B885" s="1" t="s">
        <v>39</v>
      </c>
      <c r="C885" s="1" t="s">
        <v>10</v>
      </c>
      <c r="D885" s="1">
        <v>0</v>
      </c>
      <c r="E885" s="1">
        <v>0</v>
      </c>
      <c r="F885" s="1">
        <v>-491.83</v>
      </c>
      <c r="G885" s="1">
        <v>-7967.6229999999996</v>
      </c>
      <c r="H885" s="1">
        <v>4371.8090000000002</v>
      </c>
      <c r="I885" s="1">
        <v>0</v>
      </c>
    </row>
    <row r="886" spans="1:9" hidden="1" x14ac:dyDescent="0.25">
      <c r="A886" s="1" t="s">
        <v>24</v>
      </c>
      <c r="B886" s="1" t="s">
        <v>40</v>
      </c>
      <c r="C886" s="1" t="s">
        <v>25</v>
      </c>
      <c r="D886" s="1">
        <v>0</v>
      </c>
      <c r="E886" s="1">
        <v>0</v>
      </c>
      <c r="F886" s="1">
        <v>491.83</v>
      </c>
      <c r="G886" s="1">
        <v>9738.2049999999999</v>
      </c>
      <c r="H886" s="1">
        <v>-2404.4949999999999</v>
      </c>
      <c r="I886" s="1">
        <v>0</v>
      </c>
    </row>
    <row r="887" spans="1:9" hidden="1" x14ac:dyDescent="0.25">
      <c r="A887" s="1" t="s">
        <v>24</v>
      </c>
      <c r="B887" s="1" t="s">
        <v>40</v>
      </c>
      <c r="C887" s="1" t="s">
        <v>10</v>
      </c>
      <c r="D887" s="1">
        <v>0</v>
      </c>
      <c r="E887" s="1">
        <v>0</v>
      </c>
      <c r="F887" s="1">
        <v>491.83</v>
      </c>
      <c r="G887" s="1">
        <v>9738.2049999999999</v>
      </c>
      <c r="H887" s="1">
        <v>-4371.8090000000002</v>
      </c>
      <c r="I887" s="1">
        <v>0</v>
      </c>
    </row>
    <row r="888" spans="1:9" hidden="1" x14ac:dyDescent="0.25">
      <c r="A888" s="1" t="s">
        <v>24</v>
      </c>
      <c r="B888" s="1" t="s">
        <v>41</v>
      </c>
      <c r="C888" s="1" t="s">
        <v>25</v>
      </c>
      <c r="D888" s="1">
        <v>0</v>
      </c>
      <c r="E888" s="1">
        <v>0</v>
      </c>
      <c r="F888" s="1">
        <v>491.83</v>
      </c>
      <c r="G888" s="1">
        <v>7967.6229999999996</v>
      </c>
      <c r="H888" s="1">
        <v>-2404.4949999999999</v>
      </c>
      <c r="I888" s="1">
        <v>0</v>
      </c>
    </row>
    <row r="889" spans="1:9" hidden="1" x14ac:dyDescent="0.25">
      <c r="A889" s="1" t="s">
        <v>24</v>
      </c>
      <c r="B889" s="1" t="s">
        <v>41</v>
      </c>
      <c r="C889" s="1" t="s">
        <v>10</v>
      </c>
      <c r="D889" s="1">
        <v>0</v>
      </c>
      <c r="E889" s="1">
        <v>0</v>
      </c>
      <c r="F889" s="1">
        <v>491.83</v>
      </c>
      <c r="G889" s="1">
        <v>7967.6229999999996</v>
      </c>
      <c r="H889" s="1">
        <v>-4371.8090000000002</v>
      </c>
      <c r="I889" s="1">
        <v>0</v>
      </c>
    </row>
    <row r="890" spans="1:9" hidden="1" x14ac:dyDescent="0.25">
      <c r="A890" s="1" t="s">
        <v>24</v>
      </c>
      <c r="B890" s="1" t="s">
        <v>42</v>
      </c>
      <c r="C890" s="1" t="s">
        <v>25</v>
      </c>
      <c r="D890" s="1">
        <v>0</v>
      </c>
      <c r="E890" s="1">
        <v>-406.89</v>
      </c>
      <c r="F890" s="1">
        <v>0</v>
      </c>
      <c r="G890" s="1">
        <v>6713.6530000000002</v>
      </c>
      <c r="H890" s="1">
        <v>0</v>
      </c>
      <c r="I890" s="1">
        <v>-1989.231</v>
      </c>
    </row>
    <row r="891" spans="1:9" hidden="1" x14ac:dyDescent="0.25">
      <c r="A891" s="1" t="s">
        <v>24</v>
      </c>
      <c r="B891" s="1" t="s">
        <v>42</v>
      </c>
      <c r="C891" s="1" t="s">
        <v>10</v>
      </c>
      <c r="D891" s="1">
        <v>0</v>
      </c>
      <c r="E891" s="1">
        <v>-406.89</v>
      </c>
      <c r="F891" s="1">
        <v>0</v>
      </c>
      <c r="G891" s="1">
        <v>6713.6530000000002</v>
      </c>
      <c r="H891" s="1">
        <v>0</v>
      </c>
      <c r="I891" s="1">
        <v>-3616.7829999999999</v>
      </c>
    </row>
    <row r="892" spans="1:9" hidden="1" x14ac:dyDescent="0.25">
      <c r="A892" s="1" t="s">
        <v>24</v>
      </c>
      <c r="B892" s="1" t="s">
        <v>43</v>
      </c>
      <c r="C892" s="1" t="s">
        <v>25</v>
      </c>
      <c r="D892" s="1">
        <v>0</v>
      </c>
      <c r="E892" s="1">
        <v>-406.89</v>
      </c>
      <c r="F892" s="1">
        <v>0</v>
      </c>
      <c r="G892" s="1">
        <v>5492.9889999999996</v>
      </c>
      <c r="H892" s="1">
        <v>0</v>
      </c>
      <c r="I892" s="1">
        <v>-1989.231</v>
      </c>
    </row>
    <row r="893" spans="1:9" hidden="1" x14ac:dyDescent="0.25">
      <c r="A893" s="1" t="s">
        <v>24</v>
      </c>
      <c r="B893" s="1" t="s">
        <v>43</v>
      </c>
      <c r="C893" s="1" t="s">
        <v>10</v>
      </c>
      <c r="D893" s="1">
        <v>0</v>
      </c>
      <c r="E893" s="1">
        <v>-406.89</v>
      </c>
      <c r="F893" s="1">
        <v>0</v>
      </c>
      <c r="G893" s="1">
        <v>5492.9889999999996</v>
      </c>
      <c r="H893" s="1">
        <v>0</v>
      </c>
      <c r="I893" s="1">
        <v>-3616.7829999999999</v>
      </c>
    </row>
    <row r="894" spans="1:9" hidden="1" x14ac:dyDescent="0.25">
      <c r="A894" s="1" t="s">
        <v>24</v>
      </c>
      <c r="B894" s="1" t="s">
        <v>44</v>
      </c>
      <c r="C894" s="1" t="s">
        <v>25</v>
      </c>
      <c r="D894" s="1">
        <v>0</v>
      </c>
      <c r="E894" s="1">
        <v>406.89</v>
      </c>
      <c r="F894" s="1">
        <v>0</v>
      </c>
      <c r="G894" s="1">
        <v>-6713.6530000000002</v>
      </c>
      <c r="H894" s="1">
        <v>0</v>
      </c>
      <c r="I894" s="1">
        <v>1989.231</v>
      </c>
    </row>
    <row r="895" spans="1:9" hidden="1" x14ac:dyDescent="0.25">
      <c r="A895" s="1" t="s">
        <v>24</v>
      </c>
      <c r="B895" s="1" t="s">
        <v>44</v>
      </c>
      <c r="C895" s="1" t="s">
        <v>10</v>
      </c>
      <c r="D895" s="1">
        <v>0</v>
      </c>
      <c r="E895" s="1">
        <v>406.89</v>
      </c>
      <c r="F895" s="1">
        <v>0</v>
      </c>
      <c r="G895" s="1">
        <v>-6713.6530000000002</v>
      </c>
      <c r="H895" s="1">
        <v>0</v>
      </c>
      <c r="I895" s="1">
        <v>3616.7829999999999</v>
      </c>
    </row>
    <row r="896" spans="1:9" hidden="1" x14ac:dyDescent="0.25">
      <c r="A896" s="1" t="s">
        <v>24</v>
      </c>
      <c r="B896" s="1" t="s">
        <v>45</v>
      </c>
      <c r="C896" s="1" t="s">
        <v>25</v>
      </c>
      <c r="D896" s="1">
        <v>0</v>
      </c>
      <c r="E896" s="1">
        <v>406.89</v>
      </c>
      <c r="F896" s="1">
        <v>0</v>
      </c>
      <c r="G896" s="1">
        <v>-5492.9889999999996</v>
      </c>
      <c r="H896" s="1">
        <v>0</v>
      </c>
      <c r="I896" s="1">
        <v>1989.231</v>
      </c>
    </row>
    <row r="897" spans="1:9" hidden="1" x14ac:dyDescent="0.25">
      <c r="A897" s="1" t="s">
        <v>24</v>
      </c>
      <c r="B897" s="1" t="s">
        <v>45</v>
      </c>
      <c r="C897" s="1" t="s">
        <v>10</v>
      </c>
      <c r="D897" s="1">
        <v>0</v>
      </c>
      <c r="E897" s="1">
        <v>406.89</v>
      </c>
      <c r="F897" s="1">
        <v>0</v>
      </c>
      <c r="G897" s="1">
        <v>-5492.9889999999996</v>
      </c>
      <c r="H897" s="1">
        <v>0</v>
      </c>
      <c r="I897" s="1">
        <v>3616.7829999999999</v>
      </c>
    </row>
    <row r="898" spans="1:9" hidden="1" x14ac:dyDescent="0.25">
      <c r="A898" s="1" t="s">
        <v>24</v>
      </c>
      <c r="B898" s="1" t="s">
        <v>46</v>
      </c>
      <c r="C898" s="1" t="s">
        <v>25</v>
      </c>
      <c r="D898" s="1">
        <v>0</v>
      </c>
      <c r="E898" s="1">
        <v>0</v>
      </c>
      <c r="F898" s="1">
        <v>-491.83</v>
      </c>
      <c r="G898" s="1">
        <v>-9738.2049999999999</v>
      </c>
      <c r="H898" s="1">
        <v>2404.4949999999999</v>
      </c>
      <c r="I898" s="1">
        <v>0</v>
      </c>
    </row>
    <row r="899" spans="1:9" hidden="1" x14ac:dyDescent="0.25">
      <c r="A899" s="1" t="s">
        <v>24</v>
      </c>
      <c r="B899" s="1" t="s">
        <v>46</v>
      </c>
      <c r="C899" s="1" t="s">
        <v>10</v>
      </c>
      <c r="D899" s="1">
        <v>0</v>
      </c>
      <c r="E899" s="1">
        <v>0</v>
      </c>
      <c r="F899" s="1">
        <v>-491.83</v>
      </c>
      <c r="G899" s="1">
        <v>-9738.2049999999999</v>
      </c>
      <c r="H899" s="1">
        <v>4371.8090000000002</v>
      </c>
      <c r="I899" s="1">
        <v>0</v>
      </c>
    </row>
    <row r="900" spans="1:9" hidden="1" x14ac:dyDescent="0.25">
      <c r="A900" s="1" t="s">
        <v>24</v>
      </c>
      <c r="B900" s="1" t="s">
        <v>47</v>
      </c>
      <c r="C900" s="1" t="s">
        <v>25</v>
      </c>
      <c r="D900" s="1">
        <v>0</v>
      </c>
      <c r="E900" s="1">
        <v>0</v>
      </c>
      <c r="F900" s="1">
        <v>-491.83</v>
      </c>
      <c r="G900" s="1">
        <v>-7967.6229999999996</v>
      </c>
      <c r="H900" s="1">
        <v>2404.4949999999999</v>
      </c>
      <c r="I900" s="1">
        <v>0</v>
      </c>
    </row>
    <row r="901" spans="1:9" hidden="1" x14ac:dyDescent="0.25">
      <c r="A901" s="1" t="s">
        <v>24</v>
      </c>
      <c r="B901" s="1" t="s">
        <v>47</v>
      </c>
      <c r="C901" s="1" t="s">
        <v>10</v>
      </c>
      <c r="D901" s="1">
        <v>0</v>
      </c>
      <c r="E901" s="1">
        <v>0</v>
      </c>
      <c r="F901" s="1">
        <v>-491.83</v>
      </c>
      <c r="G901" s="1">
        <v>-7967.6229999999996</v>
      </c>
      <c r="H901" s="1">
        <v>4371.8090000000002</v>
      </c>
      <c r="I901" s="1">
        <v>0</v>
      </c>
    </row>
    <row r="902" spans="1:9" hidden="1" x14ac:dyDescent="0.25">
      <c r="A902" s="1" t="s">
        <v>24</v>
      </c>
      <c r="B902" s="1" t="s">
        <v>48</v>
      </c>
      <c r="C902" s="1" t="s">
        <v>25</v>
      </c>
      <c r="D902" s="1">
        <v>0</v>
      </c>
      <c r="E902" s="1">
        <v>0</v>
      </c>
      <c r="F902" s="1">
        <v>491.83</v>
      </c>
      <c r="G902" s="1">
        <v>9738.2049999999999</v>
      </c>
      <c r="H902" s="1">
        <v>-2404.4949999999999</v>
      </c>
      <c r="I902" s="1">
        <v>0</v>
      </c>
    </row>
    <row r="903" spans="1:9" hidden="1" x14ac:dyDescent="0.25">
      <c r="A903" s="1" t="s">
        <v>24</v>
      </c>
      <c r="B903" s="1" t="s">
        <v>48</v>
      </c>
      <c r="C903" s="1" t="s">
        <v>10</v>
      </c>
      <c r="D903" s="1">
        <v>0</v>
      </c>
      <c r="E903" s="1">
        <v>0</v>
      </c>
      <c r="F903" s="1">
        <v>491.83</v>
      </c>
      <c r="G903" s="1">
        <v>9738.2049999999999</v>
      </c>
      <c r="H903" s="1">
        <v>-4371.8090000000002</v>
      </c>
      <c r="I903" s="1">
        <v>0</v>
      </c>
    </row>
    <row r="904" spans="1:9" hidden="1" x14ac:dyDescent="0.25">
      <c r="A904" s="1" t="s">
        <v>24</v>
      </c>
      <c r="B904" s="1" t="s">
        <v>49</v>
      </c>
      <c r="C904" s="1" t="s">
        <v>25</v>
      </c>
      <c r="D904" s="1">
        <v>0</v>
      </c>
      <c r="E904" s="1">
        <v>0</v>
      </c>
      <c r="F904" s="1">
        <v>491.83</v>
      </c>
      <c r="G904" s="1">
        <v>7967.6229999999996</v>
      </c>
      <c r="H904" s="1">
        <v>-2404.4949999999999</v>
      </c>
      <c r="I904" s="1">
        <v>0</v>
      </c>
    </row>
    <row r="905" spans="1:9" hidden="1" x14ac:dyDescent="0.25">
      <c r="A905" s="1" t="s">
        <v>24</v>
      </c>
      <c r="B905" s="1" t="s">
        <v>49</v>
      </c>
      <c r="C905" s="1" t="s">
        <v>10</v>
      </c>
      <c r="D905" s="1">
        <v>0</v>
      </c>
      <c r="E905" s="1">
        <v>0</v>
      </c>
      <c r="F905" s="1">
        <v>491.83</v>
      </c>
      <c r="G905" s="1">
        <v>7967.6229999999996</v>
      </c>
      <c r="H905" s="1">
        <v>-4371.8090000000002</v>
      </c>
      <c r="I905" s="1">
        <v>0</v>
      </c>
    </row>
    <row r="906" spans="1:9" hidden="1" x14ac:dyDescent="0.25">
      <c r="A906" s="1" t="s">
        <v>24</v>
      </c>
      <c r="B906" s="1" t="s">
        <v>50</v>
      </c>
      <c r="C906" s="1" t="s">
        <v>25</v>
      </c>
      <c r="D906" s="1">
        <v>0</v>
      </c>
      <c r="E906" s="1">
        <v>-122.07</v>
      </c>
      <c r="F906" s="1">
        <v>0</v>
      </c>
      <c r="G906" s="1">
        <v>2014.096</v>
      </c>
      <c r="H906" s="1">
        <v>0</v>
      </c>
      <c r="I906" s="1">
        <v>-596.76900000000001</v>
      </c>
    </row>
    <row r="907" spans="1:9" hidden="1" x14ac:dyDescent="0.25">
      <c r="A907" s="1" t="s">
        <v>24</v>
      </c>
      <c r="B907" s="1" t="s">
        <v>50</v>
      </c>
      <c r="C907" s="1" t="s">
        <v>10</v>
      </c>
      <c r="D907" s="1">
        <v>0</v>
      </c>
      <c r="E907" s="1">
        <v>-122.07</v>
      </c>
      <c r="F907" s="1">
        <v>0</v>
      </c>
      <c r="G907" s="1">
        <v>2014.096</v>
      </c>
      <c r="H907" s="1">
        <v>0</v>
      </c>
      <c r="I907" s="1">
        <v>-1085.0350000000001</v>
      </c>
    </row>
    <row r="908" spans="1:9" hidden="1" x14ac:dyDescent="0.25">
      <c r="A908" s="1" t="s">
        <v>24</v>
      </c>
      <c r="B908" s="1" t="s">
        <v>51</v>
      </c>
      <c r="C908" s="1" t="s">
        <v>25</v>
      </c>
      <c r="D908" s="1">
        <v>0</v>
      </c>
      <c r="E908" s="1">
        <v>-122.07</v>
      </c>
      <c r="F908" s="1">
        <v>0</v>
      </c>
      <c r="G908" s="1">
        <v>1647.8969999999999</v>
      </c>
      <c r="H908" s="1">
        <v>0</v>
      </c>
      <c r="I908" s="1">
        <v>-596.76900000000001</v>
      </c>
    </row>
    <row r="909" spans="1:9" hidden="1" x14ac:dyDescent="0.25">
      <c r="A909" s="1" t="s">
        <v>24</v>
      </c>
      <c r="B909" s="1" t="s">
        <v>51</v>
      </c>
      <c r="C909" s="1" t="s">
        <v>10</v>
      </c>
      <c r="D909" s="1">
        <v>0</v>
      </c>
      <c r="E909" s="1">
        <v>-122.07</v>
      </c>
      <c r="F909" s="1">
        <v>0</v>
      </c>
      <c r="G909" s="1">
        <v>1647.8969999999999</v>
      </c>
      <c r="H909" s="1">
        <v>0</v>
      </c>
      <c r="I909" s="1">
        <v>-1085.0350000000001</v>
      </c>
    </row>
    <row r="910" spans="1:9" hidden="1" x14ac:dyDescent="0.25">
      <c r="A910" s="1" t="s">
        <v>24</v>
      </c>
      <c r="B910" s="1" t="s">
        <v>52</v>
      </c>
      <c r="C910" s="1" t="s">
        <v>25</v>
      </c>
      <c r="D910" s="1">
        <v>0</v>
      </c>
      <c r="E910" s="1">
        <v>122.07</v>
      </c>
      <c r="F910" s="1">
        <v>0</v>
      </c>
      <c r="G910" s="1">
        <v>-2014.096</v>
      </c>
      <c r="H910" s="1">
        <v>0</v>
      </c>
      <c r="I910" s="1">
        <v>596.76900000000001</v>
      </c>
    </row>
    <row r="911" spans="1:9" hidden="1" x14ac:dyDescent="0.25">
      <c r="A911" s="1" t="s">
        <v>24</v>
      </c>
      <c r="B911" s="1" t="s">
        <v>52</v>
      </c>
      <c r="C911" s="1" t="s">
        <v>10</v>
      </c>
      <c r="D911" s="1">
        <v>0</v>
      </c>
      <c r="E911" s="1">
        <v>122.07</v>
      </c>
      <c r="F911" s="1">
        <v>0</v>
      </c>
      <c r="G911" s="1">
        <v>-2014.096</v>
      </c>
      <c r="H911" s="1">
        <v>0</v>
      </c>
      <c r="I911" s="1">
        <v>1085.0350000000001</v>
      </c>
    </row>
    <row r="912" spans="1:9" hidden="1" x14ac:dyDescent="0.25">
      <c r="A912" s="1" t="s">
        <v>24</v>
      </c>
      <c r="B912" s="1" t="s">
        <v>53</v>
      </c>
      <c r="C912" s="1" t="s">
        <v>25</v>
      </c>
      <c r="D912" s="1">
        <v>0</v>
      </c>
      <c r="E912" s="1">
        <v>122.07</v>
      </c>
      <c r="F912" s="1">
        <v>0</v>
      </c>
      <c r="G912" s="1">
        <v>-1647.8969999999999</v>
      </c>
      <c r="H912" s="1">
        <v>0</v>
      </c>
      <c r="I912" s="1">
        <v>596.76900000000001</v>
      </c>
    </row>
    <row r="913" spans="1:9" hidden="1" x14ac:dyDescent="0.25">
      <c r="A913" s="1" t="s">
        <v>24</v>
      </c>
      <c r="B913" s="1" t="s">
        <v>53</v>
      </c>
      <c r="C913" s="1" t="s">
        <v>10</v>
      </c>
      <c r="D913" s="1">
        <v>0</v>
      </c>
      <c r="E913" s="1">
        <v>122.07</v>
      </c>
      <c r="F913" s="1">
        <v>0</v>
      </c>
      <c r="G913" s="1">
        <v>-1647.8969999999999</v>
      </c>
      <c r="H913" s="1">
        <v>0</v>
      </c>
      <c r="I913" s="1">
        <v>1085.0350000000001</v>
      </c>
    </row>
    <row r="914" spans="1:9" hidden="1" x14ac:dyDescent="0.25">
      <c r="A914" s="1" t="s">
        <v>24</v>
      </c>
      <c r="B914" s="1" t="s">
        <v>54</v>
      </c>
      <c r="C914" s="1" t="s">
        <v>25</v>
      </c>
      <c r="D914" s="1">
        <v>0</v>
      </c>
      <c r="E914" s="1">
        <v>0</v>
      </c>
      <c r="F914" s="1">
        <v>-147.55000000000001</v>
      </c>
      <c r="G914" s="1">
        <v>-2921.462</v>
      </c>
      <c r="H914" s="1">
        <v>721.34900000000005</v>
      </c>
      <c r="I914" s="1">
        <v>0</v>
      </c>
    </row>
    <row r="915" spans="1:9" hidden="1" x14ac:dyDescent="0.25">
      <c r="A915" s="1" t="s">
        <v>24</v>
      </c>
      <c r="B915" s="1" t="s">
        <v>54</v>
      </c>
      <c r="C915" s="1" t="s">
        <v>10</v>
      </c>
      <c r="D915" s="1">
        <v>0</v>
      </c>
      <c r="E915" s="1">
        <v>0</v>
      </c>
      <c r="F915" s="1">
        <v>-147.55000000000001</v>
      </c>
      <c r="G915" s="1">
        <v>-2921.462</v>
      </c>
      <c r="H915" s="1">
        <v>1311.5429999999999</v>
      </c>
      <c r="I915" s="1">
        <v>0</v>
      </c>
    </row>
    <row r="916" spans="1:9" hidden="1" x14ac:dyDescent="0.25">
      <c r="A916" s="1" t="s">
        <v>24</v>
      </c>
      <c r="B916" s="1" t="s">
        <v>55</v>
      </c>
      <c r="C916" s="1" t="s">
        <v>25</v>
      </c>
      <c r="D916" s="1">
        <v>0</v>
      </c>
      <c r="E916" s="1">
        <v>0</v>
      </c>
      <c r="F916" s="1">
        <v>-147.55000000000001</v>
      </c>
      <c r="G916" s="1">
        <v>-2390.2869999999998</v>
      </c>
      <c r="H916" s="1">
        <v>721.34900000000005</v>
      </c>
      <c r="I916" s="1">
        <v>0</v>
      </c>
    </row>
    <row r="917" spans="1:9" hidden="1" x14ac:dyDescent="0.25">
      <c r="A917" s="1" t="s">
        <v>24</v>
      </c>
      <c r="B917" s="1" t="s">
        <v>55</v>
      </c>
      <c r="C917" s="1" t="s">
        <v>10</v>
      </c>
      <c r="D917" s="1">
        <v>0</v>
      </c>
      <c r="E917" s="1">
        <v>0</v>
      </c>
      <c r="F917" s="1">
        <v>-147.55000000000001</v>
      </c>
      <c r="G917" s="1">
        <v>-2390.2869999999998</v>
      </c>
      <c r="H917" s="1">
        <v>1311.5429999999999</v>
      </c>
      <c r="I917" s="1">
        <v>0</v>
      </c>
    </row>
    <row r="918" spans="1:9" hidden="1" x14ac:dyDescent="0.25">
      <c r="A918" s="1" t="s">
        <v>24</v>
      </c>
      <c r="B918" s="1" t="s">
        <v>56</v>
      </c>
      <c r="C918" s="1" t="s">
        <v>25</v>
      </c>
      <c r="D918" s="1">
        <v>0</v>
      </c>
      <c r="E918" s="1">
        <v>0</v>
      </c>
      <c r="F918" s="1">
        <v>147.55000000000001</v>
      </c>
      <c r="G918" s="1">
        <v>2921.462</v>
      </c>
      <c r="H918" s="1">
        <v>-721.34900000000005</v>
      </c>
      <c r="I918" s="1">
        <v>0</v>
      </c>
    </row>
    <row r="919" spans="1:9" hidden="1" x14ac:dyDescent="0.25">
      <c r="A919" s="1" t="s">
        <v>24</v>
      </c>
      <c r="B919" s="1" t="s">
        <v>56</v>
      </c>
      <c r="C919" s="1" t="s">
        <v>10</v>
      </c>
      <c r="D919" s="1">
        <v>0</v>
      </c>
      <c r="E919" s="1">
        <v>0</v>
      </c>
      <c r="F919" s="1">
        <v>147.55000000000001</v>
      </c>
      <c r="G919" s="1">
        <v>2921.462</v>
      </c>
      <c r="H919" s="1">
        <v>-1311.5429999999999</v>
      </c>
      <c r="I919" s="1">
        <v>0</v>
      </c>
    </row>
    <row r="920" spans="1:9" hidden="1" x14ac:dyDescent="0.25">
      <c r="A920" s="1" t="s">
        <v>24</v>
      </c>
      <c r="B920" s="1" t="s">
        <v>57</v>
      </c>
      <c r="C920" s="1" t="s">
        <v>25</v>
      </c>
      <c r="D920" s="1">
        <v>0</v>
      </c>
      <c r="E920" s="1">
        <v>0</v>
      </c>
      <c r="F920" s="1">
        <v>147.55000000000001</v>
      </c>
      <c r="G920" s="1">
        <v>2390.2869999999998</v>
      </c>
      <c r="H920" s="1">
        <v>-721.34900000000005</v>
      </c>
      <c r="I920" s="1">
        <v>0</v>
      </c>
    </row>
    <row r="921" spans="1:9" hidden="1" x14ac:dyDescent="0.25">
      <c r="A921" s="1" t="s">
        <v>24</v>
      </c>
      <c r="B921" s="1" t="s">
        <v>57</v>
      </c>
      <c r="C921" s="1" t="s">
        <v>10</v>
      </c>
      <c r="D921" s="1">
        <v>0</v>
      </c>
      <c r="E921" s="1">
        <v>0</v>
      </c>
      <c r="F921" s="1">
        <v>147.55000000000001</v>
      </c>
      <c r="G921" s="1">
        <v>2390.2869999999998</v>
      </c>
      <c r="H921" s="1">
        <v>-1311.5429999999999</v>
      </c>
      <c r="I921" s="1">
        <v>0</v>
      </c>
    </row>
    <row r="922" spans="1:9" hidden="1" x14ac:dyDescent="0.25">
      <c r="A922" s="1" t="s">
        <v>24</v>
      </c>
      <c r="B922" s="1" t="s">
        <v>58</v>
      </c>
      <c r="C922" s="1" t="s">
        <v>25</v>
      </c>
      <c r="D922" s="1">
        <v>0</v>
      </c>
      <c r="E922" s="1">
        <v>-122.07</v>
      </c>
      <c r="F922" s="1">
        <v>0</v>
      </c>
      <c r="G922" s="1">
        <v>2014.096</v>
      </c>
      <c r="H922" s="1">
        <v>0</v>
      </c>
      <c r="I922" s="1">
        <v>-596.76900000000001</v>
      </c>
    </row>
    <row r="923" spans="1:9" hidden="1" x14ac:dyDescent="0.25">
      <c r="A923" s="1" t="s">
        <v>24</v>
      </c>
      <c r="B923" s="1" t="s">
        <v>58</v>
      </c>
      <c r="C923" s="1" t="s">
        <v>10</v>
      </c>
      <c r="D923" s="1">
        <v>0</v>
      </c>
      <c r="E923" s="1">
        <v>-122.07</v>
      </c>
      <c r="F923" s="1">
        <v>0</v>
      </c>
      <c r="G923" s="1">
        <v>2014.096</v>
      </c>
      <c r="H923" s="1">
        <v>0</v>
      </c>
      <c r="I923" s="1">
        <v>-1085.0350000000001</v>
      </c>
    </row>
    <row r="924" spans="1:9" hidden="1" x14ac:dyDescent="0.25">
      <c r="A924" s="1" t="s">
        <v>24</v>
      </c>
      <c r="B924" s="1" t="s">
        <v>59</v>
      </c>
      <c r="C924" s="1" t="s">
        <v>25</v>
      </c>
      <c r="D924" s="1">
        <v>0</v>
      </c>
      <c r="E924" s="1">
        <v>-122.07</v>
      </c>
      <c r="F924" s="1">
        <v>0</v>
      </c>
      <c r="G924" s="1">
        <v>1647.8969999999999</v>
      </c>
      <c r="H924" s="1">
        <v>0</v>
      </c>
      <c r="I924" s="1">
        <v>-596.76900000000001</v>
      </c>
    </row>
    <row r="925" spans="1:9" hidden="1" x14ac:dyDescent="0.25">
      <c r="A925" s="1" t="s">
        <v>24</v>
      </c>
      <c r="B925" s="1" t="s">
        <v>59</v>
      </c>
      <c r="C925" s="1" t="s">
        <v>10</v>
      </c>
      <c r="D925" s="1">
        <v>0</v>
      </c>
      <c r="E925" s="1">
        <v>-122.07</v>
      </c>
      <c r="F925" s="1">
        <v>0</v>
      </c>
      <c r="G925" s="1">
        <v>1647.8969999999999</v>
      </c>
      <c r="H925" s="1">
        <v>0</v>
      </c>
      <c r="I925" s="1">
        <v>-1085.0350000000001</v>
      </c>
    </row>
    <row r="926" spans="1:9" hidden="1" x14ac:dyDescent="0.25">
      <c r="A926" s="1" t="s">
        <v>24</v>
      </c>
      <c r="B926" s="1" t="s">
        <v>60</v>
      </c>
      <c r="C926" s="1" t="s">
        <v>25</v>
      </c>
      <c r="D926" s="1">
        <v>0</v>
      </c>
      <c r="E926" s="1">
        <v>122.07</v>
      </c>
      <c r="F926" s="1">
        <v>0</v>
      </c>
      <c r="G926" s="1">
        <v>-2014.096</v>
      </c>
      <c r="H926" s="1">
        <v>0</v>
      </c>
      <c r="I926" s="1">
        <v>596.76900000000001</v>
      </c>
    </row>
    <row r="927" spans="1:9" hidden="1" x14ac:dyDescent="0.25">
      <c r="A927" s="1" t="s">
        <v>24</v>
      </c>
      <c r="B927" s="1" t="s">
        <v>60</v>
      </c>
      <c r="C927" s="1" t="s">
        <v>10</v>
      </c>
      <c r="D927" s="1">
        <v>0</v>
      </c>
      <c r="E927" s="1">
        <v>122.07</v>
      </c>
      <c r="F927" s="1">
        <v>0</v>
      </c>
      <c r="G927" s="1">
        <v>-2014.096</v>
      </c>
      <c r="H927" s="1">
        <v>0</v>
      </c>
      <c r="I927" s="1">
        <v>1085.0350000000001</v>
      </c>
    </row>
    <row r="928" spans="1:9" hidden="1" x14ac:dyDescent="0.25">
      <c r="A928" s="1" t="s">
        <v>24</v>
      </c>
      <c r="B928" s="1" t="s">
        <v>61</v>
      </c>
      <c r="C928" s="1" t="s">
        <v>25</v>
      </c>
      <c r="D928" s="1">
        <v>0</v>
      </c>
      <c r="E928" s="1">
        <v>122.07</v>
      </c>
      <c r="F928" s="1">
        <v>0</v>
      </c>
      <c r="G928" s="1">
        <v>-1647.8969999999999</v>
      </c>
      <c r="H928" s="1">
        <v>0</v>
      </c>
      <c r="I928" s="1">
        <v>596.76900000000001</v>
      </c>
    </row>
    <row r="929" spans="1:9" hidden="1" x14ac:dyDescent="0.25">
      <c r="A929" s="1" t="s">
        <v>24</v>
      </c>
      <c r="B929" s="1" t="s">
        <v>61</v>
      </c>
      <c r="C929" s="1" t="s">
        <v>10</v>
      </c>
      <c r="D929" s="1">
        <v>0</v>
      </c>
      <c r="E929" s="1">
        <v>122.07</v>
      </c>
      <c r="F929" s="1">
        <v>0</v>
      </c>
      <c r="G929" s="1">
        <v>-1647.8969999999999</v>
      </c>
      <c r="H929" s="1">
        <v>0</v>
      </c>
      <c r="I929" s="1">
        <v>1085.0350000000001</v>
      </c>
    </row>
    <row r="930" spans="1:9" hidden="1" x14ac:dyDescent="0.25">
      <c r="A930" s="1" t="s">
        <v>24</v>
      </c>
      <c r="B930" s="1" t="s">
        <v>62</v>
      </c>
      <c r="C930" s="1" t="s">
        <v>25</v>
      </c>
      <c r="D930" s="1">
        <v>0</v>
      </c>
      <c r="E930" s="1">
        <v>0</v>
      </c>
      <c r="F930" s="1">
        <v>-147.55000000000001</v>
      </c>
      <c r="G930" s="1">
        <v>-2921.462</v>
      </c>
      <c r="H930" s="1">
        <v>721.34900000000005</v>
      </c>
      <c r="I930" s="1">
        <v>0</v>
      </c>
    </row>
    <row r="931" spans="1:9" hidden="1" x14ac:dyDescent="0.25">
      <c r="A931" s="1" t="s">
        <v>24</v>
      </c>
      <c r="B931" s="1" t="s">
        <v>62</v>
      </c>
      <c r="C931" s="1" t="s">
        <v>10</v>
      </c>
      <c r="D931" s="1">
        <v>0</v>
      </c>
      <c r="E931" s="1">
        <v>0</v>
      </c>
      <c r="F931" s="1">
        <v>-147.55000000000001</v>
      </c>
      <c r="G931" s="1">
        <v>-2921.462</v>
      </c>
      <c r="H931" s="1">
        <v>1311.5429999999999</v>
      </c>
      <c r="I931" s="1">
        <v>0</v>
      </c>
    </row>
    <row r="932" spans="1:9" hidden="1" x14ac:dyDescent="0.25">
      <c r="A932" s="1" t="s">
        <v>24</v>
      </c>
      <c r="B932" s="1" t="s">
        <v>63</v>
      </c>
      <c r="C932" s="1" t="s">
        <v>25</v>
      </c>
      <c r="D932" s="1">
        <v>0</v>
      </c>
      <c r="E932" s="1">
        <v>0</v>
      </c>
      <c r="F932" s="1">
        <v>-147.55000000000001</v>
      </c>
      <c r="G932" s="1">
        <v>-2390.2869999999998</v>
      </c>
      <c r="H932" s="1">
        <v>721.34900000000005</v>
      </c>
      <c r="I932" s="1">
        <v>0</v>
      </c>
    </row>
    <row r="933" spans="1:9" hidden="1" x14ac:dyDescent="0.25">
      <c r="A933" s="1" t="s">
        <v>24</v>
      </c>
      <c r="B933" s="1" t="s">
        <v>63</v>
      </c>
      <c r="C933" s="1" t="s">
        <v>10</v>
      </c>
      <c r="D933" s="1">
        <v>0</v>
      </c>
      <c r="E933" s="1">
        <v>0</v>
      </c>
      <c r="F933" s="1">
        <v>-147.55000000000001</v>
      </c>
      <c r="G933" s="1">
        <v>-2390.2869999999998</v>
      </c>
      <c r="H933" s="1">
        <v>1311.5429999999999</v>
      </c>
      <c r="I933" s="1">
        <v>0</v>
      </c>
    </row>
    <row r="934" spans="1:9" hidden="1" x14ac:dyDescent="0.25">
      <c r="A934" s="1" t="s">
        <v>24</v>
      </c>
      <c r="B934" s="1" t="s">
        <v>64</v>
      </c>
      <c r="C934" s="1" t="s">
        <v>25</v>
      </c>
      <c r="D934" s="1">
        <v>0</v>
      </c>
      <c r="E934" s="1">
        <v>0</v>
      </c>
      <c r="F934" s="1">
        <v>147.55000000000001</v>
      </c>
      <c r="G934" s="1">
        <v>2921.462</v>
      </c>
      <c r="H934" s="1">
        <v>-721.34900000000005</v>
      </c>
      <c r="I934" s="1">
        <v>0</v>
      </c>
    </row>
    <row r="935" spans="1:9" hidden="1" x14ac:dyDescent="0.25">
      <c r="A935" s="1" t="s">
        <v>24</v>
      </c>
      <c r="B935" s="1" t="s">
        <v>64</v>
      </c>
      <c r="C935" s="1" t="s">
        <v>10</v>
      </c>
      <c r="D935" s="1">
        <v>0</v>
      </c>
      <c r="E935" s="1">
        <v>0</v>
      </c>
      <c r="F935" s="1">
        <v>147.55000000000001</v>
      </c>
      <c r="G935" s="1">
        <v>2921.462</v>
      </c>
      <c r="H935" s="1">
        <v>-1311.5429999999999</v>
      </c>
      <c r="I935" s="1">
        <v>0</v>
      </c>
    </row>
    <row r="936" spans="1:9" hidden="1" x14ac:dyDescent="0.25">
      <c r="A936" s="1" t="s">
        <v>24</v>
      </c>
      <c r="B936" s="1" t="s">
        <v>65</v>
      </c>
      <c r="C936" s="1" t="s">
        <v>25</v>
      </c>
      <c r="D936" s="1">
        <v>0</v>
      </c>
      <c r="E936" s="1">
        <v>0</v>
      </c>
      <c r="F936" s="1">
        <v>147.55000000000001</v>
      </c>
      <c r="G936" s="1">
        <v>2390.2869999999998</v>
      </c>
      <c r="H936" s="1">
        <v>-721.34900000000005</v>
      </c>
      <c r="I936" s="1">
        <v>0</v>
      </c>
    </row>
    <row r="937" spans="1:9" hidden="1" x14ac:dyDescent="0.25">
      <c r="A937" s="1" t="s">
        <v>24</v>
      </c>
      <c r="B937" s="1" t="s">
        <v>65</v>
      </c>
      <c r="C937" s="1" t="s">
        <v>10</v>
      </c>
      <c r="D937" s="1">
        <v>0</v>
      </c>
      <c r="E937" s="1">
        <v>0</v>
      </c>
      <c r="F937" s="1">
        <v>147.55000000000001</v>
      </c>
      <c r="G937" s="1">
        <v>2390.2869999999998</v>
      </c>
      <c r="H937" s="1">
        <v>-1311.5429999999999</v>
      </c>
      <c r="I937" s="1">
        <v>0</v>
      </c>
    </row>
    <row r="938" spans="1:9" hidden="1" x14ac:dyDescent="0.25">
      <c r="A938" s="1" t="s">
        <v>24</v>
      </c>
      <c r="B938" s="1" t="s">
        <v>66</v>
      </c>
      <c r="C938" s="1" t="s">
        <v>25</v>
      </c>
      <c r="D938" s="1">
        <v>0</v>
      </c>
      <c r="E938" s="1">
        <v>-406.89</v>
      </c>
      <c r="F938" s="1">
        <v>0</v>
      </c>
      <c r="G938" s="1">
        <v>6713.6530000000002</v>
      </c>
      <c r="H938" s="1">
        <v>0</v>
      </c>
      <c r="I938" s="1">
        <v>-1989.231</v>
      </c>
    </row>
    <row r="939" spans="1:9" hidden="1" x14ac:dyDescent="0.25">
      <c r="A939" s="1" t="s">
        <v>24</v>
      </c>
      <c r="B939" s="1" t="s">
        <v>66</v>
      </c>
      <c r="C939" s="1" t="s">
        <v>10</v>
      </c>
      <c r="D939" s="1">
        <v>0</v>
      </c>
      <c r="E939" s="1">
        <v>-406.89</v>
      </c>
      <c r="F939" s="1">
        <v>0</v>
      </c>
      <c r="G939" s="1">
        <v>6713.6530000000002</v>
      </c>
      <c r="H939" s="1">
        <v>0</v>
      </c>
      <c r="I939" s="1">
        <v>-3616.7829999999999</v>
      </c>
    </row>
    <row r="940" spans="1:9" hidden="1" x14ac:dyDescent="0.25">
      <c r="A940" s="1" t="s">
        <v>24</v>
      </c>
      <c r="B940" s="1" t="s">
        <v>67</v>
      </c>
      <c r="C940" s="1" t="s">
        <v>25</v>
      </c>
      <c r="D940" s="1">
        <v>0</v>
      </c>
      <c r="E940" s="1">
        <v>-406.89</v>
      </c>
      <c r="F940" s="1">
        <v>0</v>
      </c>
      <c r="G940" s="1">
        <v>5492.9889999999996</v>
      </c>
      <c r="H940" s="1">
        <v>0</v>
      </c>
      <c r="I940" s="1">
        <v>-1989.231</v>
      </c>
    </row>
    <row r="941" spans="1:9" hidden="1" x14ac:dyDescent="0.25">
      <c r="A941" s="1" t="s">
        <v>24</v>
      </c>
      <c r="B941" s="1" t="s">
        <v>67</v>
      </c>
      <c r="C941" s="1" t="s">
        <v>10</v>
      </c>
      <c r="D941" s="1">
        <v>0</v>
      </c>
      <c r="E941" s="1">
        <v>-406.89</v>
      </c>
      <c r="F941" s="1">
        <v>0</v>
      </c>
      <c r="G941" s="1">
        <v>5492.9889999999996</v>
      </c>
      <c r="H941" s="1">
        <v>0</v>
      </c>
      <c r="I941" s="1">
        <v>-3616.7829999999999</v>
      </c>
    </row>
    <row r="942" spans="1:9" hidden="1" x14ac:dyDescent="0.25">
      <c r="A942" s="1" t="s">
        <v>24</v>
      </c>
      <c r="B942" s="1" t="s">
        <v>68</v>
      </c>
      <c r="C942" s="1" t="s">
        <v>25</v>
      </c>
      <c r="D942" s="1">
        <v>0</v>
      </c>
      <c r="E942" s="1">
        <v>406.89</v>
      </c>
      <c r="F942" s="1">
        <v>0</v>
      </c>
      <c r="G942" s="1">
        <v>-6713.6530000000002</v>
      </c>
      <c r="H942" s="1">
        <v>0</v>
      </c>
      <c r="I942" s="1">
        <v>1989.231</v>
      </c>
    </row>
    <row r="943" spans="1:9" hidden="1" x14ac:dyDescent="0.25">
      <c r="A943" s="1" t="s">
        <v>24</v>
      </c>
      <c r="B943" s="1" t="s">
        <v>68</v>
      </c>
      <c r="C943" s="1" t="s">
        <v>10</v>
      </c>
      <c r="D943" s="1">
        <v>0</v>
      </c>
      <c r="E943" s="1">
        <v>406.89</v>
      </c>
      <c r="F943" s="1">
        <v>0</v>
      </c>
      <c r="G943" s="1">
        <v>-6713.6530000000002</v>
      </c>
      <c r="H943" s="1">
        <v>0</v>
      </c>
      <c r="I943" s="1">
        <v>3616.7829999999999</v>
      </c>
    </row>
    <row r="944" spans="1:9" hidden="1" x14ac:dyDescent="0.25">
      <c r="A944" s="1" t="s">
        <v>24</v>
      </c>
      <c r="B944" s="1" t="s">
        <v>69</v>
      </c>
      <c r="C944" s="1" t="s">
        <v>25</v>
      </c>
      <c r="D944" s="1">
        <v>0</v>
      </c>
      <c r="E944" s="1">
        <v>406.89</v>
      </c>
      <c r="F944" s="1">
        <v>0</v>
      </c>
      <c r="G944" s="1">
        <v>-5492.9889999999996</v>
      </c>
      <c r="H944" s="1">
        <v>0</v>
      </c>
      <c r="I944" s="1">
        <v>1989.231</v>
      </c>
    </row>
    <row r="945" spans="1:9" hidden="1" x14ac:dyDescent="0.25">
      <c r="A945" s="1" t="s">
        <v>24</v>
      </c>
      <c r="B945" s="1" t="s">
        <v>69</v>
      </c>
      <c r="C945" s="1" t="s">
        <v>10</v>
      </c>
      <c r="D945" s="1">
        <v>0</v>
      </c>
      <c r="E945" s="1">
        <v>406.89</v>
      </c>
      <c r="F945" s="1">
        <v>0</v>
      </c>
      <c r="G945" s="1">
        <v>-5492.9889999999996</v>
      </c>
      <c r="H945" s="1">
        <v>0</v>
      </c>
      <c r="I945" s="1">
        <v>3616.7829999999999</v>
      </c>
    </row>
    <row r="946" spans="1:9" hidden="1" x14ac:dyDescent="0.25">
      <c r="A946" s="1" t="s">
        <v>24</v>
      </c>
      <c r="B946" s="1" t="s">
        <v>70</v>
      </c>
      <c r="C946" s="1" t="s">
        <v>25</v>
      </c>
      <c r="D946" s="1">
        <v>0</v>
      </c>
      <c r="E946" s="1">
        <v>0</v>
      </c>
      <c r="F946" s="1">
        <v>-491.83</v>
      </c>
      <c r="G946" s="1">
        <v>-9738.2049999999999</v>
      </c>
      <c r="H946" s="1">
        <v>2404.4949999999999</v>
      </c>
      <c r="I946" s="1">
        <v>0</v>
      </c>
    </row>
    <row r="947" spans="1:9" hidden="1" x14ac:dyDescent="0.25">
      <c r="A947" s="1" t="s">
        <v>24</v>
      </c>
      <c r="B947" s="1" t="s">
        <v>70</v>
      </c>
      <c r="C947" s="1" t="s">
        <v>10</v>
      </c>
      <c r="D947" s="1">
        <v>0</v>
      </c>
      <c r="E947" s="1">
        <v>0</v>
      </c>
      <c r="F947" s="1">
        <v>-491.83</v>
      </c>
      <c r="G947" s="1">
        <v>-9738.2049999999999</v>
      </c>
      <c r="H947" s="1">
        <v>4371.8090000000002</v>
      </c>
      <c r="I947" s="1">
        <v>0</v>
      </c>
    </row>
    <row r="948" spans="1:9" hidden="1" x14ac:dyDescent="0.25">
      <c r="A948" s="1" t="s">
        <v>24</v>
      </c>
      <c r="B948" s="1" t="s">
        <v>71</v>
      </c>
      <c r="C948" s="1" t="s">
        <v>25</v>
      </c>
      <c r="D948" s="1">
        <v>0</v>
      </c>
      <c r="E948" s="1">
        <v>0</v>
      </c>
      <c r="F948" s="1">
        <v>-491.83</v>
      </c>
      <c r="G948" s="1">
        <v>-7967.6229999999996</v>
      </c>
      <c r="H948" s="1">
        <v>2404.4949999999999</v>
      </c>
      <c r="I948" s="1">
        <v>0</v>
      </c>
    </row>
    <row r="949" spans="1:9" hidden="1" x14ac:dyDescent="0.25">
      <c r="A949" s="1" t="s">
        <v>24</v>
      </c>
      <c r="B949" s="1" t="s">
        <v>71</v>
      </c>
      <c r="C949" s="1" t="s">
        <v>10</v>
      </c>
      <c r="D949" s="1">
        <v>0</v>
      </c>
      <c r="E949" s="1">
        <v>0</v>
      </c>
      <c r="F949" s="1">
        <v>-491.83</v>
      </c>
      <c r="G949" s="1">
        <v>-7967.6229999999996</v>
      </c>
      <c r="H949" s="1">
        <v>4371.8090000000002</v>
      </c>
      <c r="I949" s="1">
        <v>0</v>
      </c>
    </row>
    <row r="950" spans="1:9" hidden="1" x14ac:dyDescent="0.25">
      <c r="A950" s="1" t="s">
        <v>24</v>
      </c>
      <c r="B950" s="1" t="s">
        <v>72</v>
      </c>
      <c r="C950" s="1" t="s">
        <v>25</v>
      </c>
      <c r="D950" s="1">
        <v>0</v>
      </c>
      <c r="E950" s="1">
        <v>0</v>
      </c>
      <c r="F950" s="1">
        <v>491.83</v>
      </c>
      <c r="G950" s="1">
        <v>9738.2049999999999</v>
      </c>
      <c r="H950" s="1">
        <v>-2404.4949999999999</v>
      </c>
      <c r="I950" s="1">
        <v>0</v>
      </c>
    </row>
    <row r="951" spans="1:9" hidden="1" x14ac:dyDescent="0.25">
      <c r="A951" s="1" t="s">
        <v>24</v>
      </c>
      <c r="B951" s="1" t="s">
        <v>72</v>
      </c>
      <c r="C951" s="1" t="s">
        <v>10</v>
      </c>
      <c r="D951" s="1">
        <v>0</v>
      </c>
      <c r="E951" s="1">
        <v>0</v>
      </c>
      <c r="F951" s="1">
        <v>491.83</v>
      </c>
      <c r="G951" s="1">
        <v>9738.2049999999999</v>
      </c>
      <c r="H951" s="1">
        <v>-4371.8090000000002</v>
      </c>
      <c r="I951" s="1">
        <v>0</v>
      </c>
    </row>
    <row r="952" spans="1:9" hidden="1" x14ac:dyDescent="0.25">
      <c r="A952" s="1" t="s">
        <v>24</v>
      </c>
      <c r="B952" s="1" t="s">
        <v>73</v>
      </c>
      <c r="C952" s="1" t="s">
        <v>25</v>
      </c>
      <c r="D952" s="1">
        <v>0</v>
      </c>
      <c r="E952" s="1">
        <v>0</v>
      </c>
      <c r="F952" s="1">
        <v>491.83</v>
      </c>
      <c r="G952" s="1">
        <v>7967.6229999999996</v>
      </c>
      <c r="H952" s="1">
        <v>-2404.4949999999999</v>
      </c>
      <c r="I952" s="1">
        <v>0</v>
      </c>
    </row>
    <row r="953" spans="1:9" hidden="1" x14ac:dyDescent="0.25">
      <c r="A953" s="1" t="s">
        <v>24</v>
      </c>
      <c r="B953" s="1" t="s">
        <v>73</v>
      </c>
      <c r="C953" s="1" t="s">
        <v>10</v>
      </c>
      <c r="D953" s="1">
        <v>0</v>
      </c>
      <c r="E953" s="1">
        <v>0</v>
      </c>
      <c r="F953" s="1">
        <v>491.83</v>
      </c>
      <c r="G953" s="1">
        <v>7967.6229999999996</v>
      </c>
      <c r="H953" s="1">
        <v>-4371.8090000000002</v>
      </c>
      <c r="I953" s="1">
        <v>0</v>
      </c>
    </row>
    <row r="954" spans="1:9" hidden="1" x14ac:dyDescent="0.25">
      <c r="A954" s="1" t="s">
        <v>24</v>
      </c>
      <c r="B954" s="1" t="s">
        <v>74</v>
      </c>
      <c r="C954" s="1" t="s">
        <v>25</v>
      </c>
      <c r="D954" s="1">
        <v>0</v>
      </c>
      <c r="E954" s="1">
        <v>-406.89</v>
      </c>
      <c r="F954" s="1">
        <v>0</v>
      </c>
      <c r="G954" s="1">
        <v>6713.6530000000002</v>
      </c>
      <c r="H954" s="1">
        <v>0</v>
      </c>
      <c r="I954" s="1">
        <v>-1989.231</v>
      </c>
    </row>
    <row r="955" spans="1:9" hidden="1" x14ac:dyDescent="0.25">
      <c r="A955" s="1" t="s">
        <v>24</v>
      </c>
      <c r="B955" s="1" t="s">
        <v>74</v>
      </c>
      <c r="C955" s="1" t="s">
        <v>10</v>
      </c>
      <c r="D955" s="1">
        <v>0</v>
      </c>
      <c r="E955" s="1">
        <v>-406.89</v>
      </c>
      <c r="F955" s="1">
        <v>0</v>
      </c>
      <c r="G955" s="1">
        <v>6713.6530000000002</v>
      </c>
      <c r="H955" s="1">
        <v>0</v>
      </c>
      <c r="I955" s="1">
        <v>-3616.7829999999999</v>
      </c>
    </row>
    <row r="956" spans="1:9" hidden="1" x14ac:dyDescent="0.25">
      <c r="A956" s="1" t="s">
        <v>24</v>
      </c>
      <c r="B956" s="1" t="s">
        <v>75</v>
      </c>
      <c r="C956" s="1" t="s">
        <v>25</v>
      </c>
      <c r="D956" s="1">
        <v>0</v>
      </c>
      <c r="E956" s="1">
        <v>-406.89</v>
      </c>
      <c r="F956" s="1">
        <v>0</v>
      </c>
      <c r="G956" s="1">
        <v>5492.9889999999996</v>
      </c>
      <c r="H956" s="1">
        <v>0</v>
      </c>
      <c r="I956" s="1">
        <v>-1989.231</v>
      </c>
    </row>
    <row r="957" spans="1:9" hidden="1" x14ac:dyDescent="0.25">
      <c r="A957" s="1" t="s">
        <v>24</v>
      </c>
      <c r="B957" s="1" t="s">
        <v>75</v>
      </c>
      <c r="C957" s="1" t="s">
        <v>10</v>
      </c>
      <c r="D957" s="1">
        <v>0</v>
      </c>
      <c r="E957" s="1">
        <v>-406.89</v>
      </c>
      <c r="F957" s="1">
        <v>0</v>
      </c>
      <c r="G957" s="1">
        <v>5492.9889999999996</v>
      </c>
      <c r="H957" s="1">
        <v>0</v>
      </c>
      <c r="I957" s="1">
        <v>-3616.7829999999999</v>
      </c>
    </row>
    <row r="958" spans="1:9" hidden="1" x14ac:dyDescent="0.25">
      <c r="A958" s="1" t="s">
        <v>24</v>
      </c>
      <c r="B958" s="1" t="s">
        <v>76</v>
      </c>
      <c r="C958" s="1" t="s">
        <v>25</v>
      </c>
      <c r="D958" s="1">
        <v>0</v>
      </c>
      <c r="E958" s="1">
        <v>406.89</v>
      </c>
      <c r="F958" s="1">
        <v>0</v>
      </c>
      <c r="G958" s="1">
        <v>-6713.6530000000002</v>
      </c>
      <c r="H958" s="1">
        <v>0</v>
      </c>
      <c r="I958" s="1">
        <v>1989.231</v>
      </c>
    </row>
    <row r="959" spans="1:9" hidden="1" x14ac:dyDescent="0.25">
      <c r="A959" s="1" t="s">
        <v>24</v>
      </c>
      <c r="B959" s="1" t="s">
        <v>76</v>
      </c>
      <c r="C959" s="1" t="s">
        <v>10</v>
      </c>
      <c r="D959" s="1">
        <v>0</v>
      </c>
      <c r="E959" s="1">
        <v>406.89</v>
      </c>
      <c r="F959" s="1">
        <v>0</v>
      </c>
      <c r="G959" s="1">
        <v>-6713.6530000000002</v>
      </c>
      <c r="H959" s="1">
        <v>0</v>
      </c>
      <c r="I959" s="1">
        <v>3616.7829999999999</v>
      </c>
    </row>
    <row r="960" spans="1:9" hidden="1" x14ac:dyDescent="0.25">
      <c r="A960" s="1" t="s">
        <v>24</v>
      </c>
      <c r="B960" s="1" t="s">
        <v>77</v>
      </c>
      <c r="C960" s="1" t="s">
        <v>25</v>
      </c>
      <c r="D960" s="1">
        <v>0</v>
      </c>
      <c r="E960" s="1">
        <v>406.89</v>
      </c>
      <c r="F960" s="1">
        <v>0</v>
      </c>
      <c r="G960" s="1">
        <v>-5492.9889999999996</v>
      </c>
      <c r="H960" s="1">
        <v>0</v>
      </c>
      <c r="I960" s="1">
        <v>1989.231</v>
      </c>
    </row>
    <row r="961" spans="1:9" hidden="1" x14ac:dyDescent="0.25">
      <c r="A961" s="1" t="s">
        <v>24</v>
      </c>
      <c r="B961" s="1" t="s">
        <v>77</v>
      </c>
      <c r="C961" s="1" t="s">
        <v>10</v>
      </c>
      <c r="D961" s="1">
        <v>0</v>
      </c>
      <c r="E961" s="1">
        <v>406.89</v>
      </c>
      <c r="F961" s="1">
        <v>0</v>
      </c>
      <c r="G961" s="1">
        <v>-5492.9889999999996</v>
      </c>
      <c r="H961" s="1">
        <v>0</v>
      </c>
      <c r="I961" s="1">
        <v>3616.7829999999999</v>
      </c>
    </row>
    <row r="962" spans="1:9" hidden="1" x14ac:dyDescent="0.25">
      <c r="A962" s="1" t="s">
        <v>24</v>
      </c>
      <c r="B962" s="1" t="s">
        <v>78</v>
      </c>
      <c r="C962" s="1" t="s">
        <v>25</v>
      </c>
      <c r="D962" s="1">
        <v>0</v>
      </c>
      <c r="E962" s="1">
        <v>0</v>
      </c>
      <c r="F962" s="1">
        <v>-491.83</v>
      </c>
      <c r="G962" s="1">
        <v>-9738.2049999999999</v>
      </c>
      <c r="H962" s="1">
        <v>2404.4949999999999</v>
      </c>
      <c r="I962" s="1">
        <v>0</v>
      </c>
    </row>
    <row r="963" spans="1:9" hidden="1" x14ac:dyDescent="0.25">
      <c r="A963" s="1" t="s">
        <v>24</v>
      </c>
      <c r="B963" s="1" t="s">
        <v>78</v>
      </c>
      <c r="C963" s="1" t="s">
        <v>10</v>
      </c>
      <c r="D963" s="1">
        <v>0</v>
      </c>
      <c r="E963" s="1">
        <v>0</v>
      </c>
      <c r="F963" s="1">
        <v>-491.83</v>
      </c>
      <c r="G963" s="1">
        <v>-9738.2049999999999</v>
      </c>
      <c r="H963" s="1">
        <v>4371.8090000000002</v>
      </c>
      <c r="I963" s="1">
        <v>0</v>
      </c>
    </row>
    <row r="964" spans="1:9" hidden="1" x14ac:dyDescent="0.25">
      <c r="A964" s="1" t="s">
        <v>24</v>
      </c>
      <c r="B964" s="1" t="s">
        <v>79</v>
      </c>
      <c r="C964" s="1" t="s">
        <v>25</v>
      </c>
      <c r="D964" s="1">
        <v>0</v>
      </c>
      <c r="E964" s="1">
        <v>0</v>
      </c>
      <c r="F964" s="1">
        <v>-491.83</v>
      </c>
      <c r="G964" s="1">
        <v>-7967.6229999999996</v>
      </c>
      <c r="H964" s="1">
        <v>2404.4949999999999</v>
      </c>
      <c r="I964" s="1">
        <v>0</v>
      </c>
    </row>
    <row r="965" spans="1:9" hidden="1" x14ac:dyDescent="0.25">
      <c r="A965" s="1" t="s">
        <v>24</v>
      </c>
      <c r="B965" s="1" t="s">
        <v>79</v>
      </c>
      <c r="C965" s="1" t="s">
        <v>10</v>
      </c>
      <c r="D965" s="1">
        <v>0</v>
      </c>
      <c r="E965" s="1">
        <v>0</v>
      </c>
      <c r="F965" s="1">
        <v>-491.83</v>
      </c>
      <c r="G965" s="1">
        <v>-7967.6229999999996</v>
      </c>
      <c r="H965" s="1">
        <v>4371.8090000000002</v>
      </c>
      <c r="I965" s="1">
        <v>0</v>
      </c>
    </row>
    <row r="966" spans="1:9" hidden="1" x14ac:dyDescent="0.25">
      <c r="A966" s="1" t="s">
        <v>24</v>
      </c>
      <c r="B966" s="1" t="s">
        <v>80</v>
      </c>
      <c r="C966" s="1" t="s">
        <v>25</v>
      </c>
      <c r="D966" s="1">
        <v>0</v>
      </c>
      <c r="E966" s="1">
        <v>0</v>
      </c>
      <c r="F966" s="1">
        <v>491.83</v>
      </c>
      <c r="G966" s="1">
        <v>9738.2049999999999</v>
      </c>
      <c r="H966" s="1">
        <v>-2404.4949999999999</v>
      </c>
      <c r="I966" s="1">
        <v>0</v>
      </c>
    </row>
    <row r="967" spans="1:9" hidden="1" x14ac:dyDescent="0.25">
      <c r="A967" s="1" t="s">
        <v>24</v>
      </c>
      <c r="B967" s="1" t="s">
        <v>80</v>
      </c>
      <c r="C967" s="1" t="s">
        <v>10</v>
      </c>
      <c r="D967" s="1">
        <v>0</v>
      </c>
      <c r="E967" s="1">
        <v>0</v>
      </c>
      <c r="F967" s="1">
        <v>491.83</v>
      </c>
      <c r="G967" s="1">
        <v>9738.2049999999999</v>
      </c>
      <c r="H967" s="1">
        <v>-4371.8090000000002</v>
      </c>
      <c r="I967" s="1">
        <v>0</v>
      </c>
    </row>
    <row r="968" spans="1:9" hidden="1" x14ac:dyDescent="0.25">
      <c r="A968" s="1" t="s">
        <v>24</v>
      </c>
      <c r="B968" s="1" t="s">
        <v>81</v>
      </c>
      <c r="C968" s="1" t="s">
        <v>25</v>
      </c>
      <c r="D968" s="1">
        <v>0</v>
      </c>
      <c r="E968" s="1">
        <v>0</v>
      </c>
      <c r="F968" s="1">
        <v>491.83</v>
      </c>
      <c r="G968" s="1">
        <v>7967.6229999999996</v>
      </c>
      <c r="H968" s="1">
        <v>-2404.4949999999999</v>
      </c>
      <c r="I968" s="1">
        <v>0</v>
      </c>
    </row>
    <row r="969" spans="1:9" hidden="1" x14ac:dyDescent="0.25">
      <c r="A969" s="1" t="s">
        <v>24</v>
      </c>
      <c r="B969" s="1" t="s">
        <v>81</v>
      </c>
      <c r="C969" s="1" t="s">
        <v>10</v>
      </c>
      <c r="D969" s="1">
        <v>0</v>
      </c>
      <c r="E969" s="1">
        <v>0</v>
      </c>
      <c r="F969" s="1">
        <v>491.83</v>
      </c>
      <c r="G969" s="1">
        <v>7967.6229999999996</v>
      </c>
      <c r="H969" s="1">
        <v>-4371.8090000000002</v>
      </c>
      <c r="I969" s="1">
        <v>0</v>
      </c>
    </row>
    <row r="970" spans="1:9" hidden="1" x14ac:dyDescent="0.25">
      <c r="A970" s="1" t="s">
        <v>24</v>
      </c>
      <c r="B970" s="1" t="s">
        <v>82</v>
      </c>
      <c r="C970" s="1" t="s">
        <v>25</v>
      </c>
      <c r="D970" s="1">
        <v>0</v>
      </c>
      <c r="E970" s="1">
        <v>-122.07</v>
      </c>
      <c r="F970" s="1">
        <v>0</v>
      </c>
      <c r="G970" s="1">
        <v>2014.096</v>
      </c>
      <c r="H970" s="1">
        <v>0</v>
      </c>
      <c r="I970" s="1">
        <v>-596.76900000000001</v>
      </c>
    </row>
    <row r="971" spans="1:9" hidden="1" x14ac:dyDescent="0.25">
      <c r="A971" s="1" t="s">
        <v>24</v>
      </c>
      <c r="B971" s="1" t="s">
        <v>82</v>
      </c>
      <c r="C971" s="1" t="s">
        <v>10</v>
      </c>
      <c r="D971" s="1">
        <v>0</v>
      </c>
      <c r="E971" s="1">
        <v>-122.07</v>
      </c>
      <c r="F971" s="1">
        <v>0</v>
      </c>
      <c r="G971" s="1">
        <v>2014.096</v>
      </c>
      <c r="H971" s="1">
        <v>0</v>
      </c>
      <c r="I971" s="1">
        <v>-1085.0350000000001</v>
      </c>
    </row>
    <row r="972" spans="1:9" hidden="1" x14ac:dyDescent="0.25">
      <c r="A972" s="1" t="s">
        <v>24</v>
      </c>
      <c r="B972" s="1" t="s">
        <v>83</v>
      </c>
      <c r="C972" s="1" t="s">
        <v>25</v>
      </c>
      <c r="D972" s="1">
        <v>0</v>
      </c>
      <c r="E972" s="1">
        <v>-122.07</v>
      </c>
      <c r="F972" s="1">
        <v>0</v>
      </c>
      <c r="G972" s="1">
        <v>1647.8969999999999</v>
      </c>
      <c r="H972" s="1">
        <v>0</v>
      </c>
      <c r="I972" s="1">
        <v>-596.76900000000001</v>
      </c>
    </row>
    <row r="973" spans="1:9" hidden="1" x14ac:dyDescent="0.25">
      <c r="A973" s="1" t="s">
        <v>24</v>
      </c>
      <c r="B973" s="1" t="s">
        <v>83</v>
      </c>
      <c r="C973" s="1" t="s">
        <v>10</v>
      </c>
      <c r="D973" s="1">
        <v>0</v>
      </c>
      <c r="E973" s="1">
        <v>-122.07</v>
      </c>
      <c r="F973" s="1">
        <v>0</v>
      </c>
      <c r="G973" s="1">
        <v>1647.8969999999999</v>
      </c>
      <c r="H973" s="1">
        <v>0</v>
      </c>
      <c r="I973" s="1">
        <v>-1085.0350000000001</v>
      </c>
    </row>
    <row r="974" spans="1:9" hidden="1" x14ac:dyDescent="0.25">
      <c r="A974" s="1" t="s">
        <v>24</v>
      </c>
      <c r="B974" s="1" t="s">
        <v>84</v>
      </c>
      <c r="C974" s="1" t="s">
        <v>25</v>
      </c>
      <c r="D974" s="1">
        <v>0</v>
      </c>
      <c r="E974" s="1">
        <v>122.07</v>
      </c>
      <c r="F974" s="1">
        <v>0</v>
      </c>
      <c r="G974" s="1">
        <v>-2014.096</v>
      </c>
      <c r="H974" s="1">
        <v>0</v>
      </c>
      <c r="I974" s="1">
        <v>596.76900000000001</v>
      </c>
    </row>
    <row r="975" spans="1:9" hidden="1" x14ac:dyDescent="0.25">
      <c r="A975" s="1" t="s">
        <v>24</v>
      </c>
      <c r="B975" s="1" t="s">
        <v>84</v>
      </c>
      <c r="C975" s="1" t="s">
        <v>10</v>
      </c>
      <c r="D975" s="1">
        <v>0</v>
      </c>
      <c r="E975" s="1">
        <v>122.07</v>
      </c>
      <c r="F975" s="1">
        <v>0</v>
      </c>
      <c r="G975" s="1">
        <v>-2014.096</v>
      </c>
      <c r="H975" s="1">
        <v>0</v>
      </c>
      <c r="I975" s="1">
        <v>1085.0350000000001</v>
      </c>
    </row>
    <row r="976" spans="1:9" hidden="1" x14ac:dyDescent="0.25">
      <c r="A976" s="1" t="s">
        <v>24</v>
      </c>
      <c r="B976" s="1" t="s">
        <v>85</v>
      </c>
      <c r="C976" s="1" t="s">
        <v>25</v>
      </c>
      <c r="D976" s="1">
        <v>0</v>
      </c>
      <c r="E976" s="1">
        <v>122.07</v>
      </c>
      <c r="F976" s="1">
        <v>0</v>
      </c>
      <c r="G976" s="1">
        <v>-1647.8969999999999</v>
      </c>
      <c r="H976" s="1">
        <v>0</v>
      </c>
      <c r="I976" s="1">
        <v>596.76900000000001</v>
      </c>
    </row>
    <row r="977" spans="1:9" hidden="1" x14ac:dyDescent="0.25">
      <c r="A977" s="1" t="s">
        <v>24</v>
      </c>
      <c r="B977" s="1" t="s">
        <v>85</v>
      </c>
      <c r="C977" s="1" t="s">
        <v>10</v>
      </c>
      <c r="D977" s="1">
        <v>0</v>
      </c>
      <c r="E977" s="1">
        <v>122.07</v>
      </c>
      <c r="F977" s="1">
        <v>0</v>
      </c>
      <c r="G977" s="1">
        <v>-1647.8969999999999</v>
      </c>
      <c r="H977" s="1">
        <v>0</v>
      </c>
      <c r="I977" s="1">
        <v>1085.0350000000001</v>
      </c>
    </row>
    <row r="978" spans="1:9" hidden="1" x14ac:dyDescent="0.25">
      <c r="A978" s="1" t="s">
        <v>24</v>
      </c>
      <c r="B978" s="1" t="s">
        <v>86</v>
      </c>
      <c r="C978" s="1" t="s">
        <v>25</v>
      </c>
      <c r="D978" s="1">
        <v>0</v>
      </c>
      <c r="E978" s="1">
        <v>0</v>
      </c>
      <c r="F978" s="1">
        <v>-147.55000000000001</v>
      </c>
      <c r="G978" s="1">
        <v>-2921.462</v>
      </c>
      <c r="H978" s="1">
        <v>721.34900000000005</v>
      </c>
      <c r="I978" s="1">
        <v>0</v>
      </c>
    </row>
    <row r="979" spans="1:9" hidden="1" x14ac:dyDescent="0.25">
      <c r="A979" s="1" t="s">
        <v>24</v>
      </c>
      <c r="B979" s="1" t="s">
        <v>86</v>
      </c>
      <c r="C979" s="1" t="s">
        <v>10</v>
      </c>
      <c r="D979" s="1">
        <v>0</v>
      </c>
      <c r="E979" s="1">
        <v>0</v>
      </c>
      <c r="F979" s="1">
        <v>-147.55000000000001</v>
      </c>
      <c r="G979" s="1">
        <v>-2921.462</v>
      </c>
      <c r="H979" s="1">
        <v>1311.5429999999999</v>
      </c>
      <c r="I979" s="1">
        <v>0</v>
      </c>
    </row>
    <row r="980" spans="1:9" hidden="1" x14ac:dyDescent="0.25">
      <c r="A980" s="1" t="s">
        <v>24</v>
      </c>
      <c r="B980" s="1" t="s">
        <v>87</v>
      </c>
      <c r="C980" s="1" t="s">
        <v>25</v>
      </c>
      <c r="D980" s="1">
        <v>0</v>
      </c>
      <c r="E980" s="1">
        <v>0</v>
      </c>
      <c r="F980" s="1">
        <v>-147.55000000000001</v>
      </c>
      <c r="G980" s="1">
        <v>-2390.2869999999998</v>
      </c>
      <c r="H980" s="1">
        <v>721.34900000000005</v>
      </c>
      <c r="I980" s="1">
        <v>0</v>
      </c>
    </row>
    <row r="981" spans="1:9" hidden="1" x14ac:dyDescent="0.25">
      <c r="A981" s="1" t="s">
        <v>24</v>
      </c>
      <c r="B981" s="1" t="s">
        <v>87</v>
      </c>
      <c r="C981" s="1" t="s">
        <v>10</v>
      </c>
      <c r="D981" s="1">
        <v>0</v>
      </c>
      <c r="E981" s="1">
        <v>0</v>
      </c>
      <c r="F981" s="1">
        <v>-147.55000000000001</v>
      </c>
      <c r="G981" s="1">
        <v>-2390.2869999999998</v>
      </c>
      <c r="H981" s="1">
        <v>1311.5429999999999</v>
      </c>
      <c r="I981" s="1">
        <v>0</v>
      </c>
    </row>
    <row r="982" spans="1:9" hidden="1" x14ac:dyDescent="0.25">
      <c r="A982" s="1" t="s">
        <v>24</v>
      </c>
      <c r="B982" s="1" t="s">
        <v>88</v>
      </c>
      <c r="C982" s="1" t="s">
        <v>25</v>
      </c>
      <c r="D982" s="1">
        <v>0</v>
      </c>
      <c r="E982" s="1">
        <v>0</v>
      </c>
      <c r="F982" s="1">
        <v>147.55000000000001</v>
      </c>
      <c r="G982" s="1">
        <v>2921.462</v>
      </c>
      <c r="H982" s="1">
        <v>-721.34900000000005</v>
      </c>
      <c r="I982" s="1">
        <v>0</v>
      </c>
    </row>
    <row r="983" spans="1:9" hidden="1" x14ac:dyDescent="0.25">
      <c r="A983" s="1" t="s">
        <v>24</v>
      </c>
      <c r="B983" s="1" t="s">
        <v>88</v>
      </c>
      <c r="C983" s="1" t="s">
        <v>10</v>
      </c>
      <c r="D983" s="1">
        <v>0</v>
      </c>
      <c r="E983" s="1">
        <v>0</v>
      </c>
      <c r="F983" s="1">
        <v>147.55000000000001</v>
      </c>
      <c r="G983" s="1">
        <v>2921.462</v>
      </c>
      <c r="H983" s="1">
        <v>-1311.5429999999999</v>
      </c>
      <c r="I983" s="1">
        <v>0</v>
      </c>
    </row>
    <row r="984" spans="1:9" hidden="1" x14ac:dyDescent="0.25">
      <c r="A984" s="1" t="s">
        <v>24</v>
      </c>
      <c r="B984" s="1" t="s">
        <v>89</v>
      </c>
      <c r="C984" s="1" t="s">
        <v>25</v>
      </c>
      <c r="D984" s="1">
        <v>0</v>
      </c>
      <c r="E984" s="1">
        <v>0</v>
      </c>
      <c r="F984" s="1">
        <v>147.55000000000001</v>
      </c>
      <c r="G984" s="1">
        <v>2390.2869999999998</v>
      </c>
      <c r="H984" s="1">
        <v>-721.34900000000005</v>
      </c>
      <c r="I984" s="1">
        <v>0</v>
      </c>
    </row>
    <row r="985" spans="1:9" hidden="1" x14ac:dyDescent="0.25">
      <c r="A985" s="1" t="s">
        <v>24</v>
      </c>
      <c r="B985" s="1" t="s">
        <v>89</v>
      </c>
      <c r="C985" s="1" t="s">
        <v>10</v>
      </c>
      <c r="D985" s="1">
        <v>0</v>
      </c>
      <c r="E985" s="1">
        <v>0</v>
      </c>
      <c r="F985" s="1">
        <v>147.55000000000001</v>
      </c>
      <c r="G985" s="1">
        <v>2390.2869999999998</v>
      </c>
      <c r="H985" s="1">
        <v>-1311.5429999999999</v>
      </c>
      <c r="I985" s="1">
        <v>0</v>
      </c>
    </row>
    <row r="986" spans="1:9" hidden="1" x14ac:dyDescent="0.25">
      <c r="A986" s="1" t="s">
        <v>24</v>
      </c>
      <c r="B986" s="1" t="s">
        <v>90</v>
      </c>
      <c r="C986" s="1" t="s">
        <v>25</v>
      </c>
      <c r="D986" s="1">
        <v>0</v>
      </c>
      <c r="E986" s="1">
        <v>-122.07</v>
      </c>
      <c r="F986" s="1">
        <v>0</v>
      </c>
      <c r="G986" s="1">
        <v>2014.096</v>
      </c>
      <c r="H986" s="1">
        <v>0</v>
      </c>
      <c r="I986" s="1">
        <v>-596.76900000000001</v>
      </c>
    </row>
    <row r="987" spans="1:9" hidden="1" x14ac:dyDescent="0.25">
      <c r="A987" s="1" t="s">
        <v>24</v>
      </c>
      <c r="B987" s="1" t="s">
        <v>90</v>
      </c>
      <c r="C987" s="1" t="s">
        <v>10</v>
      </c>
      <c r="D987" s="1">
        <v>0</v>
      </c>
      <c r="E987" s="1">
        <v>-122.07</v>
      </c>
      <c r="F987" s="1">
        <v>0</v>
      </c>
      <c r="G987" s="1">
        <v>2014.096</v>
      </c>
      <c r="H987" s="1">
        <v>0</v>
      </c>
      <c r="I987" s="1">
        <v>-1085.0350000000001</v>
      </c>
    </row>
    <row r="988" spans="1:9" hidden="1" x14ac:dyDescent="0.25">
      <c r="A988" s="1" t="s">
        <v>24</v>
      </c>
      <c r="B988" s="1" t="s">
        <v>91</v>
      </c>
      <c r="C988" s="1" t="s">
        <v>25</v>
      </c>
      <c r="D988" s="1">
        <v>0</v>
      </c>
      <c r="E988" s="1">
        <v>-122.07</v>
      </c>
      <c r="F988" s="1">
        <v>0</v>
      </c>
      <c r="G988" s="1">
        <v>1647.8969999999999</v>
      </c>
      <c r="H988" s="1">
        <v>0</v>
      </c>
      <c r="I988" s="1">
        <v>-596.76900000000001</v>
      </c>
    </row>
    <row r="989" spans="1:9" hidden="1" x14ac:dyDescent="0.25">
      <c r="A989" s="1" t="s">
        <v>24</v>
      </c>
      <c r="B989" s="1" t="s">
        <v>91</v>
      </c>
      <c r="C989" s="1" t="s">
        <v>10</v>
      </c>
      <c r="D989" s="1">
        <v>0</v>
      </c>
      <c r="E989" s="1">
        <v>-122.07</v>
      </c>
      <c r="F989" s="1">
        <v>0</v>
      </c>
      <c r="G989" s="1">
        <v>1647.8969999999999</v>
      </c>
      <c r="H989" s="1">
        <v>0</v>
      </c>
      <c r="I989" s="1">
        <v>-1085.0350000000001</v>
      </c>
    </row>
    <row r="990" spans="1:9" hidden="1" x14ac:dyDescent="0.25">
      <c r="A990" s="1" t="s">
        <v>24</v>
      </c>
      <c r="B990" s="1" t="s">
        <v>92</v>
      </c>
      <c r="C990" s="1" t="s">
        <v>25</v>
      </c>
      <c r="D990" s="1">
        <v>0</v>
      </c>
      <c r="E990" s="1">
        <v>122.07</v>
      </c>
      <c r="F990" s="1">
        <v>0</v>
      </c>
      <c r="G990" s="1">
        <v>-2014.096</v>
      </c>
      <c r="H990" s="1">
        <v>0</v>
      </c>
      <c r="I990" s="1">
        <v>596.76900000000001</v>
      </c>
    </row>
    <row r="991" spans="1:9" hidden="1" x14ac:dyDescent="0.25">
      <c r="A991" s="1" t="s">
        <v>24</v>
      </c>
      <c r="B991" s="1" t="s">
        <v>92</v>
      </c>
      <c r="C991" s="1" t="s">
        <v>10</v>
      </c>
      <c r="D991" s="1">
        <v>0</v>
      </c>
      <c r="E991" s="1">
        <v>122.07</v>
      </c>
      <c r="F991" s="1">
        <v>0</v>
      </c>
      <c r="G991" s="1">
        <v>-2014.096</v>
      </c>
      <c r="H991" s="1">
        <v>0</v>
      </c>
      <c r="I991" s="1">
        <v>1085.0350000000001</v>
      </c>
    </row>
    <row r="992" spans="1:9" hidden="1" x14ac:dyDescent="0.25">
      <c r="A992" s="1" t="s">
        <v>24</v>
      </c>
      <c r="B992" s="1" t="s">
        <v>93</v>
      </c>
      <c r="C992" s="1" t="s">
        <v>25</v>
      </c>
      <c r="D992" s="1">
        <v>0</v>
      </c>
      <c r="E992" s="1">
        <v>122.07</v>
      </c>
      <c r="F992" s="1">
        <v>0</v>
      </c>
      <c r="G992" s="1">
        <v>-1647.8969999999999</v>
      </c>
      <c r="H992" s="1">
        <v>0</v>
      </c>
      <c r="I992" s="1">
        <v>596.76900000000001</v>
      </c>
    </row>
    <row r="993" spans="1:9" hidden="1" x14ac:dyDescent="0.25">
      <c r="A993" s="1" t="s">
        <v>24</v>
      </c>
      <c r="B993" s="1" t="s">
        <v>93</v>
      </c>
      <c r="C993" s="1" t="s">
        <v>10</v>
      </c>
      <c r="D993" s="1">
        <v>0</v>
      </c>
      <c r="E993" s="1">
        <v>122.07</v>
      </c>
      <c r="F993" s="1">
        <v>0</v>
      </c>
      <c r="G993" s="1">
        <v>-1647.8969999999999</v>
      </c>
      <c r="H993" s="1">
        <v>0</v>
      </c>
      <c r="I993" s="1">
        <v>1085.0350000000001</v>
      </c>
    </row>
    <row r="994" spans="1:9" hidden="1" x14ac:dyDescent="0.25">
      <c r="A994" s="1" t="s">
        <v>24</v>
      </c>
      <c r="B994" s="1" t="s">
        <v>94</v>
      </c>
      <c r="C994" s="1" t="s">
        <v>25</v>
      </c>
      <c r="D994" s="1">
        <v>0</v>
      </c>
      <c r="E994" s="1">
        <v>0</v>
      </c>
      <c r="F994" s="1">
        <v>-147.55000000000001</v>
      </c>
      <c r="G994" s="1">
        <v>-2921.462</v>
      </c>
      <c r="H994" s="1">
        <v>721.34900000000005</v>
      </c>
      <c r="I994" s="1">
        <v>0</v>
      </c>
    </row>
    <row r="995" spans="1:9" hidden="1" x14ac:dyDescent="0.25">
      <c r="A995" s="1" t="s">
        <v>24</v>
      </c>
      <c r="B995" s="1" t="s">
        <v>94</v>
      </c>
      <c r="C995" s="1" t="s">
        <v>10</v>
      </c>
      <c r="D995" s="1">
        <v>0</v>
      </c>
      <c r="E995" s="1">
        <v>0</v>
      </c>
      <c r="F995" s="1">
        <v>-147.55000000000001</v>
      </c>
      <c r="G995" s="1">
        <v>-2921.462</v>
      </c>
      <c r="H995" s="1">
        <v>1311.5429999999999</v>
      </c>
      <c r="I995" s="1">
        <v>0</v>
      </c>
    </row>
    <row r="996" spans="1:9" hidden="1" x14ac:dyDescent="0.25">
      <c r="A996" s="1" t="s">
        <v>24</v>
      </c>
      <c r="B996" s="1" t="s">
        <v>95</v>
      </c>
      <c r="C996" s="1" t="s">
        <v>25</v>
      </c>
      <c r="D996" s="1">
        <v>0</v>
      </c>
      <c r="E996" s="1">
        <v>0</v>
      </c>
      <c r="F996" s="1">
        <v>-147.55000000000001</v>
      </c>
      <c r="G996" s="1">
        <v>-2390.2869999999998</v>
      </c>
      <c r="H996" s="1">
        <v>721.34900000000005</v>
      </c>
      <c r="I996" s="1">
        <v>0</v>
      </c>
    </row>
    <row r="997" spans="1:9" hidden="1" x14ac:dyDescent="0.25">
      <c r="A997" s="1" t="s">
        <v>24</v>
      </c>
      <c r="B997" s="1" t="s">
        <v>95</v>
      </c>
      <c r="C997" s="1" t="s">
        <v>10</v>
      </c>
      <c r="D997" s="1">
        <v>0</v>
      </c>
      <c r="E997" s="1">
        <v>0</v>
      </c>
      <c r="F997" s="1">
        <v>-147.55000000000001</v>
      </c>
      <c r="G997" s="1">
        <v>-2390.2869999999998</v>
      </c>
      <c r="H997" s="1">
        <v>1311.5429999999999</v>
      </c>
      <c r="I997" s="1">
        <v>0</v>
      </c>
    </row>
    <row r="998" spans="1:9" hidden="1" x14ac:dyDescent="0.25">
      <c r="A998" s="1" t="s">
        <v>24</v>
      </c>
      <c r="B998" s="1" t="s">
        <v>96</v>
      </c>
      <c r="C998" s="1" t="s">
        <v>25</v>
      </c>
      <c r="D998" s="1">
        <v>0</v>
      </c>
      <c r="E998" s="1">
        <v>0</v>
      </c>
      <c r="F998" s="1">
        <v>147.55000000000001</v>
      </c>
      <c r="G998" s="1">
        <v>2921.462</v>
      </c>
      <c r="H998" s="1">
        <v>-721.34900000000005</v>
      </c>
      <c r="I998" s="1">
        <v>0</v>
      </c>
    </row>
    <row r="999" spans="1:9" hidden="1" x14ac:dyDescent="0.25">
      <c r="A999" s="1" t="s">
        <v>24</v>
      </c>
      <c r="B999" s="1" t="s">
        <v>96</v>
      </c>
      <c r="C999" s="1" t="s">
        <v>10</v>
      </c>
      <c r="D999" s="1">
        <v>0</v>
      </c>
      <c r="E999" s="1">
        <v>0</v>
      </c>
      <c r="F999" s="1">
        <v>147.55000000000001</v>
      </c>
      <c r="G999" s="1">
        <v>2921.462</v>
      </c>
      <c r="H999" s="1">
        <v>-1311.5429999999999</v>
      </c>
      <c r="I999" s="1">
        <v>0</v>
      </c>
    </row>
    <row r="1000" spans="1:9" hidden="1" x14ac:dyDescent="0.25">
      <c r="A1000" s="1" t="s">
        <v>24</v>
      </c>
      <c r="B1000" s="1" t="s">
        <v>97</v>
      </c>
      <c r="C1000" s="1" t="s">
        <v>25</v>
      </c>
      <c r="D1000" s="1">
        <v>0</v>
      </c>
      <c r="E1000" s="1">
        <v>0</v>
      </c>
      <c r="F1000" s="1">
        <v>147.55000000000001</v>
      </c>
      <c r="G1000" s="1">
        <v>2390.2869999999998</v>
      </c>
      <c r="H1000" s="1">
        <v>-721.34900000000005</v>
      </c>
      <c r="I1000" s="1">
        <v>0</v>
      </c>
    </row>
    <row r="1001" spans="1:9" hidden="1" x14ac:dyDescent="0.25">
      <c r="A1001" s="1" t="s">
        <v>24</v>
      </c>
      <c r="B1001" s="1" t="s">
        <v>97</v>
      </c>
      <c r="C1001" s="1" t="s">
        <v>10</v>
      </c>
      <c r="D1001" s="1">
        <v>0</v>
      </c>
      <c r="E1001" s="1">
        <v>0</v>
      </c>
      <c r="F1001" s="1">
        <v>147.55000000000001</v>
      </c>
      <c r="G1001" s="1">
        <v>2390.2869999999998</v>
      </c>
      <c r="H1001" s="1">
        <v>-1311.5429999999999</v>
      </c>
      <c r="I1001" s="1">
        <v>0</v>
      </c>
    </row>
    <row r="1002" spans="1:9" hidden="1" x14ac:dyDescent="0.25">
      <c r="A1002" s="1" t="s">
        <v>24</v>
      </c>
      <c r="B1002" s="1" t="s">
        <v>14</v>
      </c>
      <c r="C1002" s="1" t="s">
        <v>25</v>
      </c>
      <c r="D1002" s="1">
        <v>0</v>
      </c>
      <c r="E1002" s="1">
        <v>239.45</v>
      </c>
      <c r="F1002" s="1">
        <v>0</v>
      </c>
      <c r="G1002" s="1">
        <v>4137.8370000000004</v>
      </c>
      <c r="H1002" s="1">
        <v>0</v>
      </c>
      <c r="I1002" s="1">
        <v>1271.7080000000001</v>
      </c>
    </row>
    <row r="1003" spans="1:9" hidden="1" x14ac:dyDescent="0.25">
      <c r="A1003" s="1" t="s">
        <v>24</v>
      </c>
      <c r="B1003" s="1" t="s">
        <v>14</v>
      </c>
      <c r="C1003" s="1" t="s">
        <v>10</v>
      </c>
      <c r="D1003" s="1">
        <v>0</v>
      </c>
      <c r="E1003" s="1">
        <v>239.45</v>
      </c>
      <c r="F1003" s="1">
        <v>0</v>
      </c>
      <c r="G1003" s="1">
        <v>4137.8370000000004</v>
      </c>
      <c r="H1003" s="1">
        <v>0</v>
      </c>
      <c r="I1003" s="1">
        <v>2110.34</v>
      </c>
    </row>
    <row r="1004" spans="1:9" hidden="1" x14ac:dyDescent="0.25">
      <c r="A1004" s="1" t="s">
        <v>24</v>
      </c>
      <c r="B1004" s="1" t="s">
        <v>98</v>
      </c>
      <c r="C1004" s="1" t="s">
        <v>25</v>
      </c>
      <c r="D1004" s="1">
        <v>0</v>
      </c>
      <c r="E1004" s="1">
        <v>-239.45</v>
      </c>
      <c r="F1004" s="1">
        <v>0</v>
      </c>
      <c r="G1004" s="1">
        <v>-4137.8370000000004</v>
      </c>
      <c r="H1004" s="1">
        <v>0</v>
      </c>
      <c r="I1004" s="1">
        <v>-1271.7080000000001</v>
      </c>
    </row>
    <row r="1005" spans="1:9" hidden="1" x14ac:dyDescent="0.25">
      <c r="A1005" s="1" t="s">
        <v>24</v>
      </c>
      <c r="B1005" s="1" t="s">
        <v>98</v>
      </c>
      <c r="C1005" s="1" t="s">
        <v>10</v>
      </c>
      <c r="D1005" s="1">
        <v>0</v>
      </c>
      <c r="E1005" s="1">
        <v>-239.45</v>
      </c>
      <c r="F1005" s="1">
        <v>0</v>
      </c>
      <c r="G1005" s="1">
        <v>-4137.8370000000004</v>
      </c>
      <c r="H1005" s="1">
        <v>0</v>
      </c>
      <c r="I1005" s="1">
        <v>-2110.34</v>
      </c>
    </row>
    <row r="1006" spans="1:9" hidden="1" x14ac:dyDescent="0.25">
      <c r="A1006" s="1" t="s">
        <v>24</v>
      </c>
      <c r="B1006" s="1" t="s">
        <v>15</v>
      </c>
      <c r="C1006" s="1" t="s">
        <v>25</v>
      </c>
      <c r="D1006" s="1">
        <v>0</v>
      </c>
      <c r="E1006" s="1">
        <v>0</v>
      </c>
      <c r="F1006" s="1">
        <v>604.76</v>
      </c>
      <c r="G1006" s="1">
        <v>12115.743</v>
      </c>
      <c r="H1006" s="1">
        <v>3071.299</v>
      </c>
      <c r="I1006" s="1">
        <v>0</v>
      </c>
    </row>
    <row r="1007" spans="1:9" hidden="1" x14ac:dyDescent="0.25">
      <c r="A1007" s="1" t="s">
        <v>24</v>
      </c>
      <c r="B1007" s="1" t="s">
        <v>15</v>
      </c>
      <c r="C1007" s="1" t="s">
        <v>10</v>
      </c>
      <c r="D1007" s="1">
        <v>0</v>
      </c>
      <c r="E1007" s="1">
        <v>0</v>
      </c>
      <c r="F1007" s="1">
        <v>604.76</v>
      </c>
      <c r="G1007" s="1">
        <v>12115.743</v>
      </c>
      <c r="H1007" s="1">
        <v>5424.0720000000001</v>
      </c>
      <c r="I1007" s="1">
        <v>0</v>
      </c>
    </row>
    <row r="1008" spans="1:9" hidden="1" x14ac:dyDescent="0.25">
      <c r="A1008" s="1" t="s">
        <v>24</v>
      </c>
      <c r="B1008" s="1" t="s">
        <v>99</v>
      </c>
      <c r="C1008" s="1" t="s">
        <v>25</v>
      </c>
      <c r="D1008" s="1">
        <v>0</v>
      </c>
      <c r="E1008" s="1">
        <v>0</v>
      </c>
      <c r="F1008" s="1">
        <v>-604.76</v>
      </c>
      <c r="G1008" s="1">
        <v>-12115.743</v>
      </c>
      <c r="H1008" s="1">
        <v>-3071.299</v>
      </c>
      <c r="I1008" s="1">
        <v>0</v>
      </c>
    </row>
    <row r="1009" spans="1:9" hidden="1" x14ac:dyDescent="0.25">
      <c r="A1009" s="1" t="s">
        <v>24</v>
      </c>
      <c r="B1009" s="1" t="s">
        <v>99</v>
      </c>
      <c r="C1009" s="1" t="s">
        <v>10</v>
      </c>
      <c r="D1009" s="1">
        <v>0</v>
      </c>
      <c r="E1009" s="1">
        <v>0</v>
      </c>
      <c r="F1009" s="1">
        <v>-604.76</v>
      </c>
      <c r="G1009" s="1">
        <v>-12115.743</v>
      </c>
      <c r="H1009" s="1">
        <v>-5424.0720000000001</v>
      </c>
      <c r="I1009" s="1">
        <v>0</v>
      </c>
    </row>
    <row r="1010" spans="1:9" hidden="1" x14ac:dyDescent="0.25">
      <c r="A1010" s="1" t="s">
        <v>24</v>
      </c>
      <c r="B1010" s="1" t="s">
        <v>100</v>
      </c>
      <c r="C1010" s="1" t="s">
        <v>25</v>
      </c>
      <c r="D1010" s="1">
        <v>0</v>
      </c>
      <c r="E1010" s="1">
        <v>239.45</v>
      </c>
      <c r="F1010" s="1">
        <v>0</v>
      </c>
      <c r="G1010" s="1">
        <v>4137.8370000000004</v>
      </c>
      <c r="H1010" s="1">
        <v>0</v>
      </c>
      <c r="I1010" s="1">
        <v>1271.7080000000001</v>
      </c>
    </row>
    <row r="1011" spans="1:9" hidden="1" x14ac:dyDescent="0.25">
      <c r="A1011" s="1" t="s">
        <v>24</v>
      </c>
      <c r="B1011" s="1" t="s">
        <v>100</v>
      </c>
      <c r="C1011" s="1" t="s">
        <v>10</v>
      </c>
      <c r="D1011" s="1">
        <v>0</v>
      </c>
      <c r="E1011" s="1">
        <v>239.45</v>
      </c>
      <c r="F1011" s="1">
        <v>0</v>
      </c>
      <c r="G1011" s="1">
        <v>4137.8370000000004</v>
      </c>
      <c r="H1011" s="1">
        <v>0</v>
      </c>
      <c r="I1011" s="1">
        <v>2110.34</v>
      </c>
    </row>
    <row r="1012" spans="1:9" hidden="1" x14ac:dyDescent="0.25">
      <c r="A1012" s="1" t="s">
        <v>24</v>
      </c>
      <c r="B1012" s="1" t="s">
        <v>101</v>
      </c>
      <c r="C1012" s="1" t="s">
        <v>25</v>
      </c>
      <c r="D1012" s="1">
        <v>0</v>
      </c>
      <c r="E1012" s="1">
        <v>-239.45</v>
      </c>
      <c r="F1012" s="1">
        <v>0</v>
      </c>
      <c r="G1012" s="1">
        <v>-4137.8370000000004</v>
      </c>
      <c r="H1012" s="1">
        <v>0</v>
      </c>
      <c r="I1012" s="1">
        <v>-1271.7080000000001</v>
      </c>
    </row>
    <row r="1013" spans="1:9" hidden="1" x14ac:dyDescent="0.25">
      <c r="A1013" s="1" t="s">
        <v>24</v>
      </c>
      <c r="B1013" s="1" t="s">
        <v>101</v>
      </c>
      <c r="C1013" s="1" t="s">
        <v>10</v>
      </c>
      <c r="D1013" s="1">
        <v>0</v>
      </c>
      <c r="E1013" s="1">
        <v>-239.45</v>
      </c>
      <c r="F1013" s="1">
        <v>0</v>
      </c>
      <c r="G1013" s="1">
        <v>-4137.8370000000004</v>
      </c>
      <c r="H1013" s="1">
        <v>0</v>
      </c>
      <c r="I1013" s="1">
        <v>-2110.34</v>
      </c>
    </row>
    <row r="1014" spans="1:9" hidden="1" x14ac:dyDescent="0.25">
      <c r="A1014" s="1" t="s">
        <v>24</v>
      </c>
      <c r="B1014" s="1" t="s">
        <v>102</v>
      </c>
      <c r="C1014" s="1" t="s">
        <v>25</v>
      </c>
      <c r="D1014" s="1">
        <v>0</v>
      </c>
      <c r="E1014" s="1">
        <v>239.45</v>
      </c>
      <c r="F1014" s="1">
        <v>0</v>
      </c>
      <c r="G1014" s="1">
        <v>4137.8370000000004</v>
      </c>
      <c r="H1014" s="1">
        <v>0</v>
      </c>
      <c r="I1014" s="1">
        <v>1271.7080000000001</v>
      </c>
    </row>
    <row r="1015" spans="1:9" hidden="1" x14ac:dyDescent="0.25">
      <c r="A1015" s="1" t="s">
        <v>24</v>
      </c>
      <c r="B1015" s="1" t="s">
        <v>102</v>
      </c>
      <c r="C1015" s="1" t="s">
        <v>10</v>
      </c>
      <c r="D1015" s="1">
        <v>0</v>
      </c>
      <c r="E1015" s="1">
        <v>239.45</v>
      </c>
      <c r="F1015" s="1">
        <v>0</v>
      </c>
      <c r="G1015" s="1">
        <v>4137.8370000000004</v>
      </c>
      <c r="H1015" s="1">
        <v>0</v>
      </c>
      <c r="I1015" s="1">
        <v>2110.34</v>
      </c>
    </row>
    <row r="1016" spans="1:9" hidden="1" x14ac:dyDescent="0.25">
      <c r="A1016" s="1" t="s">
        <v>24</v>
      </c>
      <c r="B1016" s="1" t="s">
        <v>103</v>
      </c>
      <c r="C1016" s="1" t="s">
        <v>25</v>
      </c>
      <c r="D1016" s="1">
        <v>0</v>
      </c>
      <c r="E1016" s="1">
        <v>-239.45</v>
      </c>
      <c r="F1016" s="1">
        <v>0</v>
      </c>
      <c r="G1016" s="1">
        <v>-4137.8370000000004</v>
      </c>
      <c r="H1016" s="1">
        <v>0</v>
      </c>
      <c r="I1016" s="1">
        <v>-1271.7080000000001</v>
      </c>
    </row>
    <row r="1017" spans="1:9" hidden="1" x14ac:dyDescent="0.25">
      <c r="A1017" s="1" t="s">
        <v>24</v>
      </c>
      <c r="B1017" s="1" t="s">
        <v>103</v>
      </c>
      <c r="C1017" s="1" t="s">
        <v>10</v>
      </c>
      <c r="D1017" s="1">
        <v>0</v>
      </c>
      <c r="E1017" s="1">
        <v>-239.45</v>
      </c>
      <c r="F1017" s="1">
        <v>0</v>
      </c>
      <c r="G1017" s="1">
        <v>-4137.8370000000004</v>
      </c>
      <c r="H1017" s="1">
        <v>0</v>
      </c>
      <c r="I1017" s="1">
        <v>-2110.34</v>
      </c>
    </row>
    <row r="1018" spans="1:9" hidden="1" x14ac:dyDescent="0.25">
      <c r="A1018" s="1" t="s">
        <v>24</v>
      </c>
      <c r="B1018" s="1" t="s">
        <v>104</v>
      </c>
      <c r="C1018" s="1" t="s">
        <v>25</v>
      </c>
      <c r="D1018" s="1">
        <v>0</v>
      </c>
      <c r="E1018" s="1">
        <v>0</v>
      </c>
      <c r="F1018" s="1">
        <v>604.76</v>
      </c>
      <c r="G1018" s="1">
        <v>12115.743</v>
      </c>
      <c r="H1018" s="1">
        <v>3071.299</v>
      </c>
      <c r="I1018" s="1">
        <v>0</v>
      </c>
    </row>
    <row r="1019" spans="1:9" hidden="1" x14ac:dyDescent="0.25">
      <c r="A1019" s="1" t="s">
        <v>24</v>
      </c>
      <c r="B1019" s="1" t="s">
        <v>104</v>
      </c>
      <c r="C1019" s="1" t="s">
        <v>10</v>
      </c>
      <c r="D1019" s="1">
        <v>0</v>
      </c>
      <c r="E1019" s="1">
        <v>0</v>
      </c>
      <c r="F1019" s="1">
        <v>604.76</v>
      </c>
      <c r="G1019" s="1">
        <v>12115.743</v>
      </c>
      <c r="H1019" s="1">
        <v>5424.0720000000001</v>
      </c>
      <c r="I1019" s="1">
        <v>0</v>
      </c>
    </row>
    <row r="1020" spans="1:9" hidden="1" x14ac:dyDescent="0.25">
      <c r="A1020" s="1" t="s">
        <v>24</v>
      </c>
      <c r="B1020" s="1" t="s">
        <v>105</v>
      </c>
      <c r="C1020" s="1" t="s">
        <v>25</v>
      </c>
      <c r="D1020" s="1">
        <v>0</v>
      </c>
      <c r="E1020" s="1">
        <v>0</v>
      </c>
      <c r="F1020" s="1">
        <v>-604.76</v>
      </c>
      <c r="G1020" s="1">
        <v>-12115.743</v>
      </c>
      <c r="H1020" s="1">
        <v>-3071.299</v>
      </c>
      <c r="I1020" s="1">
        <v>0</v>
      </c>
    </row>
    <row r="1021" spans="1:9" hidden="1" x14ac:dyDescent="0.25">
      <c r="A1021" s="1" t="s">
        <v>24</v>
      </c>
      <c r="B1021" s="1" t="s">
        <v>105</v>
      </c>
      <c r="C1021" s="1" t="s">
        <v>10</v>
      </c>
      <c r="D1021" s="1">
        <v>0</v>
      </c>
      <c r="E1021" s="1">
        <v>0</v>
      </c>
      <c r="F1021" s="1">
        <v>-604.76</v>
      </c>
      <c r="G1021" s="1">
        <v>-12115.743</v>
      </c>
      <c r="H1021" s="1">
        <v>-5424.0720000000001</v>
      </c>
      <c r="I1021" s="1">
        <v>0</v>
      </c>
    </row>
    <row r="1022" spans="1:9" hidden="1" x14ac:dyDescent="0.25">
      <c r="A1022" s="1" t="s">
        <v>24</v>
      </c>
      <c r="B1022" s="1" t="s">
        <v>106</v>
      </c>
      <c r="C1022" s="1" t="s">
        <v>25</v>
      </c>
      <c r="D1022" s="1">
        <v>0</v>
      </c>
      <c r="E1022" s="1">
        <v>0</v>
      </c>
      <c r="F1022" s="1">
        <v>604.76</v>
      </c>
      <c r="G1022" s="1">
        <v>12115.743</v>
      </c>
      <c r="H1022" s="1">
        <v>3071.299</v>
      </c>
      <c r="I1022" s="1">
        <v>0</v>
      </c>
    </row>
    <row r="1023" spans="1:9" hidden="1" x14ac:dyDescent="0.25">
      <c r="A1023" s="1" t="s">
        <v>24</v>
      </c>
      <c r="B1023" s="1" t="s">
        <v>106</v>
      </c>
      <c r="C1023" s="1" t="s">
        <v>10</v>
      </c>
      <c r="D1023" s="1">
        <v>0</v>
      </c>
      <c r="E1023" s="1">
        <v>0</v>
      </c>
      <c r="F1023" s="1">
        <v>604.76</v>
      </c>
      <c r="G1023" s="1">
        <v>12115.743</v>
      </c>
      <c r="H1023" s="1">
        <v>5424.0720000000001</v>
      </c>
      <c r="I1023" s="1">
        <v>0</v>
      </c>
    </row>
    <row r="1024" spans="1:9" hidden="1" x14ac:dyDescent="0.25">
      <c r="A1024" s="1" t="s">
        <v>24</v>
      </c>
      <c r="B1024" s="1" t="s">
        <v>107</v>
      </c>
      <c r="C1024" s="1" t="s">
        <v>25</v>
      </c>
      <c r="D1024" s="1">
        <v>0</v>
      </c>
      <c r="E1024" s="1">
        <v>0</v>
      </c>
      <c r="F1024" s="1">
        <v>-604.76</v>
      </c>
      <c r="G1024" s="1">
        <v>-12115.743</v>
      </c>
      <c r="H1024" s="1">
        <v>-3071.299</v>
      </c>
      <c r="I1024" s="1">
        <v>0</v>
      </c>
    </row>
    <row r="1025" spans="1:9" hidden="1" x14ac:dyDescent="0.25">
      <c r="A1025" s="1" t="s">
        <v>24</v>
      </c>
      <c r="B1025" s="1" t="s">
        <v>107</v>
      </c>
      <c r="C1025" s="1" t="s">
        <v>10</v>
      </c>
      <c r="D1025" s="1">
        <v>0</v>
      </c>
      <c r="E1025" s="1">
        <v>0</v>
      </c>
      <c r="F1025" s="1">
        <v>-604.76</v>
      </c>
      <c r="G1025" s="1">
        <v>-12115.743</v>
      </c>
      <c r="H1025" s="1">
        <v>-5424.0720000000001</v>
      </c>
      <c r="I1025" s="1">
        <v>0</v>
      </c>
    </row>
    <row r="1026" spans="1:9" hidden="1" x14ac:dyDescent="0.25">
      <c r="A1026" s="1" t="s">
        <v>24</v>
      </c>
      <c r="B1026" s="1" t="s">
        <v>108</v>
      </c>
      <c r="C1026" s="1" t="s">
        <v>25</v>
      </c>
      <c r="D1026" s="1">
        <v>0</v>
      </c>
      <c r="E1026" s="1">
        <v>71.84</v>
      </c>
      <c r="F1026" s="1">
        <v>0</v>
      </c>
      <c r="G1026" s="1">
        <v>1241.3510000000001</v>
      </c>
      <c r="H1026" s="1">
        <v>0</v>
      </c>
      <c r="I1026" s="1">
        <v>381.512</v>
      </c>
    </row>
    <row r="1027" spans="1:9" hidden="1" x14ac:dyDescent="0.25">
      <c r="A1027" s="1" t="s">
        <v>24</v>
      </c>
      <c r="B1027" s="1" t="s">
        <v>108</v>
      </c>
      <c r="C1027" s="1" t="s">
        <v>10</v>
      </c>
      <c r="D1027" s="1">
        <v>0</v>
      </c>
      <c r="E1027" s="1">
        <v>71.84</v>
      </c>
      <c r="F1027" s="1">
        <v>0</v>
      </c>
      <c r="G1027" s="1">
        <v>1241.3510000000001</v>
      </c>
      <c r="H1027" s="1">
        <v>0</v>
      </c>
      <c r="I1027" s="1">
        <v>633.10199999999998</v>
      </c>
    </row>
    <row r="1028" spans="1:9" hidden="1" x14ac:dyDescent="0.25">
      <c r="A1028" s="1" t="s">
        <v>24</v>
      </c>
      <c r="B1028" s="1" t="s">
        <v>109</v>
      </c>
      <c r="C1028" s="1" t="s">
        <v>25</v>
      </c>
      <c r="D1028" s="1">
        <v>0</v>
      </c>
      <c r="E1028" s="1">
        <v>-71.84</v>
      </c>
      <c r="F1028" s="1">
        <v>0</v>
      </c>
      <c r="G1028" s="1">
        <v>-1241.3510000000001</v>
      </c>
      <c r="H1028" s="1">
        <v>0</v>
      </c>
      <c r="I1028" s="1">
        <v>-381.512</v>
      </c>
    </row>
    <row r="1029" spans="1:9" hidden="1" x14ac:dyDescent="0.25">
      <c r="A1029" s="1" t="s">
        <v>24</v>
      </c>
      <c r="B1029" s="1" t="s">
        <v>109</v>
      </c>
      <c r="C1029" s="1" t="s">
        <v>10</v>
      </c>
      <c r="D1029" s="1">
        <v>0</v>
      </c>
      <c r="E1029" s="1">
        <v>-71.84</v>
      </c>
      <c r="F1029" s="1">
        <v>0</v>
      </c>
      <c r="G1029" s="1">
        <v>-1241.3510000000001</v>
      </c>
      <c r="H1029" s="1">
        <v>0</v>
      </c>
      <c r="I1029" s="1">
        <v>-633.10199999999998</v>
      </c>
    </row>
    <row r="1030" spans="1:9" hidden="1" x14ac:dyDescent="0.25">
      <c r="A1030" s="1" t="s">
        <v>24</v>
      </c>
      <c r="B1030" s="1" t="s">
        <v>110</v>
      </c>
      <c r="C1030" s="1" t="s">
        <v>25</v>
      </c>
      <c r="D1030" s="1">
        <v>0</v>
      </c>
      <c r="E1030" s="1">
        <v>71.84</v>
      </c>
      <c r="F1030" s="1">
        <v>0</v>
      </c>
      <c r="G1030" s="1">
        <v>1241.3510000000001</v>
      </c>
      <c r="H1030" s="1">
        <v>0</v>
      </c>
      <c r="I1030" s="1">
        <v>381.512</v>
      </c>
    </row>
    <row r="1031" spans="1:9" hidden="1" x14ac:dyDescent="0.25">
      <c r="A1031" s="1" t="s">
        <v>24</v>
      </c>
      <c r="B1031" s="1" t="s">
        <v>110</v>
      </c>
      <c r="C1031" s="1" t="s">
        <v>10</v>
      </c>
      <c r="D1031" s="1">
        <v>0</v>
      </c>
      <c r="E1031" s="1">
        <v>71.84</v>
      </c>
      <c r="F1031" s="1">
        <v>0</v>
      </c>
      <c r="G1031" s="1">
        <v>1241.3510000000001</v>
      </c>
      <c r="H1031" s="1">
        <v>0</v>
      </c>
      <c r="I1031" s="1">
        <v>633.10199999999998</v>
      </c>
    </row>
    <row r="1032" spans="1:9" hidden="1" x14ac:dyDescent="0.25">
      <c r="A1032" s="1" t="s">
        <v>24</v>
      </c>
      <c r="B1032" s="1" t="s">
        <v>111</v>
      </c>
      <c r="C1032" s="1" t="s">
        <v>25</v>
      </c>
      <c r="D1032" s="1">
        <v>0</v>
      </c>
      <c r="E1032" s="1">
        <v>-71.84</v>
      </c>
      <c r="F1032" s="1">
        <v>0</v>
      </c>
      <c r="G1032" s="1">
        <v>-1241.3510000000001</v>
      </c>
      <c r="H1032" s="1">
        <v>0</v>
      </c>
      <c r="I1032" s="1">
        <v>-381.512</v>
      </c>
    </row>
    <row r="1033" spans="1:9" hidden="1" x14ac:dyDescent="0.25">
      <c r="A1033" s="1" t="s">
        <v>24</v>
      </c>
      <c r="B1033" s="1" t="s">
        <v>111</v>
      </c>
      <c r="C1033" s="1" t="s">
        <v>10</v>
      </c>
      <c r="D1033" s="1">
        <v>0</v>
      </c>
      <c r="E1033" s="1">
        <v>-71.84</v>
      </c>
      <c r="F1033" s="1">
        <v>0</v>
      </c>
      <c r="G1033" s="1">
        <v>-1241.3510000000001</v>
      </c>
      <c r="H1033" s="1">
        <v>0</v>
      </c>
      <c r="I1033" s="1">
        <v>-633.10199999999998</v>
      </c>
    </row>
    <row r="1034" spans="1:9" hidden="1" x14ac:dyDescent="0.25">
      <c r="A1034" s="1" t="s">
        <v>24</v>
      </c>
      <c r="B1034" s="1" t="s">
        <v>112</v>
      </c>
      <c r="C1034" s="1" t="s">
        <v>25</v>
      </c>
      <c r="D1034" s="1">
        <v>0</v>
      </c>
      <c r="E1034" s="1">
        <v>0</v>
      </c>
      <c r="F1034" s="1">
        <v>181.43</v>
      </c>
      <c r="G1034" s="1">
        <v>3634.723</v>
      </c>
      <c r="H1034" s="1">
        <v>921.39</v>
      </c>
      <c r="I1034" s="1">
        <v>0</v>
      </c>
    </row>
    <row r="1035" spans="1:9" hidden="1" x14ac:dyDescent="0.25">
      <c r="A1035" s="1" t="s">
        <v>24</v>
      </c>
      <c r="B1035" s="1" t="s">
        <v>112</v>
      </c>
      <c r="C1035" s="1" t="s">
        <v>10</v>
      </c>
      <c r="D1035" s="1">
        <v>0</v>
      </c>
      <c r="E1035" s="1">
        <v>0</v>
      </c>
      <c r="F1035" s="1">
        <v>181.43</v>
      </c>
      <c r="G1035" s="1">
        <v>3634.723</v>
      </c>
      <c r="H1035" s="1">
        <v>1627.222</v>
      </c>
      <c r="I1035" s="1">
        <v>0</v>
      </c>
    </row>
    <row r="1036" spans="1:9" hidden="1" x14ac:dyDescent="0.25">
      <c r="A1036" s="1" t="s">
        <v>24</v>
      </c>
      <c r="B1036" s="1" t="s">
        <v>113</v>
      </c>
      <c r="C1036" s="1" t="s">
        <v>25</v>
      </c>
      <c r="D1036" s="1">
        <v>0</v>
      </c>
      <c r="E1036" s="1">
        <v>0</v>
      </c>
      <c r="F1036" s="1">
        <v>-181.43</v>
      </c>
      <c r="G1036" s="1">
        <v>-3634.723</v>
      </c>
      <c r="H1036" s="1">
        <v>-921.39</v>
      </c>
      <c r="I1036" s="1">
        <v>0</v>
      </c>
    </row>
    <row r="1037" spans="1:9" hidden="1" x14ac:dyDescent="0.25">
      <c r="A1037" s="1" t="s">
        <v>24</v>
      </c>
      <c r="B1037" s="1" t="s">
        <v>113</v>
      </c>
      <c r="C1037" s="1" t="s">
        <v>10</v>
      </c>
      <c r="D1037" s="1">
        <v>0</v>
      </c>
      <c r="E1037" s="1">
        <v>0</v>
      </c>
      <c r="F1037" s="1">
        <v>-181.43</v>
      </c>
      <c r="G1037" s="1">
        <v>-3634.723</v>
      </c>
      <c r="H1037" s="1">
        <v>-1627.222</v>
      </c>
      <c r="I1037" s="1">
        <v>0</v>
      </c>
    </row>
    <row r="1038" spans="1:9" hidden="1" x14ac:dyDescent="0.25">
      <c r="A1038" s="1" t="s">
        <v>24</v>
      </c>
      <c r="B1038" s="1" t="s">
        <v>114</v>
      </c>
      <c r="C1038" s="1" t="s">
        <v>25</v>
      </c>
      <c r="D1038" s="1">
        <v>0</v>
      </c>
      <c r="E1038" s="1">
        <v>0</v>
      </c>
      <c r="F1038" s="1">
        <v>181.43</v>
      </c>
      <c r="G1038" s="1">
        <v>3634.723</v>
      </c>
      <c r="H1038" s="1">
        <v>921.39</v>
      </c>
      <c r="I1038" s="1">
        <v>0</v>
      </c>
    </row>
    <row r="1039" spans="1:9" hidden="1" x14ac:dyDescent="0.25">
      <c r="A1039" s="1" t="s">
        <v>24</v>
      </c>
      <c r="B1039" s="1" t="s">
        <v>114</v>
      </c>
      <c r="C1039" s="1" t="s">
        <v>10</v>
      </c>
      <c r="D1039" s="1">
        <v>0</v>
      </c>
      <c r="E1039" s="1">
        <v>0</v>
      </c>
      <c r="F1039" s="1">
        <v>181.43</v>
      </c>
      <c r="G1039" s="1">
        <v>3634.723</v>
      </c>
      <c r="H1039" s="1">
        <v>1627.222</v>
      </c>
      <c r="I1039" s="1">
        <v>0</v>
      </c>
    </row>
    <row r="1040" spans="1:9" hidden="1" x14ac:dyDescent="0.25">
      <c r="A1040" s="1" t="s">
        <v>24</v>
      </c>
      <c r="B1040" s="1" t="s">
        <v>115</v>
      </c>
      <c r="C1040" s="1" t="s">
        <v>25</v>
      </c>
      <c r="D1040" s="1">
        <v>0</v>
      </c>
      <c r="E1040" s="1">
        <v>0</v>
      </c>
      <c r="F1040" s="1">
        <v>-181.43</v>
      </c>
      <c r="G1040" s="1">
        <v>-3634.723</v>
      </c>
      <c r="H1040" s="1">
        <v>-921.39</v>
      </c>
      <c r="I1040" s="1">
        <v>0</v>
      </c>
    </row>
    <row r="1041" spans="1:9" hidden="1" x14ac:dyDescent="0.25">
      <c r="A1041" s="1" t="s">
        <v>24</v>
      </c>
      <c r="B1041" s="1" t="s">
        <v>115</v>
      </c>
      <c r="C1041" s="1" t="s">
        <v>10</v>
      </c>
      <c r="D1041" s="1">
        <v>0</v>
      </c>
      <c r="E1041" s="1">
        <v>0</v>
      </c>
      <c r="F1041" s="1">
        <v>-181.43</v>
      </c>
      <c r="G1041" s="1">
        <v>-3634.723</v>
      </c>
      <c r="H1041" s="1">
        <v>-1627.222</v>
      </c>
      <c r="I1041" s="1">
        <v>0</v>
      </c>
    </row>
    <row r="1042" spans="1:9" hidden="1" x14ac:dyDescent="0.25">
      <c r="A1042" s="1" t="s">
        <v>24</v>
      </c>
      <c r="B1042" s="1" t="s">
        <v>116</v>
      </c>
      <c r="C1042" s="1" t="s">
        <v>25</v>
      </c>
      <c r="D1042" s="1">
        <v>0</v>
      </c>
      <c r="E1042" s="1">
        <v>239.45</v>
      </c>
      <c r="F1042" s="1">
        <v>0</v>
      </c>
      <c r="G1042" s="1">
        <v>4137.8370000000004</v>
      </c>
      <c r="H1042" s="1">
        <v>0</v>
      </c>
      <c r="I1042" s="1">
        <v>1271.7080000000001</v>
      </c>
    </row>
    <row r="1043" spans="1:9" hidden="1" x14ac:dyDescent="0.25">
      <c r="A1043" s="1" t="s">
        <v>24</v>
      </c>
      <c r="B1043" s="1" t="s">
        <v>116</v>
      </c>
      <c r="C1043" s="1" t="s">
        <v>10</v>
      </c>
      <c r="D1043" s="1">
        <v>0</v>
      </c>
      <c r="E1043" s="1">
        <v>239.45</v>
      </c>
      <c r="F1043" s="1">
        <v>0</v>
      </c>
      <c r="G1043" s="1">
        <v>4137.8370000000004</v>
      </c>
      <c r="H1043" s="1">
        <v>0</v>
      </c>
      <c r="I1043" s="1">
        <v>2110.34</v>
      </c>
    </row>
    <row r="1044" spans="1:9" hidden="1" x14ac:dyDescent="0.25">
      <c r="A1044" s="1" t="s">
        <v>24</v>
      </c>
      <c r="B1044" s="1" t="s">
        <v>117</v>
      </c>
      <c r="C1044" s="1" t="s">
        <v>25</v>
      </c>
      <c r="D1044" s="1">
        <v>0</v>
      </c>
      <c r="E1044" s="1">
        <v>-239.45</v>
      </c>
      <c r="F1044" s="1">
        <v>0</v>
      </c>
      <c r="G1044" s="1">
        <v>-4137.8370000000004</v>
      </c>
      <c r="H1044" s="1">
        <v>0</v>
      </c>
      <c r="I1044" s="1">
        <v>-1271.7080000000001</v>
      </c>
    </row>
    <row r="1045" spans="1:9" hidden="1" x14ac:dyDescent="0.25">
      <c r="A1045" s="1" t="s">
        <v>24</v>
      </c>
      <c r="B1045" s="1" t="s">
        <v>117</v>
      </c>
      <c r="C1045" s="1" t="s">
        <v>10</v>
      </c>
      <c r="D1045" s="1">
        <v>0</v>
      </c>
      <c r="E1045" s="1">
        <v>-239.45</v>
      </c>
      <c r="F1045" s="1">
        <v>0</v>
      </c>
      <c r="G1045" s="1">
        <v>-4137.8370000000004</v>
      </c>
      <c r="H1045" s="1">
        <v>0</v>
      </c>
      <c r="I1045" s="1">
        <v>-2110.34</v>
      </c>
    </row>
    <row r="1046" spans="1:9" hidden="1" x14ac:dyDescent="0.25">
      <c r="A1046" s="1" t="s">
        <v>24</v>
      </c>
      <c r="B1046" s="1" t="s">
        <v>118</v>
      </c>
      <c r="C1046" s="1" t="s">
        <v>25</v>
      </c>
      <c r="D1046" s="1">
        <v>0</v>
      </c>
      <c r="E1046" s="1">
        <v>239.45</v>
      </c>
      <c r="F1046" s="1">
        <v>0</v>
      </c>
      <c r="G1046" s="1">
        <v>4137.8370000000004</v>
      </c>
      <c r="H1046" s="1">
        <v>0</v>
      </c>
      <c r="I1046" s="1">
        <v>1271.7080000000001</v>
      </c>
    </row>
    <row r="1047" spans="1:9" hidden="1" x14ac:dyDescent="0.25">
      <c r="A1047" s="1" t="s">
        <v>24</v>
      </c>
      <c r="B1047" s="1" t="s">
        <v>118</v>
      </c>
      <c r="C1047" s="1" t="s">
        <v>10</v>
      </c>
      <c r="D1047" s="1">
        <v>0</v>
      </c>
      <c r="E1047" s="1">
        <v>239.45</v>
      </c>
      <c r="F1047" s="1">
        <v>0</v>
      </c>
      <c r="G1047" s="1">
        <v>4137.8370000000004</v>
      </c>
      <c r="H1047" s="1">
        <v>0</v>
      </c>
      <c r="I1047" s="1">
        <v>2110.34</v>
      </c>
    </row>
    <row r="1048" spans="1:9" hidden="1" x14ac:dyDescent="0.25">
      <c r="A1048" s="1" t="s">
        <v>24</v>
      </c>
      <c r="B1048" s="1" t="s">
        <v>119</v>
      </c>
      <c r="C1048" s="1" t="s">
        <v>25</v>
      </c>
      <c r="D1048" s="1">
        <v>0</v>
      </c>
      <c r="E1048" s="1">
        <v>-239.45</v>
      </c>
      <c r="F1048" s="1">
        <v>0</v>
      </c>
      <c r="G1048" s="1">
        <v>-4137.8370000000004</v>
      </c>
      <c r="H1048" s="1">
        <v>0</v>
      </c>
      <c r="I1048" s="1">
        <v>-1271.7080000000001</v>
      </c>
    </row>
    <row r="1049" spans="1:9" hidden="1" x14ac:dyDescent="0.25">
      <c r="A1049" s="1" t="s">
        <v>24</v>
      </c>
      <c r="B1049" s="1" t="s">
        <v>119</v>
      </c>
      <c r="C1049" s="1" t="s">
        <v>10</v>
      </c>
      <c r="D1049" s="1">
        <v>0</v>
      </c>
      <c r="E1049" s="1">
        <v>-239.45</v>
      </c>
      <c r="F1049" s="1">
        <v>0</v>
      </c>
      <c r="G1049" s="1">
        <v>-4137.8370000000004</v>
      </c>
      <c r="H1049" s="1">
        <v>0</v>
      </c>
      <c r="I1049" s="1">
        <v>-2110.34</v>
      </c>
    </row>
    <row r="1050" spans="1:9" hidden="1" x14ac:dyDescent="0.25">
      <c r="A1050" s="1" t="s">
        <v>24</v>
      </c>
      <c r="B1050" s="1" t="s">
        <v>120</v>
      </c>
      <c r="C1050" s="1" t="s">
        <v>25</v>
      </c>
      <c r="D1050" s="1">
        <v>0</v>
      </c>
      <c r="E1050" s="1">
        <v>0</v>
      </c>
      <c r="F1050" s="1">
        <v>604.76</v>
      </c>
      <c r="G1050" s="1">
        <v>12115.743</v>
      </c>
      <c r="H1050" s="1">
        <v>3071.299</v>
      </c>
      <c r="I1050" s="1">
        <v>0</v>
      </c>
    </row>
    <row r="1051" spans="1:9" hidden="1" x14ac:dyDescent="0.25">
      <c r="A1051" s="1" t="s">
        <v>24</v>
      </c>
      <c r="B1051" s="1" t="s">
        <v>120</v>
      </c>
      <c r="C1051" s="1" t="s">
        <v>10</v>
      </c>
      <c r="D1051" s="1">
        <v>0</v>
      </c>
      <c r="E1051" s="1">
        <v>0</v>
      </c>
      <c r="F1051" s="1">
        <v>604.76</v>
      </c>
      <c r="G1051" s="1">
        <v>12115.743</v>
      </c>
      <c r="H1051" s="1">
        <v>5424.0720000000001</v>
      </c>
      <c r="I1051" s="1">
        <v>0</v>
      </c>
    </row>
    <row r="1052" spans="1:9" hidden="1" x14ac:dyDescent="0.25">
      <c r="A1052" s="1" t="s">
        <v>24</v>
      </c>
      <c r="B1052" s="1" t="s">
        <v>121</v>
      </c>
      <c r="C1052" s="1" t="s">
        <v>25</v>
      </c>
      <c r="D1052" s="1">
        <v>0</v>
      </c>
      <c r="E1052" s="1">
        <v>0</v>
      </c>
      <c r="F1052" s="1">
        <v>-604.76</v>
      </c>
      <c r="G1052" s="1">
        <v>-12115.743</v>
      </c>
      <c r="H1052" s="1">
        <v>-3071.299</v>
      </c>
      <c r="I1052" s="1">
        <v>0</v>
      </c>
    </row>
    <row r="1053" spans="1:9" hidden="1" x14ac:dyDescent="0.25">
      <c r="A1053" s="1" t="s">
        <v>24</v>
      </c>
      <c r="B1053" s="1" t="s">
        <v>121</v>
      </c>
      <c r="C1053" s="1" t="s">
        <v>10</v>
      </c>
      <c r="D1053" s="1">
        <v>0</v>
      </c>
      <c r="E1053" s="1">
        <v>0</v>
      </c>
      <c r="F1053" s="1">
        <v>-604.76</v>
      </c>
      <c r="G1053" s="1">
        <v>-12115.743</v>
      </c>
      <c r="H1053" s="1">
        <v>-5424.0720000000001</v>
      </c>
      <c r="I1053" s="1">
        <v>0</v>
      </c>
    </row>
    <row r="1054" spans="1:9" hidden="1" x14ac:dyDescent="0.25">
      <c r="A1054" s="1" t="s">
        <v>24</v>
      </c>
      <c r="B1054" s="1" t="s">
        <v>122</v>
      </c>
      <c r="C1054" s="1" t="s">
        <v>25</v>
      </c>
      <c r="D1054" s="1">
        <v>0</v>
      </c>
      <c r="E1054" s="1">
        <v>0</v>
      </c>
      <c r="F1054" s="1">
        <v>604.76</v>
      </c>
      <c r="G1054" s="1">
        <v>12115.743</v>
      </c>
      <c r="H1054" s="1">
        <v>3071.299</v>
      </c>
      <c r="I1054" s="1">
        <v>0</v>
      </c>
    </row>
    <row r="1055" spans="1:9" hidden="1" x14ac:dyDescent="0.25">
      <c r="A1055" s="1" t="s">
        <v>24</v>
      </c>
      <c r="B1055" s="1" t="s">
        <v>122</v>
      </c>
      <c r="C1055" s="1" t="s">
        <v>10</v>
      </c>
      <c r="D1055" s="1">
        <v>0</v>
      </c>
      <c r="E1055" s="1">
        <v>0</v>
      </c>
      <c r="F1055" s="1">
        <v>604.76</v>
      </c>
      <c r="G1055" s="1">
        <v>12115.743</v>
      </c>
      <c r="H1055" s="1">
        <v>5424.0720000000001</v>
      </c>
      <c r="I1055" s="1">
        <v>0</v>
      </c>
    </row>
    <row r="1056" spans="1:9" hidden="1" x14ac:dyDescent="0.25">
      <c r="A1056" s="1" t="s">
        <v>24</v>
      </c>
      <c r="B1056" s="1" t="s">
        <v>123</v>
      </c>
      <c r="C1056" s="1" t="s">
        <v>25</v>
      </c>
      <c r="D1056" s="1">
        <v>0</v>
      </c>
      <c r="E1056" s="1">
        <v>0</v>
      </c>
      <c r="F1056" s="1">
        <v>-604.76</v>
      </c>
      <c r="G1056" s="1">
        <v>-12115.743</v>
      </c>
      <c r="H1056" s="1">
        <v>-3071.299</v>
      </c>
      <c r="I1056" s="1">
        <v>0</v>
      </c>
    </row>
    <row r="1057" spans="1:9" hidden="1" x14ac:dyDescent="0.25">
      <c r="A1057" s="1" t="s">
        <v>24</v>
      </c>
      <c r="B1057" s="1" t="s">
        <v>123</v>
      </c>
      <c r="C1057" s="1" t="s">
        <v>10</v>
      </c>
      <c r="D1057" s="1">
        <v>0</v>
      </c>
      <c r="E1057" s="1">
        <v>0</v>
      </c>
      <c r="F1057" s="1">
        <v>-604.76</v>
      </c>
      <c r="G1057" s="1">
        <v>-12115.743</v>
      </c>
      <c r="H1057" s="1">
        <v>-5424.0720000000001</v>
      </c>
      <c r="I1057" s="1">
        <v>0</v>
      </c>
    </row>
    <row r="1058" spans="1:9" hidden="1" x14ac:dyDescent="0.25">
      <c r="A1058" s="1" t="s">
        <v>24</v>
      </c>
      <c r="B1058" s="1" t="s">
        <v>124</v>
      </c>
      <c r="C1058" s="1" t="s">
        <v>25</v>
      </c>
      <c r="D1058" s="1">
        <v>0</v>
      </c>
      <c r="E1058" s="1">
        <v>71.84</v>
      </c>
      <c r="F1058" s="1">
        <v>0</v>
      </c>
      <c r="G1058" s="1">
        <v>1241.3510000000001</v>
      </c>
      <c r="H1058" s="1">
        <v>0</v>
      </c>
      <c r="I1058" s="1">
        <v>381.512</v>
      </c>
    </row>
    <row r="1059" spans="1:9" hidden="1" x14ac:dyDescent="0.25">
      <c r="A1059" s="1" t="s">
        <v>24</v>
      </c>
      <c r="B1059" s="1" t="s">
        <v>124</v>
      </c>
      <c r="C1059" s="1" t="s">
        <v>10</v>
      </c>
      <c r="D1059" s="1">
        <v>0</v>
      </c>
      <c r="E1059" s="1">
        <v>71.84</v>
      </c>
      <c r="F1059" s="1">
        <v>0</v>
      </c>
      <c r="G1059" s="1">
        <v>1241.3510000000001</v>
      </c>
      <c r="H1059" s="1">
        <v>0</v>
      </c>
      <c r="I1059" s="1">
        <v>633.10199999999998</v>
      </c>
    </row>
    <row r="1060" spans="1:9" hidden="1" x14ac:dyDescent="0.25">
      <c r="A1060" s="1" t="s">
        <v>24</v>
      </c>
      <c r="B1060" s="1" t="s">
        <v>125</v>
      </c>
      <c r="C1060" s="1" t="s">
        <v>25</v>
      </c>
      <c r="D1060" s="1">
        <v>0</v>
      </c>
      <c r="E1060" s="1">
        <v>-71.84</v>
      </c>
      <c r="F1060" s="1">
        <v>0</v>
      </c>
      <c r="G1060" s="1">
        <v>-1241.3510000000001</v>
      </c>
      <c r="H1060" s="1">
        <v>0</v>
      </c>
      <c r="I1060" s="1">
        <v>-381.512</v>
      </c>
    </row>
    <row r="1061" spans="1:9" hidden="1" x14ac:dyDescent="0.25">
      <c r="A1061" s="1" t="s">
        <v>24</v>
      </c>
      <c r="B1061" s="1" t="s">
        <v>125</v>
      </c>
      <c r="C1061" s="1" t="s">
        <v>10</v>
      </c>
      <c r="D1061" s="1">
        <v>0</v>
      </c>
      <c r="E1061" s="1">
        <v>-71.84</v>
      </c>
      <c r="F1061" s="1">
        <v>0</v>
      </c>
      <c r="G1061" s="1">
        <v>-1241.3510000000001</v>
      </c>
      <c r="H1061" s="1">
        <v>0</v>
      </c>
      <c r="I1061" s="1">
        <v>-633.10199999999998</v>
      </c>
    </row>
    <row r="1062" spans="1:9" hidden="1" x14ac:dyDescent="0.25">
      <c r="A1062" s="1" t="s">
        <v>24</v>
      </c>
      <c r="B1062" s="1" t="s">
        <v>126</v>
      </c>
      <c r="C1062" s="1" t="s">
        <v>25</v>
      </c>
      <c r="D1062" s="1">
        <v>0</v>
      </c>
      <c r="E1062" s="1">
        <v>71.84</v>
      </c>
      <c r="F1062" s="1">
        <v>0</v>
      </c>
      <c r="G1062" s="1">
        <v>1241.3510000000001</v>
      </c>
      <c r="H1062" s="1">
        <v>0</v>
      </c>
      <c r="I1062" s="1">
        <v>381.512</v>
      </c>
    </row>
    <row r="1063" spans="1:9" hidden="1" x14ac:dyDescent="0.25">
      <c r="A1063" s="1" t="s">
        <v>24</v>
      </c>
      <c r="B1063" s="1" t="s">
        <v>126</v>
      </c>
      <c r="C1063" s="1" t="s">
        <v>10</v>
      </c>
      <c r="D1063" s="1">
        <v>0</v>
      </c>
      <c r="E1063" s="1">
        <v>71.84</v>
      </c>
      <c r="F1063" s="1">
        <v>0</v>
      </c>
      <c r="G1063" s="1">
        <v>1241.3510000000001</v>
      </c>
      <c r="H1063" s="1">
        <v>0</v>
      </c>
      <c r="I1063" s="1">
        <v>633.10199999999998</v>
      </c>
    </row>
    <row r="1064" spans="1:9" hidden="1" x14ac:dyDescent="0.25">
      <c r="A1064" s="1" t="s">
        <v>24</v>
      </c>
      <c r="B1064" s="1" t="s">
        <v>127</v>
      </c>
      <c r="C1064" s="1" t="s">
        <v>25</v>
      </c>
      <c r="D1064" s="1">
        <v>0</v>
      </c>
      <c r="E1064" s="1">
        <v>-71.84</v>
      </c>
      <c r="F1064" s="1">
        <v>0</v>
      </c>
      <c r="G1064" s="1">
        <v>-1241.3510000000001</v>
      </c>
      <c r="H1064" s="1">
        <v>0</v>
      </c>
      <c r="I1064" s="1">
        <v>-381.512</v>
      </c>
    </row>
    <row r="1065" spans="1:9" hidden="1" x14ac:dyDescent="0.25">
      <c r="A1065" s="1" t="s">
        <v>24</v>
      </c>
      <c r="B1065" s="1" t="s">
        <v>127</v>
      </c>
      <c r="C1065" s="1" t="s">
        <v>10</v>
      </c>
      <c r="D1065" s="1">
        <v>0</v>
      </c>
      <c r="E1065" s="1">
        <v>-71.84</v>
      </c>
      <c r="F1065" s="1">
        <v>0</v>
      </c>
      <c r="G1065" s="1">
        <v>-1241.3510000000001</v>
      </c>
      <c r="H1065" s="1">
        <v>0</v>
      </c>
      <c r="I1065" s="1">
        <v>-633.10199999999998</v>
      </c>
    </row>
    <row r="1066" spans="1:9" hidden="1" x14ac:dyDescent="0.25">
      <c r="A1066" s="1" t="s">
        <v>24</v>
      </c>
      <c r="B1066" s="1" t="s">
        <v>128</v>
      </c>
      <c r="C1066" s="1" t="s">
        <v>25</v>
      </c>
      <c r="D1066" s="1">
        <v>0</v>
      </c>
      <c r="E1066" s="1">
        <v>0</v>
      </c>
      <c r="F1066" s="1">
        <v>181.43</v>
      </c>
      <c r="G1066" s="1">
        <v>3634.723</v>
      </c>
      <c r="H1066" s="1">
        <v>921.39</v>
      </c>
      <c r="I1066" s="1">
        <v>0</v>
      </c>
    </row>
    <row r="1067" spans="1:9" hidden="1" x14ac:dyDescent="0.25">
      <c r="A1067" s="1" t="s">
        <v>24</v>
      </c>
      <c r="B1067" s="1" t="s">
        <v>128</v>
      </c>
      <c r="C1067" s="1" t="s">
        <v>10</v>
      </c>
      <c r="D1067" s="1">
        <v>0</v>
      </c>
      <c r="E1067" s="1">
        <v>0</v>
      </c>
      <c r="F1067" s="1">
        <v>181.43</v>
      </c>
      <c r="G1067" s="1">
        <v>3634.723</v>
      </c>
      <c r="H1067" s="1">
        <v>1627.222</v>
      </c>
      <c r="I1067" s="1">
        <v>0</v>
      </c>
    </row>
    <row r="1068" spans="1:9" hidden="1" x14ac:dyDescent="0.25">
      <c r="A1068" s="1" t="s">
        <v>24</v>
      </c>
      <c r="B1068" s="1" t="s">
        <v>129</v>
      </c>
      <c r="C1068" s="1" t="s">
        <v>25</v>
      </c>
      <c r="D1068" s="1">
        <v>0</v>
      </c>
      <c r="E1068" s="1">
        <v>0</v>
      </c>
      <c r="F1068" s="1">
        <v>-181.43</v>
      </c>
      <c r="G1068" s="1">
        <v>-3634.723</v>
      </c>
      <c r="H1068" s="1">
        <v>-921.39</v>
      </c>
      <c r="I1068" s="1">
        <v>0</v>
      </c>
    </row>
    <row r="1069" spans="1:9" hidden="1" x14ac:dyDescent="0.25">
      <c r="A1069" s="1" t="s">
        <v>24</v>
      </c>
      <c r="B1069" s="1" t="s">
        <v>129</v>
      </c>
      <c r="C1069" s="1" t="s">
        <v>10</v>
      </c>
      <c r="D1069" s="1">
        <v>0</v>
      </c>
      <c r="E1069" s="1">
        <v>0</v>
      </c>
      <c r="F1069" s="1">
        <v>-181.43</v>
      </c>
      <c r="G1069" s="1">
        <v>-3634.723</v>
      </c>
      <c r="H1069" s="1">
        <v>-1627.222</v>
      </c>
      <c r="I1069" s="1">
        <v>0</v>
      </c>
    </row>
    <row r="1070" spans="1:9" hidden="1" x14ac:dyDescent="0.25">
      <c r="A1070" s="1" t="s">
        <v>24</v>
      </c>
      <c r="B1070" s="1" t="s">
        <v>130</v>
      </c>
      <c r="C1070" s="1" t="s">
        <v>25</v>
      </c>
      <c r="D1070" s="1">
        <v>0</v>
      </c>
      <c r="E1070" s="1">
        <v>0</v>
      </c>
      <c r="F1070" s="1">
        <v>181.43</v>
      </c>
      <c r="G1070" s="1">
        <v>3634.723</v>
      </c>
      <c r="H1070" s="1">
        <v>921.39</v>
      </c>
      <c r="I1070" s="1">
        <v>0</v>
      </c>
    </row>
    <row r="1071" spans="1:9" hidden="1" x14ac:dyDescent="0.25">
      <c r="A1071" s="1" t="s">
        <v>24</v>
      </c>
      <c r="B1071" s="1" t="s">
        <v>130</v>
      </c>
      <c r="C1071" s="1" t="s">
        <v>10</v>
      </c>
      <c r="D1071" s="1">
        <v>0</v>
      </c>
      <c r="E1071" s="1">
        <v>0</v>
      </c>
      <c r="F1071" s="1">
        <v>181.43</v>
      </c>
      <c r="G1071" s="1">
        <v>3634.723</v>
      </c>
      <c r="H1071" s="1">
        <v>1627.222</v>
      </c>
      <c r="I1071" s="1">
        <v>0</v>
      </c>
    </row>
    <row r="1072" spans="1:9" hidden="1" x14ac:dyDescent="0.25">
      <c r="A1072" s="1" t="s">
        <v>24</v>
      </c>
      <c r="B1072" s="1" t="s">
        <v>131</v>
      </c>
      <c r="C1072" s="1" t="s">
        <v>25</v>
      </c>
      <c r="D1072" s="1">
        <v>0</v>
      </c>
      <c r="E1072" s="1">
        <v>0</v>
      </c>
      <c r="F1072" s="1">
        <v>-181.43</v>
      </c>
      <c r="G1072" s="1">
        <v>-3634.723</v>
      </c>
      <c r="H1072" s="1">
        <v>-921.39</v>
      </c>
      <c r="I1072" s="1">
        <v>0</v>
      </c>
    </row>
    <row r="1073" spans="1:9" hidden="1" x14ac:dyDescent="0.25">
      <c r="A1073" s="1" t="s">
        <v>24</v>
      </c>
      <c r="B1073" s="1" t="s">
        <v>131</v>
      </c>
      <c r="C1073" s="1" t="s">
        <v>10</v>
      </c>
      <c r="D1073" s="1">
        <v>0</v>
      </c>
      <c r="E1073" s="1">
        <v>0</v>
      </c>
      <c r="F1073" s="1">
        <v>-181.43</v>
      </c>
      <c r="G1073" s="1">
        <v>-3634.723</v>
      </c>
      <c r="H1073" s="1">
        <v>-1627.222</v>
      </c>
      <c r="I1073" s="1">
        <v>0</v>
      </c>
    </row>
    <row r="1074" spans="1:9" hidden="1" x14ac:dyDescent="0.25">
      <c r="A1074" s="1" t="s">
        <v>24</v>
      </c>
      <c r="B1074" s="1" t="s">
        <v>132</v>
      </c>
      <c r="C1074" s="1" t="s">
        <v>25</v>
      </c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</row>
    <row r="1075" spans="1:9" hidden="1" x14ac:dyDescent="0.25">
      <c r="A1075" s="1" t="s">
        <v>24</v>
      </c>
      <c r="B1075" s="1" t="s">
        <v>132</v>
      </c>
      <c r="C1075" s="1" t="s">
        <v>10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</row>
    <row r="1076" spans="1:9" hidden="1" x14ac:dyDescent="0.25">
      <c r="A1076" s="1" t="s">
        <v>24</v>
      </c>
      <c r="B1076" s="1" t="s">
        <v>133</v>
      </c>
      <c r="C1076" s="1" t="s">
        <v>25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</row>
    <row r="1077" spans="1:9" hidden="1" x14ac:dyDescent="0.25">
      <c r="A1077" s="1" t="s">
        <v>24</v>
      </c>
      <c r="B1077" s="1" t="s">
        <v>133</v>
      </c>
      <c r="C1077" s="1" t="s">
        <v>10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</row>
    <row r="1078" spans="1:9" hidden="1" x14ac:dyDescent="0.25">
      <c r="A1078" s="1" t="s">
        <v>24</v>
      </c>
      <c r="B1078" s="1" t="s">
        <v>134</v>
      </c>
      <c r="C1078" s="1" t="s">
        <v>25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</row>
    <row r="1079" spans="1:9" hidden="1" x14ac:dyDescent="0.25">
      <c r="A1079" s="1" t="s">
        <v>24</v>
      </c>
      <c r="B1079" s="1" t="s">
        <v>134</v>
      </c>
      <c r="C1079" s="1" t="s">
        <v>10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</row>
    <row r="1080" spans="1:9" hidden="1" x14ac:dyDescent="0.25">
      <c r="A1080" s="1" t="s">
        <v>24</v>
      </c>
      <c r="B1080" s="1" t="s">
        <v>135</v>
      </c>
      <c r="C1080" s="1" t="s">
        <v>25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24</v>
      </c>
      <c r="B1081" s="1" t="s">
        <v>135</v>
      </c>
      <c r="C1081" s="1" t="s">
        <v>10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24</v>
      </c>
      <c r="B1082" s="1" t="s">
        <v>136</v>
      </c>
      <c r="C1082" s="1" t="s">
        <v>25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</row>
    <row r="1083" spans="1:9" hidden="1" x14ac:dyDescent="0.25">
      <c r="A1083" s="1" t="s">
        <v>24</v>
      </c>
      <c r="B1083" s="1" t="s">
        <v>136</v>
      </c>
      <c r="C1083" s="1" t="s">
        <v>10</v>
      </c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</row>
    <row r="1084" spans="1:9" hidden="1" x14ac:dyDescent="0.25">
      <c r="A1084" s="1" t="s">
        <v>24</v>
      </c>
      <c r="B1084" s="1" t="s">
        <v>137</v>
      </c>
      <c r="C1084" s="1" t="s">
        <v>25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</row>
    <row r="1085" spans="1:9" hidden="1" x14ac:dyDescent="0.25">
      <c r="A1085" s="1" t="s">
        <v>24</v>
      </c>
      <c r="B1085" s="1" t="s">
        <v>137</v>
      </c>
      <c r="C1085" s="1" t="s">
        <v>10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</row>
    <row r="1086" spans="1:9" hidden="1" x14ac:dyDescent="0.25">
      <c r="A1086" s="1" t="s">
        <v>24</v>
      </c>
      <c r="B1086" s="1" t="s">
        <v>138</v>
      </c>
      <c r="C1086" s="1" t="s">
        <v>25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</row>
    <row r="1087" spans="1:9" hidden="1" x14ac:dyDescent="0.25">
      <c r="A1087" s="1" t="s">
        <v>24</v>
      </c>
      <c r="B1087" s="1" t="s">
        <v>138</v>
      </c>
      <c r="C1087" s="1" t="s">
        <v>10</v>
      </c>
      <c r="D1087" s="1">
        <v>0</v>
      </c>
      <c r="E1087" s="1">
        <v>0</v>
      </c>
      <c r="F1087" s="1">
        <v>0</v>
      </c>
      <c r="G1087" s="1">
        <v>0</v>
      </c>
      <c r="H1087" s="1">
        <v>0</v>
      </c>
      <c r="I1087" s="1">
        <v>0</v>
      </c>
    </row>
    <row r="1088" spans="1:9" hidden="1" x14ac:dyDescent="0.25">
      <c r="A1088" s="1" t="s">
        <v>24</v>
      </c>
      <c r="B1088" s="1" t="s">
        <v>139</v>
      </c>
      <c r="C1088" s="1" t="s">
        <v>25</v>
      </c>
      <c r="D1088" s="1">
        <v>0</v>
      </c>
      <c r="E1088" s="1">
        <v>0</v>
      </c>
      <c r="F1088" s="1">
        <v>0</v>
      </c>
      <c r="G1088" s="1">
        <v>0</v>
      </c>
      <c r="H1088" s="1">
        <v>0</v>
      </c>
      <c r="I1088" s="1">
        <v>0</v>
      </c>
    </row>
    <row r="1089" spans="1:9" hidden="1" x14ac:dyDescent="0.25">
      <c r="A1089" s="1" t="s">
        <v>24</v>
      </c>
      <c r="B1089" s="1" t="s">
        <v>139</v>
      </c>
      <c r="C1089" s="1" t="s">
        <v>10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</row>
    <row r="1090" spans="1:9" hidden="1" x14ac:dyDescent="0.25">
      <c r="A1090" s="1" t="s">
        <v>24</v>
      </c>
      <c r="B1090" s="1" t="s">
        <v>140</v>
      </c>
      <c r="C1090" s="1" t="s">
        <v>25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24</v>
      </c>
      <c r="B1091" s="1" t="s">
        <v>140</v>
      </c>
      <c r="C1091" s="1" t="s">
        <v>10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24</v>
      </c>
      <c r="B1092" s="1" t="s">
        <v>141</v>
      </c>
      <c r="C1092" s="1" t="s">
        <v>25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</row>
    <row r="1093" spans="1:9" hidden="1" x14ac:dyDescent="0.25">
      <c r="A1093" s="1" t="s">
        <v>24</v>
      </c>
      <c r="B1093" s="1" t="s">
        <v>141</v>
      </c>
      <c r="C1093" s="1" t="s">
        <v>10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0</v>
      </c>
    </row>
    <row r="1094" spans="1:9" hidden="1" x14ac:dyDescent="0.25">
      <c r="A1094" s="1" t="s">
        <v>24</v>
      </c>
      <c r="B1094" s="1" t="s">
        <v>142</v>
      </c>
      <c r="C1094" s="1" t="s">
        <v>25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0</v>
      </c>
    </row>
    <row r="1095" spans="1:9" hidden="1" x14ac:dyDescent="0.25">
      <c r="A1095" s="1" t="s">
        <v>24</v>
      </c>
      <c r="B1095" s="1" t="s">
        <v>142</v>
      </c>
      <c r="C1095" s="1" t="s">
        <v>10</v>
      </c>
      <c r="D1095" s="1">
        <v>0</v>
      </c>
      <c r="E1095" s="1">
        <v>0</v>
      </c>
      <c r="F1095" s="1">
        <v>0</v>
      </c>
      <c r="G1095" s="1">
        <v>0</v>
      </c>
      <c r="H1095" s="1">
        <v>0</v>
      </c>
      <c r="I1095" s="1">
        <v>0</v>
      </c>
    </row>
    <row r="1096" spans="1:9" hidden="1" x14ac:dyDescent="0.25">
      <c r="A1096" s="1" t="s">
        <v>24</v>
      </c>
      <c r="B1096" s="1" t="s">
        <v>143</v>
      </c>
      <c r="C1096" s="1" t="s">
        <v>25</v>
      </c>
      <c r="D1096" s="1">
        <v>0</v>
      </c>
      <c r="E1096" s="1">
        <v>0</v>
      </c>
      <c r="F1096" s="1">
        <v>0</v>
      </c>
      <c r="G1096" s="1">
        <v>0</v>
      </c>
      <c r="H1096" s="1">
        <v>0</v>
      </c>
      <c r="I1096" s="1">
        <v>0</v>
      </c>
    </row>
    <row r="1097" spans="1:9" hidden="1" x14ac:dyDescent="0.25">
      <c r="A1097" s="1" t="s">
        <v>24</v>
      </c>
      <c r="B1097" s="1" t="s">
        <v>143</v>
      </c>
      <c r="C1097" s="1" t="s">
        <v>10</v>
      </c>
      <c r="D1097" s="1">
        <v>0</v>
      </c>
      <c r="E1097" s="1">
        <v>0</v>
      </c>
      <c r="F1097" s="1">
        <v>0</v>
      </c>
      <c r="G1097" s="1">
        <v>0</v>
      </c>
      <c r="H1097" s="1">
        <v>0</v>
      </c>
      <c r="I1097" s="1">
        <v>0</v>
      </c>
    </row>
    <row r="1098" spans="1:9" hidden="1" x14ac:dyDescent="0.25">
      <c r="A1098" s="1" t="s">
        <v>24</v>
      </c>
      <c r="B1098" s="1" t="s">
        <v>144</v>
      </c>
      <c r="C1098" s="1" t="s">
        <v>25</v>
      </c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</row>
    <row r="1099" spans="1:9" hidden="1" x14ac:dyDescent="0.25">
      <c r="A1099" s="1" t="s">
        <v>24</v>
      </c>
      <c r="B1099" s="1" t="s">
        <v>144</v>
      </c>
      <c r="C1099" s="1" t="s">
        <v>10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</row>
    <row r="1100" spans="1:9" hidden="1" x14ac:dyDescent="0.25">
      <c r="A1100" s="1" t="s">
        <v>24</v>
      </c>
      <c r="B1100" s="1" t="s">
        <v>145</v>
      </c>
      <c r="C1100" s="1" t="s">
        <v>25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24</v>
      </c>
      <c r="B1101" s="1" t="s">
        <v>145</v>
      </c>
      <c r="C1101" s="1" t="s">
        <v>10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24</v>
      </c>
      <c r="B1102" s="1" t="s">
        <v>146</v>
      </c>
      <c r="C1102" s="1" t="s">
        <v>25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</row>
    <row r="1103" spans="1:9" hidden="1" x14ac:dyDescent="0.25">
      <c r="A1103" s="1" t="s">
        <v>24</v>
      </c>
      <c r="B1103" s="1" t="s">
        <v>146</v>
      </c>
      <c r="C1103" s="1" t="s">
        <v>10</v>
      </c>
      <c r="D1103" s="1">
        <v>0</v>
      </c>
      <c r="E1103" s="1">
        <v>0</v>
      </c>
      <c r="F1103" s="1">
        <v>0</v>
      </c>
      <c r="G1103" s="1">
        <v>0</v>
      </c>
      <c r="H1103" s="1">
        <v>0</v>
      </c>
      <c r="I1103" s="1">
        <v>0</v>
      </c>
    </row>
    <row r="1104" spans="1:9" hidden="1" x14ac:dyDescent="0.25">
      <c r="A1104" s="1" t="s">
        <v>24</v>
      </c>
      <c r="B1104" s="1" t="s">
        <v>147</v>
      </c>
      <c r="C1104" s="1" t="s">
        <v>25</v>
      </c>
      <c r="D1104" s="1">
        <v>0</v>
      </c>
      <c r="E1104" s="1">
        <v>0</v>
      </c>
      <c r="F1104" s="1">
        <v>0</v>
      </c>
      <c r="G1104" s="1">
        <v>0</v>
      </c>
      <c r="H1104" s="1">
        <v>0</v>
      </c>
      <c r="I1104" s="1">
        <v>0</v>
      </c>
    </row>
    <row r="1105" spans="1:9" hidden="1" x14ac:dyDescent="0.25">
      <c r="A1105" s="1" t="s">
        <v>24</v>
      </c>
      <c r="B1105" s="1" t="s">
        <v>147</v>
      </c>
      <c r="C1105" s="1" t="s">
        <v>10</v>
      </c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</row>
    <row r="1106" spans="1:9" hidden="1" x14ac:dyDescent="0.25">
      <c r="A1106" s="1" t="s">
        <v>24</v>
      </c>
      <c r="B1106" s="1" t="s">
        <v>159</v>
      </c>
      <c r="C1106" s="1" t="s">
        <v>25</v>
      </c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</row>
    <row r="1107" spans="1:9" hidden="1" x14ac:dyDescent="0.25">
      <c r="A1107" s="1" t="s">
        <v>24</v>
      </c>
      <c r="B1107" s="1" t="s">
        <v>159</v>
      </c>
      <c r="C1107" s="1" t="s">
        <v>10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</row>
    <row r="1108" spans="1:9" hidden="1" x14ac:dyDescent="0.25">
      <c r="A1108" s="1" t="s">
        <v>24</v>
      </c>
      <c r="B1108" s="1" t="s">
        <v>160</v>
      </c>
      <c r="C1108" s="1" t="s">
        <v>25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</row>
    <row r="1109" spans="1:9" hidden="1" x14ac:dyDescent="0.25">
      <c r="A1109" s="1" t="s">
        <v>24</v>
      </c>
      <c r="B1109" s="1" t="s">
        <v>160</v>
      </c>
      <c r="C1109" s="1" t="s">
        <v>10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</row>
    <row r="1110" spans="1:9" hidden="1" x14ac:dyDescent="0.25">
      <c r="A1110" s="1" t="s">
        <v>24</v>
      </c>
      <c r="B1110" s="1" t="s">
        <v>161</v>
      </c>
      <c r="C1110" s="1" t="s">
        <v>25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24</v>
      </c>
      <c r="B1111" s="1" t="s">
        <v>161</v>
      </c>
      <c r="C1111" s="1" t="s">
        <v>10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24</v>
      </c>
      <c r="B1112" s="1" t="s">
        <v>162</v>
      </c>
      <c r="C1112" s="1" t="s">
        <v>25</v>
      </c>
      <c r="D1112" s="1">
        <v>0</v>
      </c>
      <c r="E1112" s="1">
        <v>-569.64</v>
      </c>
      <c r="F1112" s="1">
        <v>0</v>
      </c>
      <c r="G1112" s="1">
        <v>9399.1149999999998</v>
      </c>
      <c r="H1112" s="1">
        <v>0</v>
      </c>
      <c r="I1112" s="1">
        <v>-2784.9229999999998</v>
      </c>
    </row>
    <row r="1113" spans="1:9" hidden="1" x14ac:dyDescent="0.25">
      <c r="A1113" s="1" t="s">
        <v>24</v>
      </c>
      <c r="B1113" s="1" t="s">
        <v>162</v>
      </c>
      <c r="C1113" s="1" t="s">
        <v>10</v>
      </c>
      <c r="D1113" s="1">
        <v>0</v>
      </c>
      <c r="E1113" s="1">
        <v>-569.64</v>
      </c>
      <c r="F1113" s="1">
        <v>0</v>
      </c>
      <c r="G1113" s="1">
        <v>9399.1149999999998</v>
      </c>
      <c r="H1113" s="1">
        <v>0</v>
      </c>
      <c r="I1113" s="1">
        <v>-5063.4960000000001</v>
      </c>
    </row>
    <row r="1114" spans="1:9" hidden="1" x14ac:dyDescent="0.25">
      <c r="A1114" s="1" t="s">
        <v>24</v>
      </c>
      <c r="B1114" s="1" t="s">
        <v>163</v>
      </c>
      <c r="C1114" s="1" t="s">
        <v>25</v>
      </c>
      <c r="D1114" s="1">
        <v>0</v>
      </c>
      <c r="E1114" s="1">
        <v>-569.64</v>
      </c>
      <c r="F1114" s="1">
        <v>0</v>
      </c>
      <c r="G1114" s="1">
        <v>7690.1850000000004</v>
      </c>
      <c r="H1114" s="1">
        <v>0</v>
      </c>
      <c r="I1114" s="1">
        <v>-2784.9229999999998</v>
      </c>
    </row>
    <row r="1115" spans="1:9" hidden="1" x14ac:dyDescent="0.25">
      <c r="A1115" s="1" t="s">
        <v>24</v>
      </c>
      <c r="B1115" s="1" t="s">
        <v>163</v>
      </c>
      <c r="C1115" s="1" t="s">
        <v>10</v>
      </c>
      <c r="D1115" s="1">
        <v>0</v>
      </c>
      <c r="E1115" s="1">
        <v>-569.64</v>
      </c>
      <c r="F1115" s="1">
        <v>0</v>
      </c>
      <c r="G1115" s="1">
        <v>7690.1850000000004</v>
      </c>
      <c r="H1115" s="1">
        <v>0</v>
      </c>
      <c r="I1115" s="1">
        <v>-5063.4960000000001</v>
      </c>
    </row>
    <row r="1116" spans="1:9" hidden="1" x14ac:dyDescent="0.25">
      <c r="A1116" s="1" t="s">
        <v>24</v>
      </c>
      <c r="B1116" s="1" t="s">
        <v>164</v>
      </c>
      <c r="C1116" s="1" t="s">
        <v>25</v>
      </c>
      <c r="D1116" s="1">
        <v>0</v>
      </c>
      <c r="E1116" s="1">
        <v>569.64</v>
      </c>
      <c r="F1116" s="1">
        <v>0</v>
      </c>
      <c r="G1116" s="1">
        <v>-9399.1149999999998</v>
      </c>
      <c r="H1116" s="1">
        <v>0</v>
      </c>
      <c r="I1116" s="1">
        <v>2784.9229999999998</v>
      </c>
    </row>
    <row r="1117" spans="1:9" hidden="1" x14ac:dyDescent="0.25">
      <c r="A1117" s="1" t="s">
        <v>24</v>
      </c>
      <c r="B1117" s="1" t="s">
        <v>164</v>
      </c>
      <c r="C1117" s="1" t="s">
        <v>10</v>
      </c>
      <c r="D1117" s="1">
        <v>0</v>
      </c>
      <c r="E1117" s="1">
        <v>569.64</v>
      </c>
      <c r="F1117" s="1">
        <v>0</v>
      </c>
      <c r="G1117" s="1">
        <v>-9399.1149999999998</v>
      </c>
      <c r="H1117" s="1">
        <v>0</v>
      </c>
      <c r="I1117" s="1">
        <v>5063.4960000000001</v>
      </c>
    </row>
    <row r="1118" spans="1:9" hidden="1" x14ac:dyDescent="0.25">
      <c r="A1118" s="1" t="s">
        <v>24</v>
      </c>
      <c r="B1118" s="1" t="s">
        <v>165</v>
      </c>
      <c r="C1118" s="1" t="s">
        <v>25</v>
      </c>
      <c r="D1118" s="1">
        <v>0</v>
      </c>
      <c r="E1118" s="1">
        <v>569.64</v>
      </c>
      <c r="F1118" s="1">
        <v>0</v>
      </c>
      <c r="G1118" s="1">
        <v>-7690.1850000000004</v>
      </c>
      <c r="H1118" s="1">
        <v>0</v>
      </c>
      <c r="I1118" s="1">
        <v>2784.9229999999998</v>
      </c>
    </row>
    <row r="1119" spans="1:9" hidden="1" x14ac:dyDescent="0.25">
      <c r="A1119" s="1" t="s">
        <v>24</v>
      </c>
      <c r="B1119" s="1" t="s">
        <v>165</v>
      </c>
      <c r="C1119" s="1" t="s">
        <v>10</v>
      </c>
      <c r="D1119" s="1">
        <v>0</v>
      </c>
      <c r="E1119" s="1">
        <v>569.64</v>
      </c>
      <c r="F1119" s="1">
        <v>0</v>
      </c>
      <c r="G1119" s="1">
        <v>-7690.1850000000004</v>
      </c>
      <c r="H1119" s="1">
        <v>0</v>
      </c>
      <c r="I1119" s="1">
        <v>5063.4960000000001</v>
      </c>
    </row>
    <row r="1120" spans="1:9" hidden="1" x14ac:dyDescent="0.25">
      <c r="A1120" s="1" t="s">
        <v>24</v>
      </c>
      <c r="B1120" s="1" t="s">
        <v>166</v>
      </c>
      <c r="C1120" s="1" t="s">
        <v>25</v>
      </c>
      <c r="D1120" s="1">
        <v>0</v>
      </c>
      <c r="E1120" s="1">
        <v>0</v>
      </c>
      <c r="F1120" s="1">
        <v>-688.56</v>
      </c>
      <c r="G1120" s="1">
        <v>-13633.487999999999</v>
      </c>
      <c r="H1120" s="1">
        <v>3366.2930000000001</v>
      </c>
      <c r="I1120" s="1">
        <v>0</v>
      </c>
    </row>
    <row r="1121" spans="1:9" hidden="1" x14ac:dyDescent="0.25">
      <c r="A1121" s="1" t="s">
        <v>24</v>
      </c>
      <c r="B1121" s="1" t="s">
        <v>166</v>
      </c>
      <c r="C1121" s="1" t="s">
        <v>10</v>
      </c>
      <c r="D1121" s="1">
        <v>0</v>
      </c>
      <c r="E1121" s="1">
        <v>0</v>
      </c>
      <c r="F1121" s="1">
        <v>-688.56</v>
      </c>
      <c r="G1121" s="1">
        <v>-13633.487999999999</v>
      </c>
      <c r="H1121" s="1">
        <v>6120.5330000000004</v>
      </c>
      <c r="I1121" s="1">
        <v>0</v>
      </c>
    </row>
    <row r="1122" spans="1:9" hidden="1" x14ac:dyDescent="0.25">
      <c r="A1122" s="1" t="s">
        <v>24</v>
      </c>
      <c r="B1122" s="1" t="s">
        <v>167</v>
      </c>
      <c r="C1122" s="1" t="s">
        <v>25</v>
      </c>
      <c r="D1122" s="1">
        <v>0</v>
      </c>
      <c r="E1122" s="1">
        <v>0</v>
      </c>
      <c r="F1122" s="1">
        <v>-688.56</v>
      </c>
      <c r="G1122" s="1">
        <v>-11154.672</v>
      </c>
      <c r="H1122" s="1">
        <v>3366.2930000000001</v>
      </c>
      <c r="I1122" s="1">
        <v>0</v>
      </c>
    </row>
    <row r="1123" spans="1:9" hidden="1" x14ac:dyDescent="0.25">
      <c r="A1123" s="1" t="s">
        <v>24</v>
      </c>
      <c r="B1123" s="1" t="s">
        <v>167</v>
      </c>
      <c r="C1123" s="1" t="s">
        <v>10</v>
      </c>
      <c r="D1123" s="1">
        <v>0</v>
      </c>
      <c r="E1123" s="1">
        <v>0</v>
      </c>
      <c r="F1123" s="1">
        <v>-688.56</v>
      </c>
      <c r="G1123" s="1">
        <v>-11154.672</v>
      </c>
      <c r="H1123" s="1">
        <v>6120.5330000000004</v>
      </c>
      <c r="I1123" s="1">
        <v>0</v>
      </c>
    </row>
    <row r="1124" spans="1:9" hidden="1" x14ac:dyDescent="0.25">
      <c r="A1124" s="1" t="s">
        <v>24</v>
      </c>
      <c r="B1124" s="1" t="s">
        <v>168</v>
      </c>
      <c r="C1124" s="1" t="s">
        <v>25</v>
      </c>
      <c r="D1124" s="1">
        <v>0</v>
      </c>
      <c r="E1124" s="1">
        <v>0</v>
      </c>
      <c r="F1124" s="1">
        <v>688.56</v>
      </c>
      <c r="G1124" s="1">
        <v>13633.487999999999</v>
      </c>
      <c r="H1124" s="1">
        <v>-3366.2930000000001</v>
      </c>
      <c r="I1124" s="1">
        <v>0</v>
      </c>
    </row>
    <row r="1125" spans="1:9" hidden="1" x14ac:dyDescent="0.25">
      <c r="A1125" s="1" t="s">
        <v>24</v>
      </c>
      <c r="B1125" s="1" t="s">
        <v>168</v>
      </c>
      <c r="C1125" s="1" t="s">
        <v>10</v>
      </c>
      <c r="D1125" s="1">
        <v>0</v>
      </c>
      <c r="E1125" s="1">
        <v>0</v>
      </c>
      <c r="F1125" s="1">
        <v>688.56</v>
      </c>
      <c r="G1125" s="1">
        <v>13633.487999999999</v>
      </c>
      <c r="H1125" s="1">
        <v>-6120.5330000000004</v>
      </c>
      <c r="I1125" s="1">
        <v>0</v>
      </c>
    </row>
    <row r="1126" spans="1:9" hidden="1" x14ac:dyDescent="0.25">
      <c r="A1126" s="1" t="s">
        <v>24</v>
      </c>
      <c r="B1126" s="1" t="s">
        <v>169</v>
      </c>
      <c r="C1126" s="1" t="s">
        <v>25</v>
      </c>
      <c r="D1126" s="1">
        <v>0</v>
      </c>
      <c r="E1126" s="1">
        <v>0</v>
      </c>
      <c r="F1126" s="1">
        <v>688.56</v>
      </c>
      <c r="G1126" s="1">
        <v>11154.672</v>
      </c>
      <c r="H1126" s="1">
        <v>-3366.2930000000001</v>
      </c>
      <c r="I1126" s="1">
        <v>0</v>
      </c>
    </row>
    <row r="1127" spans="1:9" hidden="1" x14ac:dyDescent="0.25">
      <c r="A1127" s="1" t="s">
        <v>24</v>
      </c>
      <c r="B1127" s="1" t="s">
        <v>169</v>
      </c>
      <c r="C1127" s="1" t="s">
        <v>10</v>
      </c>
      <c r="D1127" s="1">
        <v>0</v>
      </c>
      <c r="E1127" s="1">
        <v>0</v>
      </c>
      <c r="F1127" s="1">
        <v>688.56</v>
      </c>
      <c r="G1127" s="1">
        <v>11154.672</v>
      </c>
      <c r="H1127" s="1">
        <v>-6120.5330000000004</v>
      </c>
      <c r="I1127" s="1">
        <v>0</v>
      </c>
    </row>
    <row r="1128" spans="1:9" hidden="1" x14ac:dyDescent="0.25">
      <c r="A1128" s="1" t="s">
        <v>24</v>
      </c>
      <c r="B1128" s="1" t="s">
        <v>170</v>
      </c>
      <c r="C1128" s="1" t="s">
        <v>25</v>
      </c>
      <c r="D1128" s="1">
        <v>0</v>
      </c>
      <c r="E1128" s="1">
        <v>-569.64</v>
      </c>
      <c r="F1128" s="1">
        <v>0</v>
      </c>
      <c r="G1128" s="1">
        <v>9399.1149999999998</v>
      </c>
      <c r="H1128" s="1">
        <v>0</v>
      </c>
      <c r="I1128" s="1">
        <v>-2784.9229999999998</v>
      </c>
    </row>
    <row r="1129" spans="1:9" hidden="1" x14ac:dyDescent="0.25">
      <c r="A1129" s="1" t="s">
        <v>24</v>
      </c>
      <c r="B1129" s="1" t="s">
        <v>170</v>
      </c>
      <c r="C1129" s="1" t="s">
        <v>10</v>
      </c>
      <c r="D1129" s="1">
        <v>0</v>
      </c>
      <c r="E1129" s="1">
        <v>-569.64</v>
      </c>
      <c r="F1129" s="1">
        <v>0</v>
      </c>
      <c r="G1129" s="1">
        <v>9399.1149999999998</v>
      </c>
      <c r="H1129" s="1">
        <v>0</v>
      </c>
      <c r="I1129" s="1">
        <v>-5063.4960000000001</v>
      </c>
    </row>
    <row r="1130" spans="1:9" hidden="1" x14ac:dyDescent="0.25">
      <c r="A1130" s="1" t="s">
        <v>24</v>
      </c>
      <c r="B1130" s="1" t="s">
        <v>171</v>
      </c>
      <c r="C1130" s="1" t="s">
        <v>25</v>
      </c>
      <c r="D1130" s="1">
        <v>0</v>
      </c>
      <c r="E1130" s="1">
        <v>-569.64</v>
      </c>
      <c r="F1130" s="1">
        <v>0</v>
      </c>
      <c r="G1130" s="1">
        <v>7690.1850000000004</v>
      </c>
      <c r="H1130" s="1">
        <v>0</v>
      </c>
      <c r="I1130" s="1">
        <v>-2784.9229999999998</v>
      </c>
    </row>
    <row r="1131" spans="1:9" hidden="1" x14ac:dyDescent="0.25">
      <c r="A1131" s="1" t="s">
        <v>24</v>
      </c>
      <c r="B1131" s="1" t="s">
        <v>171</v>
      </c>
      <c r="C1131" s="1" t="s">
        <v>10</v>
      </c>
      <c r="D1131" s="1">
        <v>0</v>
      </c>
      <c r="E1131" s="1">
        <v>-569.64</v>
      </c>
      <c r="F1131" s="1">
        <v>0</v>
      </c>
      <c r="G1131" s="1">
        <v>7690.1850000000004</v>
      </c>
      <c r="H1131" s="1">
        <v>0</v>
      </c>
      <c r="I1131" s="1">
        <v>-5063.4960000000001</v>
      </c>
    </row>
    <row r="1132" spans="1:9" hidden="1" x14ac:dyDescent="0.25">
      <c r="A1132" s="1" t="s">
        <v>24</v>
      </c>
      <c r="B1132" s="1" t="s">
        <v>172</v>
      </c>
      <c r="C1132" s="1" t="s">
        <v>25</v>
      </c>
      <c r="D1132" s="1">
        <v>0</v>
      </c>
      <c r="E1132" s="1">
        <v>569.64</v>
      </c>
      <c r="F1132" s="1">
        <v>0</v>
      </c>
      <c r="G1132" s="1">
        <v>-9399.1149999999998</v>
      </c>
      <c r="H1132" s="1">
        <v>0</v>
      </c>
      <c r="I1132" s="1">
        <v>2784.9229999999998</v>
      </c>
    </row>
    <row r="1133" spans="1:9" hidden="1" x14ac:dyDescent="0.25">
      <c r="A1133" s="1" t="s">
        <v>24</v>
      </c>
      <c r="B1133" s="1" t="s">
        <v>172</v>
      </c>
      <c r="C1133" s="1" t="s">
        <v>10</v>
      </c>
      <c r="D1133" s="1">
        <v>0</v>
      </c>
      <c r="E1133" s="1">
        <v>569.64</v>
      </c>
      <c r="F1133" s="1">
        <v>0</v>
      </c>
      <c r="G1133" s="1">
        <v>-9399.1149999999998</v>
      </c>
      <c r="H1133" s="1">
        <v>0</v>
      </c>
      <c r="I1133" s="1">
        <v>5063.4960000000001</v>
      </c>
    </row>
    <row r="1134" spans="1:9" hidden="1" x14ac:dyDescent="0.25">
      <c r="A1134" s="1" t="s">
        <v>24</v>
      </c>
      <c r="B1134" s="1" t="s">
        <v>173</v>
      </c>
      <c r="C1134" s="1" t="s">
        <v>25</v>
      </c>
      <c r="D1134" s="1">
        <v>0</v>
      </c>
      <c r="E1134" s="1">
        <v>569.64</v>
      </c>
      <c r="F1134" s="1">
        <v>0</v>
      </c>
      <c r="G1134" s="1">
        <v>-7690.1850000000004</v>
      </c>
      <c r="H1134" s="1">
        <v>0</v>
      </c>
      <c r="I1134" s="1">
        <v>2784.9229999999998</v>
      </c>
    </row>
    <row r="1135" spans="1:9" hidden="1" x14ac:dyDescent="0.25">
      <c r="A1135" s="1" t="s">
        <v>24</v>
      </c>
      <c r="B1135" s="1" t="s">
        <v>173</v>
      </c>
      <c r="C1135" s="1" t="s">
        <v>10</v>
      </c>
      <c r="D1135" s="1">
        <v>0</v>
      </c>
      <c r="E1135" s="1">
        <v>569.64</v>
      </c>
      <c r="F1135" s="1">
        <v>0</v>
      </c>
      <c r="G1135" s="1">
        <v>-7690.1850000000004</v>
      </c>
      <c r="H1135" s="1">
        <v>0</v>
      </c>
      <c r="I1135" s="1">
        <v>5063.4960000000001</v>
      </c>
    </row>
    <row r="1136" spans="1:9" hidden="1" x14ac:dyDescent="0.25">
      <c r="A1136" s="1" t="s">
        <v>24</v>
      </c>
      <c r="B1136" s="1" t="s">
        <v>174</v>
      </c>
      <c r="C1136" s="1" t="s">
        <v>25</v>
      </c>
      <c r="D1136" s="1">
        <v>0</v>
      </c>
      <c r="E1136" s="1">
        <v>0</v>
      </c>
      <c r="F1136" s="1">
        <v>-688.56</v>
      </c>
      <c r="G1136" s="1">
        <v>-13633.487999999999</v>
      </c>
      <c r="H1136" s="1">
        <v>3366.2930000000001</v>
      </c>
      <c r="I1136" s="1">
        <v>0</v>
      </c>
    </row>
    <row r="1137" spans="1:9" hidden="1" x14ac:dyDescent="0.25">
      <c r="A1137" s="1" t="s">
        <v>24</v>
      </c>
      <c r="B1137" s="1" t="s">
        <v>174</v>
      </c>
      <c r="C1137" s="1" t="s">
        <v>10</v>
      </c>
      <c r="D1137" s="1">
        <v>0</v>
      </c>
      <c r="E1137" s="1">
        <v>0</v>
      </c>
      <c r="F1137" s="1">
        <v>-688.56</v>
      </c>
      <c r="G1137" s="1">
        <v>-13633.487999999999</v>
      </c>
      <c r="H1137" s="1">
        <v>6120.5330000000004</v>
      </c>
      <c r="I1137" s="1">
        <v>0</v>
      </c>
    </row>
    <row r="1138" spans="1:9" hidden="1" x14ac:dyDescent="0.25">
      <c r="A1138" s="1" t="s">
        <v>24</v>
      </c>
      <c r="B1138" s="1" t="s">
        <v>175</v>
      </c>
      <c r="C1138" s="1" t="s">
        <v>25</v>
      </c>
      <c r="D1138" s="1">
        <v>0</v>
      </c>
      <c r="E1138" s="1">
        <v>0</v>
      </c>
      <c r="F1138" s="1">
        <v>-688.56</v>
      </c>
      <c r="G1138" s="1">
        <v>-11154.672</v>
      </c>
      <c r="H1138" s="1">
        <v>3366.2930000000001</v>
      </c>
      <c r="I1138" s="1">
        <v>0</v>
      </c>
    </row>
    <row r="1139" spans="1:9" hidden="1" x14ac:dyDescent="0.25">
      <c r="A1139" s="1" t="s">
        <v>24</v>
      </c>
      <c r="B1139" s="1" t="s">
        <v>175</v>
      </c>
      <c r="C1139" s="1" t="s">
        <v>10</v>
      </c>
      <c r="D1139" s="1">
        <v>0</v>
      </c>
      <c r="E1139" s="1">
        <v>0</v>
      </c>
      <c r="F1139" s="1">
        <v>-688.56</v>
      </c>
      <c r="G1139" s="1">
        <v>-11154.672</v>
      </c>
      <c r="H1139" s="1">
        <v>6120.5330000000004</v>
      </c>
      <c r="I1139" s="1">
        <v>0</v>
      </c>
    </row>
    <row r="1140" spans="1:9" hidden="1" x14ac:dyDescent="0.25">
      <c r="A1140" s="1" t="s">
        <v>24</v>
      </c>
      <c r="B1140" s="1" t="s">
        <v>176</v>
      </c>
      <c r="C1140" s="1" t="s">
        <v>25</v>
      </c>
      <c r="D1140" s="1">
        <v>0</v>
      </c>
      <c r="E1140" s="1">
        <v>0</v>
      </c>
      <c r="F1140" s="1">
        <v>688.56</v>
      </c>
      <c r="G1140" s="1">
        <v>13633.487999999999</v>
      </c>
      <c r="H1140" s="1">
        <v>-3366.2930000000001</v>
      </c>
      <c r="I1140" s="1">
        <v>0</v>
      </c>
    </row>
    <row r="1141" spans="1:9" hidden="1" x14ac:dyDescent="0.25">
      <c r="A1141" s="1" t="s">
        <v>24</v>
      </c>
      <c r="B1141" s="1" t="s">
        <v>176</v>
      </c>
      <c r="C1141" s="1" t="s">
        <v>10</v>
      </c>
      <c r="D1141" s="1">
        <v>0</v>
      </c>
      <c r="E1141" s="1">
        <v>0</v>
      </c>
      <c r="F1141" s="1">
        <v>688.56</v>
      </c>
      <c r="G1141" s="1">
        <v>13633.487999999999</v>
      </c>
      <c r="H1141" s="1">
        <v>-6120.5330000000004</v>
      </c>
      <c r="I1141" s="1">
        <v>0</v>
      </c>
    </row>
    <row r="1142" spans="1:9" hidden="1" x14ac:dyDescent="0.25">
      <c r="A1142" s="1" t="s">
        <v>24</v>
      </c>
      <c r="B1142" s="1" t="s">
        <v>177</v>
      </c>
      <c r="C1142" s="1" t="s">
        <v>25</v>
      </c>
      <c r="D1142" s="1">
        <v>0</v>
      </c>
      <c r="E1142" s="1">
        <v>0</v>
      </c>
      <c r="F1142" s="1">
        <v>688.56</v>
      </c>
      <c r="G1142" s="1">
        <v>11154.672</v>
      </c>
      <c r="H1142" s="1">
        <v>-3366.2930000000001</v>
      </c>
      <c r="I1142" s="1">
        <v>0</v>
      </c>
    </row>
    <row r="1143" spans="1:9" hidden="1" x14ac:dyDescent="0.25">
      <c r="A1143" s="1" t="s">
        <v>24</v>
      </c>
      <c r="B1143" s="1" t="s">
        <v>177</v>
      </c>
      <c r="C1143" s="1" t="s">
        <v>10</v>
      </c>
      <c r="D1143" s="1">
        <v>0</v>
      </c>
      <c r="E1143" s="1">
        <v>0</v>
      </c>
      <c r="F1143" s="1">
        <v>688.56</v>
      </c>
      <c r="G1143" s="1">
        <v>11154.672</v>
      </c>
      <c r="H1143" s="1">
        <v>-6120.5330000000004</v>
      </c>
      <c r="I1143" s="1">
        <v>0</v>
      </c>
    </row>
    <row r="1144" spans="1:9" hidden="1" x14ac:dyDescent="0.25">
      <c r="A1144" s="1" t="s">
        <v>24</v>
      </c>
      <c r="B1144" s="1" t="s">
        <v>178</v>
      </c>
      <c r="C1144" s="1" t="s">
        <v>25</v>
      </c>
      <c r="D1144" s="1">
        <v>0</v>
      </c>
      <c r="E1144" s="1">
        <v>-170.89</v>
      </c>
      <c r="F1144" s="1">
        <v>0</v>
      </c>
      <c r="G1144" s="1">
        <v>2819.7339999999999</v>
      </c>
      <c r="H1144" s="1">
        <v>0</v>
      </c>
      <c r="I1144" s="1">
        <v>-835.47699999999998</v>
      </c>
    </row>
    <row r="1145" spans="1:9" hidden="1" x14ac:dyDescent="0.25">
      <c r="A1145" s="1" t="s">
        <v>24</v>
      </c>
      <c r="B1145" s="1" t="s">
        <v>178</v>
      </c>
      <c r="C1145" s="1" t="s">
        <v>10</v>
      </c>
      <c r="D1145" s="1">
        <v>0</v>
      </c>
      <c r="E1145" s="1">
        <v>-170.89</v>
      </c>
      <c r="F1145" s="1">
        <v>0</v>
      </c>
      <c r="G1145" s="1">
        <v>2819.7339999999999</v>
      </c>
      <c r="H1145" s="1">
        <v>0</v>
      </c>
      <c r="I1145" s="1">
        <v>-1519.049</v>
      </c>
    </row>
    <row r="1146" spans="1:9" hidden="1" x14ac:dyDescent="0.25">
      <c r="A1146" s="1" t="s">
        <v>24</v>
      </c>
      <c r="B1146" s="1" t="s">
        <v>179</v>
      </c>
      <c r="C1146" s="1" t="s">
        <v>25</v>
      </c>
      <c r="D1146" s="1">
        <v>0</v>
      </c>
      <c r="E1146" s="1">
        <v>-170.89</v>
      </c>
      <c r="F1146" s="1">
        <v>0</v>
      </c>
      <c r="G1146" s="1">
        <v>2307.0549999999998</v>
      </c>
      <c r="H1146" s="1">
        <v>0</v>
      </c>
      <c r="I1146" s="1">
        <v>-835.47699999999998</v>
      </c>
    </row>
    <row r="1147" spans="1:9" hidden="1" x14ac:dyDescent="0.25">
      <c r="A1147" s="1" t="s">
        <v>24</v>
      </c>
      <c r="B1147" s="1" t="s">
        <v>179</v>
      </c>
      <c r="C1147" s="1" t="s">
        <v>10</v>
      </c>
      <c r="D1147" s="1">
        <v>0</v>
      </c>
      <c r="E1147" s="1">
        <v>-170.89</v>
      </c>
      <c r="F1147" s="1">
        <v>0</v>
      </c>
      <c r="G1147" s="1">
        <v>2307.0549999999998</v>
      </c>
      <c r="H1147" s="1">
        <v>0</v>
      </c>
      <c r="I1147" s="1">
        <v>-1519.049</v>
      </c>
    </row>
    <row r="1148" spans="1:9" hidden="1" x14ac:dyDescent="0.25">
      <c r="A1148" s="1" t="s">
        <v>24</v>
      </c>
      <c r="B1148" s="1" t="s">
        <v>180</v>
      </c>
      <c r="C1148" s="1" t="s">
        <v>25</v>
      </c>
      <c r="D1148" s="1">
        <v>0</v>
      </c>
      <c r="E1148" s="1">
        <v>170.89</v>
      </c>
      <c r="F1148" s="1">
        <v>0</v>
      </c>
      <c r="G1148" s="1">
        <v>-2819.7339999999999</v>
      </c>
      <c r="H1148" s="1">
        <v>0</v>
      </c>
      <c r="I1148" s="1">
        <v>835.47699999999998</v>
      </c>
    </row>
    <row r="1149" spans="1:9" hidden="1" x14ac:dyDescent="0.25">
      <c r="A1149" s="1" t="s">
        <v>24</v>
      </c>
      <c r="B1149" s="1" t="s">
        <v>180</v>
      </c>
      <c r="C1149" s="1" t="s">
        <v>10</v>
      </c>
      <c r="D1149" s="1">
        <v>0</v>
      </c>
      <c r="E1149" s="1">
        <v>170.89</v>
      </c>
      <c r="F1149" s="1">
        <v>0</v>
      </c>
      <c r="G1149" s="1">
        <v>-2819.7339999999999</v>
      </c>
      <c r="H1149" s="1">
        <v>0</v>
      </c>
      <c r="I1149" s="1">
        <v>1519.049</v>
      </c>
    </row>
    <row r="1150" spans="1:9" hidden="1" x14ac:dyDescent="0.25">
      <c r="A1150" s="1" t="s">
        <v>24</v>
      </c>
      <c r="B1150" s="1" t="s">
        <v>181</v>
      </c>
      <c r="C1150" s="1" t="s">
        <v>25</v>
      </c>
      <c r="D1150" s="1">
        <v>0</v>
      </c>
      <c r="E1150" s="1">
        <v>170.89</v>
      </c>
      <c r="F1150" s="1">
        <v>0</v>
      </c>
      <c r="G1150" s="1">
        <v>-2307.0549999999998</v>
      </c>
      <c r="H1150" s="1">
        <v>0</v>
      </c>
      <c r="I1150" s="1">
        <v>835.47699999999998</v>
      </c>
    </row>
    <row r="1151" spans="1:9" hidden="1" x14ac:dyDescent="0.25">
      <c r="A1151" s="1" t="s">
        <v>24</v>
      </c>
      <c r="B1151" s="1" t="s">
        <v>181</v>
      </c>
      <c r="C1151" s="1" t="s">
        <v>10</v>
      </c>
      <c r="D1151" s="1">
        <v>0</v>
      </c>
      <c r="E1151" s="1">
        <v>170.89</v>
      </c>
      <c r="F1151" s="1">
        <v>0</v>
      </c>
      <c r="G1151" s="1">
        <v>-2307.0549999999998</v>
      </c>
      <c r="H1151" s="1">
        <v>0</v>
      </c>
      <c r="I1151" s="1">
        <v>1519.049</v>
      </c>
    </row>
    <row r="1152" spans="1:9" hidden="1" x14ac:dyDescent="0.25">
      <c r="A1152" s="1" t="s">
        <v>24</v>
      </c>
      <c r="B1152" s="1" t="s">
        <v>182</v>
      </c>
      <c r="C1152" s="1" t="s">
        <v>25</v>
      </c>
      <c r="D1152" s="1">
        <v>0</v>
      </c>
      <c r="E1152" s="1">
        <v>0</v>
      </c>
      <c r="F1152" s="1">
        <v>-206.57</v>
      </c>
      <c r="G1152" s="1">
        <v>-4090.0459999999998</v>
      </c>
      <c r="H1152" s="1">
        <v>1009.888</v>
      </c>
      <c r="I1152" s="1">
        <v>0</v>
      </c>
    </row>
    <row r="1153" spans="1:9" hidden="1" x14ac:dyDescent="0.25">
      <c r="A1153" s="1" t="s">
        <v>24</v>
      </c>
      <c r="B1153" s="1" t="s">
        <v>182</v>
      </c>
      <c r="C1153" s="1" t="s">
        <v>10</v>
      </c>
      <c r="D1153" s="1">
        <v>0</v>
      </c>
      <c r="E1153" s="1">
        <v>0</v>
      </c>
      <c r="F1153" s="1">
        <v>-206.57</v>
      </c>
      <c r="G1153" s="1">
        <v>-4090.0459999999998</v>
      </c>
      <c r="H1153" s="1">
        <v>1836.16</v>
      </c>
      <c r="I1153" s="1">
        <v>0</v>
      </c>
    </row>
    <row r="1154" spans="1:9" hidden="1" x14ac:dyDescent="0.25">
      <c r="A1154" s="1" t="s">
        <v>24</v>
      </c>
      <c r="B1154" s="1" t="s">
        <v>183</v>
      </c>
      <c r="C1154" s="1" t="s">
        <v>25</v>
      </c>
      <c r="D1154" s="1">
        <v>0</v>
      </c>
      <c r="E1154" s="1">
        <v>0</v>
      </c>
      <c r="F1154" s="1">
        <v>-206.57</v>
      </c>
      <c r="G1154" s="1">
        <v>-3346.4009999999998</v>
      </c>
      <c r="H1154" s="1">
        <v>1009.888</v>
      </c>
      <c r="I1154" s="1">
        <v>0</v>
      </c>
    </row>
    <row r="1155" spans="1:9" hidden="1" x14ac:dyDescent="0.25">
      <c r="A1155" s="1" t="s">
        <v>24</v>
      </c>
      <c r="B1155" s="1" t="s">
        <v>183</v>
      </c>
      <c r="C1155" s="1" t="s">
        <v>10</v>
      </c>
      <c r="D1155" s="1">
        <v>0</v>
      </c>
      <c r="E1155" s="1">
        <v>0</v>
      </c>
      <c r="F1155" s="1">
        <v>-206.57</v>
      </c>
      <c r="G1155" s="1">
        <v>-3346.4009999999998</v>
      </c>
      <c r="H1155" s="1">
        <v>1836.16</v>
      </c>
      <c r="I1155" s="1">
        <v>0</v>
      </c>
    </row>
    <row r="1156" spans="1:9" hidden="1" x14ac:dyDescent="0.25">
      <c r="A1156" s="1" t="s">
        <v>24</v>
      </c>
      <c r="B1156" s="1" t="s">
        <v>184</v>
      </c>
      <c r="C1156" s="1" t="s">
        <v>25</v>
      </c>
      <c r="D1156" s="1">
        <v>0</v>
      </c>
      <c r="E1156" s="1">
        <v>0</v>
      </c>
      <c r="F1156" s="1">
        <v>206.57</v>
      </c>
      <c r="G1156" s="1">
        <v>4090.0459999999998</v>
      </c>
      <c r="H1156" s="1">
        <v>-1009.888</v>
      </c>
      <c r="I1156" s="1">
        <v>0</v>
      </c>
    </row>
    <row r="1157" spans="1:9" hidden="1" x14ac:dyDescent="0.25">
      <c r="A1157" s="1" t="s">
        <v>24</v>
      </c>
      <c r="B1157" s="1" t="s">
        <v>184</v>
      </c>
      <c r="C1157" s="1" t="s">
        <v>10</v>
      </c>
      <c r="D1157" s="1">
        <v>0</v>
      </c>
      <c r="E1157" s="1">
        <v>0</v>
      </c>
      <c r="F1157" s="1">
        <v>206.57</v>
      </c>
      <c r="G1157" s="1">
        <v>4090.0459999999998</v>
      </c>
      <c r="H1157" s="1">
        <v>-1836.16</v>
      </c>
      <c r="I1157" s="1">
        <v>0</v>
      </c>
    </row>
    <row r="1158" spans="1:9" hidden="1" x14ac:dyDescent="0.25">
      <c r="A1158" s="1" t="s">
        <v>24</v>
      </c>
      <c r="B1158" s="1" t="s">
        <v>185</v>
      </c>
      <c r="C1158" s="1" t="s">
        <v>25</v>
      </c>
      <c r="D1158" s="1">
        <v>0</v>
      </c>
      <c r="E1158" s="1">
        <v>0</v>
      </c>
      <c r="F1158" s="1">
        <v>206.57</v>
      </c>
      <c r="G1158" s="1">
        <v>3346.4009999999998</v>
      </c>
      <c r="H1158" s="1">
        <v>-1009.888</v>
      </c>
      <c r="I1158" s="1">
        <v>0</v>
      </c>
    </row>
    <row r="1159" spans="1:9" hidden="1" x14ac:dyDescent="0.25">
      <c r="A1159" s="1" t="s">
        <v>24</v>
      </c>
      <c r="B1159" s="1" t="s">
        <v>185</v>
      </c>
      <c r="C1159" s="1" t="s">
        <v>10</v>
      </c>
      <c r="D1159" s="1">
        <v>0</v>
      </c>
      <c r="E1159" s="1">
        <v>0</v>
      </c>
      <c r="F1159" s="1">
        <v>206.57</v>
      </c>
      <c r="G1159" s="1">
        <v>3346.4009999999998</v>
      </c>
      <c r="H1159" s="1">
        <v>-1836.16</v>
      </c>
      <c r="I1159" s="1">
        <v>0</v>
      </c>
    </row>
    <row r="1160" spans="1:9" hidden="1" x14ac:dyDescent="0.25">
      <c r="A1160" s="1" t="s">
        <v>24</v>
      </c>
      <c r="B1160" s="1" t="s">
        <v>186</v>
      </c>
      <c r="C1160" s="1" t="s">
        <v>25</v>
      </c>
      <c r="D1160" s="1">
        <v>0</v>
      </c>
      <c r="E1160" s="1">
        <v>-170.89</v>
      </c>
      <c r="F1160" s="1">
        <v>0</v>
      </c>
      <c r="G1160" s="1">
        <v>2819.7339999999999</v>
      </c>
      <c r="H1160" s="1">
        <v>0</v>
      </c>
      <c r="I1160" s="1">
        <v>-835.47699999999998</v>
      </c>
    </row>
    <row r="1161" spans="1:9" hidden="1" x14ac:dyDescent="0.25">
      <c r="A1161" s="1" t="s">
        <v>24</v>
      </c>
      <c r="B1161" s="1" t="s">
        <v>186</v>
      </c>
      <c r="C1161" s="1" t="s">
        <v>10</v>
      </c>
      <c r="D1161" s="1">
        <v>0</v>
      </c>
      <c r="E1161" s="1">
        <v>-170.89</v>
      </c>
      <c r="F1161" s="1">
        <v>0</v>
      </c>
      <c r="G1161" s="1">
        <v>2819.7339999999999</v>
      </c>
      <c r="H1161" s="1">
        <v>0</v>
      </c>
      <c r="I1161" s="1">
        <v>-1519.049</v>
      </c>
    </row>
    <row r="1162" spans="1:9" hidden="1" x14ac:dyDescent="0.25">
      <c r="A1162" s="1" t="s">
        <v>24</v>
      </c>
      <c r="B1162" s="1" t="s">
        <v>187</v>
      </c>
      <c r="C1162" s="1" t="s">
        <v>25</v>
      </c>
      <c r="D1162" s="1">
        <v>0</v>
      </c>
      <c r="E1162" s="1">
        <v>-170.89</v>
      </c>
      <c r="F1162" s="1">
        <v>0</v>
      </c>
      <c r="G1162" s="1">
        <v>2307.0549999999998</v>
      </c>
      <c r="H1162" s="1">
        <v>0</v>
      </c>
      <c r="I1162" s="1">
        <v>-835.47699999999998</v>
      </c>
    </row>
    <row r="1163" spans="1:9" hidden="1" x14ac:dyDescent="0.25">
      <c r="A1163" s="1" t="s">
        <v>24</v>
      </c>
      <c r="B1163" s="1" t="s">
        <v>187</v>
      </c>
      <c r="C1163" s="1" t="s">
        <v>10</v>
      </c>
      <c r="D1163" s="1">
        <v>0</v>
      </c>
      <c r="E1163" s="1">
        <v>-170.89</v>
      </c>
      <c r="F1163" s="1">
        <v>0</v>
      </c>
      <c r="G1163" s="1">
        <v>2307.0549999999998</v>
      </c>
      <c r="H1163" s="1">
        <v>0</v>
      </c>
      <c r="I1163" s="1">
        <v>-1519.049</v>
      </c>
    </row>
    <row r="1164" spans="1:9" hidden="1" x14ac:dyDescent="0.25">
      <c r="A1164" s="1" t="s">
        <v>24</v>
      </c>
      <c r="B1164" s="1" t="s">
        <v>188</v>
      </c>
      <c r="C1164" s="1" t="s">
        <v>25</v>
      </c>
      <c r="D1164" s="1">
        <v>0</v>
      </c>
      <c r="E1164" s="1">
        <v>170.89</v>
      </c>
      <c r="F1164" s="1">
        <v>0</v>
      </c>
      <c r="G1164" s="1">
        <v>-2819.7339999999999</v>
      </c>
      <c r="H1164" s="1">
        <v>0</v>
      </c>
      <c r="I1164" s="1">
        <v>835.47699999999998</v>
      </c>
    </row>
    <row r="1165" spans="1:9" hidden="1" x14ac:dyDescent="0.25">
      <c r="A1165" s="1" t="s">
        <v>24</v>
      </c>
      <c r="B1165" s="1" t="s">
        <v>188</v>
      </c>
      <c r="C1165" s="1" t="s">
        <v>10</v>
      </c>
      <c r="D1165" s="1">
        <v>0</v>
      </c>
      <c r="E1165" s="1">
        <v>170.89</v>
      </c>
      <c r="F1165" s="1">
        <v>0</v>
      </c>
      <c r="G1165" s="1">
        <v>-2819.7339999999999</v>
      </c>
      <c r="H1165" s="1">
        <v>0</v>
      </c>
      <c r="I1165" s="1">
        <v>1519.049</v>
      </c>
    </row>
    <row r="1166" spans="1:9" hidden="1" x14ac:dyDescent="0.25">
      <c r="A1166" s="1" t="s">
        <v>24</v>
      </c>
      <c r="B1166" s="1" t="s">
        <v>189</v>
      </c>
      <c r="C1166" s="1" t="s">
        <v>25</v>
      </c>
      <c r="D1166" s="1">
        <v>0</v>
      </c>
      <c r="E1166" s="1">
        <v>170.89</v>
      </c>
      <c r="F1166" s="1">
        <v>0</v>
      </c>
      <c r="G1166" s="1">
        <v>-2307.0549999999998</v>
      </c>
      <c r="H1166" s="1">
        <v>0</v>
      </c>
      <c r="I1166" s="1">
        <v>835.47699999999998</v>
      </c>
    </row>
    <row r="1167" spans="1:9" hidden="1" x14ac:dyDescent="0.25">
      <c r="A1167" s="1" t="s">
        <v>24</v>
      </c>
      <c r="B1167" s="1" t="s">
        <v>189</v>
      </c>
      <c r="C1167" s="1" t="s">
        <v>10</v>
      </c>
      <c r="D1167" s="1">
        <v>0</v>
      </c>
      <c r="E1167" s="1">
        <v>170.89</v>
      </c>
      <c r="F1167" s="1">
        <v>0</v>
      </c>
      <c r="G1167" s="1">
        <v>-2307.0549999999998</v>
      </c>
      <c r="H1167" s="1">
        <v>0</v>
      </c>
      <c r="I1167" s="1">
        <v>1519.049</v>
      </c>
    </row>
    <row r="1168" spans="1:9" hidden="1" x14ac:dyDescent="0.25">
      <c r="A1168" s="1" t="s">
        <v>24</v>
      </c>
      <c r="B1168" s="1" t="s">
        <v>190</v>
      </c>
      <c r="C1168" s="1" t="s">
        <v>25</v>
      </c>
      <c r="D1168" s="1">
        <v>0</v>
      </c>
      <c r="E1168" s="1">
        <v>0</v>
      </c>
      <c r="F1168" s="1">
        <v>-206.57</v>
      </c>
      <c r="G1168" s="1">
        <v>-4090.0459999999998</v>
      </c>
      <c r="H1168" s="1">
        <v>1009.888</v>
      </c>
      <c r="I1168" s="1">
        <v>0</v>
      </c>
    </row>
    <row r="1169" spans="1:9" hidden="1" x14ac:dyDescent="0.25">
      <c r="A1169" s="1" t="s">
        <v>24</v>
      </c>
      <c r="B1169" s="1" t="s">
        <v>190</v>
      </c>
      <c r="C1169" s="1" t="s">
        <v>10</v>
      </c>
      <c r="D1169" s="1">
        <v>0</v>
      </c>
      <c r="E1169" s="1">
        <v>0</v>
      </c>
      <c r="F1169" s="1">
        <v>-206.57</v>
      </c>
      <c r="G1169" s="1">
        <v>-4090.0459999999998</v>
      </c>
      <c r="H1169" s="1">
        <v>1836.16</v>
      </c>
      <c r="I1169" s="1">
        <v>0</v>
      </c>
    </row>
    <row r="1170" spans="1:9" hidden="1" x14ac:dyDescent="0.25">
      <c r="A1170" s="1" t="s">
        <v>24</v>
      </c>
      <c r="B1170" s="1" t="s">
        <v>191</v>
      </c>
      <c r="C1170" s="1" t="s">
        <v>25</v>
      </c>
      <c r="D1170" s="1">
        <v>0</v>
      </c>
      <c r="E1170" s="1">
        <v>0</v>
      </c>
      <c r="F1170" s="1">
        <v>-206.57</v>
      </c>
      <c r="G1170" s="1">
        <v>-3346.4009999999998</v>
      </c>
      <c r="H1170" s="1">
        <v>1009.888</v>
      </c>
      <c r="I1170" s="1">
        <v>0</v>
      </c>
    </row>
    <row r="1171" spans="1:9" hidden="1" x14ac:dyDescent="0.25">
      <c r="A1171" s="1" t="s">
        <v>24</v>
      </c>
      <c r="B1171" s="1" t="s">
        <v>191</v>
      </c>
      <c r="C1171" s="1" t="s">
        <v>10</v>
      </c>
      <c r="D1171" s="1">
        <v>0</v>
      </c>
      <c r="E1171" s="1">
        <v>0</v>
      </c>
      <c r="F1171" s="1">
        <v>-206.57</v>
      </c>
      <c r="G1171" s="1">
        <v>-3346.4009999999998</v>
      </c>
      <c r="H1171" s="1">
        <v>1836.16</v>
      </c>
      <c r="I1171" s="1">
        <v>0</v>
      </c>
    </row>
    <row r="1172" spans="1:9" hidden="1" x14ac:dyDescent="0.25">
      <c r="A1172" s="1" t="s">
        <v>24</v>
      </c>
      <c r="B1172" s="1" t="s">
        <v>192</v>
      </c>
      <c r="C1172" s="1" t="s">
        <v>25</v>
      </c>
      <c r="D1172" s="1">
        <v>0</v>
      </c>
      <c r="E1172" s="1">
        <v>0</v>
      </c>
      <c r="F1172" s="1">
        <v>206.57</v>
      </c>
      <c r="G1172" s="1">
        <v>4090.0459999999998</v>
      </c>
      <c r="H1172" s="1">
        <v>-1009.888</v>
      </c>
      <c r="I1172" s="1">
        <v>0</v>
      </c>
    </row>
    <row r="1173" spans="1:9" hidden="1" x14ac:dyDescent="0.25">
      <c r="A1173" s="1" t="s">
        <v>24</v>
      </c>
      <c r="B1173" s="1" t="s">
        <v>192</v>
      </c>
      <c r="C1173" s="1" t="s">
        <v>10</v>
      </c>
      <c r="D1173" s="1">
        <v>0</v>
      </c>
      <c r="E1173" s="1">
        <v>0</v>
      </c>
      <c r="F1173" s="1">
        <v>206.57</v>
      </c>
      <c r="G1173" s="1">
        <v>4090.0459999999998</v>
      </c>
      <c r="H1173" s="1">
        <v>-1836.16</v>
      </c>
      <c r="I1173" s="1">
        <v>0</v>
      </c>
    </row>
    <row r="1174" spans="1:9" hidden="1" x14ac:dyDescent="0.25">
      <c r="A1174" s="1" t="s">
        <v>24</v>
      </c>
      <c r="B1174" s="1" t="s">
        <v>193</v>
      </c>
      <c r="C1174" s="1" t="s">
        <v>25</v>
      </c>
      <c r="D1174" s="1">
        <v>0</v>
      </c>
      <c r="E1174" s="1">
        <v>0</v>
      </c>
      <c r="F1174" s="1">
        <v>206.57</v>
      </c>
      <c r="G1174" s="1">
        <v>3346.4009999999998</v>
      </c>
      <c r="H1174" s="1">
        <v>-1009.888</v>
      </c>
      <c r="I1174" s="1">
        <v>0</v>
      </c>
    </row>
    <row r="1175" spans="1:9" hidden="1" x14ac:dyDescent="0.25">
      <c r="A1175" s="1" t="s">
        <v>24</v>
      </c>
      <c r="B1175" s="1" t="s">
        <v>193</v>
      </c>
      <c r="C1175" s="1" t="s">
        <v>10</v>
      </c>
      <c r="D1175" s="1">
        <v>0</v>
      </c>
      <c r="E1175" s="1">
        <v>0</v>
      </c>
      <c r="F1175" s="1">
        <v>206.57</v>
      </c>
      <c r="G1175" s="1">
        <v>3346.4009999999998</v>
      </c>
      <c r="H1175" s="1">
        <v>-1836.16</v>
      </c>
      <c r="I1175" s="1">
        <v>0</v>
      </c>
    </row>
    <row r="1176" spans="1:9" hidden="1" x14ac:dyDescent="0.25">
      <c r="A1176" s="1" t="s">
        <v>24</v>
      </c>
      <c r="B1176" s="1" t="s">
        <v>194</v>
      </c>
      <c r="C1176" s="1" t="s">
        <v>25</v>
      </c>
      <c r="D1176" s="1">
        <v>0</v>
      </c>
      <c r="E1176" s="1">
        <v>-569.64</v>
      </c>
      <c r="F1176" s="1">
        <v>0</v>
      </c>
      <c r="G1176" s="1">
        <v>9399.1149999999998</v>
      </c>
      <c r="H1176" s="1">
        <v>0</v>
      </c>
      <c r="I1176" s="1">
        <v>-2784.9229999999998</v>
      </c>
    </row>
    <row r="1177" spans="1:9" hidden="1" x14ac:dyDescent="0.25">
      <c r="A1177" s="1" t="s">
        <v>24</v>
      </c>
      <c r="B1177" s="1" t="s">
        <v>194</v>
      </c>
      <c r="C1177" s="1" t="s">
        <v>10</v>
      </c>
      <c r="D1177" s="1">
        <v>0</v>
      </c>
      <c r="E1177" s="1">
        <v>-569.64</v>
      </c>
      <c r="F1177" s="1">
        <v>0</v>
      </c>
      <c r="G1177" s="1">
        <v>9399.1149999999998</v>
      </c>
      <c r="H1177" s="1">
        <v>0</v>
      </c>
      <c r="I1177" s="1">
        <v>-5063.4960000000001</v>
      </c>
    </row>
    <row r="1178" spans="1:9" hidden="1" x14ac:dyDescent="0.25">
      <c r="A1178" s="1" t="s">
        <v>24</v>
      </c>
      <c r="B1178" s="1" t="s">
        <v>195</v>
      </c>
      <c r="C1178" s="1" t="s">
        <v>25</v>
      </c>
      <c r="D1178" s="1">
        <v>0</v>
      </c>
      <c r="E1178" s="1">
        <v>-569.64</v>
      </c>
      <c r="F1178" s="1">
        <v>0</v>
      </c>
      <c r="G1178" s="1">
        <v>7690.1850000000004</v>
      </c>
      <c r="H1178" s="1">
        <v>0</v>
      </c>
      <c r="I1178" s="1">
        <v>-2784.9229999999998</v>
      </c>
    </row>
    <row r="1179" spans="1:9" hidden="1" x14ac:dyDescent="0.25">
      <c r="A1179" s="1" t="s">
        <v>24</v>
      </c>
      <c r="B1179" s="1" t="s">
        <v>195</v>
      </c>
      <c r="C1179" s="1" t="s">
        <v>10</v>
      </c>
      <c r="D1179" s="1">
        <v>0</v>
      </c>
      <c r="E1179" s="1">
        <v>-569.64</v>
      </c>
      <c r="F1179" s="1">
        <v>0</v>
      </c>
      <c r="G1179" s="1">
        <v>7690.1850000000004</v>
      </c>
      <c r="H1179" s="1">
        <v>0</v>
      </c>
      <c r="I1179" s="1">
        <v>-5063.4960000000001</v>
      </c>
    </row>
    <row r="1180" spans="1:9" hidden="1" x14ac:dyDescent="0.25">
      <c r="A1180" s="1" t="s">
        <v>24</v>
      </c>
      <c r="B1180" s="1" t="s">
        <v>196</v>
      </c>
      <c r="C1180" s="1" t="s">
        <v>25</v>
      </c>
      <c r="D1180" s="1">
        <v>0</v>
      </c>
      <c r="E1180" s="1">
        <v>569.64</v>
      </c>
      <c r="F1180" s="1">
        <v>0</v>
      </c>
      <c r="G1180" s="1">
        <v>-9399.1149999999998</v>
      </c>
      <c r="H1180" s="1">
        <v>0</v>
      </c>
      <c r="I1180" s="1">
        <v>2784.9229999999998</v>
      </c>
    </row>
    <row r="1181" spans="1:9" hidden="1" x14ac:dyDescent="0.25">
      <c r="A1181" s="1" t="s">
        <v>24</v>
      </c>
      <c r="B1181" s="1" t="s">
        <v>196</v>
      </c>
      <c r="C1181" s="1" t="s">
        <v>10</v>
      </c>
      <c r="D1181" s="1">
        <v>0</v>
      </c>
      <c r="E1181" s="1">
        <v>569.64</v>
      </c>
      <c r="F1181" s="1">
        <v>0</v>
      </c>
      <c r="G1181" s="1">
        <v>-9399.1149999999998</v>
      </c>
      <c r="H1181" s="1">
        <v>0</v>
      </c>
      <c r="I1181" s="1">
        <v>5063.4960000000001</v>
      </c>
    </row>
    <row r="1182" spans="1:9" hidden="1" x14ac:dyDescent="0.25">
      <c r="A1182" s="1" t="s">
        <v>24</v>
      </c>
      <c r="B1182" s="1" t="s">
        <v>197</v>
      </c>
      <c r="C1182" s="1" t="s">
        <v>25</v>
      </c>
      <c r="D1182" s="1">
        <v>0</v>
      </c>
      <c r="E1182" s="1">
        <v>569.64</v>
      </c>
      <c r="F1182" s="1">
        <v>0</v>
      </c>
      <c r="G1182" s="1">
        <v>-7690.1850000000004</v>
      </c>
      <c r="H1182" s="1">
        <v>0</v>
      </c>
      <c r="I1182" s="1">
        <v>2784.9229999999998</v>
      </c>
    </row>
    <row r="1183" spans="1:9" hidden="1" x14ac:dyDescent="0.25">
      <c r="A1183" s="1" t="s">
        <v>24</v>
      </c>
      <c r="B1183" s="1" t="s">
        <v>197</v>
      </c>
      <c r="C1183" s="1" t="s">
        <v>10</v>
      </c>
      <c r="D1183" s="1">
        <v>0</v>
      </c>
      <c r="E1183" s="1">
        <v>569.64</v>
      </c>
      <c r="F1183" s="1">
        <v>0</v>
      </c>
      <c r="G1183" s="1">
        <v>-7690.1850000000004</v>
      </c>
      <c r="H1183" s="1">
        <v>0</v>
      </c>
      <c r="I1183" s="1">
        <v>5063.4960000000001</v>
      </c>
    </row>
    <row r="1184" spans="1:9" hidden="1" x14ac:dyDescent="0.25">
      <c r="A1184" s="1" t="s">
        <v>24</v>
      </c>
      <c r="B1184" s="1" t="s">
        <v>198</v>
      </c>
      <c r="C1184" s="1" t="s">
        <v>25</v>
      </c>
      <c r="D1184" s="1">
        <v>0</v>
      </c>
      <c r="E1184" s="1">
        <v>0</v>
      </c>
      <c r="F1184" s="1">
        <v>-688.56</v>
      </c>
      <c r="G1184" s="1">
        <v>-13633.487999999999</v>
      </c>
      <c r="H1184" s="1">
        <v>3366.2930000000001</v>
      </c>
      <c r="I1184" s="1">
        <v>0</v>
      </c>
    </row>
    <row r="1185" spans="1:9" hidden="1" x14ac:dyDescent="0.25">
      <c r="A1185" s="1" t="s">
        <v>24</v>
      </c>
      <c r="B1185" s="1" t="s">
        <v>198</v>
      </c>
      <c r="C1185" s="1" t="s">
        <v>10</v>
      </c>
      <c r="D1185" s="1">
        <v>0</v>
      </c>
      <c r="E1185" s="1">
        <v>0</v>
      </c>
      <c r="F1185" s="1">
        <v>-688.56</v>
      </c>
      <c r="G1185" s="1">
        <v>-13633.487999999999</v>
      </c>
      <c r="H1185" s="1">
        <v>6120.5330000000004</v>
      </c>
      <c r="I1185" s="1">
        <v>0</v>
      </c>
    </row>
    <row r="1186" spans="1:9" hidden="1" x14ac:dyDescent="0.25">
      <c r="A1186" s="1" t="s">
        <v>24</v>
      </c>
      <c r="B1186" s="1" t="s">
        <v>199</v>
      </c>
      <c r="C1186" s="1" t="s">
        <v>25</v>
      </c>
      <c r="D1186" s="1">
        <v>0</v>
      </c>
      <c r="E1186" s="1">
        <v>0</v>
      </c>
      <c r="F1186" s="1">
        <v>-688.56</v>
      </c>
      <c r="G1186" s="1">
        <v>-11154.672</v>
      </c>
      <c r="H1186" s="1">
        <v>3366.2930000000001</v>
      </c>
      <c r="I1186" s="1">
        <v>0</v>
      </c>
    </row>
    <row r="1187" spans="1:9" hidden="1" x14ac:dyDescent="0.25">
      <c r="A1187" s="1" t="s">
        <v>24</v>
      </c>
      <c r="B1187" s="1" t="s">
        <v>199</v>
      </c>
      <c r="C1187" s="1" t="s">
        <v>10</v>
      </c>
      <c r="D1187" s="1">
        <v>0</v>
      </c>
      <c r="E1187" s="1">
        <v>0</v>
      </c>
      <c r="F1187" s="1">
        <v>-688.56</v>
      </c>
      <c r="G1187" s="1">
        <v>-11154.672</v>
      </c>
      <c r="H1187" s="1">
        <v>6120.5330000000004</v>
      </c>
      <c r="I1187" s="1">
        <v>0</v>
      </c>
    </row>
    <row r="1188" spans="1:9" hidden="1" x14ac:dyDescent="0.25">
      <c r="A1188" s="1" t="s">
        <v>24</v>
      </c>
      <c r="B1188" s="1" t="s">
        <v>200</v>
      </c>
      <c r="C1188" s="1" t="s">
        <v>25</v>
      </c>
      <c r="D1188" s="1">
        <v>0</v>
      </c>
      <c r="E1188" s="1">
        <v>0</v>
      </c>
      <c r="F1188" s="1">
        <v>688.56</v>
      </c>
      <c r="G1188" s="1">
        <v>13633.487999999999</v>
      </c>
      <c r="H1188" s="1">
        <v>-3366.2930000000001</v>
      </c>
      <c r="I1188" s="1">
        <v>0</v>
      </c>
    </row>
    <row r="1189" spans="1:9" hidden="1" x14ac:dyDescent="0.25">
      <c r="A1189" s="1" t="s">
        <v>24</v>
      </c>
      <c r="B1189" s="1" t="s">
        <v>200</v>
      </c>
      <c r="C1189" s="1" t="s">
        <v>10</v>
      </c>
      <c r="D1189" s="1">
        <v>0</v>
      </c>
      <c r="E1189" s="1">
        <v>0</v>
      </c>
      <c r="F1189" s="1">
        <v>688.56</v>
      </c>
      <c r="G1189" s="1">
        <v>13633.487999999999</v>
      </c>
      <c r="H1189" s="1">
        <v>-6120.5330000000004</v>
      </c>
      <c r="I1189" s="1">
        <v>0</v>
      </c>
    </row>
    <row r="1190" spans="1:9" hidden="1" x14ac:dyDescent="0.25">
      <c r="A1190" s="1" t="s">
        <v>24</v>
      </c>
      <c r="B1190" s="1" t="s">
        <v>201</v>
      </c>
      <c r="C1190" s="1" t="s">
        <v>25</v>
      </c>
      <c r="D1190" s="1">
        <v>0</v>
      </c>
      <c r="E1190" s="1">
        <v>0</v>
      </c>
      <c r="F1190" s="1">
        <v>688.56</v>
      </c>
      <c r="G1190" s="1">
        <v>11154.672</v>
      </c>
      <c r="H1190" s="1">
        <v>-3366.2930000000001</v>
      </c>
      <c r="I1190" s="1">
        <v>0</v>
      </c>
    </row>
    <row r="1191" spans="1:9" hidden="1" x14ac:dyDescent="0.25">
      <c r="A1191" s="1" t="s">
        <v>24</v>
      </c>
      <c r="B1191" s="1" t="s">
        <v>201</v>
      </c>
      <c r="C1191" s="1" t="s">
        <v>10</v>
      </c>
      <c r="D1191" s="1">
        <v>0</v>
      </c>
      <c r="E1191" s="1">
        <v>0</v>
      </c>
      <c r="F1191" s="1">
        <v>688.56</v>
      </c>
      <c r="G1191" s="1">
        <v>11154.672</v>
      </c>
      <c r="H1191" s="1">
        <v>-6120.5330000000004</v>
      </c>
      <c r="I1191" s="1">
        <v>0</v>
      </c>
    </row>
    <row r="1192" spans="1:9" hidden="1" x14ac:dyDescent="0.25">
      <c r="A1192" s="1" t="s">
        <v>24</v>
      </c>
      <c r="B1192" s="1" t="s">
        <v>202</v>
      </c>
      <c r="C1192" s="1" t="s">
        <v>25</v>
      </c>
      <c r="D1192" s="1">
        <v>0</v>
      </c>
      <c r="E1192" s="1">
        <v>-569.64</v>
      </c>
      <c r="F1192" s="1">
        <v>0</v>
      </c>
      <c r="G1192" s="1">
        <v>9399.1149999999998</v>
      </c>
      <c r="H1192" s="1">
        <v>0</v>
      </c>
      <c r="I1192" s="1">
        <v>-2784.9229999999998</v>
      </c>
    </row>
    <row r="1193" spans="1:9" hidden="1" x14ac:dyDescent="0.25">
      <c r="A1193" s="1" t="s">
        <v>24</v>
      </c>
      <c r="B1193" s="1" t="s">
        <v>202</v>
      </c>
      <c r="C1193" s="1" t="s">
        <v>10</v>
      </c>
      <c r="D1193" s="1">
        <v>0</v>
      </c>
      <c r="E1193" s="1">
        <v>-569.64</v>
      </c>
      <c r="F1193" s="1">
        <v>0</v>
      </c>
      <c r="G1193" s="1">
        <v>9399.1149999999998</v>
      </c>
      <c r="H1193" s="1">
        <v>0</v>
      </c>
      <c r="I1193" s="1">
        <v>-5063.4960000000001</v>
      </c>
    </row>
    <row r="1194" spans="1:9" hidden="1" x14ac:dyDescent="0.25">
      <c r="A1194" s="1" t="s">
        <v>24</v>
      </c>
      <c r="B1194" s="1" t="s">
        <v>203</v>
      </c>
      <c r="C1194" s="1" t="s">
        <v>25</v>
      </c>
      <c r="D1194" s="1">
        <v>0</v>
      </c>
      <c r="E1194" s="1">
        <v>-569.64</v>
      </c>
      <c r="F1194" s="1">
        <v>0</v>
      </c>
      <c r="G1194" s="1">
        <v>7690.1850000000004</v>
      </c>
      <c r="H1194" s="1">
        <v>0</v>
      </c>
      <c r="I1194" s="1">
        <v>-2784.9229999999998</v>
      </c>
    </row>
    <row r="1195" spans="1:9" hidden="1" x14ac:dyDescent="0.25">
      <c r="A1195" s="1" t="s">
        <v>24</v>
      </c>
      <c r="B1195" s="1" t="s">
        <v>203</v>
      </c>
      <c r="C1195" s="1" t="s">
        <v>10</v>
      </c>
      <c r="D1195" s="1">
        <v>0</v>
      </c>
      <c r="E1195" s="1">
        <v>-569.64</v>
      </c>
      <c r="F1195" s="1">
        <v>0</v>
      </c>
      <c r="G1195" s="1">
        <v>7690.1850000000004</v>
      </c>
      <c r="H1195" s="1">
        <v>0</v>
      </c>
      <c r="I1195" s="1">
        <v>-5063.4960000000001</v>
      </c>
    </row>
    <row r="1196" spans="1:9" hidden="1" x14ac:dyDescent="0.25">
      <c r="A1196" s="1" t="s">
        <v>24</v>
      </c>
      <c r="B1196" s="1" t="s">
        <v>204</v>
      </c>
      <c r="C1196" s="1" t="s">
        <v>25</v>
      </c>
      <c r="D1196" s="1">
        <v>0</v>
      </c>
      <c r="E1196" s="1">
        <v>569.64</v>
      </c>
      <c r="F1196" s="1">
        <v>0</v>
      </c>
      <c r="G1196" s="1">
        <v>-9399.1149999999998</v>
      </c>
      <c r="H1196" s="1">
        <v>0</v>
      </c>
      <c r="I1196" s="1">
        <v>2784.9229999999998</v>
      </c>
    </row>
    <row r="1197" spans="1:9" hidden="1" x14ac:dyDescent="0.25">
      <c r="A1197" s="1" t="s">
        <v>24</v>
      </c>
      <c r="B1197" s="1" t="s">
        <v>204</v>
      </c>
      <c r="C1197" s="1" t="s">
        <v>10</v>
      </c>
      <c r="D1197" s="1">
        <v>0</v>
      </c>
      <c r="E1197" s="1">
        <v>569.64</v>
      </c>
      <c r="F1197" s="1">
        <v>0</v>
      </c>
      <c r="G1197" s="1">
        <v>-9399.1149999999998</v>
      </c>
      <c r="H1197" s="1">
        <v>0</v>
      </c>
      <c r="I1197" s="1">
        <v>5063.4960000000001</v>
      </c>
    </row>
    <row r="1198" spans="1:9" hidden="1" x14ac:dyDescent="0.25">
      <c r="A1198" s="1" t="s">
        <v>24</v>
      </c>
      <c r="B1198" s="1" t="s">
        <v>205</v>
      </c>
      <c r="C1198" s="1" t="s">
        <v>25</v>
      </c>
      <c r="D1198" s="1">
        <v>0</v>
      </c>
      <c r="E1198" s="1">
        <v>569.64</v>
      </c>
      <c r="F1198" s="1">
        <v>0</v>
      </c>
      <c r="G1198" s="1">
        <v>-7690.1850000000004</v>
      </c>
      <c r="H1198" s="1">
        <v>0</v>
      </c>
      <c r="I1198" s="1">
        <v>2784.9229999999998</v>
      </c>
    </row>
    <row r="1199" spans="1:9" hidden="1" x14ac:dyDescent="0.25">
      <c r="A1199" s="1" t="s">
        <v>24</v>
      </c>
      <c r="B1199" s="1" t="s">
        <v>205</v>
      </c>
      <c r="C1199" s="1" t="s">
        <v>10</v>
      </c>
      <c r="D1199" s="1">
        <v>0</v>
      </c>
      <c r="E1199" s="1">
        <v>569.64</v>
      </c>
      <c r="F1199" s="1">
        <v>0</v>
      </c>
      <c r="G1199" s="1">
        <v>-7690.1850000000004</v>
      </c>
      <c r="H1199" s="1">
        <v>0</v>
      </c>
      <c r="I1199" s="1">
        <v>5063.4960000000001</v>
      </c>
    </row>
    <row r="1200" spans="1:9" hidden="1" x14ac:dyDescent="0.25">
      <c r="A1200" s="1" t="s">
        <v>24</v>
      </c>
      <c r="B1200" s="1" t="s">
        <v>206</v>
      </c>
      <c r="C1200" s="1" t="s">
        <v>25</v>
      </c>
      <c r="D1200" s="1">
        <v>0</v>
      </c>
      <c r="E1200" s="1">
        <v>0</v>
      </c>
      <c r="F1200" s="1">
        <v>-688.56</v>
      </c>
      <c r="G1200" s="1">
        <v>-13633.487999999999</v>
      </c>
      <c r="H1200" s="1">
        <v>3366.2930000000001</v>
      </c>
      <c r="I1200" s="1">
        <v>0</v>
      </c>
    </row>
    <row r="1201" spans="1:9" hidden="1" x14ac:dyDescent="0.25">
      <c r="A1201" s="1" t="s">
        <v>24</v>
      </c>
      <c r="B1201" s="1" t="s">
        <v>206</v>
      </c>
      <c r="C1201" s="1" t="s">
        <v>10</v>
      </c>
      <c r="D1201" s="1">
        <v>0</v>
      </c>
      <c r="E1201" s="1">
        <v>0</v>
      </c>
      <c r="F1201" s="1">
        <v>-688.56</v>
      </c>
      <c r="G1201" s="1">
        <v>-13633.487999999999</v>
      </c>
      <c r="H1201" s="1">
        <v>6120.5330000000004</v>
      </c>
      <c r="I1201" s="1">
        <v>0</v>
      </c>
    </row>
    <row r="1202" spans="1:9" hidden="1" x14ac:dyDescent="0.25">
      <c r="A1202" s="1" t="s">
        <v>24</v>
      </c>
      <c r="B1202" s="1" t="s">
        <v>207</v>
      </c>
      <c r="C1202" s="1" t="s">
        <v>25</v>
      </c>
      <c r="D1202" s="1">
        <v>0</v>
      </c>
      <c r="E1202" s="1">
        <v>0</v>
      </c>
      <c r="F1202" s="1">
        <v>-688.56</v>
      </c>
      <c r="G1202" s="1">
        <v>-11154.672</v>
      </c>
      <c r="H1202" s="1">
        <v>3366.2930000000001</v>
      </c>
      <c r="I1202" s="1">
        <v>0</v>
      </c>
    </row>
    <row r="1203" spans="1:9" hidden="1" x14ac:dyDescent="0.25">
      <c r="A1203" s="1" t="s">
        <v>24</v>
      </c>
      <c r="B1203" s="1" t="s">
        <v>207</v>
      </c>
      <c r="C1203" s="1" t="s">
        <v>10</v>
      </c>
      <c r="D1203" s="1">
        <v>0</v>
      </c>
      <c r="E1203" s="1">
        <v>0</v>
      </c>
      <c r="F1203" s="1">
        <v>-688.56</v>
      </c>
      <c r="G1203" s="1">
        <v>-11154.672</v>
      </c>
      <c r="H1203" s="1">
        <v>6120.5330000000004</v>
      </c>
      <c r="I1203" s="1">
        <v>0</v>
      </c>
    </row>
    <row r="1204" spans="1:9" hidden="1" x14ac:dyDescent="0.25">
      <c r="A1204" s="1" t="s">
        <v>24</v>
      </c>
      <c r="B1204" s="1" t="s">
        <v>208</v>
      </c>
      <c r="C1204" s="1" t="s">
        <v>25</v>
      </c>
      <c r="D1204" s="1">
        <v>0</v>
      </c>
      <c r="E1204" s="1">
        <v>0</v>
      </c>
      <c r="F1204" s="1">
        <v>688.56</v>
      </c>
      <c r="G1204" s="1">
        <v>13633.487999999999</v>
      </c>
      <c r="H1204" s="1">
        <v>-3366.2930000000001</v>
      </c>
      <c r="I1204" s="1">
        <v>0</v>
      </c>
    </row>
    <row r="1205" spans="1:9" hidden="1" x14ac:dyDescent="0.25">
      <c r="A1205" s="1" t="s">
        <v>24</v>
      </c>
      <c r="B1205" s="1" t="s">
        <v>208</v>
      </c>
      <c r="C1205" s="1" t="s">
        <v>10</v>
      </c>
      <c r="D1205" s="1">
        <v>0</v>
      </c>
      <c r="E1205" s="1">
        <v>0</v>
      </c>
      <c r="F1205" s="1">
        <v>688.56</v>
      </c>
      <c r="G1205" s="1">
        <v>13633.487999999999</v>
      </c>
      <c r="H1205" s="1">
        <v>-6120.5330000000004</v>
      </c>
      <c r="I1205" s="1">
        <v>0</v>
      </c>
    </row>
    <row r="1206" spans="1:9" hidden="1" x14ac:dyDescent="0.25">
      <c r="A1206" s="1" t="s">
        <v>24</v>
      </c>
      <c r="B1206" s="1" t="s">
        <v>209</v>
      </c>
      <c r="C1206" s="1" t="s">
        <v>25</v>
      </c>
      <c r="D1206" s="1">
        <v>0</v>
      </c>
      <c r="E1206" s="1">
        <v>0</v>
      </c>
      <c r="F1206" s="1">
        <v>688.56</v>
      </c>
      <c r="G1206" s="1">
        <v>11154.672</v>
      </c>
      <c r="H1206" s="1">
        <v>-3366.2930000000001</v>
      </c>
      <c r="I1206" s="1">
        <v>0</v>
      </c>
    </row>
    <row r="1207" spans="1:9" hidden="1" x14ac:dyDescent="0.25">
      <c r="A1207" s="1" t="s">
        <v>24</v>
      </c>
      <c r="B1207" s="1" t="s">
        <v>209</v>
      </c>
      <c r="C1207" s="1" t="s">
        <v>10</v>
      </c>
      <c r="D1207" s="1">
        <v>0</v>
      </c>
      <c r="E1207" s="1">
        <v>0</v>
      </c>
      <c r="F1207" s="1">
        <v>688.56</v>
      </c>
      <c r="G1207" s="1">
        <v>11154.672</v>
      </c>
      <c r="H1207" s="1">
        <v>-6120.5330000000004</v>
      </c>
      <c r="I1207" s="1">
        <v>0</v>
      </c>
    </row>
    <row r="1208" spans="1:9" hidden="1" x14ac:dyDescent="0.25">
      <c r="A1208" s="1" t="s">
        <v>24</v>
      </c>
      <c r="B1208" s="1" t="s">
        <v>210</v>
      </c>
      <c r="C1208" s="1" t="s">
        <v>25</v>
      </c>
      <c r="D1208" s="1">
        <v>0</v>
      </c>
      <c r="E1208" s="1">
        <v>-170.89</v>
      </c>
      <c r="F1208" s="1">
        <v>0</v>
      </c>
      <c r="G1208" s="1">
        <v>2819.7339999999999</v>
      </c>
      <c r="H1208" s="1">
        <v>0</v>
      </c>
      <c r="I1208" s="1">
        <v>-835.47699999999998</v>
      </c>
    </row>
    <row r="1209" spans="1:9" hidden="1" x14ac:dyDescent="0.25">
      <c r="A1209" s="1" t="s">
        <v>24</v>
      </c>
      <c r="B1209" s="1" t="s">
        <v>210</v>
      </c>
      <c r="C1209" s="1" t="s">
        <v>10</v>
      </c>
      <c r="D1209" s="1">
        <v>0</v>
      </c>
      <c r="E1209" s="1">
        <v>-170.89</v>
      </c>
      <c r="F1209" s="1">
        <v>0</v>
      </c>
      <c r="G1209" s="1">
        <v>2819.7339999999999</v>
      </c>
      <c r="H1209" s="1">
        <v>0</v>
      </c>
      <c r="I1209" s="1">
        <v>-1519.049</v>
      </c>
    </row>
    <row r="1210" spans="1:9" hidden="1" x14ac:dyDescent="0.25">
      <c r="A1210" s="1" t="s">
        <v>24</v>
      </c>
      <c r="B1210" s="1" t="s">
        <v>211</v>
      </c>
      <c r="C1210" s="1" t="s">
        <v>25</v>
      </c>
      <c r="D1210" s="1">
        <v>0</v>
      </c>
      <c r="E1210" s="1">
        <v>-170.89</v>
      </c>
      <c r="F1210" s="1">
        <v>0</v>
      </c>
      <c r="G1210" s="1">
        <v>2307.0549999999998</v>
      </c>
      <c r="H1210" s="1">
        <v>0</v>
      </c>
      <c r="I1210" s="1">
        <v>-835.47699999999998</v>
      </c>
    </row>
    <row r="1211" spans="1:9" hidden="1" x14ac:dyDescent="0.25">
      <c r="A1211" s="1" t="s">
        <v>24</v>
      </c>
      <c r="B1211" s="1" t="s">
        <v>211</v>
      </c>
      <c r="C1211" s="1" t="s">
        <v>10</v>
      </c>
      <c r="D1211" s="1">
        <v>0</v>
      </c>
      <c r="E1211" s="1">
        <v>-170.89</v>
      </c>
      <c r="F1211" s="1">
        <v>0</v>
      </c>
      <c r="G1211" s="1">
        <v>2307.0549999999998</v>
      </c>
      <c r="H1211" s="1">
        <v>0</v>
      </c>
      <c r="I1211" s="1">
        <v>-1519.049</v>
      </c>
    </row>
    <row r="1212" spans="1:9" hidden="1" x14ac:dyDescent="0.25">
      <c r="A1212" s="1" t="s">
        <v>24</v>
      </c>
      <c r="B1212" s="1" t="s">
        <v>212</v>
      </c>
      <c r="C1212" s="1" t="s">
        <v>25</v>
      </c>
      <c r="D1212" s="1">
        <v>0</v>
      </c>
      <c r="E1212" s="1">
        <v>170.89</v>
      </c>
      <c r="F1212" s="1">
        <v>0</v>
      </c>
      <c r="G1212" s="1">
        <v>-2819.7339999999999</v>
      </c>
      <c r="H1212" s="1">
        <v>0</v>
      </c>
      <c r="I1212" s="1">
        <v>835.47699999999998</v>
      </c>
    </row>
    <row r="1213" spans="1:9" hidden="1" x14ac:dyDescent="0.25">
      <c r="A1213" s="1" t="s">
        <v>24</v>
      </c>
      <c r="B1213" s="1" t="s">
        <v>212</v>
      </c>
      <c r="C1213" s="1" t="s">
        <v>10</v>
      </c>
      <c r="D1213" s="1">
        <v>0</v>
      </c>
      <c r="E1213" s="1">
        <v>170.89</v>
      </c>
      <c r="F1213" s="1">
        <v>0</v>
      </c>
      <c r="G1213" s="1">
        <v>-2819.7339999999999</v>
      </c>
      <c r="H1213" s="1">
        <v>0</v>
      </c>
      <c r="I1213" s="1">
        <v>1519.049</v>
      </c>
    </row>
    <row r="1214" spans="1:9" hidden="1" x14ac:dyDescent="0.25">
      <c r="A1214" s="1" t="s">
        <v>24</v>
      </c>
      <c r="B1214" s="1" t="s">
        <v>213</v>
      </c>
      <c r="C1214" s="1" t="s">
        <v>25</v>
      </c>
      <c r="D1214" s="1">
        <v>0</v>
      </c>
      <c r="E1214" s="1">
        <v>170.89</v>
      </c>
      <c r="F1214" s="1">
        <v>0</v>
      </c>
      <c r="G1214" s="1">
        <v>-2307.0549999999998</v>
      </c>
      <c r="H1214" s="1">
        <v>0</v>
      </c>
      <c r="I1214" s="1">
        <v>835.47699999999998</v>
      </c>
    </row>
    <row r="1215" spans="1:9" hidden="1" x14ac:dyDescent="0.25">
      <c r="A1215" s="1" t="s">
        <v>24</v>
      </c>
      <c r="B1215" s="1" t="s">
        <v>213</v>
      </c>
      <c r="C1215" s="1" t="s">
        <v>10</v>
      </c>
      <c r="D1215" s="1">
        <v>0</v>
      </c>
      <c r="E1215" s="1">
        <v>170.89</v>
      </c>
      <c r="F1215" s="1">
        <v>0</v>
      </c>
      <c r="G1215" s="1">
        <v>-2307.0549999999998</v>
      </c>
      <c r="H1215" s="1">
        <v>0</v>
      </c>
      <c r="I1215" s="1">
        <v>1519.049</v>
      </c>
    </row>
    <row r="1216" spans="1:9" hidden="1" x14ac:dyDescent="0.25">
      <c r="A1216" s="1" t="s">
        <v>24</v>
      </c>
      <c r="B1216" s="1" t="s">
        <v>214</v>
      </c>
      <c r="C1216" s="1" t="s">
        <v>25</v>
      </c>
      <c r="D1216" s="1">
        <v>0</v>
      </c>
      <c r="E1216" s="1">
        <v>0</v>
      </c>
      <c r="F1216" s="1">
        <v>-206.57</v>
      </c>
      <c r="G1216" s="1">
        <v>-4090.0459999999998</v>
      </c>
      <c r="H1216" s="1">
        <v>1009.888</v>
      </c>
      <c r="I1216" s="1">
        <v>0</v>
      </c>
    </row>
    <row r="1217" spans="1:9" hidden="1" x14ac:dyDescent="0.25">
      <c r="A1217" s="1" t="s">
        <v>24</v>
      </c>
      <c r="B1217" s="1" t="s">
        <v>214</v>
      </c>
      <c r="C1217" s="1" t="s">
        <v>10</v>
      </c>
      <c r="D1217" s="1">
        <v>0</v>
      </c>
      <c r="E1217" s="1">
        <v>0</v>
      </c>
      <c r="F1217" s="1">
        <v>-206.57</v>
      </c>
      <c r="G1217" s="1">
        <v>-4090.0459999999998</v>
      </c>
      <c r="H1217" s="1">
        <v>1836.16</v>
      </c>
      <c r="I1217" s="1">
        <v>0</v>
      </c>
    </row>
    <row r="1218" spans="1:9" hidden="1" x14ac:dyDescent="0.25">
      <c r="A1218" s="1" t="s">
        <v>24</v>
      </c>
      <c r="B1218" s="1" t="s">
        <v>215</v>
      </c>
      <c r="C1218" s="1" t="s">
        <v>25</v>
      </c>
      <c r="D1218" s="1">
        <v>0</v>
      </c>
      <c r="E1218" s="1">
        <v>0</v>
      </c>
      <c r="F1218" s="1">
        <v>-206.57</v>
      </c>
      <c r="G1218" s="1">
        <v>-3346.4009999999998</v>
      </c>
      <c r="H1218" s="1">
        <v>1009.888</v>
      </c>
      <c r="I1218" s="1">
        <v>0</v>
      </c>
    </row>
    <row r="1219" spans="1:9" hidden="1" x14ac:dyDescent="0.25">
      <c r="A1219" s="1" t="s">
        <v>24</v>
      </c>
      <c r="B1219" s="1" t="s">
        <v>215</v>
      </c>
      <c r="C1219" s="1" t="s">
        <v>10</v>
      </c>
      <c r="D1219" s="1">
        <v>0</v>
      </c>
      <c r="E1219" s="1">
        <v>0</v>
      </c>
      <c r="F1219" s="1">
        <v>-206.57</v>
      </c>
      <c r="G1219" s="1">
        <v>-3346.4009999999998</v>
      </c>
      <c r="H1219" s="1">
        <v>1836.16</v>
      </c>
      <c r="I1219" s="1">
        <v>0</v>
      </c>
    </row>
    <row r="1220" spans="1:9" hidden="1" x14ac:dyDescent="0.25">
      <c r="A1220" s="1" t="s">
        <v>24</v>
      </c>
      <c r="B1220" s="1" t="s">
        <v>216</v>
      </c>
      <c r="C1220" s="1" t="s">
        <v>25</v>
      </c>
      <c r="D1220" s="1">
        <v>0</v>
      </c>
      <c r="E1220" s="1">
        <v>0</v>
      </c>
      <c r="F1220" s="1">
        <v>206.57</v>
      </c>
      <c r="G1220" s="1">
        <v>4090.0459999999998</v>
      </c>
      <c r="H1220" s="1">
        <v>-1009.888</v>
      </c>
      <c r="I1220" s="1">
        <v>0</v>
      </c>
    </row>
    <row r="1221" spans="1:9" hidden="1" x14ac:dyDescent="0.25">
      <c r="A1221" s="1" t="s">
        <v>24</v>
      </c>
      <c r="B1221" s="1" t="s">
        <v>216</v>
      </c>
      <c r="C1221" s="1" t="s">
        <v>10</v>
      </c>
      <c r="D1221" s="1">
        <v>0</v>
      </c>
      <c r="E1221" s="1">
        <v>0</v>
      </c>
      <c r="F1221" s="1">
        <v>206.57</v>
      </c>
      <c r="G1221" s="1">
        <v>4090.0459999999998</v>
      </c>
      <c r="H1221" s="1">
        <v>-1836.16</v>
      </c>
      <c r="I1221" s="1">
        <v>0</v>
      </c>
    </row>
    <row r="1222" spans="1:9" hidden="1" x14ac:dyDescent="0.25">
      <c r="A1222" s="1" t="s">
        <v>24</v>
      </c>
      <c r="B1222" s="1" t="s">
        <v>217</v>
      </c>
      <c r="C1222" s="1" t="s">
        <v>25</v>
      </c>
      <c r="D1222" s="1">
        <v>0</v>
      </c>
      <c r="E1222" s="1">
        <v>0</v>
      </c>
      <c r="F1222" s="1">
        <v>206.57</v>
      </c>
      <c r="G1222" s="1">
        <v>3346.4009999999998</v>
      </c>
      <c r="H1222" s="1">
        <v>-1009.888</v>
      </c>
      <c r="I1222" s="1">
        <v>0</v>
      </c>
    </row>
    <row r="1223" spans="1:9" hidden="1" x14ac:dyDescent="0.25">
      <c r="A1223" s="1" t="s">
        <v>24</v>
      </c>
      <c r="B1223" s="1" t="s">
        <v>217</v>
      </c>
      <c r="C1223" s="1" t="s">
        <v>10</v>
      </c>
      <c r="D1223" s="1">
        <v>0</v>
      </c>
      <c r="E1223" s="1">
        <v>0</v>
      </c>
      <c r="F1223" s="1">
        <v>206.57</v>
      </c>
      <c r="G1223" s="1">
        <v>3346.4009999999998</v>
      </c>
      <c r="H1223" s="1">
        <v>-1836.16</v>
      </c>
      <c r="I1223" s="1">
        <v>0</v>
      </c>
    </row>
    <row r="1224" spans="1:9" hidden="1" x14ac:dyDescent="0.25">
      <c r="A1224" s="1" t="s">
        <v>24</v>
      </c>
      <c r="B1224" s="1" t="s">
        <v>218</v>
      </c>
      <c r="C1224" s="1" t="s">
        <v>25</v>
      </c>
      <c r="D1224" s="1">
        <v>0</v>
      </c>
      <c r="E1224" s="1">
        <v>-170.89</v>
      </c>
      <c r="F1224" s="1">
        <v>0</v>
      </c>
      <c r="G1224" s="1">
        <v>2819.7339999999999</v>
      </c>
      <c r="H1224" s="1">
        <v>0</v>
      </c>
      <c r="I1224" s="1">
        <v>-835.47699999999998</v>
      </c>
    </row>
    <row r="1225" spans="1:9" hidden="1" x14ac:dyDescent="0.25">
      <c r="A1225" s="1" t="s">
        <v>24</v>
      </c>
      <c r="B1225" s="1" t="s">
        <v>218</v>
      </c>
      <c r="C1225" s="1" t="s">
        <v>10</v>
      </c>
      <c r="D1225" s="1">
        <v>0</v>
      </c>
      <c r="E1225" s="1">
        <v>-170.89</v>
      </c>
      <c r="F1225" s="1">
        <v>0</v>
      </c>
      <c r="G1225" s="1">
        <v>2819.7339999999999</v>
      </c>
      <c r="H1225" s="1">
        <v>0</v>
      </c>
      <c r="I1225" s="1">
        <v>-1519.049</v>
      </c>
    </row>
    <row r="1226" spans="1:9" hidden="1" x14ac:dyDescent="0.25">
      <c r="A1226" s="1" t="s">
        <v>24</v>
      </c>
      <c r="B1226" s="1" t="s">
        <v>219</v>
      </c>
      <c r="C1226" s="1" t="s">
        <v>25</v>
      </c>
      <c r="D1226" s="1">
        <v>0</v>
      </c>
      <c r="E1226" s="1">
        <v>-170.89</v>
      </c>
      <c r="F1226" s="1">
        <v>0</v>
      </c>
      <c r="G1226" s="1">
        <v>2307.0549999999998</v>
      </c>
      <c r="H1226" s="1">
        <v>0</v>
      </c>
      <c r="I1226" s="1">
        <v>-835.47699999999998</v>
      </c>
    </row>
    <row r="1227" spans="1:9" hidden="1" x14ac:dyDescent="0.25">
      <c r="A1227" s="1" t="s">
        <v>24</v>
      </c>
      <c r="B1227" s="1" t="s">
        <v>219</v>
      </c>
      <c r="C1227" s="1" t="s">
        <v>10</v>
      </c>
      <c r="D1227" s="1">
        <v>0</v>
      </c>
      <c r="E1227" s="1">
        <v>-170.89</v>
      </c>
      <c r="F1227" s="1">
        <v>0</v>
      </c>
      <c r="G1227" s="1">
        <v>2307.0549999999998</v>
      </c>
      <c r="H1227" s="1">
        <v>0</v>
      </c>
      <c r="I1227" s="1">
        <v>-1519.049</v>
      </c>
    </row>
    <row r="1228" spans="1:9" hidden="1" x14ac:dyDescent="0.25">
      <c r="A1228" s="1" t="s">
        <v>24</v>
      </c>
      <c r="B1228" s="1" t="s">
        <v>220</v>
      </c>
      <c r="C1228" s="1" t="s">
        <v>25</v>
      </c>
      <c r="D1228" s="1">
        <v>0</v>
      </c>
      <c r="E1228" s="1">
        <v>170.89</v>
      </c>
      <c r="F1228" s="1">
        <v>0</v>
      </c>
      <c r="G1228" s="1">
        <v>-2819.7339999999999</v>
      </c>
      <c r="H1228" s="1">
        <v>0</v>
      </c>
      <c r="I1228" s="1">
        <v>835.47699999999998</v>
      </c>
    </row>
    <row r="1229" spans="1:9" hidden="1" x14ac:dyDescent="0.25">
      <c r="A1229" s="1" t="s">
        <v>24</v>
      </c>
      <c r="B1229" s="1" t="s">
        <v>220</v>
      </c>
      <c r="C1229" s="1" t="s">
        <v>10</v>
      </c>
      <c r="D1229" s="1">
        <v>0</v>
      </c>
      <c r="E1229" s="1">
        <v>170.89</v>
      </c>
      <c r="F1229" s="1">
        <v>0</v>
      </c>
      <c r="G1229" s="1">
        <v>-2819.7339999999999</v>
      </c>
      <c r="H1229" s="1">
        <v>0</v>
      </c>
      <c r="I1229" s="1">
        <v>1519.049</v>
      </c>
    </row>
    <row r="1230" spans="1:9" hidden="1" x14ac:dyDescent="0.25">
      <c r="A1230" s="1" t="s">
        <v>24</v>
      </c>
      <c r="B1230" s="1" t="s">
        <v>221</v>
      </c>
      <c r="C1230" s="1" t="s">
        <v>25</v>
      </c>
      <c r="D1230" s="1">
        <v>0</v>
      </c>
      <c r="E1230" s="1">
        <v>170.89</v>
      </c>
      <c r="F1230" s="1">
        <v>0</v>
      </c>
      <c r="G1230" s="1">
        <v>-2307.0549999999998</v>
      </c>
      <c r="H1230" s="1">
        <v>0</v>
      </c>
      <c r="I1230" s="1">
        <v>835.47699999999998</v>
      </c>
    </row>
    <row r="1231" spans="1:9" hidden="1" x14ac:dyDescent="0.25">
      <c r="A1231" s="1" t="s">
        <v>24</v>
      </c>
      <c r="B1231" s="1" t="s">
        <v>221</v>
      </c>
      <c r="C1231" s="1" t="s">
        <v>10</v>
      </c>
      <c r="D1231" s="1">
        <v>0</v>
      </c>
      <c r="E1231" s="1">
        <v>170.89</v>
      </c>
      <c r="F1231" s="1">
        <v>0</v>
      </c>
      <c r="G1231" s="1">
        <v>-2307.0549999999998</v>
      </c>
      <c r="H1231" s="1">
        <v>0</v>
      </c>
      <c r="I1231" s="1">
        <v>1519.049</v>
      </c>
    </row>
    <row r="1232" spans="1:9" hidden="1" x14ac:dyDescent="0.25">
      <c r="A1232" s="1" t="s">
        <v>24</v>
      </c>
      <c r="B1232" s="1" t="s">
        <v>222</v>
      </c>
      <c r="C1232" s="1" t="s">
        <v>25</v>
      </c>
      <c r="D1232" s="1">
        <v>0</v>
      </c>
      <c r="E1232" s="1">
        <v>0</v>
      </c>
      <c r="F1232" s="1">
        <v>-206.57</v>
      </c>
      <c r="G1232" s="1">
        <v>-4090.0459999999998</v>
      </c>
      <c r="H1232" s="1">
        <v>1009.888</v>
      </c>
      <c r="I1232" s="1">
        <v>0</v>
      </c>
    </row>
    <row r="1233" spans="1:9" hidden="1" x14ac:dyDescent="0.25">
      <c r="A1233" s="1" t="s">
        <v>24</v>
      </c>
      <c r="B1233" s="1" t="s">
        <v>222</v>
      </c>
      <c r="C1233" s="1" t="s">
        <v>10</v>
      </c>
      <c r="D1233" s="1">
        <v>0</v>
      </c>
      <c r="E1233" s="1">
        <v>0</v>
      </c>
      <c r="F1233" s="1">
        <v>-206.57</v>
      </c>
      <c r="G1233" s="1">
        <v>-4090.0459999999998</v>
      </c>
      <c r="H1233" s="1">
        <v>1836.16</v>
      </c>
      <c r="I1233" s="1">
        <v>0</v>
      </c>
    </row>
    <row r="1234" spans="1:9" hidden="1" x14ac:dyDescent="0.25">
      <c r="A1234" s="1" t="s">
        <v>24</v>
      </c>
      <c r="B1234" s="1" t="s">
        <v>223</v>
      </c>
      <c r="C1234" s="1" t="s">
        <v>25</v>
      </c>
      <c r="D1234" s="1">
        <v>0</v>
      </c>
      <c r="E1234" s="1">
        <v>0</v>
      </c>
      <c r="F1234" s="1">
        <v>-206.57</v>
      </c>
      <c r="G1234" s="1">
        <v>-3346.4009999999998</v>
      </c>
      <c r="H1234" s="1">
        <v>1009.888</v>
      </c>
      <c r="I1234" s="1">
        <v>0</v>
      </c>
    </row>
    <row r="1235" spans="1:9" hidden="1" x14ac:dyDescent="0.25">
      <c r="A1235" s="1" t="s">
        <v>24</v>
      </c>
      <c r="B1235" s="1" t="s">
        <v>223</v>
      </c>
      <c r="C1235" s="1" t="s">
        <v>10</v>
      </c>
      <c r="D1235" s="1">
        <v>0</v>
      </c>
      <c r="E1235" s="1">
        <v>0</v>
      </c>
      <c r="F1235" s="1">
        <v>-206.57</v>
      </c>
      <c r="G1235" s="1">
        <v>-3346.4009999999998</v>
      </c>
      <c r="H1235" s="1">
        <v>1836.16</v>
      </c>
      <c r="I1235" s="1">
        <v>0</v>
      </c>
    </row>
    <row r="1236" spans="1:9" hidden="1" x14ac:dyDescent="0.25">
      <c r="A1236" s="1" t="s">
        <v>24</v>
      </c>
      <c r="B1236" s="1" t="s">
        <v>224</v>
      </c>
      <c r="C1236" s="1" t="s">
        <v>25</v>
      </c>
      <c r="D1236" s="1">
        <v>0</v>
      </c>
      <c r="E1236" s="1">
        <v>0</v>
      </c>
      <c r="F1236" s="1">
        <v>206.57</v>
      </c>
      <c r="G1236" s="1">
        <v>4090.0459999999998</v>
      </c>
      <c r="H1236" s="1">
        <v>-1009.888</v>
      </c>
      <c r="I1236" s="1">
        <v>0</v>
      </c>
    </row>
    <row r="1237" spans="1:9" hidden="1" x14ac:dyDescent="0.25">
      <c r="A1237" s="1" t="s">
        <v>24</v>
      </c>
      <c r="B1237" s="1" t="s">
        <v>224</v>
      </c>
      <c r="C1237" s="1" t="s">
        <v>10</v>
      </c>
      <c r="D1237" s="1">
        <v>0</v>
      </c>
      <c r="E1237" s="1">
        <v>0</v>
      </c>
      <c r="F1237" s="1">
        <v>206.57</v>
      </c>
      <c r="G1237" s="1">
        <v>4090.0459999999998</v>
      </c>
      <c r="H1237" s="1">
        <v>-1836.16</v>
      </c>
      <c r="I1237" s="1">
        <v>0</v>
      </c>
    </row>
    <row r="1238" spans="1:9" hidden="1" x14ac:dyDescent="0.25">
      <c r="A1238" s="1" t="s">
        <v>24</v>
      </c>
      <c r="B1238" s="1" t="s">
        <v>225</v>
      </c>
      <c r="C1238" s="1" t="s">
        <v>25</v>
      </c>
      <c r="D1238" s="1">
        <v>0</v>
      </c>
      <c r="E1238" s="1">
        <v>0</v>
      </c>
      <c r="F1238" s="1">
        <v>206.57</v>
      </c>
      <c r="G1238" s="1">
        <v>3346.4009999999998</v>
      </c>
      <c r="H1238" s="1">
        <v>-1009.888</v>
      </c>
      <c r="I1238" s="1">
        <v>0</v>
      </c>
    </row>
    <row r="1239" spans="1:9" hidden="1" x14ac:dyDescent="0.25">
      <c r="A1239" s="1" t="s">
        <v>24</v>
      </c>
      <c r="B1239" s="1" t="s">
        <v>225</v>
      </c>
      <c r="C1239" s="1" t="s">
        <v>10</v>
      </c>
      <c r="D1239" s="1">
        <v>0</v>
      </c>
      <c r="E1239" s="1">
        <v>0</v>
      </c>
      <c r="F1239" s="1">
        <v>206.57</v>
      </c>
      <c r="G1239" s="1">
        <v>3346.4009999999998</v>
      </c>
      <c r="H1239" s="1">
        <v>-1836.16</v>
      </c>
      <c r="I1239" s="1">
        <v>0</v>
      </c>
    </row>
    <row r="1240" spans="1:9" hidden="1" x14ac:dyDescent="0.25">
      <c r="A1240" s="1" t="s">
        <v>24</v>
      </c>
      <c r="B1240" s="1" t="s">
        <v>327</v>
      </c>
      <c r="C1240" s="1" t="s">
        <v>25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24</v>
      </c>
      <c r="B1241" s="1" t="s">
        <v>327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24</v>
      </c>
      <c r="B1242" s="1" t="s">
        <v>328</v>
      </c>
      <c r="C1242" s="1" t="s">
        <v>25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24</v>
      </c>
      <c r="B1243" s="1" t="s">
        <v>328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16</v>
      </c>
      <c r="B1244" s="1" t="s">
        <v>9</v>
      </c>
      <c r="C1244" s="1" t="s">
        <v>25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16</v>
      </c>
      <c r="B1245" s="1" t="s">
        <v>9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16</v>
      </c>
      <c r="B1246" s="1" t="s">
        <v>26</v>
      </c>
      <c r="C1246" s="1" t="s">
        <v>25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16</v>
      </c>
      <c r="B1247" s="1" t="s">
        <v>26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16</v>
      </c>
      <c r="B1248" s="1" t="s">
        <v>20</v>
      </c>
      <c r="C1248" s="1" t="s">
        <v>25</v>
      </c>
      <c r="D1248" s="1">
        <v>0</v>
      </c>
      <c r="E1248" s="1">
        <v>-452.1</v>
      </c>
      <c r="F1248" s="1">
        <v>0</v>
      </c>
      <c r="G1248" s="1">
        <v>7459.6149999999998</v>
      </c>
      <c r="H1248" s="1">
        <v>0</v>
      </c>
      <c r="I1248" s="1">
        <v>-3616.7829999999999</v>
      </c>
    </row>
    <row r="1249" spans="1:9" x14ac:dyDescent="0.25">
      <c r="A1249" s="1" t="s">
        <v>16</v>
      </c>
      <c r="B1249" s="1" t="s">
        <v>20</v>
      </c>
      <c r="C1249" s="1" t="s">
        <v>10</v>
      </c>
      <c r="D1249" s="1">
        <v>0</v>
      </c>
      <c r="E1249" s="1">
        <v>-452.1</v>
      </c>
      <c r="F1249" s="1">
        <v>0</v>
      </c>
      <c r="G1249" s="1">
        <v>7459.6149999999998</v>
      </c>
      <c r="H1249" s="1">
        <v>0</v>
      </c>
      <c r="I1249" s="1">
        <v>-5425.174</v>
      </c>
    </row>
    <row r="1250" spans="1:9" hidden="1" x14ac:dyDescent="0.25">
      <c r="A1250" s="1" t="s">
        <v>16</v>
      </c>
      <c r="B1250" s="1" t="s">
        <v>21</v>
      </c>
      <c r="C1250" s="1" t="s">
        <v>25</v>
      </c>
      <c r="D1250" s="1">
        <v>0</v>
      </c>
      <c r="E1250" s="1">
        <v>-452.1</v>
      </c>
      <c r="F1250" s="1">
        <v>0</v>
      </c>
      <c r="G1250" s="1">
        <v>6103.3209999999999</v>
      </c>
      <c r="H1250" s="1">
        <v>0</v>
      </c>
      <c r="I1250" s="1">
        <v>-3616.7829999999999</v>
      </c>
    </row>
    <row r="1251" spans="1:9" x14ac:dyDescent="0.25">
      <c r="A1251" s="1" t="s">
        <v>16</v>
      </c>
      <c r="B1251" s="1" t="s">
        <v>21</v>
      </c>
      <c r="C1251" s="1" t="s">
        <v>10</v>
      </c>
      <c r="D1251" s="1">
        <v>0</v>
      </c>
      <c r="E1251" s="1">
        <v>-452.1</v>
      </c>
      <c r="F1251" s="1">
        <v>0</v>
      </c>
      <c r="G1251" s="1">
        <v>6103.3209999999999</v>
      </c>
      <c r="H1251" s="1">
        <v>0</v>
      </c>
      <c r="I1251" s="1">
        <v>-5425.174</v>
      </c>
    </row>
    <row r="1252" spans="1:9" hidden="1" x14ac:dyDescent="0.25">
      <c r="A1252" s="1" t="s">
        <v>16</v>
      </c>
      <c r="B1252" s="1" t="s">
        <v>22</v>
      </c>
      <c r="C1252" s="1" t="s">
        <v>25</v>
      </c>
      <c r="D1252" s="1">
        <v>0</v>
      </c>
      <c r="E1252" s="1">
        <v>0</v>
      </c>
      <c r="F1252" s="1">
        <v>-546.48</v>
      </c>
      <c r="G1252" s="1">
        <v>-10820.227999999999</v>
      </c>
      <c r="H1252" s="1">
        <v>4371.8090000000002</v>
      </c>
      <c r="I1252" s="1">
        <v>0</v>
      </c>
    </row>
    <row r="1253" spans="1:9" x14ac:dyDescent="0.25">
      <c r="A1253" s="1" t="s">
        <v>16</v>
      </c>
      <c r="B1253" s="1" t="s">
        <v>22</v>
      </c>
      <c r="C1253" s="1" t="s">
        <v>10</v>
      </c>
      <c r="D1253" s="1">
        <v>0</v>
      </c>
      <c r="E1253" s="1">
        <v>0</v>
      </c>
      <c r="F1253" s="1">
        <v>-546.48</v>
      </c>
      <c r="G1253" s="1">
        <v>-10820.227999999999</v>
      </c>
      <c r="H1253" s="1">
        <v>6557.7139999999999</v>
      </c>
      <c r="I1253" s="1">
        <v>0</v>
      </c>
    </row>
    <row r="1254" spans="1:9" hidden="1" x14ac:dyDescent="0.25">
      <c r="A1254" s="1" t="s">
        <v>16</v>
      </c>
      <c r="B1254" s="1" t="s">
        <v>23</v>
      </c>
      <c r="C1254" s="1" t="s">
        <v>25</v>
      </c>
      <c r="D1254" s="1">
        <v>0</v>
      </c>
      <c r="E1254" s="1">
        <v>0</v>
      </c>
      <c r="F1254" s="1">
        <v>-546.48</v>
      </c>
      <c r="G1254" s="1">
        <v>-8852.9140000000007</v>
      </c>
      <c r="H1254" s="1">
        <v>4371.8090000000002</v>
      </c>
      <c r="I1254" s="1">
        <v>0</v>
      </c>
    </row>
    <row r="1255" spans="1:9" x14ac:dyDescent="0.25">
      <c r="A1255" s="1" t="s">
        <v>16</v>
      </c>
      <c r="B1255" s="1" t="s">
        <v>23</v>
      </c>
      <c r="C1255" s="1" t="s">
        <v>10</v>
      </c>
      <c r="D1255" s="1">
        <v>0</v>
      </c>
      <c r="E1255" s="1">
        <v>0</v>
      </c>
      <c r="F1255" s="1">
        <v>-546.48</v>
      </c>
      <c r="G1255" s="1">
        <v>-8852.9140000000007</v>
      </c>
      <c r="H1255" s="1">
        <v>6557.7139999999999</v>
      </c>
      <c r="I1255" s="1">
        <v>0</v>
      </c>
    </row>
    <row r="1256" spans="1:9" hidden="1" x14ac:dyDescent="0.25">
      <c r="A1256" s="1" t="s">
        <v>16</v>
      </c>
      <c r="B1256" s="1" t="s">
        <v>321</v>
      </c>
      <c r="C1256" s="1" t="s">
        <v>25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16</v>
      </c>
      <c r="B1257" s="1" t="s">
        <v>321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16</v>
      </c>
      <c r="B1258" s="1" t="s">
        <v>322</v>
      </c>
      <c r="C1258" s="1" t="s">
        <v>25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16</v>
      </c>
      <c r="B1259" s="1" t="s">
        <v>322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16</v>
      </c>
      <c r="B1260" s="1" t="s">
        <v>323</v>
      </c>
      <c r="C1260" s="1" t="s">
        <v>25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16</v>
      </c>
      <c r="B1261" s="1" t="s">
        <v>323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16</v>
      </c>
      <c r="B1262" s="1" t="s">
        <v>324</v>
      </c>
      <c r="C1262" s="1" t="s">
        <v>25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16</v>
      </c>
      <c r="B1263" s="1" t="s">
        <v>324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16</v>
      </c>
      <c r="B1264" s="1" t="s">
        <v>325</v>
      </c>
      <c r="C1264" s="1" t="s">
        <v>25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16</v>
      </c>
      <c r="B1265" s="1" t="s">
        <v>325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16</v>
      </c>
      <c r="B1266" s="1" t="s">
        <v>326</v>
      </c>
      <c r="C1266" s="1" t="s">
        <v>25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16</v>
      </c>
      <c r="B1267" s="1" t="s">
        <v>326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16</v>
      </c>
      <c r="B1268" s="1" t="s">
        <v>27</v>
      </c>
      <c r="C1268" s="1" t="s">
        <v>25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16</v>
      </c>
      <c r="B1269" s="1" t="s">
        <v>27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16</v>
      </c>
      <c r="B1270" s="1" t="s">
        <v>28</v>
      </c>
      <c r="C1270" s="1" t="s">
        <v>25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16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16</v>
      </c>
      <c r="B1272" s="1" t="s">
        <v>29</v>
      </c>
      <c r="C1272" s="1" t="s">
        <v>25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16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16</v>
      </c>
      <c r="B1274" s="1" t="s">
        <v>30</v>
      </c>
      <c r="C1274" s="1" t="s">
        <v>25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16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16</v>
      </c>
      <c r="B1276" s="1" t="s">
        <v>11</v>
      </c>
      <c r="C1276" s="1" t="s">
        <v>25</v>
      </c>
      <c r="D1276" s="1">
        <v>0</v>
      </c>
      <c r="E1276" s="1">
        <v>224.31</v>
      </c>
      <c r="F1276" s="1">
        <v>0</v>
      </c>
      <c r="G1276" s="1">
        <v>3927.569</v>
      </c>
      <c r="H1276" s="1">
        <v>0</v>
      </c>
      <c r="I1276" s="1">
        <v>1689.4649999999999</v>
      </c>
    </row>
    <row r="1277" spans="1:9" x14ac:dyDescent="0.25">
      <c r="A1277" s="1" t="s">
        <v>16</v>
      </c>
      <c r="B1277" s="1" t="s">
        <v>11</v>
      </c>
      <c r="C1277" s="1" t="s">
        <v>10</v>
      </c>
      <c r="D1277" s="1">
        <v>0</v>
      </c>
      <c r="E1277" s="1">
        <v>224.31</v>
      </c>
      <c r="F1277" s="1">
        <v>0</v>
      </c>
      <c r="G1277" s="1">
        <v>3927.569</v>
      </c>
      <c r="H1277" s="1">
        <v>0</v>
      </c>
      <c r="I1277" s="1">
        <v>2469.7930000000001</v>
      </c>
    </row>
    <row r="1278" spans="1:9" hidden="1" x14ac:dyDescent="0.25">
      <c r="A1278" s="1" t="s">
        <v>16</v>
      </c>
      <c r="B1278" s="1" t="s">
        <v>12</v>
      </c>
      <c r="C1278" s="1" t="s">
        <v>25</v>
      </c>
      <c r="D1278" s="1">
        <v>0</v>
      </c>
      <c r="E1278" s="1">
        <v>0</v>
      </c>
      <c r="F1278" s="1">
        <v>558.86</v>
      </c>
      <c r="G1278" s="1">
        <v>11266.933000000001</v>
      </c>
      <c r="H1278" s="1">
        <v>4515.5739999999996</v>
      </c>
      <c r="I1278" s="1">
        <v>0</v>
      </c>
    </row>
    <row r="1279" spans="1:9" x14ac:dyDescent="0.25">
      <c r="A1279" s="1" t="s">
        <v>16</v>
      </c>
      <c r="B1279" s="1" t="s">
        <v>12</v>
      </c>
      <c r="C1279" s="1" t="s">
        <v>10</v>
      </c>
      <c r="D1279" s="1">
        <v>0</v>
      </c>
      <c r="E1279" s="1">
        <v>0</v>
      </c>
      <c r="F1279" s="1">
        <v>558.86</v>
      </c>
      <c r="G1279" s="1">
        <v>11266.933000000001</v>
      </c>
      <c r="H1279" s="1">
        <v>6679.3779999999997</v>
      </c>
      <c r="I1279" s="1">
        <v>0</v>
      </c>
    </row>
    <row r="1280" spans="1:9" hidden="1" x14ac:dyDescent="0.25">
      <c r="A1280" s="1" t="s">
        <v>16</v>
      </c>
      <c r="B1280" s="1" t="s">
        <v>13</v>
      </c>
      <c r="C1280" s="1" t="s">
        <v>25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x14ac:dyDescent="0.25">
      <c r="A1281" s="1" t="s">
        <v>16</v>
      </c>
      <c r="B1281" s="1" t="s">
        <v>13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16</v>
      </c>
      <c r="B1282" s="1" t="s">
        <v>31</v>
      </c>
      <c r="C1282" s="1" t="s">
        <v>25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16</v>
      </c>
      <c r="B1283" s="1" t="s">
        <v>31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16</v>
      </c>
      <c r="B1284" s="1" t="s">
        <v>32</v>
      </c>
      <c r="C1284" s="1" t="s">
        <v>25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16</v>
      </c>
      <c r="B1285" s="1" t="s">
        <v>32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16</v>
      </c>
      <c r="B1286" s="1" t="s">
        <v>33</v>
      </c>
      <c r="C1286" s="1" t="s">
        <v>25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16</v>
      </c>
      <c r="B1287" s="1" t="s">
        <v>33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16</v>
      </c>
      <c r="B1288" s="1" t="s">
        <v>34</v>
      </c>
      <c r="C1288" s="1" t="s">
        <v>25</v>
      </c>
      <c r="D1288" s="1">
        <v>0</v>
      </c>
      <c r="E1288" s="1">
        <v>-452.1</v>
      </c>
      <c r="F1288" s="1">
        <v>0</v>
      </c>
      <c r="G1288" s="1">
        <v>7459.6149999999998</v>
      </c>
      <c r="H1288" s="1">
        <v>0</v>
      </c>
      <c r="I1288" s="1">
        <v>-3616.7829999999999</v>
      </c>
    </row>
    <row r="1289" spans="1:9" hidden="1" x14ac:dyDescent="0.25">
      <c r="A1289" s="1" t="s">
        <v>16</v>
      </c>
      <c r="B1289" s="1" t="s">
        <v>34</v>
      </c>
      <c r="C1289" s="1" t="s">
        <v>10</v>
      </c>
      <c r="D1289" s="1">
        <v>0</v>
      </c>
      <c r="E1289" s="1">
        <v>-452.1</v>
      </c>
      <c r="F1289" s="1">
        <v>0</v>
      </c>
      <c r="G1289" s="1">
        <v>7459.6149999999998</v>
      </c>
      <c r="H1289" s="1">
        <v>0</v>
      </c>
      <c r="I1289" s="1">
        <v>-5425.174</v>
      </c>
    </row>
    <row r="1290" spans="1:9" hidden="1" x14ac:dyDescent="0.25">
      <c r="A1290" s="1" t="s">
        <v>16</v>
      </c>
      <c r="B1290" s="1" t="s">
        <v>35</v>
      </c>
      <c r="C1290" s="1" t="s">
        <v>25</v>
      </c>
      <c r="D1290" s="1">
        <v>0</v>
      </c>
      <c r="E1290" s="1">
        <v>-452.1</v>
      </c>
      <c r="F1290" s="1">
        <v>0</v>
      </c>
      <c r="G1290" s="1">
        <v>6103.3209999999999</v>
      </c>
      <c r="H1290" s="1">
        <v>0</v>
      </c>
      <c r="I1290" s="1">
        <v>-3616.7829999999999</v>
      </c>
    </row>
    <row r="1291" spans="1:9" hidden="1" x14ac:dyDescent="0.25">
      <c r="A1291" s="1" t="s">
        <v>16</v>
      </c>
      <c r="B1291" s="1" t="s">
        <v>35</v>
      </c>
      <c r="C1291" s="1" t="s">
        <v>10</v>
      </c>
      <c r="D1291" s="1">
        <v>0</v>
      </c>
      <c r="E1291" s="1">
        <v>-452.1</v>
      </c>
      <c r="F1291" s="1">
        <v>0</v>
      </c>
      <c r="G1291" s="1">
        <v>6103.3209999999999</v>
      </c>
      <c r="H1291" s="1">
        <v>0</v>
      </c>
      <c r="I1291" s="1">
        <v>-5425.174</v>
      </c>
    </row>
    <row r="1292" spans="1:9" hidden="1" x14ac:dyDescent="0.25">
      <c r="A1292" s="1" t="s">
        <v>16</v>
      </c>
      <c r="B1292" s="1" t="s">
        <v>36</v>
      </c>
      <c r="C1292" s="1" t="s">
        <v>25</v>
      </c>
      <c r="D1292" s="1">
        <v>0</v>
      </c>
      <c r="E1292" s="1">
        <v>452.1</v>
      </c>
      <c r="F1292" s="1">
        <v>0</v>
      </c>
      <c r="G1292" s="1">
        <v>-7459.6149999999998</v>
      </c>
      <c r="H1292" s="1">
        <v>0</v>
      </c>
      <c r="I1292" s="1">
        <v>3616.7829999999999</v>
      </c>
    </row>
    <row r="1293" spans="1:9" hidden="1" x14ac:dyDescent="0.25">
      <c r="A1293" s="1" t="s">
        <v>16</v>
      </c>
      <c r="B1293" s="1" t="s">
        <v>36</v>
      </c>
      <c r="C1293" s="1" t="s">
        <v>10</v>
      </c>
      <c r="D1293" s="1">
        <v>0</v>
      </c>
      <c r="E1293" s="1">
        <v>452.1</v>
      </c>
      <c r="F1293" s="1">
        <v>0</v>
      </c>
      <c r="G1293" s="1">
        <v>-7459.6149999999998</v>
      </c>
      <c r="H1293" s="1">
        <v>0</v>
      </c>
      <c r="I1293" s="1">
        <v>5425.174</v>
      </c>
    </row>
    <row r="1294" spans="1:9" hidden="1" x14ac:dyDescent="0.25">
      <c r="A1294" s="1" t="s">
        <v>16</v>
      </c>
      <c r="B1294" s="1" t="s">
        <v>37</v>
      </c>
      <c r="C1294" s="1" t="s">
        <v>25</v>
      </c>
      <c r="D1294" s="1">
        <v>0</v>
      </c>
      <c r="E1294" s="1">
        <v>452.1</v>
      </c>
      <c r="F1294" s="1">
        <v>0</v>
      </c>
      <c r="G1294" s="1">
        <v>-6103.3209999999999</v>
      </c>
      <c r="H1294" s="1">
        <v>0</v>
      </c>
      <c r="I1294" s="1">
        <v>3616.7829999999999</v>
      </c>
    </row>
    <row r="1295" spans="1:9" hidden="1" x14ac:dyDescent="0.25">
      <c r="A1295" s="1" t="s">
        <v>16</v>
      </c>
      <c r="B1295" s="1" t="s">
        <v>37</v>
      </c>
      <c r="C1295" s="1" t="s">
        <v>10</v>
      </c>
      <c r="D1295" s="1">
        <v>0</v>
      </c>
      <c r="E1295" s="1">
        <v>452.1</v>
      </c>
      <c r="F1295" s="1">
        <v>0</v>
      </c>
      <c r="G1295" s="1">
        <v>-6103.3209999999999</v>
      </c>
      <c r="H1295" s="1">
        <v>0</v>
      </c>
      <c r="I1295" s="1">
        <v>5425.174</v>
      </c>
    </row>
    <row r="1296" spans="1:9" hidden="1" x14ac:dyDescent="0.25">
      <c r="A1296" s="1" t="s">
        <v>16</v>
      </c>
      <c r="B1296" s="1" t="s">
        <v>38</v>
      </c>
      <c r="C1296" s="1" t="s">
        <v>25</v>
      </c>
      <c r="D1296" s="1">
        <v>0</v>
      </c>
      <c r="E1296" s="1">
        <v>0</v>
      </c>
      <c r="F1296" s="1">
        <v>-546.48</v>
      </c>
      <c r="G1296" s="1">
        <v>-10820.227999999999</v>
      </c>
      <c r="H1296" s="1">
        <v>4371.8090000000002</v>
      </c>
      <c r="I1296" s="1">
        <v>0</v>
      </c>
    </row>
    <row r="1297" spans="1:9" hidden="1" x14ac:dyDescent="0.25">
      <c r="A1297" s="1" t="s">
        <v>16</v>
      </c>
      <c r="B1297" s="1" t="s">
        <v>38</v>
      </c>
      <c r="C1297" s="1" t="s">
        <v>10</v>
      </c>
      <c r="D1297" s="1">
        <v>0</v>
      </c>
      <c r="E1297" s="1">
        <v>0</v>
      </c>
      <c r="F1297" s="1">
        <v>-546.48</v>
      </c>
      <c r="G1297" s="1">
        <v>-10820.227999999999</v>
      </c>
      <c r="H1297" s="1">
        <v>6557.7139999999999</v>
      </c>
      <c r="I1297" s="1">
        <v>0</v>
      </c>
    </row>
    <row r="1298" spans="1:9" hidden="1" x14ac:dyDescent="0.25">
      <c r="A1298" s="1" t="s">
        <v>16</v>
      </c>
      <c r="B1298" s="1" t="s">
        <v>39</v>
      </c>
      <c r="C1298" s="1" t="s">
        <v>25</v>
      </c>
      <c r="D1298" s="1">
        <v>0</v>
      </c>
      <c r="E1298" s="1">
        <v>0</v>
      </c>
      <c r="F1298" s="1">
        <v>-546.48</v>
      </c>
      <c r="G1298" s="1">
        <v>-8852.9140000000007</v>
      </c>
      <c r="H1298" s="1">
        <v>4371.8090000000002</v>
      </c>
      <c r="I1298" s="1">
        <v>0</v>
      </c>
    </row>
    <row r="1299" spans="1:9" hidden="1" x14ac:dyDescent="0.25">
      <c r="A1299" s="1" t="s">
        <v>16</v>
      </c>
      <c r="B1299" s="1" t="s">
        <v>39</v>
      </c>
      <c r="C1299" s="1" t="s">
        <v>10</v>
      </c>
      <c r="D1299" s="1">
        <v>0</v>
      </c>
      <c r="E1299" s="1">
        <v>0</v>
      </c>
      <c r="F1299" s="1">
        <v>-546.48</v>
      </c>
      <c r="G1299" s="1">
        <v>-8852.9140000000007</v>
      </c>
      <c r="H1299" s="1">
        <v>6557.7139999999999</v>
      </c>
      <c r="I1299" s="1">
        <v>0</v>
      </c>
    </row>
    <row r="1300" spans="1:9" hidden="1" x14ac:dyDescent="0.25">
      <c r="A1300" s="1" t="s">
        <v>16</v>
      </c>
      <c r="B1300" s="1" t="s">
        <v>40</v>
      </c>
      <c r="C1300" s="1" t="s">
        <v>25</v>
      </c>
      <c r="D1300" s="1">
        <v>0</v>
      </c>
      <c r="E1300" s="1">
        <v>0</v>
      </c>
      <c r="F1300" s="1">
        <v>546.48</v>
      </c>
      <c r="G1300" s="1">
        <v>10820.227999999999</v>
      </c>
      <c r="H1300" s="1">
        <v>-4371.8090000000002</v>
      </c>
      <c r="I1300" s="1">
        <v>0</v>
      </c>
    </row>
    <row r="1301" spans="1:9" hidden="1" x14ac:dyDescent="0.25">
      <c r="A1301" s="1" t="s">
        <v>16</v>
      </c>
      <c r="B1301" s="1" t="s">
        <v>40</v>
      </c>
      <c r="C1301" s="1" t="s">
        <v>10</v>
      </c>
      <c r="D1301" s="1">
        <v>0</v>
      </c>
      <c r="E1301" s="1">
        <v>0</v>
      </c>
      <c r="F1301" s="1">
        <v>546.48</v>
      </c>
      <c r="G1301" s="1">
        <v>10820.227999999999</v>
      </c>
      <c r="H1301" s="1">
        <v>-6557.7139999999999</v>
      </c>
      <c r="I1301" s="1">
        <v>0</v>
      </c>
    </row>
    <row r="1302" spans="1:9" hidden="1" x14ac:dyDescent="0.25">
      <c r="A1302" s="1" t="s">
        <v>16</v>
      </c>
      <c r="B1302" s="1" t="s">
        <v>41</v>
      </c>
      <c r="C1302" s="1" t="s">
        <v>25</v>
      </c>
      <c r="D1302" s="1">
        <v>0</v>
      </c>
      <c r="E1302" s="1">
        <v>0</v>
      </c>
      <c r="F1302" s="1">
        <v>546.48</v>
      </c>
      <c r="G1302" s="1">
        <v>8852.9140000000007</v>
      </c>
      <c r="H1302" s="1">
        <v>-4371.8090000000002</v>
      </c>
      <c r="I1302" s="1">
        <v>0</v>
      </c>
    </row>
    <row r="1303" spans="1:9" hidden="1" x14ac:dyDescent="0.25">
      <c r="A1303" s="1" t="s">
        <v>16</v>
      </c>
      <c r="B1303" s="1" t="s">
        <v>41</v>
      </c>
      <c r="C1303" s="1" t="s">
        <v>10</v>
      </c>
      <c r="D1303" s="1">
        <v>0</v>
      </c>
      <c r="E1303" s="1">
        <v>0</v>
      </c>
      <c r="F1303" s="1">
        <v>546.48</v>
      </c>
      <c r="G1303" s="1">
        <v>8852.9140000000007</v>
      </c>
      <c r="H1303" s="1">
        <v>-6557.7139999999999</v>
      </c>
      <c r="I1303" s="1">
        <v>0</v>
      </c>
    </row>
    <row r="1304" spans="1:9" hidden="1" x14ac:dyDescent="0.25">
      <c r="A1304" s="1" t="s">
        <v>16</v>
      </c>
      <c r="B1304" s="1" t="s">
        <v>42</v>
      </c>
      <c r="C1304" s="1" t="s">
        <v>25</v>
      </c>
      <c r="D1304" s="1">
        <v>0</v>
      </c>
      <c r="E1304" s="1">
        <v>-452.1</v>
      </c>
      <c r="F1304" s="1">
        <v>0</v>
      </c>
      <c r="G1304" s="1">
        <v>7459.6149999999998</v>
      </c>
      <c r="H1304" s="1">
        <v>0</v>
      </c>
      <c r="I1304" s="1">
        <v>-3616.7829999999999</v>
      </c>
    </row>
    <row r="1305" spans="1:9" hidden="1" x14ac:dyDescent="0.25">
      <c r="A1305" s="1" t="s">
        <v>16</v>
      </c>
      <c r="B1305" s="1" t="s">
        <v>42</v>
      </c>
      <c r="C1305" s="1" t="s">
        <v>10</v>
      </c>
      <c r="D1305" s="1">
        <v>0</v>
      </c>
      <c r="E1305" s="1">
        <v>-452.1</v>
      </c>
      <c r="F1305" s="1">
        <v>0</v>
      </c>
      <c r="G1305" s="1">
        <v>7459.6149999999998</v>
      </c>
      <c r="H1305" s="1">
        <v>0</v>
      </c>
      <c r="I1305" s="1">
        <v>-5425.174</v>
      </c>
    </row>
    <row r="1306" spans="1:9" hidden="1" x14ac:dyDescent="0.25">
      <c r="A1306" s="1" t="s">
        <v>16</v>
      </c>
      <c r="B1306" s="1" t="s">
        <v>43</v>
      </c>
      <c r="C1306" s="1" t="s">
        <v>25</v>
      </c>
      <c r="D1306" s="1">
        <v>0</v>
      </c>
      <c r="E1306" s="1">
        <v>-452.1</v>
      </c>
      <c r="F1306" s="1">
        <v>0</v>
      </c>
      <c r="G1306" s="1">
        <v>6103.3209999999999</v>
      </c>
      <c r="H1306" s="1">
        <v>0</v>
      </c>
      <c r="I1306" s="1">
        <v>-3616.7829999999999</v>
      </c>
    </row>
    <row r="1307" spans="1:9" hidden="1" x14ac:dyDescent="0.25">
      <c r="A1307" s="1" t="s">
        <v>16</v>
      </c>
      <c r="B1307" s="1" t="s">
        <v>43</v>
      </c>
      <c r="C1307" s="1" t="s">
        <v>10</v>
      </c>
      <c r="D1307" s="1">
        <v>0</v>
      </c>
      <c r="E1307" s="1">
        <v>-452.1</v>
      </c>
      <c r="F1307" s="1">
        <v>0</v>
      </c>
      <c r="G1307" s="1">
        <v>6103.3209999999999</v>
      </c>
      <c r="H1307" s="1">
        <v>0</v>
      </c>
      <c r="I1307" s="1">
        <v>-5425.174</v>
      </c>
    </row>
    <row r="1308" spans="1:9" hidden="1" x14ac:dyDescent="0.25">
      <c r="A1308" s="1" t="s">
        <v>16</v>
      </c>
      <c r="B1308" s="1" t="s">
        <v>44</v>
      </c>
      <c r="C1308" s="1" t="s">
        <v>25</v>
      </c>
      <c r="D1308" s="1">
        <v>0</v>
      </c>
      <c r="E1308" s="1">
        <v>452.1</v>
      </c>
      <c r="F1308" s="1">
        <v>0</v>
      </c>
      <c r="G1308" s="1">
        <v>-7459.6149999999998</v>
      </c>
      <c r="H1308" s="1">
        <v>0</v>
      </c>
      <c r="I1308" s="1">
        <v>3616.7829999999999</v>
      </c>
    </row>
    <row r="1309" spans="1:9" hidden="1" x14ac:dyDescent="0.25">
      <c r="A1309" s="1" t="s">
        <v>16</v>
      </c>
      <c r="B1309" s="1" t="s">
        <v>44</v>
      </c>
      <c r="C1309" s="1" t="s">
        <v>10</v>
      </c>
      <c r="D1309" s="1">
        <v>0</v>
      </c>
      <c r="E1309" s="1">
        <v>452.1</v>
      </c>
      <c r="F1309" s="1">
        <v>0</v>
      </c>
      <c r="G1309" s="1">
        <v>-7459.6149999999998</v>
      </c>
      <c r="H1309" s="1">
        <v>0</v>
      </c>
      <c r="I1309" s="1">
        <v>5425.174</v>
      </c>
    </row>
    <row r="1310" spans="1:9" hidden="1" x14ac:dyDescent="0.25">
      <c r="A1310" s="1" t="s">
        <v>16</v>
      </c>
      <c r="B1310" s="1" t="s">
        <v>45</v>
      </c>
      <c r="C1310" s="1" t="s">
        <v>25</v>
      </c>
      <c r="D1310" s="1">
        <v>0</v>
      </c>
      <c r="E1310" s="1">
        <v>452.1</v>
      </c>
      <c r="F1310" s="1">
        <v>0</v>
      </c>
      <c r="G1310" s="1">
        <v>-6103.3209999999999</v>
      </c>
      <c r="H1310" s="1">
        <v>0</v>
      </c>
      <c r="I1310" s="1">
        <v>3616.7829999999999</v>
      </c>
    </row>
    <row r="1311" spans="1:9" hidden="1" x14ac:dyDescent="0.25">
      <c r="A1311" s="1" t="s">
        <v>16</v>
      </c>
      <c r="B1311" s="1" t="s">
        <v>45</v>
      </c>
      <c r="C1311" s="1" t="s">
        <v>10</v>
      </c>
      <c r="D1311" s="1">
        <v>0</v>
      </c>
      <c r="E1311" s="1">
        <v>452.1</v>
      </c>
      <c r="F1311" s="1">
        <v>0</v>
      </c>
      <c r="G1311" s="1">
        <v>-6103.3209999999999</v>
      </c>
      <c r="H1311" s="1">
        <v>0</v>
      </c>
      <c r="I1311" s="1">
        <v>5425.174</v>
      </c>
    </row>
    <row r="1312" spans="1:9" hidden="1" x14ac:dyDescent="0.25">
      <c r="A1312" s="1" t="s">
        <v>16</v>
      </c>
      <c r="B1312" s="1" t="s">
        <v>46</v>
      </c>
      <c r="C1312" s="1" t="s">
        <v>25</v>
      </c>
      <c r="D1312" s="1">
        <v>0</v>
      </c>
      <c r="E1312" s="1">
        <v>0</v>
      </c>
      <c r="F1312" s="1">
        <v>-546.48</v>
      </c>
      <c r="G1312" s="1">
        <v>-10820.227999999999</v>
      </c>
      <c r="H1312" s="1">
        <v>4371.8090000000002</v>
      </c>
      <c r="I1312" s="1">
        <v>0</v>
      </c>
    </row>
    <row r="1313" spans="1:9" hidden="1" x14ac:dyDescent="0.25">
      <c r="A1313" s="1" t="s">
        <v>16</v>
      </c>
      <c r="B1313" s="1" t="s">
        <v>46</v>
      </c>
      <c r="C1313" s="1" t="s">
        <v>10</v>
      </c>
      <c r="D1313" s="1">
        <v>0</v>
      </c>
      <c r="E1313" s="1">
        <v>0</v>
      </c>
      <c r="F1313" s="1">
        <v>-546.48</v>
      </c>
      <c r="G1313" s="1">
        <v>-10820.227999999999</v>
      </c>
      <c r="H1313" s="1">
        <v>6557.7139999999999</v>
      </c>
      <c r="I1313" s="1">
        <v>0</v>
      </c>
    </row>
    <row r="1314" spans="1:9" hidden="1" x14ac:dyDescent="0.25">
      <c r="A1314" s="1" t="s">
        <v>16</v>
      </c>
      <c r="B1314" s="1" t="s">
        <v>47</v>
      </c>
      <c r="C1314" s="1" t="s">
        <v>25</v>
      </c>
      <c r="D1314" s="1">
        <v>0</v>
      </c>
      <c r="E1314" s="1">
        <v>0</v>
      </c>
      <c r="F1314" s="1">
        <v>-546.48</v>
      </c>
      <c r="G1314" s="1">
        <v>-8852.9140000000007</v>
      </c>
      <c r="H1314" s="1">
        <v>4371.8090000000002</v>
      </c>
      <c r="I1314" s="1">
        <v>0</v>
      </c>
    </row>
    <row r="1315" spans="1:9" hidden="1" x14ac:dyDescent="0.25">
      <c r="A1315" s="1" t="s">
        <v>16</v>
      </c>
      <c r="B1315" s="1" t="s">
        <v>47</v>
      </c>
      <c r="C1315" s="1" t="s">
        <v>10</v>
      </c>
      <c r="D1315" s="1">
        <v>0</v>
      </c>
      <c r="E1315" s="1">
        <v>0</v>
      </c>
      <c r="F1315" s="1">
        <v>-546.48</v>
      </c>
      <c r="G1315" s="1">
        <v>-8852.9140000000007</v>
      </c>
      <c r="H1315" s="1">
        <v>6557.7139999999999</v>
      </c>
      <c r="I1315" s="1">
        <v>0</v>
      </c>
    </row>
    <row r="1316" spans="1:9" hidden="1" x14ac:dyDescent="0.25">
      <c r="A1316" s="1" t="s">
        <v>16</v>
      </c>
      <c r="B1316" s="1" t="s">
        <v>48</v>
      </c>
      <c r="C1316" s="1" t="s">
        <v>25</v>
      </c>
      <c r="D1316" s="1">
        <v>0</v>
      </c>
      <c r="E1316" s="1">
        <v>0</v>
      </c>
      <c r="F1316" s="1">
        <v>546.48</v>
      </c>
      <c r="G1316" s="1">
        <v>10820.227999999999</v>
      </c>
      <c r="H1316" s="1">
        <v>-4371.8090000000002</v>
      </c>
      <c r="I1316" s="1">
        <v>0</v>
      </c>
    </row>
    <row r="1317" spans="1:9" hidden="1" x14ac:dyDescent="0.25">
      <c r="A1317" s="1" t="s">
        <v>16</v>
      </c>
      <c r="B1317" s="1" t="s">
        <v>48</v>
      </c>
      <c r="C1317" s="1" t="s">
        <v>10</v>
      </c>
      <c r="D1317" s="1">
        <v>0</v>
      </c>
      <c r="E1317" s="1">
        <v>0</v>
      </c>
      <c r="F1317" s="1">
        <v>546.48</v>
      </c>
      <c r="G1317" s="1">
        <v>10820.227999999999</v>
      </c>
      <c r="H1317" s="1">
        <v>-6557.7139999999999</v>
      </c>
      <c r="I1317" s="1">
        <v>0</v>
      </c>
    </row>
    <row r="1318" spans="1:9" hidden="1" x14ac:dyDescent="0.25">
      <c r="A1318" s="1" t="s">
        <v>16</v>
      </c>
      <c r="B1318" s="1" t="s">
        <v>49</v>
      </c>
      <c r="C1318" s="1" t="s">
        <v>25</v>
      </c>
      <c r="D1318" s="1">
        <v>0</v>
      </c>
      <c r="E1318" s="1">
        <v>0</v>
      </c>
      <c r="F1318" s="1">
        <v>546.48</v>
      </c>
      <c r="G1318" s="1">
        <v>8852.9140000000007</v>
      </c>
      <c r="H1318" s="1">
        <v>-4371.8090000000002</v>
      </c>
      <c r="I1318" s="1">
        <v>0</v>
      </c>
    </row>
    <row r="1319" spans="1:9" hidden="1" x14ac:dyDescent="0.25">
      <c r="A1319" s="1" t="s">
        <v>16</v>
      </c>
      <c r="B1319" s="1" t="s">
        <v>49</v>
      </c>
      <c r="C1319" s="1" t="s">
        <v>10</v>
      </c>
      <c r="D1319" s="1">
        <v>0</v>
      </c>
      <c r="E1319" s="1">
        <v>0</v>
      </c>
      <c r="F1319" s="1">
        <v>546.48</v>
      </c>
      <c r="G1319" s="1">
        <v>8852.9140000000007</v>
      </c>
      <c r="H1319" s="1">
        <v>-6557.7139999999999</v>
      </c>
      <c r="I1319" s="1">
        <v>0</v>
      </c>
    </row>
    <row r="1320" spans="1:9" hidden="1" x14ac:dyDescent="0.25">
      <c r="A1320" s="1" t="s">
        <v>16</v>
      </c>
      <c r="B1320" s="1" t="s">
        <v>50</v>
      </c>
      <c r="C1320" s="1" t="s">
        <v>25</v>
      </c>
      <c r="D1320" s="1">
        <v>0</v>
      </c>
      <c r="E1320" s="1">
        <v>-135.63</v>
      </c>
      <c r="F1320" s="1">
        <v>0</v>
      </c>
      <c r="G1320" s="1">
        <v>2237.884</v>
      </c>
      <c r="H1320" s="1">
        <v>0</v>
      </c>
      <c r="I1320" s="1">
        <v>-1085.0350000000001</v>
      </c>
    </row>
    <row r="1321" spans="1:9" hidden="1" x14ac:dyDescent="0.25">
      <c r="A1321" s="1" t="s">
        <v>16</v>
      </c>
      <c r="B1321" s="1" t="s">
        <v>50</v>
      </c>
      <c r="C1321" s="1" t="s">
        <v>10</v>
      </c>
      <c r="D1321" s="1">
        <v>0</v>
      </c>
      <c r="E1321" s="1">
        <v>-135.63</v>
      </c>
      <c r="F1321" s="1">
        <v>0</v>
      </c>
      <c r="G1321" s="1">
        <v>2237.884</v>
      </c>
      <c r="H1321" s="1">
        <v>0</v>
      </c>
      <c r="I1321" s="1">
        <v>-1627.5519999999999</v>
      </c>
    </row>
    <row r="1322" spans="1:9" hidden="1" x14ac:dyDescent="0.25">
      <c r="A1322" s="1" t="s">
        <v>16</v>
      </c>
      <c r="B1322" s="1" t="s">
        <v>51</v>
      </c>
      <c r="C1322" s="1" t="s">
        <v>25</v>
      </c>
      <c r="D1322" s="1">
        <v>0</v>
      </c>
      <c r="E1322" s="1">
        <v>-135.63</v>
      </c>
      <c r="F1322" s="1">
        <v>0</v>
      </c>
      <c r="G1322" s="1">
        <v>1830.9960000000001</v>
      </c>
      <c r="H1322" s="1">
        <v>0</v>
      </c>
      <c r="I1322" s="1">
        <v>-1085.0350000000001</v>
      </c>
    </row>
    <row r="1323" spans="1:9" hidden="1" x14ac:dyDescent="0.25">
      <c r="A1323" s="1" t="s">
        <v>16</v>
      </c>
      <c r="B1323" s="1" t="s">
        <v>51</v>
      </c>
      <c r="C1323" s="1" t="s">
        <v>10</v>
      </c>
      <c r="D1323" s="1">
        <v>0</v>
      </c>
      <c r="E1323" s="1">
        <v>-135.63</v>
      </c>
      <c r="F1323" s="1">
        <v>0</v>
      </c>
      <c r="G1323" s="1">
        <v>1830.9960000000001</v>
      </c>
      <c r="H1323" s="1">
        <v>0</v>
      </c>
      <c r="I1323" s="1">
        <v>-1627.5519999999999</v>
      </c>
    </row>
    <row r="1324" spans="1:9" hidden="1" x14ac:dyDescent="0.25">
      <c r="A1324" s="1" t="s">
        <v>16</v>
      </c>
      <c r="B1324" s="1" t="s">
        <v>52</v>
      </c>
      <c r="C1324" s="1" t="s">
        <v>25</v>
      </c>
      <c r="D1324" s="1">
        <v>0</v>
      </c>
      <c r="E1324" s="1">
        <v>135.63</v>
      </c>
      <c r="F1324" s="1">
        <v>0</v>
      </c>
      <c r="G1324" s="1">
        <v>-2237.884</v>
      </c>
      <c r="H1324" s="1">
        <v>0</v>
      </c>
      <c r="I1324" s="1">
        <v>1085.0350000000001</v>
      </c>
    </row>
    <row r="1325" spans="1:9" hidden="1" x14ac:dyDescent="0.25">
      <c r="A1325" s="1" t="s">
        <v>16</v>
      </c>
      <c r="B1325" s="1" t="s">
        <v>52</v>
      </c>
      <c r="C1325" s="1" t="s">
        <v>10</v>
      </c>
      <c r="D1325" s="1">
        <v>0</v>
      </c>
      <c r="E1325" s="1">
        <v>135.63</v>
      </c>
      <c r="F1325" s="1">
        <v>0</v>
      </c>
      <c r="G1325" s="1">
        <v>-2237.884</v>
      </c>
      <c r="H1325" s="1">
        <v>0</v>
      </c>
      <c r="I1325" s="1">
        <v>1627.5519999999999</v>
      </c>
    </row>
    <row r="1326" spans="1:9" hidden="1" x14ac:dyDescent="0.25">
      <c r="A1326" s="1" t="s">
        <v>16</v>
      </c>
      <c r="B1326" s="1" t="s">
        <v>53</v>
      </c>
      <c r="C1326" s="1" t="s">
        <v>25</v>
      </c>
      <c r="D1326" s="1">
        <v>0</v>
      </c>
      <c r="E1326" s="1">
        <v>135.63</v>
      </c>
      <c r="F1326" s="1">
        <v>0</v>
      </c>
      <c r="G1326" s="1">
        <v>-1830.9960000000001</v>
      </c>
      <c r="H1326" s="1">
        <v>0</v>
      </c>
      <c r="I1326" s="1">
        <v>1085.0350000000001</v>
      </c>
    </row>
    <row r="1327" spans="1:9" hidden="1" x14ac:dyDescent="0.25">
      <c r="A1327" s="1" t="s">
        <v>16</v>
      </c>
      <c r="B1327" s="1" t="s">
        <v>53</v>
      </c>
      <c r="C1327" s="1" t="s">
        <v>10</v>
      </c>
      <c r="D1327" s="1">
        <v>0</v>
      </c>
      <c r="E1327" s="1">
        <v>135.63</v>
      </c>
      <c r="F1327" s="1">
        <v>0</v>
      </c>
      <c r="G1327" s="1">
        <v>-1830.9960000000001</v>
      </c>
      <c r="H1327" s="1">
        <v>0</v>
      </c>
      <c r="I1327" s="1">
        <v>1627.5519999999999</v>
      </c>
    </row>
    <row r="1328" spans="1:9" hidden="1" x14ac:dyDescent="0.25">
      <c r="A1328" s="1" t="s">
        <v>16</v>
      </c>
      <c r="B1328" s="1" t="s">
        <v>54</v>
      </c>
      <c r="C1328" s="1" t="s">
        <v>25</v>
      </c>
      <c r="D1328" s="1">
        <v>0</v>
      </c>
      <c r="E1328" s="1">
        <v>0</v>
      </c>
      <c r="F1328" s="1">
        <v>-163.94</v>
      </c>
      <c r="G1328" s="1">
        <v>-3246.0680000000002</v>
      </c>
      <c r="H1328" s="1">
        <v>1311.5429999999999</v>
      </c>
      <c r="I1328" s="1">
        <v>0</v>
      </c>
    </row>
    <row r="1329" spans="1:9" hidden="1" x14ac:dyDescent="0.25">
      <c r="A1329" s="1" t="s">
        <v>16</v>
      </c>
      <c r="B1329" s="1" t="s">
        <v>54</v>
      </c>
      <c r="C1329" s="1" t="s">
        <v>10</v>
      </c>
      <c r="D1329" s="1">
        <v>0</v>
      </c>
      <c r="E1329" s="1">
        <v>0</v>
      </c>
      <c r="F1329" s="1">
        <v>-163.94</v>
      </c>
      <c r="G1329" s="1">
        <v>-3246.0680000000002</v>
      </c>
      <c r="H1329" s="1">
        <v>1967.3140000000001</v>
      </c>
      <c r="I1329" s="1">
        <v>0</v>
      </c>
    </row>
    <row r="1330" spans="1:9" hidden="1" x14ac:dyDescent="0.25">
      <c r="A1330" s="1" t="s">
        <v>16</v>
      </c>
      <c r="B1330" s="1" t="s">
        <v>55</v>
      </c>
      <c r="C1330" s="1" t="s">
        <v>25</v>
      </c>
      <c r="D1330" s="1">
        <v>0</v>
      </c>
      <c r="E1330" s="1">
        <v>0</v>
      </c>
      <c r="F1330" s="1">
        <v>-163.94</v>
      </c>
      <c r="G1330" s="1">
        <v>-2655.8739999999998</v>
      </c>
      <c r="H1330" s="1">
        <v>1311.5429999999999</v>
      </c>
      <c r="I1330" s="1">
        <v>0</v>
      </c>
    </row>
    <row r="1331" spans="1:9" hidden="1" x14ac:dyDescent="0.25">
      <c r="A1331" s="1" t="s">
        <v>16</v>
      </c>
      <c r="B1331" s="1" t="s">
        <v>55</v>
      </c>
      <c r="C1331" s="1" t="s">
        <v>10</v>
      </c>
      <c r="D1331" s="1">
        <v>0</v>
      </c>
      <c r="E1331" s="1">
        <v>0</v>
      </c>
      <c r="F1331" s="1">
        <v>-163.94</v>
      </c>
      <c r="G1331" s="1">
        <v>-2655.8739999999998</v>
      </c>
      <c r="H1331" s="1">
        <v>1967.3140000000001</v>
      </c>
      <c r="I1331" s="1">
        <v>0</v>
      </c>
    </row>
    <row r="1332" spans="1:9" hidden="1" x14ac:dyDescent="0.25">
      <c r="A1332" s="1" t="s">
        <v>16</v>
      </c>
      <c r="B1332" s="1" t="s">
        <v>56</v>
      </c>
      <c r="C1332" s="1" t="s">
        <v>25</v>
      </c>
      <c r="D1332" s="1">
        <v>0</v>
      </c>
      <c r="E1332" s="1">
        <v>0</v>
      </c>
      <c r="F1332" s="1">
        <v>163.94</v>
      </c>
      <c r="G1332" s="1">
        <v>3246.0680000000002</v>
      </c>
      <c r="H1332" s="1">
        <v>-1311.5429999999999</v>
      </c>
      <c r="I1332" s="1">
        <v>0</v>
      </c>
    </row>
    <row r="1333" spans="1:9" hidden="1" x14ac:dyDescent="0.25">
      <c r="A1333" s="1" t="s">
        <v>16</v>
      </c>
      <c r="B1333" s="1" t="s">
        <v>56</v>
      </c>
      <c r="C1333" s="1" t="s">
        <v>10</v>
      </c>
      <c r="D1333" s="1">
        <v>0</v>
      </c>
      <c r="E1333" s="1">
        <v>0</v>
      </c>
      <c r="F1333" s="1">
        <v>163.94</v>
      </c>
      <c r="G1333" s="1">
        <v>3246.0680000000002</v>
      </c>
      <c r="H1333" s="1">
        <v>-1967.3140000000001</v>
      </c>
      <c r="I1333" s="1">
        <v>0</v>
      </c>
    </row>
    <row r="1334" spans="1:9" hidden="1" x14ac:dyDescent="0.25">
      <c r="A1334" s="1" t="s">
        <v>16</v>
      </c>
      <c r="B1334" s="1" t="s">
        <v>57</v>
      </c>
      <c r="C1334" s="1" t="s">
        <v>25</v>
      </c>
      <c r="D1334" s="1">
        <v>0</v>
      </c>
      <c r="E1334" s="1">
        <v>0</v>
      </c>
      <c r="F1334" s="1">
        <v>163.94</v>
      </c>
      <c r="G1334" s="1">
        <v>2655.8739999999998</v>
      </c>
      <c r="H1334" s="1">
        <v>-1311.5429999999999</v>
      </c>
      <c r="I1334" s="1">
        <v>0</v>
      </c>
    </row>
    <row r="1335" spans="1:9" hidden="1" x14ac:dyDescent="0.25">
      <c r="A1335" s="1" t="s">
        <v>16</v>
      </c>
      <c r="B1335" s="1" t="s">
        <v>57</v>
      </c>
      <c r="C1335" s="1" t="s">
        <v>10</v>
      </c>
      <c r="D1335" s="1">
        <v>0</v>
      </c>
      <c r="E1335" s="1">
        <v>0</v>
      </c>
      <c r="F1335" s="1">
        <v>163.94</v>
      </c>
      <c r="G1335" s="1">
        <v>2655.8739999999998</v>
      </c>
      <c r="H1335" s="1">
        <v>-1967.3140000000001</v>
      </c>
      <c r="I1335" s="1">
        <v>0</v>
      </c>
    </row>
    <row r="1336" spans="1:9" hidden="1" x14ac:dyDescent="0.25">
      <c r="A1336" s="1" t="s">
        <v>16</v>
      </c>
      <c r="B1336" s="1" t="s">
        <v>58</v>
      </c>
      <c r="C1336" s="1" t="s">
        <v>25</v>
      </c>
      <c r="D1336" s="1">
        <v>0</v>
      </c>
      <c r="E1336" s="1">
        <v>-135.63</v>
      </c>
      <c r="F1336" s="1">
        <v>0</v>
      </c>
      <c r="G1336" s="1">
        <v>2237.884</v>
      </c>
      <c r="H1336" s="1">
        <v>0</v>
      </c>
      <c r="I1336" s="1">
        <v>-1085.0350000000001</v>
      </c>
    </row>
    <row r="1337" spans="1:9" hidden="1" x14ac:dyDescent="0.25">
      <c r="A1337" s="1" t="s">
        <v>16</v>
      </c>
      <c r="B1337" s="1" t="s">
        <v>58</v>
      </c>
      <c r="C1337" s="1" t="s">
        <v>10</v>
      </c>
      <c r="D1337" s="1">
        <v>0</v>
      </c>
      <c r="E1337" s="1">
        <v>-135.63</v>
      </c>
      <c r="F1337" s="1">
        <v>0</v>
      </c>
      <c r="G1337" s="1">
        <v>2237.884</v>
      </c>
      <c r="H1337" s="1">
        <v>0</v>
      </c>
      <c r="I1337" s="1">
        <v>-1627.5519999999999</v>
      </c>
    </row>
    <row r="1338" spans="1:9" hidden="1" x14ac:dyDescent="0.25">
      <c r="A1338" s="1" t="s">
        <v>16</v>
      </c>
      <c r="B1338" s="1" t="s">
        <v>59</v>
      </c>
      <c r="C1338" s="1" t="s">
        <v>25</v>
      </c>
      <c r="D1338" s="1">
        <v>0</v>
      </c>
      <c r="E1338" s="1">
        <v>-135.63</v>
      </c>
      <c r="F1338" s="1">
        <v>0</v>
      </c>
      <c r="G1338" s="1">
        <v>1830.9960000000001</v>
      </c>
      <c r="H1338" s="1">
        <v>0</v>
      </c>
      <c r="I1338" s="1">
        <v>-1085.0350000000001</v>
      </c>
    </row>
    <row r="1339" spans="1:9" hidden="1" x14ac:dyDescent="0.25">
      <c r="A1339" s="1" t="s">
        <v>16</v>
      </c>
      <c r="B1339" s="1" t="s">
        <v>59</v>
      </c>
      <c r="C1339" s="1" t="s">
        <v>10</v>
      </c>
      <c r="D1339" s="1">
        <v>0</v>
      </c>
      <c r="E1339" s="1">
        <v>-135.63</v>
      </c>
      <c r="F1339" s="1">
        <v>0</v>
      </c>
      <c r="G1339" s="1">
        <v>1830.9960000000001</v>
      </c>
      <c r="H1339" s="1">
        <v>0</v>
      </c>
      <c r="I1339" s="1">
        <v>-1627.5519999999999</v>
      </c>
    </row>
    <row r="1340" spans="1:9" hidden="1" x14ac:dyDescent="0.25">
      <c r="A1340" s="1" t="s">
        <v>16</v>
      </c>
      <c r="B1340" s="1" t="s">
        <v>60</v>
      </c>
      <c r="C1340" s="1" t="s">
        <v>25</v>
      </c>
      <c r="D1340" s="1">
        <v>0</v>
      </c>
      <c r="E1340" s="1">
        <v>135.63</v>
      </c>
      <c r="F1340" s="1">
        <v>0</v>
      </c>
      <c r="G1340" s="1">
        <v>-2237.884</v>
      </c>
      <c r="H1340" s="1">
        <v>0</v>
      </c>
      <c r="I1340" s="1">
        <v>1085.0350000000001</v>
      </c>
    </row>
    <row r="1341" spans="1:9" hidden="1" x14ac:dyDescent="0.25">
      <c r="A1341" s="1" t="s">
        <v>16</v>
      </c>
      <c r="B1341" s="1" t="s">
        <v>60</v>
      </c>
      <c r="C1341" s="1" t="s">
        <v>10</v>
      </c>
      <c r="D1341" s="1">
        <v>0</v>
      </c>
      <c r="E1341" s="1">
        <v>135.63</v>
      </c>
      <c r="F1341" s="1">
        <v>0</v>
      </c>
      <c r="G1341" s="1">
        <v>-2237.884</v>
      </c>
      <c r="H1341" s="1">
        <v>0</v>
      </c>
      <c r="I1341" s="1">
        <v>1627.5519999999999</v>
      </c>
    </row>
    <row r="1342" spans="1:9" hidden="1" x14ac:dyDescent="0.25">
      <c r="A1342" s="1" t="s">
        <v>16</v>
      </c>
      <c r="B1342" s="1" t="s">
        <v>61</v>
      </c>
      <c r="C1342" s="1" t="s">
        <v>25</v>
      </c>
      <c r="D1342" s="1">
        <v>0</v>
      </c>
      <c r="E1342" s="1">
        <v>135.63</v>
      </c>
      <c r="F1342" s="1">
        <v>0</v>
      </c>
      <c r="G1342" s="1">
        <v>-1830.9960000000001</v>
      </c>
      <c r="H1342" s="1">
        <v>0</v>
      </c>
      <c r="I1342" s="1">
        <v>1085.0350000000001</v>
      </c>
    </row>
    <row r="1343" spans="1:9" hidden="1" x14ac:dyDescent="0.25">
      <c r="A1343" s="1" t="s">
        <v>16</v>
      </c>
      <c r="B1343" s="1" t="s">
        <v>61</v>
      </c>
      <c r="C1343" s="1" t="s">
        <v>10</v>
      </c>
      <c r="D1343" s="1">
        <v>0</v>
      </c>
      <c r="E1343" s="1">
        <v>135.63</v>
      </c>
      <c r="F1343" s="1">
        <v>0</v>
      </c>
      <c r="G1343" s="1">
        <v>-1830.9960000000001</v>
      </c>
      <c r="H1343" s="1">
        <v>0</v>
      </c>
      <c r="I1343" s="1">
        <v>1627.5519999999999</v>
      </c>
    </row>
    <row r="1344" spans="1:9" hidden="1" x14ac:dyDescent="0.25">
      <c r="A1344" s="1" t="s">
        <v>16</v>
      </c>
      <c r="B1344" s="1" t="s">
        <v>62</v>
      </c>
      <c r="C1344" s="1" t="s">
        <v>25</v>
      </c>
      <c r="D1344" s="1">
        <v>0</v>
      </c>
      <c r="E1344" s="1">
        <v>0</v>
      </c>
      <c r="F1344" s="1">
        <v>-163.94</v>
      </c>
      <c r="G1344" s="1">
        <v>-3246.0680000000002</v>
      </c>
      <c r="H1344" s="1">
        <v>1311.5429999999999</v>
      </c>
      <c r="I1344" s="1">
        <v>0</v>
      </c>
    </row>
    <row r="1345" spans="1:9" hidden="1" x14ac:dyDescent="0.25">
      <c r="A1345" s="1" t="s">
        <v>16</v>
      </c>
      <c r="B1345" s="1" t="s">
        <v>62</v>
      </c>
      <c r="C1345" s="1" t="s">
        <v>10</v>
      </c>
      <c r="D1345" s="1">
        <v>0</v>
      </c>
      <c r="E1345" s="1">
        <v>0</v>
      </c>
      <c r="F1345" s="1">
        <v>-163.94</v>
      </c>
      <c r="G1345" s="1">
        <v>-3246.0680000000002</v>
      </c>
      <c r="H1345" s="1">
        <v>1967.3140000000001</v>
      </c>
      <c r="I1345" s="1">
        <v>0</v>
      </c>
    </row>
    <row r="1346" spans="1:9" hidden="1" x14ac:dyDescent="0.25">
      <c r="A1346" s="1" t="s">
        <v>16</v>
      </c>
      <c r="B1346" s="1" t="s">
        <v>63</v>
      </c>
      <c r="C1346" s="1" t="s">
        <v>25</v>
      </c>
      <c r="D1346" s="1">
        <v>0</v>
      </c>
      <c r="E1346" s="1">
        <v>0</v>
      </c>
      <c r="F1346" s="1">
        <v>-163.94</v>
      </c>
      <c r="G1346" s="1">
        <v>-2655.8739999999998</v>
      </c>
      <c r="H1346" s="1">
        <v>1311.5429999999999</v>
      </c>
      <c r="I1346" s="1">
        <v>0</v>
      </c>
    </row>
    <row r="1347" spans="1:9" hidden="1" x14ac:dyDescent="0.25">
      <c r="A1347" s="1" t="s">
        <v>16</v>
      </c>
      <c r="B1347" s="1" t="s">
        <v>63</v>
      </c>
      <c r="C1347" s="1" t="s">
        <v>10</v>
      </c>
      <c r="D1347" s="1">
        <v>0</v>
      </c>
      <c r="E1347" s="1">
        <v>0</v>
      </c>
      <c r="F1347" s="1">
        <v>-163.94</v>
      </c>
      <c r="G1347" s="1">
        <v>-2655.8739999999998</v>
      </c>
      <c r="H1347" s="1">
        <v>1967.3140000000001</v>
      </c>
      <c r="I1347" s="1">
        <v>0</v>
      </c>
    </row>
    <row r="1348" spans="1:9" hidden="1" x14ac:dyDescent="0.25">
      <c r="A1348" s="1" t="s">
        <v>16</v>
      </c>
      <c r="B1348" s="1" t="s">
        <v>64</v>
      </c>
      <c r="C1348" s="1" t="s">
        <v>25</v>
      </c>
      <c r="D1348" s="1">
        <v>0</v>
      </c>
      <c r="E1348" s="1">
        <v>0</v>
      </c>
      <c r="F1348" s="1">
        <v>163.94</v>
      </c>
      <c r="G1348" s="1">
        <v>3246.0680000000002</v>
      </c>
      <c r="H1348" s="1">
        <v>-1311.5429999999999</v>
      </c>
      <c r="I1348" s="1">
        <v>0</v>
      </c>
    </row>
    <row r="1349" spans="1:9" hidden="1" x14ac:dyDescent="0.25">
      <c r="A1349" s="1" t="s">
        <v>16</v>
      </c>
      <c r="B1349" s="1" t="s">
        <v>64</v>
      </c>
      <c r="C1349" s="1" t="s">
        <v>10</v>
      </c>
      <c r="D1349" s="1">
        <v>0</v>
      </c>
      <c r="E1349" s="1">
        <v>0</v>
      </c>
      <c r="F1349" s="1">
        <v>163.94</v>
      </c>
      <c r="G1349" s="1">
        <v>3246.0680000000002</v>
      </c>
      <c r="H1349" s="1">
        <v>-1967.3140000000001</v>
      </c>
      <c r="I1349" s="1">
        <v>0</v>
      </c>
    </row>
    <row r="1350" spans="1:9" hidden="1" x14ac:dyDescent="0.25">
      <c r="A1350" s="1" t="s">
        <v>16</v>
      </c>
      <c r="B1350" s="1" t="s">
        <v>65</v>
      </c>
      <c r="C1350" s="1" t="s">
        <v>25</v>
      </c>
      <c r="D1350" s="1">
        <v>0</v>
      </c>
      <c r="E1350" s="1">
        <v>0</v>
      </c>
      <c r="F1350" s="1">
        <v>163.94</v>
      </c>
      <c r="G1350" s="1">
        <v>2655.8739999999998</v>
      </c>
      <c r="H1350" s="1">
        <v>-1311.5429999999999</v>
      </c>
      <c r="I1350" s="1">
        <v>0</v>
      </c>
    </row>
    <row r="1351" spans="1:9" hidden="1" x14ac:dyDescent="0.25">
      <c r="A1351" s="1" t="s">
        <v>16</v>
      </c>
      <c r="B1351" s="1" t="s">
        <v>65</v>
      </c>
      <c r="C1351" s="1" t="s">
        <v>10</v>
      </c>
      <c r="D1351" s="1">
        <v>0</v>
      </c>
      <c r="E1351" s="1">
        <v>0</v>
      </c>
      <c r="F1351" s="1">
        <v>163.94</v>
      </c>
      <c r="G1351" s="1">
        <v>2655.8739999999998</v>
      </c>
      <c r="H1351" s="1">
        <v>-1967.3140000000001</v>
      </c>
      <c r="I1351" s="1">
        <v>0</v>
      </c>
    </row>
    <row r="1352" spans="1:9" hidden="1" x14ac:dyDescent="0.25">
      <c r="A1352" s="1" t="s">
        <v>16</v>
      </c>
      <c r="B1352" s="1" t="s">
        <v>66</v>
      </c>
      <c r="C1352" s="1" t="s">
        <v>25</v>
      </c>
      <c r="D1352" s="1">
        <v>0</v>
      </c>
      <c r="E1352" s="1">
        <v>-452.1</v>
      </c>
      <c r="F1352" s="1">
        <v>0</v>
      </c>
      <c r="G1352" s="1">
        <v>7459.6149999999998</v>
      </c>
      <c r="H1352" s="1">
        <v>0</v>
      </c>
      <c r="I1352" s="1">
        <v>-3616.7829999999999</v>
      </c>
    </row>
    <row r="1353" spans="1:9" hidden="1" x14ac:dyDescent="0.25">
      <c r="A1353" s="1" t="s">
        <v>16</v>
      </c>
      <c r="B1353" s="1" t="s">
        <v>66</v>
      </c>
      <c r="C1353" s="1" t="s">
        <v>10</v>
      </c>
      <c r="D1353" s="1">
        <v>0</v>
      </c>
      <c r="E1353" s="1">
        <v>-452.1</v>
      </c>
      <c r="F1353" s="1">
        <v>0</v>
      </c>
      <c r="G1353" s="1">
        <v>7459.6149999999998</v>
      </c>
      <c r="H1353" s="1">
        <v>0</v>
      </c>
      <c r="I1353" s="1">
        <v>-5425.174</v>
      </c>
    </row>
    <row r="1354" spans="1:9" hidden="1" x14ac:dyDescent="0.25">
      <c r="A1354" s="1" t="s">
        <v>16</v>
      </c>
      <c r="B1354" s="1" t="s">
        <v>67</v>
      </c>
      <c r="C1354" s="1" t="s">
        <v>25</v>
      </c>
      <c r="D1354" s="1">
        <v>0</v>
      </c>
      <c r="E1354" s="1">
        <v>-452.1</v>
      </c>
      <c r="F1354" s="1">
        <v>0</v>
      </c>
      <c r="G1354" s="1">
        <v>6103.3209999999999</v>
      </c>
      <c r="H1354" s="1">
        <v>0</v>
      </c>
      <c r="I1354" s="1">
        <v>-3616.7829999999999</v>
      </c>
    </row>
    <row r="1355" spans="1:9" hidden="1" x14ac:dyDescent="0.25">
      <c r="A1355" s="1" t="s">
        <v>16</v>
      </c>
      <c r="B1355" s="1" t="s">
        <v>67</v>
      </c>
      <c r="C1355" s="1" t="s">
        <v>10</v>
      </c>
      <c r="D1355" s="1">
        <v>0</v>
      </c>
      <c r="E1355" s="1">
        <v>-452.1</v>
      </c>
      <c r="F1355" s="1">
        <v>0</v>
      </c>
      <c r="G1355" s="1">
        <v>6103.3209999999999</v>
      </c>
      <c r="H1355" s="1">
        <v>0</v>
      </c>
      <c r="I1355" s="1">
        <v>-5425.174</v>
      </c>
    </row>
    <row r="1356" spans="1:9" hidden="1" x14ac:dyDescent="0.25">
      <c r="A1356" s="1" t="s">
        <v>16</v>
      </c>
      <c r="B1356" s="1" t="s">
        <v>68</v>
      </c>
      <c r="C1356" s="1" t="s">
        <v>25</v>
      </c>
      <c r="D1356" s="1">
        <v>0</v>
      </c>
      <c r="E1356" s="1">
        <v>452.1</v>
      </c>
      <c r="F1356" s="1">
        <v>0</v>
      </c>
      <c r="G1356" s="1">
        <v>-7459.6149999999998</v>
      </c>
      <c r="H1356" s="1">
        <v>0</v>
      </c>
      <c r="I1356" s="1">
        <v>3616.7829999999999</v>
      </c>
    </row>
    <row r="1357" spans="1:9" hidden="1" x14ac:dyDescent="0.25">
      <c r="A1357" s="1" t="s">
        <v>16</v>
      </c>
      <c r="B1357" s="1" t="s">
        <v>68</v>
      </c>
      <c r="C1357" s="1" t="s">
        <v>10</v>
      </c>
      <c r="D1357" s="1">
        <v>0</v>
      </c>
      <c r="E1357" s="1">
        <v>452.1</v>
      </c>
      <c r="F1357" s="1">
        <v>0</v>
      </c>
      <c r="G1357" s="1">
        <v>-7459.6149999999998</v>
      </c>
      <c r="H1357" s="1">
        <v>0</v>
      </c>
      <c r="I1357" s="1">
        <v>5425.174</v>
      </c>
    </row>
    <row r="1358" spans="1:9" hidden="1" x14ac:dyDescent="0.25">
      <c r="A1358" s="1" t="s">
        <v>16</v>
      </c>
      <c r="B1358" s="1" t="s">
        <v>69</v>
      </c>
      <c r="C1358" s="1" t="s">
        <v>25</v>
      </c>
      <c r="D1358" s="1">
        <v>0</v>
      </c>
      <c r="E1358" s="1">
        <v>452.1</v>
      </c>
      <c r="F1358" s="1">
        <v>0</v>
      </c>
      <c r="G1358" s="1">
        <v>-6103.3209999999999</v>
      </c>
      <c r="H1358" s="1">
        <v>0</v>
      </c>
      <c r="I1358" s="1">
        <v>3616.7829999999999</v>
      </c>
    </row>
    <row r="1359" spans="1:9" hidden="1" x14ac:dyDescent="0.25">
      <c r="A1359" s="1" t="s">
        <v>16</v>
      </c>
      <c r="B1359" s="1" t="s">
        <v>69</v>
      </c>
      <c r="C1359" s="1" t="s">
        <v>10</v>
      </c>
      <c r="D1359" s="1">
        <v>0</v>
      </c>
      <c r="E1359" s="1">
        <v>452.1</v>
      </c>
      <c r="F1359" s="1">
        <v>0</v>
      </c>
      <c r="G1359" s="1">
        <v>-6103.3209999999999</v>
      </c>
      <c r="H1359" s="1">
        <v>0</v>
      </c>
      <c r="I1359" s="1">
        <v>5425.174</v>
      </c>
    </row>
    <row r="1360" spans="1:9" hidden="1" x14ac:dyDescent="0.25">
      <c r="A1360" s="1" t="s">
        <v>16</v>
      </c>
      <c r="B1360" s="1" t="s">
        <v>70</v>
      </c>
      <c r="C1360" s="1" t="s">
        <v>25</v>
      </c>
      <c r="D1360" s="1">
        <v>0</v>
      </c>
      <c r="E1360" s="1">
        <v>0</v>
      </c>
      <c r="F1360" s="1">
        <v>-546.48</v>
      </c>
      <c r="G1360" s="1">
        <v>-10820.227999999999</v>
      </c>
      <c r="H1360" s="1">
        <v>4371.8090000000002</v>
      </c>
      <c r="I1360" s="1">
        <v>0</v>
      </c>
    </row>
    <row r="1361" spans="1:9" hidden="1" x14ac:dyDescent="0.25">
      <c r="A1361" s="1" t="s">
        <v>16</v>
      </c>
      <c r="B1361" s="1" t="s">
        <v>70</v>
      </c>
      <c r="C1361" s="1" t="s">
        <v>10</v>
      </c>
      <c r="D1361" s="1">
        <v>0</v>
      </c>
      <c r="E1361" s="1">
        <v>0</v>
      </c>
      <c r="F1361" s="1">
        <v>-546.48</v>
      </c>
      <c r="G1361" s="1">
        <v>-10820.227999999999</v>
      </c>
      <c r="H1361" s="1">
        <v>6557.7139999999999</v>
      </c>
      <c r="I1361" s="1">
        <v>0</v>
      </c>
    </row>
    <row r="1362" spans="1:9" hidden="1" x14ac:dyDescent="0.25">
      <c r="A1362" s="1" t="s">
        <v>16</v>
      </c>
      <c r="B1362" s="1" t="s">
        <v>71</v>
      </c>
      <c r="C1362" s="1" t="s">
        <v>25</v>
      </c>
      <c r="D1362" s="1">
        <v>0</v>
      </c>
      <c r="E1362" s="1">
        <v>0</v>
      </c>
      <c r="F1362" s="1">
        <v>-546.48</v>
      </c>
      <c r="G1362" s="1">
        <v>-8852.9140000000007</v>
      </c>
      <c r="H1362" s="1">
        <v>4371.8090000000002</v>
      </c>
      <c r="I1362" s="1">
        <v>0</v>
      </c>
    </row>
    <row r="1363" spans="1:9" hidden="1" x14ac:dyDescent="0.25">
      <c r="A1363" s="1" t="s">
        <v>16</v>
      </c>
      <c r="B1363" s="1" t="s">
        <v>71</v>
      </c>
      <c r="C1363" s="1" t="s">
        <v>10</v>
      </c>
      <c r="D1363" s="1">
        <v>0</v>
      </c>
      <c r="E1363" s="1">
        <v>0</v>
      </c>
      <c r="F1363" s="1">
        <v>-546.48</v>
      </c>
      <c r="G1363" s="1">
        <v>-8852.9140000000007</v>
      </c>
      <c r="H1363" s="1">
        <v>6557.7139999999999</v>
      </c>
      <c r="I1363" s="1">
        <v>0</v>
      </c>
    </row>
    <row r="1364" spans="1:9" hidden="1" x14ac:dyDescent="0.25">
      <c r="A1364" s="1" t="s">
        <v>16</v>
      </c>
      <c r="B1364" s="1" t="s">
        <v>72</v>
      </c>
      <c r="C1364" s="1" t="s">
        <v>25</v>
      </c>
      <c r="D1364" s="1">
        <v>0</v>
      </c>
      <c r="E1364" s="1">
        <v>0</v>
      </c>
      <c r="F1364" s="1">
        <v>546.48</v>
      </c>
      <c r="G1364" s="1">
        <v>10820.227999999999</v>
      </c>
      <c r="H1364" s="1">
        <v>-4371.8090000000002</v>
      </c>
      <c r="I1364" s="1">
        <v>0</v>
      </c>
    </row>
    <row r="1365" spans="1:9" hidden="1" x14ac:dyDescent="0.25">
      <c r="A1365" s="1" t="s">
        <v>16</v>
      </c>
      <c r="B1365" s="1" t="s">
        <v>72</v>
      </c>
      <c r="C1365" s="1" t="s">
        <v>10</v>
      </c>
      <c r="D1365" s="1">
        <v>0</v>
      </c>
      <c r="E1365" s="1">
        <v>0</v>
      </c>
      <c r="F1365" s="1">
        <v>546.48</v>
      </c>
      <c r="G1365" s="1">
        <v>10820.227999999999</v>
      </c>
      <c r="H1365" s="1">
        <v>-6557.7139999999999</v>
      </c>
      <c r="I1365" s="1">
        <v>0</v>
      </c>
    </row>
    <row r="1366" spans="1:9" hidden="1" x14ac:dyDescent="0.25">
      <c r="A1366" s="1" t="s">
        <v>16</v>
      </c>
      <c r="B1366" s="1" t="s">
        <v>73</v>
      </c>
      <c r="C1366" s="1" t="s">
        <v>25</v>
      </c>
      <c r="D1366" s="1">
        <v>0</v>
      </c>
      <c r="E1366" s="1">
        <v>0</v>
      </c>
      <c r="F1366" s="1">
        <v>546.48</v>
      </c>
      <c r="G1366" s="1">
        <v>8852.9140000000007</v>
      </c>
      <c r="H1366" s="1">
        <v>-4371.8090000000002</v>
      </c>
      <c r="I1366" s="1">
        <v>0</v>
      </c>
    </row>
    <row r="1367" spans="1:9" hidden="1" x14ac:dyDescent="0.25">
      <c r="A1367" s="1" t="s">
        <v>16</v>
      </c>
      <c r="B1367" s="1" t="s">
        <v>73</v>
      </c>
      <c r="C1367" s="1" t="s">
        <v>10</v>
      </c>
      <c r="D1367" s="1">
        <v>0</v>
      </c>
      <c r="E1367" s="1">
        <v>0</v>
      </c>
      <c r="F1367" s="1">
        <v>546.48</v>
      </c>
      <c r="G1367" s="1">
        <v>8852.9140000000007</v>
      </c>
      <c r="H1367" s="1">
        <v>-6557.7139999999999</v>
      </c>
      <c r="I1367" s="1">
        <v>0</v>
      </c>
    </row>
    <row r="1368" spans="1:9" hidden="1" x14ac:dyDescent="0.25">
      <c r="A1368" s="1" t="s">
        <v>16</v>
      </c>
      <c r="B1368" s="1" t="s">
        <v>74</v>
      </c>
      <c r="C1368" s="1" t="s">
        <v>25</v>
      </c>
      <c r="D1368" s="1">
        <v>0</v>
      </c>
      <c r="E1368" s="1">
        <v>-452.1</v>
      </c>
      <c r="F1368" s="1">
        <v>0</v>
      </c>
      <c r="G1368" s="1">
        <v>7459.6149999999998</v>
      </c>
      <c r="H1368" s="1">
        <v>0</v>
      </c>
      <c r="I1368" s="1">
        <v>-3616.7829999999999</v>
      </c>
    </row>
    <row r="1369" spans="1:9" hidden="1" x14ac:dyDescent="0.25">
      <c r="A1369" s="1" t="s">
        <v>16</v>
      </c>
      <c r="B1369" s="1" t="s">
        <v>74</v>
      </c>
      <c r="C1369" s="1" t="s">
        <v>10</v>
      </c>
      <c r="D1369" s="1">
        <v>0</v>
      </c>
      <c r="E1369" s="1">
        <v>-452.1</v>
      </c>
      <c r="F1369" s="1">
        <v>0</v>
      </c>
      <c r="G1369" s="1">
        <v>7459.6149999999998</v>
      </c>
      <c r="H1369" s="1">
        <v>0</v>
      </c>
      <c r="I1369" s="1">
        <v>-5425.174</v>
      </c>
    </row>
    <row r="1370" spans="1:9" hidden="1" x14ac:dyDescent="0.25">
      <c r="A1370" s="1" t="s">
        <v>16</v>
      </c>
      <c r="B1370" s="1" t="s">
        <v>75</v>
      </c>
      <c r="C1370" s="1" t="s">
        <v>25</v>
      </c>
      <c r="D1370" s="1">
        <v>0</v>
      </c>
      <c r="E1370" s="1">
        <v>-452.1</v>
      </c>
      <c r="F1370" s="1">
        <v>0</v>
      </c>
      <c r="G1370" s="1">
        <v>6103.3209999999999</v>
      </c>
      <c r="H1370" s="1">
        <v>0</v>
      </c>
      <c r="I1370" s="1">
        <v>-3616.7829999999999</v>
      </c>
    </row>
    <row r="1371" spans="1:9" hidden="1" x14ac:dyDescent="0.25">
      <c r="A1371" s="1" t="s">
        <v>16</v>
      </c>
      <c r="B1371" s="1" t="s">
        <v>75</v>
      </c>
      <c r="C1371" s="1" t="s">
        <v>10</v>
      </c>
      <c r="D1371" s="1">
        <v>0</v>
      </c>
      <c r="E1371" s="1">
        <v>-452.1</v>
      </c>
      <c r="F1371" s="1">
        <v>0</v>
      </c>
      <c r="G1371" s="1">
        <v>6103.3209999999999</v>
      </c>
      <c r="H1371" s="1">
        <v>0</v>
      </c>
      <c r="I1371" s="1">
        <v>-5425.174</v>
      </c>
    </row>
    <row r="1372" spans="1:9" hidden="1" x14ac:dyDescent="0.25">
      <c r="A1372" s="1" t="s">
        <v>16</v>
      </c>
      <c r="B1372" s="1" t="s">
        <v>76</v>
      </c>
      <c r="C1372" s="1" t="s">
        <v>25</v>
      </c>
      <c r="D1372" s="1">
        <v>0</v>
      </c>
      <c r="E1372" s="1">
        <v>452.1</v>
      </c>
      <c r="F1372" s="1">
        <v>0</v>
      </c>
      <c r="G1372" s="1">
        <v>-7459.6149999999998</v>
      </c>
      <c r="H1372" s="1">
        <v>0</v>
      </c>
      <c r="I1372" s="1">
        <v>3616.7829999999999</v>
      </c>
    </row>
    <row r="1373" spans="1:9" hidden="1" x14ac:dyDescent="0.25">
      <c r="A1373" s="1" t="s">
        <v>16</v>
      </c>
      <c r="B1373" s="1" t="s">
        <v>76</v>
      </c>
      <c r="C1373" s="1" t="s">
        <v>10</v>
      </c>
      <c r="D1373" s="1">
        <v>0</v>
      </c>
      <c r="E1373" s="1">
        <v>452.1</v>
      </c>
      <c r="F1373" s="1">
        <v>0</v>
      </c>
      <c r="G1373" s="1">
        <v>-7459.6149999999998</v>
      </c>
      <c r="H1373" s="1">
        <v>0</v>
      </c>
      <c r="I1373" s="1">
        <v>5425.174</v>
      </c>
    </row>
    <row r="1374" spans="1:9" hidden="1" x14ac:dyDescent="0.25">
      <c r="A1374" s="1" t="s">
        <v>16</v>
      </c>
      <c r="B1374" s="1" t="s">
        <v>77</v>
      </c>
      <c r="C1374" s="1" t="s">
        <v>25</v>
      </c>
      <c r="D1374" s="1">
        <v>0</v>
      </c>
      <c r="E1374" s="1">
        <v>452.1</v>
      </c>
      <c r="F1374" s="1">
        <v>0</v>
      </c>
      <c r="G1374" s="1">
        <v>-6103.3209999999999</v>
      </c>
      <c r="H1374" s="1">
        <v>0</v>
      </c>
      <c r="I1374" s="1">
        <v>3616.7829999999999</v>
      </c>
    </row>
    <row r="1375" spans="1:9" hidden="1" x14ac:dyDescent="0.25">
      <c r="A1375" s="1" t="s">
        <v>16</v>
      </c>
      <c r="B1375" s="1" t="s">
        <v>77</v>
      </c>
      <c r="C1375" s="1" t="s">
        <v>10</v>
      </c>
      <c r="D1375" s="1">
        <v>0</v>
      </c>
      <c r="E1375" s="1">
        <v>452.1</v>
      </c>
      <c r="F1375" s="1">
        <v>0</v>
      </c>
      <c r="G1375" s="1">
        <v>-6103.3209999999999</v>
      </c>
      <c r="H1375" s="1">
        <v>0</v>
      </c>
      <c r="I1375" s="1">
        <v>5425.174</v>
      </c>
    </row>
    <row r="1376" spans="1:9" hidden="1" x14ac:dyDescent="0.25">
      <c r="A1376" s="1" t="s">
        <v>16</v>
      </c>
      <c r="B1376" s="1" t="s">
        <v>78</v>
      </c>
      <c r="C1376" s="1" t="s">
        <v>25</v>
      </c>
      <c r="D1376" s="1">
        <v>0</v>
      </c>
      <c r="E1376" s="1">
        <v>0</v>
      </c>
      <c r="F1376" s="1">
        <v>-546.48</v>
      </c>
      <c r="G1376" s="1">
        <v>-10820.227999999999</v>
      </c>
      <c r="H1376" s="1">
        <v>4371.8090000000002</v>
      </c>
      <c r="I1376" s="1">
        <v>0</v>
      </c>
    </row>
    <row r="1377" spans="1:9" hidden="1" x14ac:dyDescent="0.25">
      <c r="A1377" s="1" t="s">
        <v>16</v>
      </c>
      <c r="B1377" s="1" t="s">
        <v>78</v>
      </c>
      <c r="C1377" s="1" t="s">
        <v>10</v>
      </c>
      <c r="D1377" s="1">
        <v>0</v>
      </c>
      <c r="E1377" s="1">
        <v>0</v>
      </c>
      <c r="F1377" s="1">
        <v>-546.48</v>
      </c>
      <c r="G1377" s="1">
        <v>-10820.227999999999</v>
      </c>
      <c r="H1377" s="1">
        <v>6557.7139999999999</v>
      </c>
      <c r="I1377" s="1">
        <v>0</v>
      </c>
    </row>
    <row r="1378" spans="1:9" hidden="1" x14ac:dyDescent="0.25">
      <c r="A1378" s="1" t="s">
        <v>16</v>
      </c>
      <c r="B1378" s="1" t="s">
        <v>79</v>
      </c>
      <c r="C1378" s="1" t="s">
        <v>25</v>
      </c>
      <c r="D1378" s="1">
        <v>0</v>
      </c>
      <c r="E1378" s="1">
        <v>0</v>
      </c>
      <c r="F1378" s="1">
        <v>-546.48</v>
      </c>
      <c r="G1378" s="1">
        <v>-8852.9140000000007</v>
      </c>
      <c r="H1378" s="1">
        <v>4371.8090000000002</v>
      </c>
      <c r="I1378" s="1">
        <v>0</v>
      </c>
    </row>
    <row r="1379" spans="1:9" hidden="1" x14ac:dyDescent="0.25">
      <c r="A1379" s="1" t="s">
        <v>16</v>
      </c>
      <c r="B1379" s="1" t="s">
        <v>79</v>
      </c>
      <c r="C1379" s="1" t="s">
        <v>10</v>
      </c>
      <c r="D1379" s="1">
        <v>0</v>
      </c>
      <c r="E1379" s="1">
        <v>0</v>
      </c>
      <c r="F1379" s="1">
        <v>-546.48</v>
      </c>
      <c r="G1379" s="1">
        <v>-8852.9140000000007</v>
      </c>
      <c r="H1379" s="1">
        <v>6557.7139999999999</v>
      </c>
      <c r="I1379" s="1">
        <v>0</v>
      </c>
    </row>
    <row r="1380" spans="1:9" hidden="1" x14ac:dyDescent="0.25">
      <c r="A1380" s="1" t="s">
        <v>16</v>
      </c>
      <c r="B1380" s="1" t="s">
        <v>80</v>
      </c>
      <c r="C1380" s="1" t="s">
        <v>25</v>
      </c>
      <c r="D1380" s="1">
        <v>0</v>
      </c>
      <c r="E1380" s="1">
        <v>0</v>
      </c>
      <c r="F1380" s="1">
        <v>546.48</v>
      </c>
      <c r="G1380" s="1">
        <v>10820.227999999999</v>
      </c>
      <c r="H1380" s="1">
        <v>-4371.8090000000002</v>
      </c>
      <c r="I1380" s="1">
        <v>0</v>
      </c>
    </row>
    <row r="1381" spans="1:9" hidden="1" x14ac:dyDescent="0.25">
      <c r="A1381" s="1" t="s">
        <v>16</v>
      </c>
      <c r="B1381" s="1" t="s">
        <v>80</v>
      </c>
      <c r="C1381" s="1" t="s">
        <v>10</v>
      </c>
      <c r="D1381" s="1">
        <v>0</v>
      </c>
      <c r="E1381" s="1">
        <v>0</v>
      </c>
      <c r="F1381" s="1">
        <v>546.48</v>
      </c>
      <c r="G1381" s="1">
        <v>10820.227999999999</v>
      </c>
      <c r="H1381" s="1">
        <v>-6557.7139999999999</v>
      </c>
      <c r="I1381" s="1">
        <v>0</v>
      </c>
    </row>
    <row r="1382" spans="1:9" hidden="1" x14ac:dyDescent="0.25">
      <c r="A1382" s="1" t="s">
        <v>16</v>
      </c>
      <c r="B1382" s="1" t="s">
        <v>81</v>
      </c>
      <c r="C1382" s="1" t="s">
        <v>25</v>
      </c>
      <c r="D1382" s="1">
        <v>0</v>
      </c>
      <c r="E1382" s="1">
        <v>0</v>
      </c>
      <c r="F1382" s="1">
        <v>546.48</v>
      </c>
      <c r="G1382" s="1">
        <v>8852.9140000000007</v>
      </c>
      <c r="H1382" s="1">
        <v>-4371.8090000000002</v>
      </c>
      <c r="I1382" s="1">
        <v>0</v>
      </c>
    </row>
    <row r="1383" spans="1:9" hidden="1" x14ac:dyDescent="0.25">
      <c r="A1383" s="1" t="s">
        <v>16</v>
      </c>
      <c r="B1383" s="1" t="s">
        <v>81</v>
      </c>
      <c r="C1383" s="1" t="s">
        <v>10</v>
      </c>
      <c r="D1383" s="1">
        <v>0</v>
      </c>
      <c r="E1383" s="1">
        <v>0</v>
      </c>
      <c r="F1383" s="1">
        <v>546.48</v>
      </c>
      <c r="G1383" s="1">
        <v>8852.9140000000007</v>
      </c>
      <c r="H1383" s="1">
        <v>-6557.7139999999999</v>
      </c>
      <c r="I1383" s="1">
        <v>0</v>
      </c>
    </row>
    <row r="1384" spans="1:9" hidden="1" x14ac:dyDescent="0.25">
      <c r="A1384" s="1" t="s">
        <v>16</v>
      </c>
      <c r="B1384" s="1" t="s">
        <v>82</v>
      </c>
      <c r="C1384" s="1" t="s">
        <v>25</v>
      </c>
      <c r="D1384" s="1">
        <v>0</v>
      </c>
      <c r="E1384" s="1">
        <v>-135.63</v>
      </c>
      <c r="F1384" s="1">
        <v>0</v>
      </c>
      <c r="G1384" s="1">
        <v>2237.884</v>
      </c>
      <c r="H1384" s="1">
        <v>0</v>
      </c>
      <c r="I1384" s="1">
        <v>-1085.0350000000001</v>
      </c>
    </row>
    <row r="1385" spans="1:9" hidden="1" x14ac:dyDescent="0.25">
      <c r="A1385" s="1" t="s">
        <v>16</v>
      </c>
      <c r="B1385" s="1" t="s">
        <v>82</v>
      </c>
      <c r="C1385" s="1" t="s">
        <v>10</v>
      </c>
      <c r="D1385" s="1">
        <v>0</v>
      </c>
      <c r="E1385" s="1">
        <v>-135.63</v>
      </c>
      <c r="F1385" s="1">
        <v>0</v>
      </c>
      <c r="G1385" s="1">
        <v>2237.884</v>
      </c>
      <c r="H1385" s="1">
        <v>0</v>
      </c>
      <c r="I1385" s="1">
        <v>-1627.5519999999999</v>
      </c>
    </row>
    <row r="1386" spans="1:9" hidden="1" x14ac:dyDescent="0.25">
      <c r="A1386" s="1" t="s">
        <v>16</v>
      </c>
      <c r="B1386" s="1" t="s">
        <v>83</v>
      </c>
      <c r="C1386" s="1" t="s">
        <v>25</v>
      </c>
      <c r="D1386" s="1">
        <v>0</v>
      </c>
      <c r="E1386" s="1">
        <v>-135.63</v>
      </c>
      <c r="F1386" s="1">
        <v>0</v>
      </c>
      <c r="G1386" s="1">
        <v>1830.9960000000001</v>
      </c>
      <c r="H1386" s="1">
        <v>0</v>
      </c>
      <c r="I1386" s="1">
        <v>-1085.0350000000001</v>
      </c>
    </row>
    <row r="1387" spans="1:9" hidden="1" x14ac:dyDescent="0.25">
      <c r="A1387" s="1" t="s">
        <v>16</v>
      </c>
      <c r="B1387" s="1" t="s">
        <v>83</v>
      </c>
      <c r="C1387" s="1" t="s">
        <v>10</v>
      </c>
      <c r="D1387" s="1">
        <v>0</v>
      </c>
      <c r="E1387" s="1">
        <v>-135.63</v>
      </c>
      <c r="F1387" s="1">
        <v>0</v>
      </c>
      <c r="G1387" s="1">
        <v>1830.9960000000001</v>
      </c>
      <c r="H1387" s="1">
        <v>0</v>
      </c>
      <c r="I1387" s="1">
        <v>-1627.5519999999999</v>
      </c>
    </row>
    <row r="1388" spans="1:9" hidden="1" x14ac:dyDescent="0.25">
      <c r="A1388" s="1" t="s">
        <v>16</v>
      </c>
      <c r="B1388" s="1" t="s">
        <v>84</v>
      </c>
      <c r="C1388" s="1" t="s">
        <v>25</v>
      </c>
      <c r="D1388" s="1">
        <v>0</v>
      </c>
      <c r="E1388" s="1">
        <v>135.63</v>
      </c>
      <c r="F1388" s="1">
        <v>0</v>
      </c>
      <c r="G1388" s="1">
        <v>-2237.884</v>
      </c>
      <c r="H1388" s="1">
        <v>0</v>
      </c>
      <c r="I1388" s="1">
        <v>1085.0350000000001</v>
      </c>
    </row>
    <row r="1389" spans="1:9" hidden="1" x14ac:dyDescent="0.25">
      <c r="A1389" s="1" t="s">
        <v>16</v>
      </c>
      <c r="B1389" s="1" t="s">
        <v>84</v>
      </c>
      <c r="C1389" s="1" t="s">
        <v>10</v>
      </c>
      <c r="D1389" s="1">
        <v>0</v>
      </c>
      <c r="E1389" s="1">
        <v>135.63</v>
      </c>
      <c r="F1389" s="1">
        <v>0</v>
      </c>
      <c r="G1389" s="1">
        <v>-2237.884</v>
      </c>
      <c r="H1389" s="1">
        <v>0</v>
      </c>
      <c r="I1389" s="1">
        <v>1627.5519999999999</v>
      </c>
    </row>
    <row r="1390" spans="1:9" hidden="1" x14ac:dyDescent="0.25">
      <c r="A1390" s="1" t="s">
        <v>16</v>
      </c>
      <c r="B1390" s="1" t="s">
        <v>85</v>
      </c>
      <c r="C1390" s="1" t="s">
        <v>25</v>
      </c>
      <c r="D1390" s="1">
        <v>0</v>
      </c>
      <c r="E1390" s="1">
        <v>135.63</v>
      </c>
      <c r="F1390" s="1">
        <v>0</v>
      </c>
      <c r="G1390" s="1">
        <v>-1830.9960000000001</v>
      </c>
      <c r="H1390" s="1">
        <v>0</v>
      </c>
      <c r="I1390" s="1">
        <v>1085.0350000000001</v>
      </c>
    </row>
    <row r="1391" spans="1:9" hidden="1" x14ac:dyDescent="0.25">
      <c r="A1391" s="1" t="s">
        <v>16</v>
      </c>
      <c r="B1391" s="1" t="s">
        <v>85</v>
      </c>
      <c r="C1391" s="1" t="s">
        <v>10</v>
      </c>
      <c r="D1391" s="1">
        <v>0</v>
      </c>
      <c r="E1391" s="1">
        <v>135.63</v>
      </c>
      <c r="F1391" s="1">
        <v>0</v>
      </c>
      <c r="G1391" s="1">
        <v>-1830.9960000000001</v>
      </c>
      <c r="H1391" s="1">
        <v>0</v>
      </c>
      <c r="I1391" s="1">
        <v>1627.5519999999999</v>
      </c>
    </row>
    <row r="1392" spans="1:9" hidden="1" x14ac:dyDescent="0.25">
      <c r="A1392" s="1" t="s">
        <v>16</v>
      </c>
      <c r="B1392" s="1" t="s">
        <v>86</v>
      </c>
      <c r="C1392" s="1" t="s">
        <v>25</v>
      </c>
      <c r="D1392" s="1">
        <v>0</v>
      </c>
      <c r="E1392" s="1">
        <v>0</v>
      </c>
      <c r="F1392" s="1">
        <v>-163.94</v>
      </c>
      <c r="G1392" s="1">
        <v>-3246.0680000000002</v>
      </c>
      <c r="H1392" s="1">
        <v>1311.5429999999999</v>
      </c>
      <c r="I1392" s="1">
        <v>0</v>
      </c>
    </row>
    <row r="1393" spans="1:9" hidden="1" x14ac:dyDescent="0.25">
      <c r="A1393" s="1" t="s">
        <v>16</v>
      </c>
      <c r="B1393" s="1" t="s">
        <v>86</v>
      </c>
      <c r="C1393" s="1" t="s">
        <v>10</v>
      </c>
      <c r="D1393" s="1">
        <v>0</v>
      </c>
      <c r="E1393" s="1">
        <v>0</v>
      </c>
      <c r="F1393" s="1">
        <v>-163.94</v>
      </c>
      <c r="G1393" s="1">
        <v>-3246.0680000000002</v>
      </c>
      <c r="H1393" s="1">
        <v>1967.3140000000001</v>
      </c>
      <c r="I1393" s="1">
        <v>0</v>
      </c>
    </row>
    <row r="1394" spans="1:9" hidden="1" x14ac:dyDescent="0.25">
      <c r="A1394" s="1" t="s">
        <v>16</v>
      </c>
      <c r="B1394" s="1" t="s">
        <v>87</v>
      </c>
      <c r="C1394" s="1" t="s">
        <v>25</v>
      </c>
      <c r="D1394" s="1">
        <v>0</v>
      </c>
      <c r="E1394" s="1">
        <v>0</v>
      </c>
      <c r="F1394" s="1">
        <v>-163.94</v>
      </c>
      <c r="G1394" s="1">
        <v>-2655.8739999999998</v>
      </c>
      <c r="H1394" s="1">
        <v>1311.5429999999999</v>
      </c>
      <c r="I1394" s="1">
        <v>0</v>
      </c>
    </row>
    <row r="1395" spans="1:9" hidden="1" x14ac:dyDescent="0.25">
      <c r="A1395" s="1" t="s">
        <v>16</v>
      </c>
      <c r="B1395" s="1" t="s">
        <v>87</v>
      </c>
      <c r="C1395" s="1" t="s">
        <v>10</v>
      </c>
      <c r="D1395" s="1">
        <v>0</v>
      </c>
      <c r="E1395" s="1">
        <v>0</v>
      </c>
      <c r="F1395" s="1">
        <v>-163.94</v>
      </c>
      <c r="G1395" s="1">
        <v>-2655.8739999999998</v>
      </c>
      <c r="H1395" s="1">
        <v>1967.3140000000001</v>
      </c>
      <c r="I1395" s="1">
        <v>0</v>
      </c>
    </row>
    <row r="1396" spans="1:9" hidden="1" x14ac:dyDescent="0.25">
      <c r="A1396" s="1" t="s">
        <v>16</v>
      </c>
      <c r="B1396" s="1" t="s">
        <v>88</v>
      </c>
      <c r="C1396" s="1" t="s">
        <v>25</v>
      </c>
      <c r="D1396" s="1">
        <v>0</v>
      </c>
      <c r="E1396" s="1">
        <v>0</v>
      </c>
      <c r="F1396" s="1">
        <v>163.94</v>
      </c>
      <c r="G1396" s="1">
        <v>3246.0680000000002</v>
      </c>
      <c r="H1396" s="1">
        <v>-1311.5429999999999</v>
      </c>
      <c r="I1396" s="1">
        <v>0</v>
      </c>
    </row>
    <row r="1397" spans="1:9" hidden="1" x14ac:dyDescent="0.25">
      <c r="A1397" s="1" t="s">
        <v>16</v>
      </c>
      <c r="B1397" s="1" t="s">
        <v>88</v>
      </c>
      <c r="C1397" s="1" t="s">
        <v>10</v>
      </c>
      <c r="D1397" s="1">
        <v>0</v>
      </c>
      <c r="E1397" s="1">
        <v>0</v>
      </c>
      <c r="F1397" s="1">
        <v>163.94</v>
      </c>
      <c r="G1397" s="1">
        <v>3246.0680000000002</v>
      </c>
      <c r="H1397" s="1">
        <v>-1967.3140000000001</v>
      </c>
      <c r="I1397" s="1">
        <v>0</v>
      </c>
    </row>
    <row r="1398" spans="1:9" hidden="1" x14ac:dyDescent="0.25">
      <c r="A1398" s="1" t="s">
        <v>16</v>
      </c>
      <c r="B1398" s="1" t="s">
        <v>89</v>
      </c>
      <c r="C1398" s="1" t="s">
        <v>25</v>
      </c>
      <c r="D1398" s="1">
        <v>0</v>
      </c>
      <c r="E1398" s="1">
        <v>0</v>
      </c>
      <c r="F1398" s="1">
        <v>163.94</v>
      </c>
      <c r="G1398" s="1">
        <v>2655.8739999999998</v>
      </c>
      <c r="H1398" s="1">
        <v>-1311.5429999999999</v>
      </c>
      <c r="I1398" s="1">
        <v>0</v>
      </c>
    </row>
    <row r="1399" spans="1:9" hidden="1" x14ac:dyDescent="0.25">
      <c r="A1399" s="1" t="s">
        <v>16</v>
      </c>
      <c r="B1399" s="1" t="s">
        <v>89</v>
      </c>
      <c r="C1399" s="1" t="s">
        <v>10</v>
      </c>
      <c r="D1399" s="1">
        <v>0</v>
      </c>
      <c r="E1399" s="1">
        <v>0</v>
      </c>
      <c r="F1399" s="1">
        <v>163.94</v>
      </c>
      <c r="G1399" s="1">
        <v>2655.8739999999998</v>
      </c>
      <c r="H1399" s="1">
        <v>-1967.3140000000001</v>
      </c>
      <c r="I1399" s="1">
        <v>0</v>
      </c>
    </row>
    <row r="1400" spans="1:9" hidden="1" x14ac:dyDescent="0.25">
      <c r="A1400" s="1" t="s">
        <v>16</v>
      </c>
      <c r="B1400" s="1" t="s">
        <v>90</v>
      </c>
      <c r="C1400" s="1" t="s">
        <v>25</v>
      </c>
      <c r="D1400" s="1">
        <v>0</v>
      </c>
      <c r="E1400" s="1">
        <v>-135.63</v>
      </c>
      <c r="F1400" s="1">
        <v>0</v>
      </c>
      <c r="G1400" s="1">
        <v>2237.884</v>
      </c>
      <c r="H1400" s="1">
        <v>0</v>
      </c>
      <c r="I1400" s="1">
        <v>-1085.0350000000001</v>
      </c>
    </row>
    <row r="1401" spans="1:9" hidden="1" x14ac:dyDescent="0.25">
      <c r="A1401" s="1" t="s">
        <v>16</v>
      </c>
      <c r="B1401" s="1" t="s">
        <v>90</v>
      </c>
      <c r="C1401" s="1" t="s">
        <v>10</v>
      </c>
      <c r="D1401" s="1">
        <v>0</v>
      </c>
      <c r="E1401" s="1">
        <v>-135.63</v>
      </c>
      <c r="F1401" s="1">
        <v>0</v>
      </c>
      <c r="G1401" s="1">
        <v>2237.884</v>
      </c>
      <c r="H1401" s="1">
        <v>0</v>
      </c>
      <c r="I1401" s="1">
        <v>-1627.5519999999999</v>
      </c>
    </row>
    <row r="1402" spans="1:9" hidden="1" x14ac:dyDescent="0.25">
      <c r="A1402" s="1" t="s">
        <v>16</v>
      </c>
      <c r="B1402" s="1" t="s">
        <v>91</v>
      </c>
      <c r="C1402" s="1" t="s">
        <v>25</v>
      </c>
      <c r="D1402" s="1">
        <v>0</v>
      </c>
      <c r="E1402" s="1">
        <v>-135.63</v>
      </c>
      <c r="F1402" s="1">
        <v>0</v>
      </c>
      <c r="G1402" s="1">
        <v>1830.9960000000001</v>
      </c>
      <c r="H1402" s="1">
        <v>0</v>
      </c>
      <c r="I1402" s="1">
        <v>-1085.0350000000001</v>
      </c>
    </row>
    <row r="1403" spans="1:9" hidden="1" x14ac:dyDescent="0.25">
      <c r="A1403" s="1" t="s">
        <v>16</v>
      </c>
      <c r="B1403" s="1" t="s">
        <v>91</v>
      </c>
      <c r="C1403" s="1" t="s">
        <v>10</v>
      </c>
      <c r="D1403" s="1">
        <v>0</v>
      </c>
      <c r="E1403" s="1">
        <v>-135.63</v>
      </c>
      <c r="F1403" s="1">
        <v>0</v>
      </c>
      <c r="G1403" s="1">
        <v>1830.9960000000001</v>
      </c>
      <c r="H1403" s="1">
        <v>0</v>
      </c>
      <c r="I1403" s="1">
        <v>-1627.5519999999999</v>
      </c>
    </row>
    <row r="1404" spans="1:9" hidden="1" x14ac:dyDescent="0.25">
      <c r="A1404" s="1" t="s">
        <v>16</v>
      </c>
      <c r="B1404" s="1" t="s">
        <v>92</v>
      </c>
      <c r="C1404" s="1" t="s">
        <v>25</v>
      </c>
      <c r="D1404" s="1">
        <v>0</v>
      </c>
      <c r="E1404" s="1">
        <v>135.63</v>
      </c>
      <c r="F1404" s="1">
        <v>0</v>
      </c>
      <c r="G1404" s="1">
        <v>-2237.884</v>
      </c>
      <c r="H1404" s="1">
        <v>0</v>
      </c>
      <c r="I1404" s="1">
        <v>1085.0350000000001</v>
      </c>
    </row>
    <row r="1405" spans="1:9" hidden="1" x14ac:dyDescent="0.25">
      <c r="A1405" s="1" t="s">
        <v>16</v>
      </c>
      <c r="B1405" s="1" t="s">
        <v>92</v>
      </c>
      <c r="C1405" s="1" t="s">
        <v>10</v>
      </c>
      <c r="D1405" s="1">
        <v>0</v>
      </c>
      <c r="E1405" s="1">
        <v>135.63</v>
      </c>
      <c r="F1405" s="1">
        <v>0</v>
      </c>
      <c r="G1405" s="1">
        <v>-2237.884</v>
      </c>
      <c r="H1405" s="1">
        <v>0</v>
      </c>
      <c r="I1405" s="1">
        <v>1627.5519999999999</v>
      </c>
    </row>
    <row r="1406" spans="1:9" hidden="1" x14ac:dyDescent="0.25">
      <c r="A1406" s="1" t="s">
        <v>16</v>
      </c>
      <c r="B1406" s="1" t="s">
        <v>93</v>
      </c>
      <c r="C1406" s="1" t="s">
        <v>25</v>
      </c>
      <c r="D1406" s="1">
        <v>0</v>
      </c>
      <c r="E1406" s="1">
        <v>135.63</v>
      </c>
      <c r="F1406" s="1">
        <v>0</v>
      </c>
      <c r="G1406" s="1">
        <v>-1830.9960000000001</v>
      </c>
      <c r="H1406" s="1">
        <v>0</v>
      </c>
      <c r="I1406" s="1">
        <v>1085.0350000000001</v>
      </c>
    </row>
    <row r="1407" spans="1:9" hidden="1" x14ac:dyDescent="0.25">
      <c r="A1407" s="1" t="s">
        <v>16</v>
      </c>
      <c r="B1407" s="1" t="s">
        <v>93</v>
      </c>
      <c r="C1407" s="1" t="s">
        <v>10</v>
      </c>
      <c r="D1407" s="1">
        <v>0</v>
      </c>
      <c r="E1407" s="1">
        <v>135.63</v>
      </c>
      <c r="F1407" s="1">
        <v>0</v>
      </c>
      <c r="G1407" s="1">
        <v>-1830.9960000000001</v>
      </c>
      <c r="H1407" s="1">
        <v>0</v>
      </c>
      <c r="I1407" s="1">
        <v>1627.5519999999999</v>
      </c>
    </row>
    <row r="1408" spans="1:9" hidden="1" x14ac:dyDescent="0.25">
      <c r="A1408" s="1" t="s">
        <v>16</v>
      </c>
      <c r="B1408" s="1" t="s">
        <v>94</v>
      </c>
      <c r="C1408" s="1" t="s">
        <v>25</v>
      </c>
      <c r="D1408" s="1">
        <v>0</v>
      </c>
      <c r="E1408" s="1">
        <v>0</v>
      </c>
      <c r="F1408" s="1">
        <v>-163.94</v>
      </c>
      <c r="G1408" s="1">
        <v>-3246.0680000000002</v>
      </c>
      <c r="H1408" s="1">
        <v>1311.5429999999999</v>
      </c>
      <c r="I1408" s="1">
        <v>0</v>
      </c>
    </row>
    <row r="1409" spans="1:9" hidden="1" x14ac:dyDescent="0.25">
      <c r="A1409" s="1" t="s">
        <v>16</v>
      </c>
      <c r="B1409" s="1" t="s">
        <v>94</v>
      </c>
      <c r="C1409" s="1" t="s">
        <v>10</v>
      </c>
      <c r="D1409" s="1">
        <v>0</v>
      </c>
      <c r="E1409" s="1">
        <v>0</v>
      </c>
      <c r="F1409" s="1">
        <v>-163.94</v>
      </c>
      <c r="G1409" s="1">
        <v>-3246.0680000000002</v>
      </c>
      <c r="H1409" s="1">
        <v>1967.3140000000001</v>
      </c>
      <c r="I1409" s="1">
        <v>0</v>
      </c>
    </row>
    <row r="1410" spans="1:9" hidden="1" x14ac:dyDescent="0.25">
      <c r="A1410" s="1" t="s">
        <v>16</v>
      </c>
      <c r="B1410" s="1" t="s">
        <v>95</v>
      </c>
      <c r="C1410" s="1" t="s">
        <v>25</v>
      </c>
      <c r="D1410" s="1">
        <v>0</v>
      </c>
      <c r="E1410" s="1">
        <v>0</v>
      </c>
      <c r="F1410" s="1">
        <v>-163.94</v>
      </c>
      <c r="G1410" s="1">
        <v>-2655.8739999999998</v>
      </c>
      <c r="H1410" s="1">
        <v>1311.5429999999999</v>
      </c>
      <c r="I1410" s="1">
        <v>0</v>
      </c>
    </row>
    <row r="1411" spans="1:9" hidden="1" x14ac:dyDescent="0.25">
      <c r="A1411" s="1" t="s">
        <v>16</v>
      </c>
      <c r="B1411" s="1" t="s">
        <v>95</v>
      </c>
      <c r="C1411" s="1" t="s">
        <v>10</v>
      </c>
      <c r="D1411" s="1">
        <v>0</v>
      </c>
      <c r="E1411" s="1">
        <v>0</v>
      </c>
      <c r="F1411" s="1">
        <v>-163.94</v>
      </c>
      <c r="G1411" s="1">
        <v>-2655.8739999999998</v>
      </c>
      <c r="H1411" s="1">
        <v>1967.3140000000001</v>
      </c>
      <c r="I1411" s="1">
        <v>0</v>
      </c>
    </row>
    <row r="1412" spans="1:9" hidden="1" x14ac:dyDescent="0.25">
      <c r="A1412" s="1" t="s">
        <v>16</v>
      </c>
      <c r="B1412" s="1" t="s">
        <v>96</v>
      </c>
      <c r="C1412" s="1" t="s">
        <v>25</v>
      </c>
      <c r="D1412" s="1">
        <v>0</v>
      </c>
      <c r="E1412" s="1">
        <v>0</v>
      </c>
      <c r="F1412" s="1">
        <v>163.94</v>
      </c>
      <c r="G1412" s="1">
        <v>3246.0680000000002</v>
      </c>
      <c r="H1412" s="1">
        <v>-1311.5429999999999</v>
      </c>
      <c r="I1412" s="1">
        <v>0</v>
      </c>
    </row>
    <row r="1413" spans="1:9" hidden="1" x14ac:dyDescent="0.25">
      <c r="A1413" s="1" t="s">
        <v>16</v>
      </c>
      <c r="B1413" s="1" t="s">
        <v>96</v>
      </c>
      <c r="C1413" s="1" t="s">
        <v>10</v>
      </c>
      <c r="D1413" s="1">
        <v>0</v>
      </c>
      <c r="E1413" s="1">
        <v>0</v>
      </c>
      <c r="F1413" s="1">
        <v>163.94</v>
      </c>
      <c r="G1413" s="1">
        <v>3246.0680000000002</v>
      </c>
      <c r="H1413" s="1">
        <v>-1967.3140000000001</v>
      </c>
      <c r="I1413" s="1">
        <v>0</v>
      </c>
    </row>
    <row r="1414" spans="1:9" hidden="1" x14ac:dyDescent="0.25">
      <c r="A1414" s="1" t="s">
        <v>16</v>
      </c>
      <c r="B1414" s="1" t="s">
        <v>97</v>
      </c>
      <c r="C1414" s="1" t="s">
        <v>25</v>
      </c>
      <c r="D1414" s="1">
        <v>0</v>
      </c>
      <c r="E1414" s="1">
        <v>0</v>
      </c>
      <c r="F1414" s="1">
        <v>163.94</v>
      </c>
      <c r="G1414" s="1">
        <v>2655.8739999999998</v>
      </c>
      <c r="H1414" s="1">
        <v>-1311.5429999999999</v>
      </c>
      <c r="I1414" s="1">
        <v>0</v>
      </c>
    </row>
    <row r="1415" spans="1:9" hidden="1" x14ac:dyDescent="0.25">
      <c r="A1415" s="1" t="s">
        <v>16</v>
      </c>
      <c r="B1415" s="1" t="s">
        <v>97</v>
      </c>
      <c r="C1415" s="1" t="s">
        <v>10</v>
      </c>
      <c r="D1415" s="1">
        <v>0</v>
      </c>
      <c r="E1415" s="1">
        <v>0</v>
      </c>
      <c r="F1415" s="1">
        <v>163.94</v>
      </c>
      <c r="G1415" s="1">
        <v>2655.8739999999998</v>
      </c>
      <c r="H1415" s="1">
        <v>-1967.3140000000001</v>
      </c>
      <c r="I1415" s="1">
        <v>0</v>
      </c>
    </row>
    <row r="1416" spans="1:9" hidden="1" x14ac:dyDescent="0.25">
      <c r="A1416" s="1" t="s">
        <v>16</v>
      </c>
      <c r="B1416" s="1" t="s">
        <v>14</v>
      </c>
      <c r="C1416" s="1" t="s">
        <v>25</v>
      </c>
      <c r="D1416" s="1">
        <v>0</v>
      </c>
      <c r="E1416" s="1">
        <v>280.18</v>
      </c>
      <c r="F1416" s="1">
        <v>0</v>
      </c>
      <c r="G1416" s="1">
        <v>4905.9930000000004</v>
      </c>
      <c r="H1416" s="1">
        <v>0</v>
      </c>
      <c r="I1416" s="1">
        <v>2110.34</v>
      </c>
    </row>
    <row r="1417" spans="1:9" x14ac:dyDescent="0.25">
      <c r="A1417" s="1" t="s">
        <v>16</v>
      </c>
      <c r="B1417" s="1" t="s">
        <v>14</v>
      </c>
      <c r="C1417" s="1" t="s">
        <v>10</v>
      </c>
      <c r="D1417" s="1">
        <v>0</v>
      </c>
      <c r="E1417" s="1">
        <v>280.18</v>
      </c>
      <c r="F1417" s="1">
        <v>0</v>
      </c>
      <c r="G1417" s="1">
        <v>4905.9930000000004</v>
      </c>
      <c r="H1417" s="1">
        <v>0</v>
      </c>
      <c r="I1417" s="1">
        <v>3085.0610000000001</v>
      </c>
    </row>
    <row r="1418" spans="1:9" hidden="1" x14ac:dyDescent="0.25">
      <c r="A1418" s="1" t="s">
        <v>16</v>
      </c>
      <c r="B1418" s="1" t="s">
        <v>98</v>
      </c>
      <c r="C1418" s="1" t="s">
        <v>25</v>
      </c>
      <c r="D1418" s="1">
        <v>0</v>
      </c>
      <c r="E1418" s="1">
        <v>-280.18</v>
      </c>
      <c r="F1418" s="1">
        <v>0</v>
      </c>
      <c r="G1418" s="1">
        <v>-4905.9930000000004</v>
      </c>
      <c r="H1418" s="1">
        <v>0</v>
      </c>
      <c r="I1418" s="1">
        <v>-2110.34</v>
      </c>
    </row>
    <row r="1419" spans="1:9" hidden="1" x14ac:dyDescent="0.25">
      <c r="A1419" s="1" t="s">
        <v>16</v>
      </c>
      <c r="B1419" s="1" t="s">
        <v>98</v>
      </c>
      <c r="C1419" s="1" t="s">
        <v>10</v>
      </c>
      <c r="D1419" s="1">
        <v>0</v>
      </c>
      <c r="E1419" s="1">
        <v>-280.18</v>
      </c>
      <c r="F1419" s="1">
        <v>0</v>
      </c>
      <c r="G1419" s="1">
        <v>-4905.9930000000004</v>
      </c>
      <c r="H1419" s="1">
        <v>0</v>
      </c>
      <c r="I1419" s="1">
        <v>-3085.0610000000001</v>
      </c>
    </row>
    <row r="1420" spans="1:9" hidden="1" x14ac:dyDescent="0.25">
      <c r="A1420" s="1" t="s">
        <v>16</v>
      </c>
      <c r="B1420" s="1" t="s">
        <v>15</v>
      </c>
      <c r="C1420" s="1" t="s">
        <v>25</v>
      </c>
      <c r="D1420" s="1">
        <v>0</v>
      </c>
      <c r="E1420" s="1">
        <v>0</v>
      </c>
      <c r="F1420" s="1">
        <v>671.3</v>
      </c>
      <c r="G1420" s="1">
        <v>13533.749</v>
      </c>
      <c r="H1420" s="1">
        <v>5424.0720000000001</v>
      </c>
      <c r="I1420" s="1">
        <v>0</v>
      </c>
    </row>
    <row r="1421" spans="1:9" x14ac:dyDescent="0.25">
      <c r="A1421" s="1" t="s">
        <v>16</v>
      </c>
      <c r="B1421" s="1" t="s">
        <v>15</v>
      </c>
      <c r="C1421" s="1" t="s">
        <v>10</v>
      </c>
      <c r="D1421" s="1">
        <v>0</v>
      </c>
      <c r="E1421" s="1">
        <v>0</v>
      </c>
      <c r="F1421" s="1">
        <v>671.3</v>
      </c>
      <c r="G1421" s="1">
        <v>13533.749</v>
      </c>
      <c r="H1421" s="1">
        <v>8023.2150000000001</v>
      </c>
      <c r="I1421" s="1">
        <v>0</v>
      </c>
    </row>
    <row r="1422" spans="1:9" hidden="1" x14ac:dyDescent="0.25">
      <c r="A1422" s="1" t="s">
        <v>16</v>
      </c>
      <c r="B1422" s="1" t="s">
        <v>99</v>
      </c>
      <c r="C1422" s="1" t="s">
        <v>25</v>
      </c>
      <c r="D1422" s="1">
        <v>0</v>
      </c>
      <c r="E1422" s="1">
        <v>0</v>
      </c>
      <c r="F1422" s="1">
        <v>-671.3</v>
      </c>
      <c r="G1422" s="1">
        <v>-13533.749</v>
      </c>
      <c r="H1422" s="1">
        <v>-5424.0720000000001</v>
      </c>
      <c r="I1422" s="1">
        <v>0</v>
      </c>
    </row>
    <row r="1423" spans="1:9" hidden="1" x14ac:dyDescent="0.25">
      <c r="A1423" s="1" t="s">
        <v>16</v>
      </c>
      <c r="B1423" s="1" t="s">
        <v>99</v>
      </c>
      <c r="C1423" s="1" t="s">
        <v>10</v>
      </c>
      <c r="D1423" s="1">
        <v>0</v>
      </c>
      <c r="E1423" s="1">
        <v>0</v>
      </c>
      <c r="F1423" s="1">
        <v>-671.3</v>
      </c>
      <c r="G1423" s="1">
        <v>-13533.749</v>
      </c>
      <c r="H1423" s="1">
        <v>-8023.2150000000001</v>
      </c>
      <c r="I1423" s="1">
        <v>0</v>
      </c>
    </row>
    <row r="1424" spans="1:9" hidden="1" x14ac:dyDescent="0.25">
      <c r="A1424" s="1" t="s">
        <v>16</v>
      </c>
      <c r="B1424" s="1" t="s">
        <v>100</v>
      </c>
      <c r="C1424" s="1" t="s">
        <v>25</v>
      </c>
      <c r="D1424" s="1">
        <v>0</v>
      </c>
      <c r="E1424" s="1">
        <v>280.18</v>
      </c>
      <c r="F1424" s="1">
        <v>0</v>
      </c>
      <c r="G1424" s="1">
        <v>4905.9930000000004</v>
      </c>
      <c r="H1424" s="1">
        <v>0</v>
      </c>
      <c r="I1424" s="1">
        <v>2110.34</v>
      </c>
    </row>
    <row r="1425" spans="1:9" hidden="1" x14ac:dyDescent="0.25">
      <c r="A1425" s="1" t="s">
        <v>16</v>
      </c>
      <c r="B1425" s="1" t="s">
        <v>100</v>
      </c>
      <c r="C1425" s="1" t="s">
        <v>10</v>
      </c>
      <c r="D1425" s="1">
        <v>0</v>
      </c>
      <c r="E1425" s="1">
        <v>280.18</v>
      </c>
      <c r="F1425" s="1">
        <v>0</v>
      </c>
      <c r="G1425" s="1">
        <v>4905.9930000000004</v>
      </c>
      <c r="H1425" s="1">
        <v>0</v>
      </c>
      <c r="I1425" s="1">
        <v>3085.0610000000001</v>
      </c>
    </row>
    <row r="1426" spans="1:9" hidden="1" x14ac:dyDescent="0.25">
      <c r="A1426" s="1" t="s">
        <v>16</v>
      </c>
      <c r="B1426" s="1" t="s">
        <v>101</v>
      </c>
      <c r="C1426" s="1" t="s">
        <v>25</v>
      </c>
      <c r="D1426" s="1">
        <v>0</v>
      </c>
      <c r="E1426" s="1">
        <v>-280.18</v>
      </c>
      <c r="F1426" s="1">
        <v>0</v>
      </c>
      <c r="G1426" s="1">
        <v>-4905.9930000000004</v>
      </c>
      <c r="H1426" s="1">
        <v>0</v>
      </c>
      <c r="I1426" s="1">
        <v>-2110.34</v>
      </c>
    </row>
    <row r="1427" spans="1:9" hidden="1" x14ac:dyDescent="0.25">
      <c r="A1427" s="1" t="s">
        <v>16</v>
      </c>
      <c r="B1427" s="1" t="s">
        <v>101</v>
      </c>
      <c r="C1427" s="1" t="s">
        <v>10</v>
      </c>
      <c r="D1427" s="1">
        <v>0</v>
      </c>
      <c r="E1427" s="1">
        <v>-280.18</v>
      </c>
      <c r="F1427" s="1">
        <v>0</v>
      </c>
      <c r="G1427" s="1">
        <v>-4905.9930000000004</v>
      </c>
      <c r="H1427" s="1">
        <v>0</v>
      </c>
      <c r="I1427" s="1">
        <v>-3085.0610000000001</v>
      </c>
    </row>
    <row r="1428" spans="1:9" hidden="1" x14ac:dyDescent="0.25">
      <c r="A1428" s="1" t="s">
        <v>16</v>
      </c>
      <c r="B1428" s="1" t="s">
        <v>102</v>
      </c>
      <c r="C1428" s="1" t="s">
        <v>25</v>
      </c>
      <c r="D1428" s="1">
        <v>0</v>
      </c>
      <c r="E1428" s="1">
        <v>280.18</v>
      </c>
      <c r="F1428" s="1">
        <v>0</v>
      </c>
      <c r="G1428" s="1">
        <v>4905.9930000000004</v>
      </c>
      <c r="H1428" s="1">
        <v>0</v>
      </c>
      <c r="I1428" s="1">
        <v>2110.34</v>
      </c>
    </row>
    <row r="1429" spans="1:9" hidden="1" x14ac:dyDescent="0.25">
      <c r="A1429" s="1" t="s">
        <v>16</v>
      </c>
      <c r="B1429" s="1" t="s">
        <v>102</v>
      </c>
      <c r="C1429" s="1" t="s">
        <v>10</v>
      </c>
      <c r="D1429" s="1">
        <v>0</v>
      </c>
      <c r="E1429" s="1">
        <v>280.18</v>
      </c>
      <c r="F1429" s="1">
        <v>0</v>
      </c>
      <c r="G1429" s="1">
        <v>4905.9930000000004</v>
      </c>
      <c r="H1429" s="1">
        <v>0</v>
      </c>
      <c r="I1429" s="1">
        <v>3085.0610000000001</v>
      </c>
    </row>
    <row r="1430" spans="1:9" hidden="1" x14ac:dyDescent="0.25">
      <c r="A1430" s="1" t="s">
        <v>16</v>
      </c>
      <c r="B1430" s="1" t="s">
        <v>103</v>
      </c>
      <c r="C1430" s="1" t="s">
        <v>25</v>
      </c>
      <c r="D1430" s="1">
        <v>0</v>
      </c>
      <c r="E1430" s="1">
        <v>-280.18</v>
      </c>
      <c r="F1430" s="1">
        <v>0</v>
      </c>
      <c r="G1430" s="1">
        <v>-4905.9930000000004</v>
      </c>
      <c r="H1430" s="1">
        <v>0</v>
      </c>
      <c r="I1430" s="1">
        <v>-2110.34</v>
      </c>
    </row>
    <row r="1431" spans="1:9" hidden="1" x14ac:dyDescent="0.25">
      <c r="A1431" s="1" t="s">
        <v>16</v>
      </c>
      <c r="B1431" s="1" t="s">
        <v>103</v>
      </c>
      <c r="C1431" s="1" t="s">
        <v>10</v>
      </c>
      <c r="D1431" s="1">
        <v>0</v>
      </c>
      <c r="E1431" s="1">
        <v>-280.18</v>
      </c>
      <c r="F1431" s="1">
        <v>0</v>
      </c>
      <c r="G1431" s="1">
        <v>-4905.9930000000004</v>
      </c>
      <c r="H1431" s="1">
        <v>0</v>
      </c>
      <c r="I1431" s="1">
        <v>-3085.0610000000001</v>
      </c>
    </row>
    <row r="1432" spans="1:9" hidden="1" x14ac:dyDescent="0.25">
      <c r="A1432" s="1" t="s">
        <v>16</v>
      </c>
      <c r="B1432" s="1" t="s">
        <v>104</v>
      </c>
      <c r="C1432" s="1" t="s">
        <v>25</v>
      </c>
      <c r="D1432" s="1">
        <v>0</v>
      </c>
      <c r="E1432" s="1">
        <v>0</v>
      </c>
      <c r="F1432" s="1">
        <v>671.3</v>
      </c>
      <c r="G1432" s="1">
        <v>13533.749</v>
      </c>
      <c r="H1432" s="1">
        <v>5424.0720000000001</v>
      </c>
      <c r="I1432" s="1">
        <v>0</v>
      </c>
    </row>
    <row r="1433" spans="1:9" hidden="1" x14ac:dyDescent="0.25">
      <c r="A1433" s="1" t="s">
        <v>16</v>
      </c>
      <c r="B1433" s="1" t="s">
        <v>104</v>
      </c>
      <c r="C1433" s="1" t="s">
        <v>10</v>
      </c>
      <c r="D1433" s="1">
        <v>0</v>
      </c>
      <c r="E1433" s="1">
        <v>0</v>
      </c>
      <c r="F1433" s="1">
        <v>671.3</v>
      </c>
      <c r="G1433" s="1">
        <v>13533.749</v>
      </c>
      <c r="H1433" s="1">
        <v>8023.2150000000001</v>
      </c>
      <c r="I1433" s="1">
        <v>0</v>
      </c>
    </row>
    <row r="1434" spans="1:9" hidden="1" x14ac:dyDescent="0.25">
      <c r="A1434" s="1" t="s">
        <v>16</v>
      </c>
      <c r="B1434" s="1" t="s">
        <v>105</v>
      </c>
      <c r="C1434" s="1" t="s">
        <v>25</v>
      </c>
      <c r="D1434" s="1">
        <v>0</v>
      </c>
      <c r="E1434" s="1">
        <v>0</v>
      </c>
      <c r="F1434" s="1">
        <v>-671.3</v>
      </c>
      <c r="G1434" s="1">
        <v>-13533.749</v>
      </c>
      <c r="H1434" s="1">
        <v>-5424.0720000000001</v>
      </c>
      <c r="I1434" s="1">
        <v>0</v>
      </c>
    </row>
    <row r="1435" spans="1:9" hidden="1" x14ac:dyDescent="0.25">
      <c r="A1435" s="1" t="s">
        <v>16</v>
      </c>
      <c r="B1435" s="1" t="s">
        <v>105</v>
      </c>
      <c r="C1435" s="1" t="s">
        <v>10</v>
      </c>
      <c r="D1435" s="1">
        <v>0</v>
      </c>
      <c r="E1435" s="1">
        <v>0</v>
      </c>
      <c r="F1435" s="1">
        <v>-671.3</v>
      </c>
      <c r="G1435" s="1">
        <v>-13533.749</v>
      </c>
      <c r="H1435" s="1">
        <v>-8023.2150000000001</v>
      </c>
      <c r="I1435" s="1">
        <v>0</v>
      </c>
    </row>
    <row r="1436" spans="1:9" hidden="1" x14ac:dyDescent="0.25">
      <c r="A1436" s="1" t="s">
        <v>16</v>
      </c>
      <c r="B1436" s="1" t="s">
        <v>106</v>
      </c>
      <c r="C1436" s="1" t="s">
        <v>25</v>
      </c>
      <c r="D1436" s="1">
        <v>0</v>
      </c>
      <c r="E1436" s="1">
        <v>0</v>
      </c>
      <c r="F1436" s="1">
        <v>671.3</v>
      </c>
      <c r="G1436" s="1">
        <v>13533.749</v>
      </c>
      <c r="H1436" s="1">
        <v>5424.0720000000001</v>
      </c>
      <c r="I1436" s="1">
        <v>0</v>
      </c>
    </row>
    <row r="1437" spans="1:9" hidden="1" x14ac:dyDescent="0.25">
      <c r="A1437" s="1" t="s">
        <v>16</v>
      </c>
      <c r="B1437" s="1" t="s">
        <v>106</v>
      </c>
      <c r="C1437" s="1" t="s">
        <v>10</v>
      </c>
      <c r="D1437" s="1">
        <v>0</v>
      </c>
      <c r="E1437" s="1">
        <v>0</v>
      </c>
      <c r="F1437" s="1">
        <v>671.3</v>
      </c>
      <c r="G1437" s="1">
        <v>13533.749</v>
      </c>
      <c r="H1437" s="1">
        <v>8023.2150000000001</v>
      </c>
      <c r="I1437" s="1">
        <v>0</v>
      </c>
    </row>
    <row r="1438" spans="1:9" hidden="1" x14ac:dyDescent="0.25">
      <c r="A1438" s="1" t="s">
        <v>16</v>
      </c>
      <c r="B1438" s="1" t="s">
        <v>107</v>
      </c>
      <c r="C1438" s="1" t="s">
        <v>25</v>
      </c>
      <c r="D1438" s="1">
        <v>0</v>
      </c>
      <c r="E1438" s="1">
        <v>0</v>
      </c>
      <c r="F1438" s="1">
        <v>-671.3</v>
      </c>
      <c r="G1438" s="1">
        <v>-13533.749</v>
      </c>
      <c r="H1438" s="1">
        <v>-5424.0720000000001</v>
      </c>
      <c r="I1438" s="1">
        <v>0</v>
      </c>
    </row>
    <row r="1439" spans="1:9" hidden="1" x14ac:dyDescent="0.25">
      <c r="A1439" s="1" t="s">
        <v>16</v>
      </c>
      <c r="B1439" s="1" t="s">
        <v>107</v>
      </c>
      <c r="C1439" s="1" t="s">
        <v>10</v>
      </c>
      <c r="D1439" s="1">
        <v>0</v>
      </c>
      <c r="E1439" s="1">
        <v>0</v>
      </c>
      <c r="F1439" s="1">
        <v>-671.3</v>
      </c>
      <c r="G1439" s="1">
        <v>-13533.749</v>
      </c>
      <c r="H1439" s="1">
        <v>-8023.2150000000001</v>
      </c>
      <c r="I1439" s="1">
        <v>0</v>
      </c>
    </row>
    <row r="1440" spans="1:9" hidden="1" x14ac:dyDescent="0.25">
      <c r="A1440" s="1" t="s">
        <v>16</v>
      </c>
      <c r="B1440" s="1" t="s">
        <v>108</v>
      </c>
      <c r="C1440" s="1" t="s">
        <v>25</v>
      </c>
      <c r="D1440" s="1">
        <v>0</v>
      </c>
      <c r="E1440" s="1">
        <v>84.06</v>
      </c>
      <c r="F1440" s="1">
        <v>0</v>
      </c>
      <c r="G1440" s="1">
        <v>1471.798</v>
      </c>
      <c r="H1440" s="1">
        <v>0</v>
      </c>
      <c r="I1440" s="1">
        <v>633.10199999999998</v>
      </c>
    </row>
    <row r="1441" spans="1:9" hidden="1" x14ac:dyDescent="0.25">
      <c r="A1441" s="1" t="s">
        <v>16</v>
      </c>
      <c r="B1441" s="1" t="s">
        <v>108</v>
      </c>
      <c r="C1441" s="1" t="s">
        <v>10</v>
      </c>
      <c r="D1441" s="1">
        <v>0</v>
      </c>
      <c r="E1441" s="1">
        <v>84.06</v>
      </c>
      <c r="F1441" s="1">
        <v>0</v>
      </c>
      <c r="G1441" s="1">
        <v>1471.798</v>
      </c>
      <c r="H1441" s="1">
        <v>0</v>
      </c>
      <c r="I1441" s="1">
        <v>925.51800000000003</v>
      </c>
    </row>
    <row r="1442" spans="1:9" hidden="1" x14ac:dyDescent="0.25">
      <c r="A1442" s="1" t="s">
        <v>16</v>
      </c>
      <c r="B1442" s="1" t="s">
        <v>109</v>
      </c>
      <c r="C1442" s="1" t="s">
        <v>25</v>
      </c>
      <c r="D1442" s="1">
        <v>0</v>
      </c>
      <c r="E1442" s="1">
        <v>-84.06</v>
      </c>
      <c r="F1442" s="1">
        <v>0</v>
      </c>
      <c r="G1442" s="1">
        <v>-1471.798</v>
      </c>
      <c r="H1442" s="1">
        <v>0</v>
      </c>
      <c r="I1442" s="1">
        <v>-633.10199999999998</v>
      </c>
    </row>
    <row r="1443" spans="1:9" hidden="1" x14ac:dyDescent="0.25">
      <c r="A1443" s="1" t="s">
        <v>16</v>
      </c>
      <c r="B1443" s="1" t="s">
        <v>109</v>
      </c>
      <c r="C1443" s="1" t="s">
        <v>10</v>
      </c>
      <c r="D1443" s="1">
        <v>0</v>
      </c>
      <c r="E1443" s="1">
        <v>-84.06</v>
      </c>
      <c r="F1443" s="1">
        <v>0</v>
      </c>
      <c r="G1443" s="1">
        <v>-1471.798</v>
      </c>
      <c r="H1443" s="1">
        <v>0</v>
      </c>
      <c r="I1443" s="1">
        <v>-925.51800000000003</v>
      </c>
    </row>
    <row r="1444" spans="1:9" hidden="1" x14ac:dyDescent="0.25">
      <c r="A1444" s="1" t="s">
        <v>16</v>
      </c>
      <c r="B1444" s="1" t="s">
        <v>110</v>
      </c>
      <c r="C1444" s="1" t="s">
        <v>25</v>
      </c>
      <c r="D1444" s="1">
        <v>0</v>
      </c>
      <c r="E1444" s="1">
        <v>84.06</v>
      </c>
      <c r="F1444" s="1">
        <v>0</v>
      </c>
      <c r="G1444" s="1">
        <v>1471.798</v>
      </c>
      <c r="H1444" s="1">
        <v>0</v>
      </c>
      <c r="I1444" s="1">
        <v>633.10199999999998</v>
      </c>
    </row>
    <row r="1445" spans="1:9" hidden="1" x14ac:dyDescent="0.25">
      <c r="A1445" s="1" t="s">
        <v>16</v>
      </c>
      <c r="B1445" s="1" t="s">
        <v>110</v>
      </c>
      <c r="C1445" s="1" t="s">
        <v>10</v>
      </c>
      <c r="D1445" s="1">
        <v>0</v>
      </c>
      <c r="E1445" s="1">
        <v>84.06</v>
      </c>
      <c r="F1445" s="1">
        <v>0</v>
      </c>
      <c r="G1445" s="1">
        <v>1471.798</v>
      </c>
      <c r="H1445" s="1">
        <v>0</v>
      </c>
      <c r="I1445" s="1">
        <v>925.51800000000003</v>
      </c>
    </row>
    <row r="1446" spans="1:9" hidden="1" x14ac:dyDescent="0.25">
      <c r="A1446" s="1" t="s">
        <v>16</v>
      </c>
      <c r="B1446" s="1" t="s">
        <v>111</v>
      </c>
      <c r="C1446" s="1" t="s">
        <v>25</v>
      </c>
      <c r="D1446" s="1">
        <v>0</v>
      </c>
      <c r="E1446" s="1">
        <v>-84.06</v>
      </c>
      <c r="F1446" s="1">
        <v>0</v>
      </c>
      <c r="G1446" s="1">
        <v>-1471.798</v>
      </c>
      <c r="H1446" s="1">
        <v>0</v>
      </c>
      <c r="I1446" s="1">
        <v>-633.10199999999998</v>
      </c>
    </row>
    <row r="1447" spans="1:9" hidden="1" x14ac:dyDescent="0.25">
      <c r="A1447" s="1" t="s">
        <v>16</v>
      </c>
      <c r="B1447" s="1" t="s">
        <v>111</v>
      </c>
      <c r="C1447" s="1" t="s">
        <v>10</v>
      </c>
      <c r="D1447" s="1">
        <v>0</v>
      </c>
      <c r="E1447" s="1">
        <v>-84.06</v>
      </c>
      <c r="F1447" s="1">
        <v>0</v>
      </c>
      <c r="G1447" s="1">
        <v>-1471.798</v>
      </c>
      <c r="H1447" s="1">
        <v>0</v>
      </c>
      <c r="I1447" s="1">
        <v>-925.51800000000003</v>
      </c>
    </row>
    <row r="1448" spans="1:9" hidden="1" x14ac:dyDescent="0.25">
      <c r="A1448" s="1" t="s">
        <v>16</v>
      </c>
      <c r="B1448" s="1" t="s">
        <v>112</v>
      </c>
      <c r="C1448" s="1" t="s">
        <v>25</v>
      </c>
      <c r="D1448" s="1">
        <v>0</v>
      </c>
      <c r="E1448" s="1">
        <v>0</v>
      </c>
      <c r="F1448" s="1">
        <v>201.39</v>
      </c>
      <c r="G1448" s="1">
        <v>4060.125</v>
      </c>
      <c r="H1448" s="1">
        <v>1627.222</v>
      </c>
      <c r="I1448" s="1">
        <v>0</v>
      </c>
    </row>
    <row r="1449" spans="1:9" hidden="1" x14ac:dyDescent="0.25">
      <c r="A1449" s="1" t="s">
        <v>16</v>
      </c>
      <c r="B1449" s="1" t="s">
        <v>112</v>
      </c>
      <c r="C1449" s="1" t="s">
        <v>10</v>
      </c>
      <c r="D1449" s="1">
        <v>0</v>
      </c>
      <c r="E1449" s="1">
        <v>0</v>
      </c>
      <c r="F1449" s="1">
        <v>201.39</v>
      </c>
      <c r="G1449" s="1">
        <v>4060.125</v>
      </c>
      <c r="H1449" s="1">
        <v>2406.9650000000001</v>
      </c>
      <c r="I1449" s="1">
        <v>0</v>
      </c>
    </row>
    <row r="1450" spans="1:9" hidden="1" x14ac:dyDescent="0.25">
      <c r="A1450" s="1" t="s">
        <v>16</v>
      </c>
      <c r="B1450" s="1" t="s">
        <v>113</v>
      </c>
      <c r="C1450" s="1" t="s">
        <v>25</v>
      </c>
      <c r="D1450" s="1">
        <v>0</v>
      </c>
      <c r="E1450" s="1">
        <v>0</v>
      </c>
      <c r="F1450" s="1">
        <v>-201.39</v>
      </c>
      <c r="G1450" s="1">
        <v>-4060.125</v>
      </c>
      <c r="H1450" s="1">
        <v>-1627.222</v>
      </c>
      <c r="I1450" s="1">
        <v>0</v>
      </c>
    </row>
    <row r="1451" spans="1:9" hidden="1" x14ac:dyDescent="0.25">
      <c r="A1451" s="1" t="s">
        <v>16</v>
      </c>
      <c r="B1451" s="1" t="s">
        <v>113</v>
      </c>
      <c r="C1451" s="1" t="s">
        <v>10</v>
      </c>
      <c r="D1451" s="1">
        <v>0</v>
      </c>
      <c r="E1451" s="1">
        <v>0</v>
      </c>
      <c r="F1451" s="1">
        <v>-201.39</v>
      </c>
      <c r="G1451" s="1">
        <v>-4060.125</v>
      </c>
      <c r="H1451" s="1">
        <v>-2406.9650000000001</v>
      </c>
      <c r="I1451" s="1">
        <v>0</v>
      </c>
    </row>
    <row r="1452" spans="1:9" hidden="1" x14ac:dyDescent="0.25">
      <c r="A1452" s="1" t="s">
        <v>16</v>
      </c>
      <c r="B1452" s="1" t="s">
        <v>114</v>
      </c>
      <c r="C1452" s="1" t="s">
        <v>25</v>
      </c>
      <c r="D1452" s="1">
        <v>0</v>
      </c>
      <c r="E1452" s="1">
        <v>0</v>
      </c>
      <c r="F1452" s="1">
        <v>201.39</v>
      </c>
      <c r="G1452" s="1">
        <v>4060.125</v>
      </c>
      <c r="H1452" s="1">
        <v>1627.222</v>
      </c>
      <c r="I1452" s="1">
        <v>0</v>
      </c>
    </row>
    <row r="1453" spans="1:9" hidden="1" x14ac:dyDescent="0.25">
      <c r="A1453" s="1" t="s">
        <v>16</v>
      </c>
      <c r="B1453" s="1" t="s">
        <v>114</v>
      </c>
      <c r="C1453" s="1" t="s">
        <v>10</v>
      </c>
      <c r="D1453" s="1">
        <v>0</v>
      </c>
      <c r="E1453" s="1">
        <v>0</v>
      </c>
      <c r="F1453" s="1">
        <v>201.39</v>
      </c>
      <c r="G1453" s="1">
        <v>4060.125</v>
      </c>
      <c r="H1453" s="1">
        <v>2406.9650000000001</v>
      </c>
      <c r="I1453" s="1">
        <v>0</v>
      </c>
    </row>
    <row r="1454" spans="1:9" hidden="1" x14ac:dyDescent="0.25">
      <c r="A1454" s="1" t="s">
        <v>16</v>
      </c>
      <c r="B1454" s="1" t="s">
        <v>115</v>
      </c>
      <c r="C1454" s="1" t="s">
        <v>25</v>
      </c>
      <c r="D1454" s="1">
        <v>0</v>
      </c>
      <c r="E1454" s="1">
        <v>0</v>
      </c>
      <c r="F1454" s="1">
        <v>-201.39</v>
      </c>
      <c r="G1454" s="1">
        <v>-4060.125</v>
      </c>
      <c r="H1454" s="1">
        <v>-1627.222</v>
      </c>
      <c r="I1454" s="1">
        <v>0</v>
      </c>
    </row>
    <row r="1455" spans="1:9" hidden="1" x14ac:dyDescent="0.25">
      <c r="A1455" s="1" t="s">
        <v>16</v>
      </c>
      <c r="B1455" s="1" t="s">
        <v>115</v>
      </c>
      <c r="C1455" s="1" t="s">
        <v>10</v>
      </c>
      <c r="D1455" s="1">
        <v>0</v>
      </c>
      <c r="E1455" s="1">
        <v>0</v>
      </c>
      <c r="F1455" s="1">
        <v>-201.39</v>
      </c>
      <c r="G1455" s="1">
        <v>-4060.125</v>
      </c>
      <c r="H1455" s="1">
        <v>-2406.9650000000001</v>
      </c>
      <c r="I1455" s="1">
        <v>0</v>
      </c>
    </row>
    <row r="1456" spans="1:9" hidden="1" x14ac:dyDescent="0.25">
      <c r="A1456" s="1" t="s">
        <v>16</v>
      </c>
      <c r="B1456" s="1" t="s">
        <v>116</v>
      </c>
      <c r="C1456" s="1" t="s">
        <v>25</v>
      </c>
      <c r="D1456" s="1">
        <v>0</v>
      </c>
      <c r="E1456" s="1">
        <v>280.18</v>
      </c>
      <c r="F1456" s="1">
        <v>0</v>
      </c>
      <c r="G1456" s="1">
        <v>4905.9930000000004</v>
      </c>
      <c r="H1456" s="1">
        <v>0</v>
      </c>
      <c r="I1456" s="1">
        <v>2110.34</v>
      </c>
    </row>
    <row r="1457" spans="1:9" hidden="1" x14ac:dyDescent="0.25">
      <c r="A1457" s="1" t="s">
        <v>16</v>
      </c>
      <c r="B1457" s="1" t="s">
        <v>116</v>
      </c>
      <c r="C1457" s="1" t="s">
        <v>10</v>
      </c>
      <c r="D1457" s="1">
        <v>0</v>
      </c>
      <c r="E1457" s="1">
        <v>280.18</v>
      </c>
      <c r="F1457" s="1">
        <v>0</v>
      </c>
      <c r="G1457" s="1">
        <v>4905.9930000000004</v>
      </c>
      <c r="H1457" s="1">
        <v>0</v>
      </c>
      <c r="I1457" s="1">
        <v>3085.0610000000001</v>
      </c>
    </row>
    <row r="1458" spans="1:9" hidden="1" x14ac:dyDescent="0.25">
      <c r="A1458" s="1" t="s">
        <v>16</v>
      </c>
      <c r="B1458" s="1" t="s">
        <v>117</v>
      </c>
      <c r="C1458" s="1" t="s">
        <v>25</v>
      </c>
      <c r="D1458" s="1">
        <v>0</v>
      </c>
      <c r="E1458" s="1">
        <v>-280.18</v>
      </c>
      <c r="F1458" s="1">
        <v>0</v>
      </c>
      <c r="G1458" s="1">
        <v>-4905.9930000000004</v>
      </c>
      <c r="H1458" s="1">
        <v>0</v>
      </c>
      <c r="I1458" s="1">
        <v>-2110.34</v>
      </c>
    </row>
    <row r="1459" spans="1:9" hidden="1" x14ac:dyDescent="0.25">
      <c r="A1459" s="1" t="s">
        <v>16</v>
      </c>
      <c r="B1459" s="1" t="s">
        <v>117</v>
      </c>
      <c r="C1459" s="1" t="s">
        <v>10</v>
      </c>
      <c r="D1459" s="1">
        <v>0</v>
      </c>
      <c r="E1459" s="1">
        <v>-280.18</v>
      </c>
      <c r="F1459" s="1">
        <v>0</v>
      </c>
      <c r="G1459" s="1">
        <v>-4905.9930000000004</v>
      </c>
      <c r="H1459" s="1">
        <v>0</v>
      </c>
      <c r="I1459" s="1">
        <v>-3085.0610000000001</v>
      </c>
    </row>
    <row r="1460" spans="1:9" hidden="1" x14ac:dyDescent="0.25">
      <c r="A1460" s="1" t="s">
        <v>16</v>
      </c>
      <c r="B1460" s="1" t="s">
        <v>118</v>
      </c>
      <c r="C1460" s="1" t="s">
        <v>25</v>
      </c>
      <c r="D1460" s="1">
        <v>0</v>
      </c>
      <c r="E1460" s="1">
        <v>280.18</v>
      </c>
      <c r="F1460" s="1">
        <v>0</v>
      </c>
      <c r="G1460" s="1">
        <v>4905.9930000000004</v>
      </c>
      <c r="H1460" s="1">
        <v>0</v>
      </c>
      <c r="I1460" s="1">
        <v>2110.34</v>
      </c>
    </row>
    <row r="1461" spans="1:9" hidden="1" x14ac:dyDescent="0.25">
      <c r="A1461" s="1" t="s">
        <v>16</v>
      </c>
      <c r="B1461" s="1" t="s">
        <v>118</v>
      </c>
      <c r="C1461" s="1" t="s">
        <v>10</v>
      </c>
      <c r="D1461" s="1">
        <v>0</v>
      </c>
      <c r="E1461" s="1">
        <v>280.18</v>
      </c>
      <c r="F1461" s="1">
        <v>0</v>
      </c>
      <c r="G1461" s="1">
        <v>4905.9930000000004</v>
      </c>
      <c r="H1461" s="1">
        <v>0</v>
      </c>
      <c r="I1461" s="1">
        <v>3085.0610000000001</v>
      </c>
    </row>
    <row r="1462" spans="1:9" hidden="1" x14ac:dyDescent="0.25">
      <c r="A1462" s="1" t="s">
        <v>16</v>
      </c>
      <c r="B1462" s="1" t="s">
        <v>119</v>
      </c>
      <c r="C1462" s="1" t="s">
        <v>25</v>
      </c>
      <c r="D1462" s="1">
        <v>0</v>
      </c>
      <c r="E1462" s="1">
        <v>-280.18</v>
      </c>
      <c r="F1462" s="1">
        <v>0</v>
      </c>
      <c r="G1462" s="1">
        <v>-4905.9930000000004</v>
      </c>
      <c r="H1462" s="1">
        <v>0</v>
      </c>
      <c r="I1462" s="1">
        <v>-2110.34</v>
      </c>
    </row>
    <row r="1463" spans="1:9" hidden="1" x14ac:dyDescent="0.25">
      <c r="A1463" s="1" t="s">
        <v>16</v>
      </c>
      <c r="B1463" s="1" t="s">
        <v>119</v>
      </c>
      <c r="C1463" s="1" t="s">
        <v>10</v>
      </c>
      <c r="D1463" s="1">
        <v>0</v>
      </c>
      <c r="E1463" s="1">
        <v>-280.18</v>
      </c>
      <c r="F1463" s="1">
        <v>0</v>
      </c>
      <c r="G1463" s="1">
        <v>-4905.9930000000004</v>
      </c>
      <c r="H1463" s="1">
        <v>0</v>
      </c>
      <c r="I1463" s="1">
        <v>-3085.0610000000001</v>
      </c>
    </row>
    <row r="1464" spans="1:9" hidden="1" x14ac:dyDescent="0.25">
      <c r="A1464" s="1" t="s">
        <v>16</v>
      </c>
      <c r="B1464" s="1" t="s">
        <v>120</v>
      </c>
      <c r="C1464" s="1" t="s">
        <v>25</v>
      </c>
      <c r="D1464" s="1">
        <v>0</v>
      </c>
      <c r="E1464" s="1">
        <v>0</v>
      </c>
      <c r="F1464" s="1">
        <v>671.3</v>
      </c>
      <c r="G1464" s="1">
        <v>13533.749</v>
      </c>
      <c r="H1464" s="1">
        <v>5424.0720000000001</v>
      </c>
      <c r="I1464" s="1">
        <v>0</v>
      </c>
    </row>
    <row r="1465" spans="1:9" hidden="1" x14ac:dyDescent="0.25">
      <c r="A1465" s="1" t="s">
        <v>16</v>
      </c>
      <c r="B1465" s="1" t="s">
        <v>120</v>
      </c>
      <c r="C1465" s="1" t="s">
        <v>10</v>
      </c>
      <c r="D1465" s="1">
        <v>0</v>
      </c>
      <c r="E1465" s="1">
        <v>0</v>
      </c>
      <c r="F1465" s="1">
        <v>671.3</v>
      </c>
      <c r="G1465" s="1">
        <v>13533.749</v>
      </c>
      <c r="H1465" s="1">
        <v>8023.2150000000001</v>
      </c>
      <c r="I1465" s="1">
        <v>0</v>
      </c>
    </row>
    <row r="1466" spans="1:9" hidden="1" x14ac:dyDescent="0.25">
      <c r="A1466" s="1" t="s">
        <v>16</v>
      </c>
      <c r="B1466" s="1" t="s">
        <v>121</v>
      </c>
      <c r="C1466" s="1" t="s">
        <v>25</v>
      </c>
      <c r="D1466" s="1">
        <v>0</v>
      </c>
      <c r="E1466" s="1">
        <v>0</v>
      </c>
      <c r="F1466" s="1">
        <v>-671.3</v>
      </c>
      <c r="G1466" s="1">
        <v>-13533.749</v>
      </c>
      <c r="H1466" s="1">
        <v>-5424.0720000000001</v>
      </c>
      <c r="I1466" s="1">
        <v>0</v>
      </c>
    </row>
    <row r="1467" spans="1:9" hidden="1" x14ac:dyDescent="0.25">
      <c r="A1467" s="1" t="s">
        <v>16</v>
      </c>
      <c r="B1467" s="1" t="s">
        <v>121</v>
      </c>
      <c r="C1467" s="1" t="s">
        <v>10</v>
      </c>
      <c r="D1467" s="1">
        <v>0</v>
      </c>
      <c r="E1467" s="1">
        <v>0</v>
      </c>
      <c r="F1467" s="1">
        <v>-671.3</v>
      </c>
      <c r="G1467" s="1">
        <v>-13533.749</v>
      </c>
      <c r="H1467" s="1">
        <v>-8023.2150000000001</v>
      </c>
      <c r="I1467" s="1">
        <v>0</v>
      </c>
    </row>
    <row r="1468" spans="1:9" hidden="1" x14ac:dyDescent="0.25">
      <c r="A1468" s="1" t="s">
        <v>16</v>
      </c>
      <c r="B1468" s="1" t="s">
        <v>122</v>
      </c>
      <c r="C1468" s="1" t="s">
        <v>25</v>
      </c>
      <c r="D1468" s="1">
        <v>0</v>
      </c>
      <c r="E1468" s="1">
        <v>0</v>
      </c>
      <c r="F1468" s="1">
        <v>671.3</v>
      </c>
      <c r="G1468" s="1">
        <v>13533.749</v>
      </c>
      <c r="H1468" s="1">
        <v>5424.0720000000001</v>
      </c>
      <c r="I1468" s="1">
        <v>0</v>
      </c>
    </row>
    <row r="1469" spans="1:9" hidden="1" x14ac:dyDescent="0.25">
      <c r="A1469" s="1" t="s">
        <v>16</v>
      </c>
      <c r="B1469" s="1" t="s">
        <v>122</v>
      </c>
      <c r="C1469" s="1" t="s">
        <v>10</v>
      </c>
      <c r="D1469" s="1">
        <v>0</v>
      </c>
      <c r="E1469" s="1">
        <v>0</v>
      </c>
      <c r="F1469" s="1">
        <v>671.3</v>
      </c>
      <c r="G1469" s="1">
        <v>13533.749</v>
      </c>
      <c r="H1469" s="1">
        <v>8023.2150000000001</v>
      </c>
      <c r="I1469" s="1">
        <v>0</v>
      </c>
    </row>
    <row r="1470" spans="1:9" hidden="1" x14ac:dyDescent="0.25">
      <c r="A1470" s="1" t="s">
        <v>16</v>
      </c>
      <c r="B1470" s="1" t="s">
        <v>123</v>
      </c>
      <c r="C1470" s="1" t="s">
        <v>25</v>
      </c>
      <c r="D1470" s="1">
        <v>0</v>
      </c>
      <c r="E1470" s="1">
        <v>0</v>
      </c>
      <c r="F1470" s="1">
        <v>-671.3</v>
      </c>
      <c r="G1470" s="1">
        <v>-13533.749</v>
      </c>
      <c r="H1470" s="1">
        <v>-5424.0720000000001</v>
      </c>
      <c r="I1470" s="1">
        <v>0</v>
      </c>
    </row>
    <row r="1471" spans="1:9" hidden="1" x14ac:dyDescent="0.25">
      <c r="A1471" s="1" t="s">
        <v>16</v>
      </c>
      <c r="B1471" s="1" t="s">
        <v>123</v>
      </c>
      <c r="C1471" s="1" t="s">
        <v>10</v>
      </c>
      <c r="D1471" s="1">
        <v>0</v>
      </c>
      <c r="E1471" s="1">
        <v>0</v>
      </c>
      <c r="F1471" s="1">
        <v>-671.3</v>
      </c>
      <c r="G1471" s="1">
        <v>-13533.749</v>
      </c>
      <c r="H1471" s="1">
        <v>-8023.2150000000001</v>
      </c>
      <c r="I1471" s="1">
        <v>0</v>
      </c>
    </row>
    <row r="1472" spans="1:9" hidden="1" x14ac:dyDescent="0.25">
      <c r="A1472" s="1" t="s">
        <v>16</v>
      </c>
      <c r="B1472" s="1" t="s">
        <v>124</v>
      </c>
      <c r="C1472" s="1" t="s">
        <v>25</v>
      </c>
      <c r="D1472" s="1">
        <v>0</v>
      </c>
      <c r="E1472" s="1">
        <v>84.06</v>
      </c>
      <c r="F1472" s="1">
        <v>0</v>
      </c>
      <c r="G1472" s="1">
        <v>1471.798</v>
      </c>
      <c r="H1472" s="1">
        <v>0</v>
      </c>
      <c r="I1472" s="1">
        <v>633.10199999999998</v>
      </c>
    </row>
    <row r="1473" spans="1:9" hidden="1" x14ac:dyDescent="0.25">
      <c r="A1473" s="1" t="s">
        <v>16</v>
      </c>
      <c r="B1473" s="1" t="s">
        <v>124</v>
      </c>
      <c r="C1473" s="1" t="s">
        <v>10</v>
      </c>
      <c r="D1473" s="1">
        <v>0</v>
      </c>
      <c r="E1473" s="1">
        <v>84.06</v>
      </c>
      <c r="F1473" s="1">
        <v>0</v>
      </c>
      <c r="G1473" s="1">
        <v>1471.798</v>
      </c>
      <c r="H1473" s="1">
        <v>0</v>
      </c>
      <c r="I1473" s="1">
        <v>925.51800000000003</v>
      </c>
    </row>
    <row r="1474" spans="1:9" hidden="1" x14ac:dyDescent="0.25">
      <c r="A1474" s="1" t="s">
        <v>16</v>
      </c>
      <c r="B1474" s="1" t="s">
        <v>125</v>
      </c>
      <c r="C1474" s="1" t="s">
        <v>25</v>
      </c>
      <c r="D1474" s="1">
        <v>0</v>
      </c>
      <c r="E1474" s="1">
        <v>-84.06</v>
      </c>
      <c r="F1474" s="1">
        <v>0</v>
      </c>
      <c r="G1474" s="1">
        <v>-1471.798</v>
      </c>
      <c r="H1474" s="1">
        <v>0</v>
      </c>
      <c r="I1474" s="1">
        <v>-633.10199999999998</v>
      </c>
    </row>
    <row r="1475" spans="1:9" hidden="1" x14ac:dyDescent="0.25">
      <c r="A1475" s="1" t="s">
        <v>16</v>
      </c>
      <c r="B1475" s="1" t="s">
        <v>125</v>
      </c>
      <c r="C1475" s="1" t="s">
        <v>10</v>
      </c>
      <c r="D1475" s="1">
        <v>0</v>
      </c>
      <c r="E1475" s="1">
        <v>-84.06</v>
      </c>
      <c r="F1475" s="1">
        <v>0</v>
      </c>
      <c r="G1475" s="1">
        <v>-1471.798</v>
      </c>
      <c r="H1475" s="1">
        <v>0</v>
      </c>
      <c r="I1475" s="1">
        <v>-925.51800000000003</v>
      </c>
    </row>
    <row r="1476" spans="1:9" hidden="1" x14ac:dyDescent="0.25">
      <c r="A1476" s="1" t="s">
        <v>16</v>
      </c>
      <c r="B1476" s="1" t="s">
        <v>126</v>
      </c>
      <c r="C1476" s="1" t="s">
        <v>25</v>
      </c>
      <c r="D1476" s="1">
        <v>0</v>
      </c>
      <c r="E1476" s="1">
        <v>84.06</v>
      </c>
      <c r="F1476" s="1">
        <v>0</v>
      </c>
      <c r="G1476" s="1">
        <v>1471.798</v>
      </c>
      <c r="H1476" s="1">
        <v>0</v>
      </c>
      <c r="I1476" s="1">
        <v>633.10199999999998</v>
      </c>
    </row>
    <row r="1477" spans="1:9" hidden="1" x14ac:dyDescent="0.25">
      <c r="A1477" s="1" t="s">
        <v>16</v>
      </c>
      <c r="B1477" s="1" t="s">
        <v>126</v>
      </c>
      <c r="C1477" s="1" t="s">
        <v>10</v>
      </c>
      <c r="D1477" s="1">
        <v>0</v>
      </c>
      <c r="E1477" s="1">
        <v>84.06</v>
      </c>
      <c r="F1477" s="1">
        <v>0</v>
      </c>
      <c r="G1477" s="1">
        <v>1471.798</v>
      </c>
      <c r="H1477" s="1">
        <v>0</v>
      </c>
      <c r="I1477" s="1">
        <v>925.51800000000003</v>
      </c>
    </row>
    <row r="1478" spans="1:9" hidden="1" x14ac:dyDescent="0.25">
      <c r="A1478" s="1" t="s">
        <v>16</v>
      </c>
      <c r="B1478" s="1" t="s">
        <v>127</v>
      </c>
      <c r="C1478" s="1" t="s">
        <v>25</v>
      </c>
      <c r="D1478" s="1">
        <v>0</v>
      </c>
      <c r="E1478" s="1">
        <v>-84.06</v>
      </c>
      <c r="F1478" s="1">
        <v>0</v>
      </c>
      <c r="G1478" s="1">
        <v>-1471.798</v>
      </c>
      <c r="H1478" s="1">
        <v>0</v>
      </c>
      <c r="I1478" s="1">
        <v>-633.10199999999998</v>
      </c>
    </row>
    <row r="1479" spans="1:9" hidden="1" x14ac:dyDescent="0.25">
      <c r="A1479" s="1" t="s">
        <v>16</v>
      </c>
      <c r="B1479" s="1" t="s">
        <v>127</v>
      </c>
      <c r="C1479" s="1" t="s">
        <v>10</v>
      </c>
      <c r="D1479" s="1">
        <v>0</v>
      </c>
      <c r="E1479" s="1">
        <v>-84.06</v>
      </c>
      <c r="F1479" s="1">
        <v>0</v>
      </c>
      <c r="G1479" s="1">
        <v>-1471.798</v>
      </c>
      <c r="H1479" s="1">
        <v>0</v>
      </c>
      <c r="I1479" s="1">
        <v>-925.51800000000003</v>
      </c>
    </row>
    <row r="1480" spans="1:9" hidden="1" x14ac:dyDescent="0.25">
      <c r="A1480" s="1" t="s">
        <v>16</v>
      </c>
      <c r="B1480" s="1" t="s">
        <v>128</v>
      </c>
      <c r="C1480" s="1" t="s">
        <v>25</v>
      </c>
      <c r="D1480" s="1">
        <v>0</v>
      </c>
      <c r="E1480" s="1">
        <v>0</v>
      </c>
      <c r="F1480" s="1">
        <v>201.39</v>
      </c>
      <c r="G1480" s="1">
        <v>4060.125</v>
      </c>
      <c r="H1480" s="1">
        <v>1627.222</v>
      </c>
      <c r="I1480" s="1">
        <v>0</v>
      </c>
    </row>
    <row r="1481" spans="1:9" hidden="1" x14ac:dyDescent="0.25">
      <c r="A1481" s="1" t="s">
        <v>16</v>
      </c>
      <c r="B1481" s="1" t="s">
        <v>128</v>
      </c>
      <c r="C1481" s="1" t="s">
        <v>10</v>
      </c>
      <c r="D1481" s="1">
        <v>0</v>
      </c>
      <c r="E1481" s="1">
        <v>0</v>
      </c>
      <c r="F1481" s="1">
        <v>201.39</v>
      </c>
      <c r="G1481" s="1">
        <v>4060.125</v>
      </c>
      <c r="H1481" s="1">
        <v>2406.9650000000001</v>
      </c>
      <c r="I1481" s="1">
        <v>0</v>
      </c>
    </row>
    <row r="1482" spans="1:9" hidden="1" x14ac:dyDescent="0.25">
      <c r="A1482" s="1" t="s">
        <v>16</v>
      </c>
      <c r="B1482" s="1" t="s">
        <v>129</v>
      </c>
      <c r="C1482" s="1" t="s">
        <v>25</v>
      </c>
      <c r="D1482" s="1">
        <v>0</v>
      </c>
      <c r="E1482" s="1">
        <v>0</v>
      </c>
      <c r="F1482" s="1">
        <v>-201.39</v>
      </c>
      <c r="G1482" s="1">
        <v>-4060.125</v>
      </c>
      <c r="H1482" s="1">
        <v>-1627.222</v>
      </c>
      <c r="I1482" s="1">
        <v>0</v>
      </c>
    </row>
    <row r="1483" spans="1:9" hidden="1" x14ac:dyDescent="0.25">
      <c r="A1483" s="1" t="s">
        <v>16</v>
      </c>
      <c r="B1483" s="1" t="s">
        <v>129</v>
      </c>
      <c r="C1483" s="1" t="s">
        <v>10</v>
      </c>
      <c r="D1483" s="1">
        <v>0</v>
      </c>
      <c r="E1483" s="1">
        <v>0</v>
      </c>
      <c r="F1483" s="1">
        <v>-201.39</v>
      </c>
      <c r="G1483" s="1">
        <v>-4060.125</v>
      </c>
      <c r="H1483" s="1">
        <v>-2406.9650000000001</v>
      </c>
      <c r="I1483" s="1">
        <v>0</v>
      </c>
    </row>
    <row r="1484" spans="1:9" hidden="1" x14ac:dyDescent="0.25">
      <c r="A1484" s="1" t="s">
        <v>16</v>
      </c>
      <c r="B1484" s="1" t="s">
        <v>130</v>
      </c>
      <c r="C1484" s="1" t="s">
        <v>25</v>
      </c>
      <c r="D1484" s="1">
        <v>0</v>
      </c>
      <c r="E1484" s="1">
        <v>0</v>
      </c>
      <c r="F1484" s="1">
        <v>201.39</v>
      </c>
      <c r="G1484" s="1">
        <v>4060.125</v>
      </c>
      <c r="H1484" s="1">
        <v>1627.222</v>
      </c>
      <c r="I1484" s="1">
        <v>0</v>
      </c>
    </row>
    <row r="1485" spans="1:9" hidden="1" x14ac:dyDescent="0.25">
      <c r="A1485" s="1" t="s">
        <v>16</v>
      </c>
      <c r="B1485" s="1" t="s">
        <v>130</v>
      </c>
      <c r="C1485" s="1" t="s">
        <v>10</v>
      </c>
      <c r="D1485" s="1">
        <v>0</v>
      </c>
      <c r="E1485" s="1">
        <v>0</v>
      </c>
      <c r="F1485" s="1">
        <v>201.39</v>
      </c>
      <c r="G1485" s="1">
        <v>4060.125</v>
      </c>
      <c r="H1485" s="1">
        <v>2406.9650000000001</v>
      </c>
      <c r="I1485" s="1">
        <v>0</v>
      </c>
    </row>
    <row r="1486" spans="1:9" hidden="1" x14ac:dyDescent="0.25">
      <c r="A1486" s="1" t="s">
        <v>16</v>
      </c>
      <c r="B1486" s="1" t="s">
        <v>131</v>
      </c>
      <c r="C1486" s="1" t="s">
        <v>25</v>
      </c>
      <c r="D1486" s="1">
        <v>0</v>
      </c>
      <c r="E1486" s="1">
        <v>0</v>
      </c>
      <c r="F1486" s="1">
        <v>-201.39</v>
      </c>
      <c r="G1486" s="1">
        <v>-4060.125</v>
      </c>
      <c r="H1486" s="1">
        <v>-1627.222</v>
      </c>
      <c r="I1486" s="1">
        <v>0</v>
      </c>
    </row>
    <row r="1487" spans="1:9" hidden="1" x14ac:dyDescent="0.25">
      <c r="A1487" s="1" t="s">
        <v>16</v>
      </c>
      <c r="B1487" s="1" t="s">
        <v>131</v>
      </c>
      <c r="C1487" s="1" t="s">
        <v>10</v>
      </c>
      <c r="D1487" s="1">
        <v>0</v>
      </c>
      <c r="E1487" s="1">
        <v>0</v>
      </c>
      <c r="F1487" s="1">
        <v>-201.39</v>
      </c>
      <c r="G1487" s="1">
        <v>-4060.125</v>
      </c>
      <c r="H1487" s="1">
        <v>-2406.9650000000001</v>
      </c>
      <c r="I1487" s="1">
        <v>0</v>
      </c>
    </row>
    <row r="1488" spans="1:9" hidden="1" x14ac:dyDescent="0.25">
      <c r="A1488" s="1" t="s">
        <v>16</v>
      </c>
      <c r="B1488" s="1" t="s">
        <v>132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16</v>
      </c>
      <c r="B1489" s="1" t="s">
        <v>132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16</v>
      </c>
      <c r="B1490" s="1" t="s">
        <v>133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16</v>
      </c>
      <c r="B1491" s="1" t="s">
        <v>133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16</v>
      </c>
      <c r="B1492" s="1" t="s">
        <v>134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16</v>
      </c>
      <c r="B1493" s="1" t="s">
        <v>134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16</v>
      </c>
      <c r="B1494" s="1" t="s">
        <v>135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16</v>
      </c>
      <c r="B1495" s="1" t="s">
        <v>135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16</v>
      </c>
      <c r="B1496" s="1" t="s">
        <v>136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16</v>
      </c>
      <c r="B1497" s="1" t="s">
        <v>136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16</v>
      </c>
      <c r="B1498" s="1" t="s">
        <v>137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16</v>
      </c>
      <c r="B1499" s="1" t="s">
        <v>137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16</v>
      </c>
      <c r="B1500" s="1" t="s">
        <v>138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16</v>
      </c>
      <c r="B1501" s="1" t="s">
        <v>138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16</v>
      </c>
      <c r="B1502" s="1" t="s">
        <v>139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16</v>
      </c>
      <c r="B1503" s="1" t="s">
        <v>139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16</v>
      </c>
      <c r="B1504" s="1" t="s">
        <v>140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16</v>
      </c>
      <c r="B1505" s="1" t="s">
        <v>140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16</v>
      </c>
      <c r="B1506" s="1" t="s">
        <v>141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16</v>
      </c>
      <c r="B1507" s="1" t="s">
        <v>141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16</v>
      </c>
      <c r="B1508" s="1" t="s">
        <v>142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16</v>
      </c>
      <c r="B1509" s="1" t="s">
        <v>142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16</v>
      </c>
      <c r="B1510" s="1" t="s">
        <v>143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16</v>
      </c>
      <c r="B1511" s="1" t="s">
        <v>143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16</v>
      </c>
      <c r="B1512" s="1" t="s">
        <v>144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16</v>
      </c>
      <c r="B1513" s="1" t="s">
        <v>144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16</v>
      </c>
      <c r="B1514" s="1" t="s">
        <v>145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16</v>
      </c>
      <c r="B1515" s="1" t="s">
        <v>145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16</v>
      </c>
      <c r="B1516" s="1" t="s">
        <v>146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16</v>
      </c>
      <c r="B1517" s="1" t="s">
        <v>146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16</v>
      </c>
      <c r="B1518" s="1" t="s">
        <v>147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16</v>
      </c>
      <c r="B1519" s="1" t="s">
        <v>147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16</v>
      </c>
      <c r="B1520" s="1" t="s">
        <v>159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16</v>
      </c>
      <c r="B1521" s="1" t="s">
        <v>159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16</v>
      </c>
      <c r="B1522" s="1" t="s">
        <v>160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16</v>
      </c>
      <c r="B1523" s="1" t="s">
        <v>160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16</v>
      </c>
      <c r="B1524" s="1" t="s">
        <v>161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16</v>
      </c>
      <c r="B1525" s="1" t="s">
        <v>161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16</v>
      </c>
      <c r="B1526" s="1" t="s">
        <v>162</v>
      </c>
      <c r="C1526" s="1" t="s">
        <v>25</v>
      </c>
      <c r="D1526" s="1">
        <v>0</v>
      </c>
      <c r="E1526" s="1">
        <v>-632.94000000000005</v>
      </c>
      <c r="F1526" s="1">
        <v>0</v>
      </c>
      <c r="G1526" s="1">
        <v>10443.460999999999</v>
      </c>
      <c r="H1526" s="1">
        <v>0</v>
      </c>
      <c r="I1526" s="1">
        <v>-5063.4960000000001</v>
      </c>
    </row>
    <row r="1527" spans="1:9" hidden="1" x14ac:dyDescent="0.25">
      <c r="A1527" s="1" t="s">
        <v>16</v>
      </c>
      <c r="B1527" s="1" t="s">
        <v>162</v>
      </c>
      <c r="C1527" s="1" t="s">
        <v>10</v>
      </c>
      <c r="D1527" s="1">
        <v>0</v>
      </c>
      <c r="E1527" s="1">
        <v>-632.94000000000005</v>
      </c>
      <c r="F1527" s="1">
        <v>0</v>
      </c>
      <c r="G1527" s="1">
        <v>10443.460999999999</v>
      </c>
      <c r="H1527" s="1">
        <v>0</v>
      </c>
      <c r="I1527" s="1">
        <v>-7595.2439999999997</v>
      </c>
    </row>
    <row r="1528" spans="1:9" hidden="1" x14ac:dyDescent="0.25">
      <c r="A1528" s="1" t="s">
        <v>16</v>
      </c>
      <c r="B1528" s="1" t="s">
        <v>163</v>
      </c>
      <c r="C1528" s="1" t="s">
        <v>25</v>
      </c>
      <c r="D1528" s="1">
        <v>0</v>
      </c>
      <c r="E1528" s="1">
        <v>-632.94000000000005</v>
      </c>
      <c r="F1528" s="1">
        <v>0</v>
      </c>
      <c r="G1528" s="1">
        <v>8544.65</v>
      </c>
      <c r="H1528" s="1">
        <v>0</v>
      </c>
      <c r="I1528" s="1">
        <v>-5063.4960000000001</v>
      </c>
    </row>
    <row r="1529" spans="1:9" hidden="1" x14ac:dyDescent="0.25">
      <c r="A1529" s="1" t="s">
        <v>16</v>
      </c>
      <c r="B1529" s="1" t="s">
        <v>163</v>
      </c>
      <c r="C1529" s="1" t="s">
        <v>10</v>
      </c>
      <c r="D1529" s="1">
        <v>0</v>
      </c>
      <c r="E1529" s="1">
        <v>-632.94000000000005</v>
      </c>
      <c r="F1529" s="1">
        <v>0</v>
      </c>
      <c r="G1529" s="1">
        <v>8544.65</v>
      </c>
      <c r="H1529" s="1">
        <v>0</v>
      </c>
      <c r="I1529" s="1">
        <v>-7595.2439999999997</v>
      </c>
    </row>
    <row r="1530" spans="1:9" hidden="1" x14ac:dyDescent="0.25">
      <c r="A1530" s="1" t="s">
        <v>16</v>
      </c>
      <c r="B1530" s="1" t="s">
        <v>164</v>
      </c>
      <c r="C1530" s="1" t="s">
        <v>25</v>
      </c>
      <c r="D1530" s="1">
        <v>0</v>
      </c>
      <c r="E1530" s="1">
        <v>632.94000000000005</v>
      </c>
      <c r="F1530" s="1">
        <v>0</v>
      </c>
      <c r="G1530" s="1">
        <v>-10443.460999999999</v>
      </c>
      <c r="H1530" s="1">
        <v>0</v>
      </c>
      <c r="I1530" s="1">
        <v>5063.4960000000001</v>
      </c>
    </row>
    <row r="1531" spans="1:9" hidden="1" x14ac:dyDescent="0.25">
      <c r="A1531" s="1" t="s">
        <v>16</v>
      </c>
      <c r="B1531" s="1" t="s">
        <v>164</v>
      </c>
      <c r="C1531" s="1" t="s">
        <v>10</v>
      </c>
      <c r="D1531" s="1">
        <v>0</v>
      </c>
      <c r="E1531" s="1">
        <v>632.94000000000005</v>
      </c>
      <c r="F1531" s="1">
        <v>0</v>
      </c>
      <c r="G1531" s="1">
        <v>-10443.460999999999</v>
      </c>
      <c r="H1531" s="1">
        <v>0</v>
      </c>
      <c r="I1531" s="1">
        <v>7595.2439999999997</v>
      </c>
    </row>
    <row r="1532" spans="1:9" hidden="1" x14ac:dyDescent="0.25">
      <c r="A1532" s="1" t="s">
        <v>16</v>
      </c>
      <c r="B1532" s="1" t="s">
        <v>165</v>
      </c>
      <c r="C1532" s="1" t="s">
        <v>25</v>
      </c>
      <c r="D1532" s="1">
        <v>0</v>
      </c>
      <c r="E1532" s="1">
        <v>632.94000000000005</v>
      </c>
      <c r="F1532" s="1">
        <v>0</v>
      </c>
      <c r="G1532" s="1">
        <v>-8544.65</v>
      </c>
      <c r="H1532" s="1">
        <v>0</v>
      </c>
      <c r="I1532" s="1">
        <v>5063.4960000000001</v>
      </c>
    </row>
    <row r="1533" spans="1:9" hidden="1" x14ac:dyDescent="0.25">
      <c r="A1533" s="1" t="s">
        <v>16</v>
      </c>
      <c r="B1533" s="1" t="s">
        <v>165</v>
      </c>
      <c r="C1533" s="1" t="s">
        <v>10</v>
      </c>
      <c r="D1533" s="1">
        <v>0</v>
      </c>
      <c r="E1533" s="1">
        <v>632.94000000000005</v>
      </c>
      <c r="F1533" s="1">
        <v>0</v>
      </c>
      <c r="G1533" s="1">
        <v>-8544.65</v>
      </c>
      <c r="H1533" s="1">
        <v>0</v>
      </c>
      <c r="I1533" s="1">
        <v>7595.2439999999997</v>
      </c>
    </row>
    <row r="1534" spans="1:9" hidden="1" x14ac:dyDescent="0.25">
      <c r="A1534" s="1" t="s">
        <v>16</v>
      </c>
      <c r="B1534" s="1" t="s">
        <v>166</v>
      </c>
      <c r="C1534" s="1" t="s">
        <v>25</v>
      </c>
      <c r="D1534" s="1">
        <v>0</v>
      </c>
      <c r="E1534" s="1">
        <v>0</v>
      </c>
      <c r="F1534" s="1">
        <v>-765.07</v>
      </c>
      <c r="G1534" s="1">
        <v>-15148.319</v>
      </c>
      <c r="H1534" s="1">
        <v>6120.5330000000004</v>
      </c>
      <c r="I1534" s="1">
        <v>0</v>
      </c>
    </row>
    <row r="1535" spans="1:9" hidden="1" x14ac:dyDescent="0.25">
      <c r="A1535" s="1" t="s">
        <v>16</v>
      </c>
      <c r="B1535" s="1" t="s">
        <v>166</v>
      </c>
      <c r="C1535" s="1" t="s">
        <v>10</v>
      </c>
      <c r="D1535" s="1">
        <v>0</v>
      </c>
      <c r="E1535" s="1">
        <v>0</v>
      </c>
      <c r="F1535" s="1">
        <v>-765.07</v>
      </c>
      <c r="G1535" s="1">
        <v>-15148.319</v>
      </c>
      <c r="H1535" s="1">
        <v>9180.7999999999993</v>
      </c>
      <c r="I1535" s="1">
        <v>0</v>
      </c>
    </row>
    <row r="1536" spans="1:9" hidden="1" x14ac:dyDescent="0.25">
      <c r="A1536" s="1" t="s">
        <v>16</v>
      </c>
      <c r="B1536" s="1" t="s">
        <v>167</v>
      </c>
      <c r="C1536" s="1" t="s">
        <v>25</v>
      </c>
      <c r="D1536" s="1">
        <v>0</v>
      </c>
      <c r="E1536" s="1">
        <v>0</v>
      </c>
      <c r="F1536" s="1">
        <v>-765.07</v>
      </c>
      <c r="G1536" s="1">
        <v>-12394.08</v>
      </c>
      <c r="H1536" s="1">
        <v>6120.5330000000004</v>
      </c>
      <c r="I1536" s="1">
        <v>0</v>
      </c>
    </row>
    <row r="1537" spans="1:9" hidden="1" x14ac:dyDescent="0.25">
      <c r="A1537" s="1" t="s">
        <v>16</v>
      </c>
      <c r="B1537" s="1" t="s">
        <v>167</v>
      </c>
      <c r="C1537" s="1" t="s">
        <v>10</v>
      </c>
      <c r="D1537" s="1">
        <v>0</v>
      </c>
      <c r="E1537" s="1">
        <v>0</v>
      </c>
      <c r="F1537" s="1">
        <v>-765.07</v>
      </c>
      <c r="G1537" s="1">
        <v>-12394.08</v>
      </c>
      <c r="H1537" s="1">
        <v>9180.7999999999993</v>
      </c>
      <c r="I1537" s="1">
        <v>0</v>
      </c>
    </row>
    <row r="1538" spans="1:9" hidden="1" x14ac:dyDescent="0.25">
      <c r="A1538" s="1" t="s">
        <v>16</v>
      </c>
      <c r="B1538" s="1" t="s">
        <v>168</v>
      </c>
      <c r="C1538" s="1" t="s">
        <v>25</v>
      </c>
      <c r="D1538" s="1">
        <v>0</v>
      </c>
      <c r="E1538" s="1">
        <v>0</v>
      </c>
      <c r="F1538" s="1">
        <v>765.07</v>
      </c>
      <c r="G1538" s="1">
        <v>15148.319</v>
      </c>
      <c r="H1538" s="1">
        <v>-6120.5330000000004</v>
      </c>
      <c r="I1538" s="1">
        <v>0</v>
      </c>
    </row>
    <row r="1539" spans="1:9" hidden="1" x14ac:dyDescent="0.25">
      <c r="A1539" s="1" t="s">
        <v>16</v>
      </c>
      <c r="B1539" s="1" t="s">
        <v>168</v>
      </c>
      <c r="C1539" s="1" t="s">
        <v>10</v>
      </c>
      <c r="D1539" s="1">
        <v>0</v>
      </c>
      <c r="E1539" s="1">
        <v>0</v>
      </c>
      <c r="F1539" s="1">
        <v>765.07</v>
      </c>
      <c r="G1539" s="1">
        <v>15148.319</v>
      </c>
      <c r="H1539" s="1">
        <v>-9180.7999999999993</v>
      </c>
      <c r="I1539" s="1">
        <v>0</v>
      </c>
    </row>
    <row r="1540" spans="1:9" hidden="1" x14ac:dyDescent="0.25">
      <c r="A1540" s="1" t="s">
        <v>16</v>
      </c>
      <c r="B1540" s="1" t="s">
        <v>169</v>
      </c>
      <c r="C1540" s="1" t="s">
        <v>25</v>
      </c>
      <c r="D1540" s="1">
        <v>0</v>
      </c>
      <c r="E1540" s="1">
        <v>0</v>
      </c>
      <c r="F1540" s="1">
        <v>765.07</v>
      </c>
      <c r="G1540" s="1">
        <v>12394.08</v>
      </c>
      <c r="H1540" s="1">
        <v>-6120.5330000000004</v>
      </c>
      <c r="I1540" s="1">
        <v>0</v>
      </c>
    </row>
    <row r="1541" spans="1:9" hidden="1" x14ac:dyDescent="0.25">
      <c r="A1541" s="1" t="s">
        <v>16</v>
      </c>
      <c r="B1541" s="1" t="s">
        <v>169</v>
      </c>
      <c r="C1541" s="1" t="s">
        <v>10</v>
      </c>
      <c r="D1541" s="1">
        <v>0</v>
      </c>
      <c r="E1541" s="1">
        <v>0</v>
      </c>
      <c r="F1541" s="1">
        <v>765.07</v>
      </c>
      <c r="G1541" s="1">
        <v>12394.08</v>
      </c>
      <c r="H1541" s="1">
        <v>-9180.7999999999993</v>
      </c>
      <c r="I1541" s="1">
        <v>0</v>
      </c>
    </row>
    <row r="1542" spans="1:9" hidden="1" x14ac:dyDescent="0.25">
      <c r="A1542" s="1" t="s">
        <v>16</v>
      </c>
      <c r="B1542" s="1" t="s">
        <v>170</v>
      </c>
      <c r="C1542" s="1" t="s">
        <v>25</v>
      </c>
      <c r="D1542" s="1">
        <v>0</v>
      </c>
      <c r="E1542" s="1">
        <v>-632.94000000000005</v>
      </c>
      <c r="F1542" s="1">
        <v>0</v>
      </c>
      <c r="G1542" s="1">
        <v>10443.460999999999</v>
      </c>
      <c r="H1542" s="1">
        <v>0</v>
      </c>
      <c r="I1542" s="1">
        <v>-5063.4960000000001</v>
      </c>
    </row>
    <row r="1543" spans="1:9" hidden="1" x14ac:dyDescent="0.25">
      <c r="A1543" s="1" t="s">
        <v>16</v>
      </c>
      <c r="B1543" s="1" t="s">
        <v>170</v>
      </c>
      <c r="C1543" s="1" t="s">
        <v>10</v>
      </c>
      <c r="D1543" s="1">
        <v>0</v>
      </c>
      <c r="E1543" s="1">
        <v>-632.94000000000005</v>
      </c>
      <c r="F1543" s="1">
        <v>0</v>
      </c>
      <c r="G1543" s="1">
        <v>10443.460999999999</v>
      </c>
      <c r="H1543" s="1">
        <v>0</v>
      </c>
      <c r="I1543" s="1">
        <v>-7595.2439999999997</v>
      </c>
    </row>
    <row r="1544" spans="1:9" hidden="1" x14ac:dyDescent="0.25">
      <c r="A1544" s="1" t="s">
        <v>16</v>
      </c>
      <c r="B1544" s="1" t="s">
        <v>171</v>
      </c>
      <c r="C1544" s="1" t="s">
        <v>25</v>
      </c>
      <c r="D1544" s="1">
        <v>0</v>
      </c>
      <c r="E1544" s="1">
        <v>-632.94000000000005</v>
      </c>
      <c r="F1544" s="1">
        <v>0</v>
      </c>
      <c r="G1544" s="1">
        <v>8544.65</v>
      </c>
      <c r="H1544" s="1">
        <v>0</v>
      </c>
      <c r="I1544" s="1">
        <v>-5063.4960000000001</v>
      </c>
    </row>
    <row r="1545" spans="1:9" hidden="1" x14ac:dyDescent="0.25">
      <c r="A1545" s="1" t="s">
        <v>16</v>
      </c>
      <c r="B1545" s="1" t="s">
        <v>171</v>
      </c>
      <c r="C1545" s="1" t="s">
        <v>10</v>
      </c>
      <c r="D1545" s="1">
        <v>0</v>
      </c>
      <c r="E1545" s="1">
        <v>-632.94000000000005</v>
      </c>
      <c r="F1545" s="1">
        <v>0</v>
      </c>
      <c r="G1545" s="1">
        <v>8544.65</v>
      </c>
      <c r="H1545" s="1">
        <v>0</v>
      </c>
      <c r="I1545" s="1">
        <v>-7595.2439999999997</v>
      </c>
    </row>
    <row r="1546" spans="1:9" hidden="1" x14ac:dyDescent="0.25">
      <c r="A1546" s="1" t="s">
        <v>16</v>
      </c>
      <c r="B1546" s="1" t="s">
        <v>172</v>
      </c>
      <c r="C1546" s="1" t="s">
        <v>25</v>
      </c>
      <c r="D1546" s="1">
        <v>0</v>
      </c>
      <c r="E1546" s="1">
        <v>632.94000000000005</v>
      </c>
      <c r="F1546" s="1">
        <v>0</v>
      </c>
      <c r="G1546" s="1">
        <v>-10443.460999999999</v>
      </c>
      <c r="H1546" s="1">
        <v>0</v>
      </c>
      <c r="I1546" s="1">
        <v>5063.4960000000001</v>
      </c>
    </row>
    <row r="1547" spans="1:9" hidden="1" x14ac:dyDescent="0.25">
      <c r="A1547" s="1" t="s">
        <v>16</v>
      </c>
      <c r="B1547" s="1" t="s">
        <v>172</v>
      </c>
      <c r="C1547" s="1" t="s">
        <v>10</v>
      </c>
      <c r="D1547" s="1">
        <v>0</v>
      </c>
      <c r="E1547" s="1">
        <v>632.94000000000005</v>
      </c>
      <c r="F1547" s="1">
        <v>0</v>
      </c>
      <c r="G1547" s="1">
        <v>-10443.460999999999</v>
      </c>
      <c r="H1547" s="1">
        <v>0</v>
      </c>
      <c r="I1547" s="1">
        <v>7595.2439999999997</v>
      </c>
    </row>
    <row r="1548" spans="1:9" hidden="1" x14ac:dyDescent="0.25">
      <c r="A1548" s="1" t="s">
        <v>16</v>
      </c>
      <c r="B1548" s="1" t="s">
        <v>173</v>
      </c>
      <c r="C1548" s="1" t="s">
        <v>25</v>
      </c>
      <c r="D1548" s="1">
        <v>0</v>
      </c>
      <c r="E1548" s="1">
        <v>632.94000000000005</v>
      </c>
      <c r="F1548" s="1">
        <v>0</v>
      </c>
      <c r="G1548" s="1">
        <v>-8544.65</v>
      </c>
      <c r="H1548" s="1">
        <v>0</v>
      </c>
      <c r="I1548" s="1">
        <v>5063.4960000000001</v>
      </c>
    </row>
    <row r="1549" spans="1:9" hidden="1" x14ac:dyDescent="0.25">
      <c r="A1549" s="1" t="s">
        <v>16</v>
      </c>
      <c r="B1549" s="1" t="s">
        <v>173</v>
      </c>
      <c r="C1549" s="1" t="s">
        <v>10</v>
      </c>
      <c r="D1549" s="1">
        <v>0</v>
      </c>
      <c r="E1549" s="1">
        <v>632.94000000000005</v>
      </c>
      <c r="F1549" s="1">
        <v>0</v>
      </c>
      <c r="G1549" s="1">
        <v>-8544.65</v>
      </c>
      <c r="H1549" s="1">
        <v>0</v>
      </c>
      <c r="I1549" s="1">
        <v>7595.2439999999997</v>
      </c>
    </row>
    <row r="1550" spans="1:9" hidden="1" x14ac:dyDescent="0.25">
      <c r="A1550" s="1" t="s">
        <v>16</v>
      </c>
      <c r="B1550" s="1" t="s">
        <v>174</v>
      </c>
      <c r="C1550" s="1" t="s">
        <v>25</v>
      </c>
      <c r="D1550" s="1">
        <v>0</v>
      </c>
      <c r="E1550" s="1">
        <v>0</v>
      </c>
      <c r="F1550" s="1">
        <v>-765.07</v>
      </c>
      <c r="G1550" s="1">
        <v>-15148.319</v>
      </c>
      <c r="H1550" s="1">
        <v>6120.5330000000004</v>
      </c>
      <c r="I1550" s="1">
        <v>0</v>
      </c>
    </row>
    <row r="1551" spans="1:9" hidden="1" x14ac:dyDescent="0.25">
      <c r="A1551" s="1" t="s">
        <v>16</v>
      </c>
      <c r="B1551" s="1" t="s">
        <v>174</v>
      </c>
      <c r="C1551" s="1" t="s">
        <v>10</v>
      </c>
      <c r="D1551" s="1">
        <v>0</v>
      </c>
      <c r="E1551" s="1">
        <v>0</v>
      </c>
      <c r="F1551" s="1">
        <v>-765.07</v>
      </c>
      <c r="G1551" s="1">
        <v>-15148.319</v>
      </c>
      <c r="H1551" s="1">
        <v>9180.7999999999993</v>
      </c>
      <c r="I1551" s="1">
        <v>0</v>
      </c>
    </row>
    <row r="1552" spans="1:9" hidden="1" x14ac:dyDescent="0.25">
      <c r="A1552" s="1" t="s">
        <v>16</v>
      </c>
      <c r="B1552" s="1" t="s">
        <v>175</v>
      </c>
      <c r="C1552" s="1" t="s">
        <v>25</v>
      </c>
      <c r="D1552" s="1">
        <v>0</v>
      </c>
      <c r="E1552" s="1">
        <v>0</v>
      </c>
      <c r="F1552" s="1">
        <v>-765.07</v>
      </c>
      <c r="G1552" s="1">
        <v>-12394.08</v>
      </c>
      <c r="H1552" s="1">
        <v>6120.5330000000004</v>
      </c>
      <c r="I1552" s="1">
        <v>0</v>
      </c>
    </row>
    <row r="1553" spans="1:9" hidden="1" x14ac:dyDescent="0.25">
      <c r="A1553" s="1" t="s">
        <v>16</v>
      </c>
      <c r="B1553" s="1" t="s">
        <v>175</v>
      </c>
      <c r="C1553" s="1" t="s">
        <v>10</v>
      </c>
      <c r="D1553" s="1">
        <v>0</v>
      </c>
      <c r="E1553" s="1">
        <v>0</v>
      </c>
      <c r="F1553" s="1">
        <v>-765.07</v>
      </c>
      <c r="G1553" s="1">
        <v>-12394.08</v>
      </c>
      <c r="H1553" s="1">
        <v>9180.7999999999993</v>
      </c>
      <c r="I1553" s="1">
        <v>0</v>
      </c>
    </row>
    <row r="1554" spans="1:9" hidden="1" x14ac:dyDescent="0.25">
      <c r="A1554" s="1" t="s">
        <v>16</v>
      </c>
      <c r="B1554" s="1" t="s">
        <v>176</v>
      </c>
      <c r="C1554" s="1" t="s">
        <v>25</v>
      </c>
      <c r="D1554" s="1">
        <v>0</v>
      </c>
      <c r="E1554" s="1">
        <v>0</v>
      </c>
      <c r="F1554" s="1">
        <v>765.07</v>
      </c>
      <c r="G1554" s="1">
        <v>15148.319</v>
      </c>
      <c r="H1554" s="1">
        <v>-6120.5330000000004</v>
      </c>
      <c r="I1554" s="1">
        <v>0</v>
      </c>
    </row>
    <row r="1555" spans="1:9" hidden="1" x14ac:dyDescent="0.25">
      <c r="A1555" s="1" t="s">
        <v>16</v>
      </c>
      <c r="B1555" s="1" t="s">
        <v>176</v>
      </c>
      <c r="C1555" s="1" t="s">
        <v>10</v>
      </c>
      <c r="D1555" s="1">
        <v>0</v>
      </c>
      <c r="E1555" s="1">
        <v>0</v>
      </c>
      <c r="F1555" s="1">
        <v>765.07</v>
      </c>
      <c r="G1555" s="1">
        <v>15148.319</v>
      </c>
      <c r="H1555" s="1">
        <v>-9180.7999999999993</v>
      </c>
      <c r="I1555" s="1">
        <v>0</v>
      </c>
    </row>
    <row r="1556" spans="1:9" hidden="1" x14ac:dyDescent="0.25">
      <c r="A1556" s="1" t="s">
        <v>16</v>
      </c>
      <c r="B1556" s="1" t="s">
        <v>177</v>
      </c>
      <c r="C1556" s="1" t="s">
        <v>25</v>
      </c>
      <c r="D1556" s="1">
        <v>0</v>
      </c>
      <c r="E1556" s="1">
        <v>0</v>
      </c>
      <c r="F1556" s="1">
        <v>765.07</v>
      </c>
      <c r="G1556" s="1">
        <v>12394.08</v>
      </c>
      <c r="H1556" s="1">
        <v>-6120.5330000000004</v>
      </c>
      <c r="I1556" s="1">
        <v>0</v>
      </c>
    </row>
    <row r="1557" spans="1:9" hidden="1" x14ac:dyDescent="0.25">
      <c r="A1557" s="1" t="s">
        <v>16</v>
      </c>
      <c r="B1557" s="1" t="s">
        <v>177</v>
      </c>
      <c r="C1557" s="1" t="s">
        <v>10</v>
      </c>
      <c r="D1557" s="1">
        <v>0</v>
      </c>
      <c r="E1557" s="1">
        <v>0</v>
      </c>
      <c r="F1557" s="1">
        <v>765.07</v>
      </c>
      <c r="G1557" s="1">
        <v>12394.08</v>
      </c>
      <c r="H1557" s="1">
        <v>-9180.7999999999993</v>
      </c>
      <c r="I1557" s="1">
        <v>0</v>
      </c>
    </row>
    <row r="1558" spans="1:9" hidden="1" x14ac:dyDescent="0.25">
      <c r="A1558" s="1" t="s">
        <v>16</v>
      </c>
      <c r="B1558" s="1" t="s">
        <v>178</v>
      </c>
      <c r="C1558" s="1" t="s">
        <v>25</v>
      </c>
      <c r="D1558" s="1">
        <v>0</v>
      </c>
      <c r="E1558" s="1">
        <v>-189.88</v>
      </c>
      <c r="F1558" s="1">
        <v>0</v>
      </c>
      <c r="G1558" s="1">
        <v>3133.038</v>
      </c>
      <c r="H1558" s="1">
        <v>0</v>
      </c>
      <c r="I1558" s="1">
        <v>-1519.049</v>
      </c>
    </row>
    <row r="1559" spans="1:9" hidden="1" x14ac:dyDescent="0.25">
      <c r="A1559" s="1" t="s">
        <v>16</v>
      </c>
      <c r="B1559" s="1" t="s">
        <v>178</v>
      </c>
      <c r="C1559" s="1" t="s">
        <v>10</v>
      </c>
      <c r="D1559" s="1">
        <v>0</v>
      </c>
      <c r="E1559" s="1">
        <v>-189.88</v>
      </c>
      <c r="F1559" s="1">
        <v>0</v>
      </c>
      <c r="G1559" s="1">
        <v>3133.038</v>
      </c>
      <c r="H1559" s="1">
        <v>0</v>
      </c>
      <c r="I1559" s="1">
        <v>-2278.5729999999999</v>
      </c>
    </row>
    <row r="1560" spans="1:9" hidden="1" x14ac:dyDescent="0.25">
      <c r="A1560" s="1" t="s">
        <v>16</v>
      </c>
      <c r="B1560" s="1" t="s">
        <v>179</v>
      </c>
      <c r="C1560" s="1" t="s">
        <v>25</v>
      </c>
      <c r="D1560" s="1">
        <v>0</v>
      </c>
      <c r="E1560" s="1">
        <v>-189.88</v>
      </c>
      <c r="F1560" s="1">
        <v>0</v>
      </c>
      <c r="G1560" s="1">
        <v>2563.395</v>
      </c>
      <c r="H1560" s="1">
        <v>0</v>
      </c>
      <c r="I1560" s="1">
        <v>-1519.049</v>
      </c>
    </row>
    <row r="1561" spans="1:9" hidden="1" x14ac:dyDescent="0.25">
      <c r="A1561" s="1" t="s">
        <v>16</v>
      </c>
      <c r="B1561" s="1" t="s">
        <v>179</v>
      </c>
      <c r="C1561" s="1" t="s">
        <v>10</v>
      </c>
      <c r="D1561" s="1">
        <v>0</v>
      </c>
      <c r="E1561" s="1">
        <v>-189.88</v>
      </c>
      <c r="F1561" s="1">
        <v>0</v>
      </c>
      <c r="G1561" s="1">
        <v>2563.395</v>
      </c>
      <c r="H1561" s="1">
        <v>0</v>
      </c>
      <c r="I1561" s="1">
        <v>-2278.5729999999999</v>
      </c>
    </row>
    <row r="1562" spans="1:9" hidden="1" x14ac:dyDescent="0.25">
      <c r="A1562" s="1" t="s">
        <v>16</v>
      </c>
      <c r="B1562" s="1" t="s">
        <v>180</v>
      </c>
      <c r="C1562" s="1" t="s">
        <v>25</v>
      </c>
      <c r="D1562" s="1">
        <v>0</v>
      </c>
      <c r="E1562" s="1">
        <v>189.88</v>
      </c>
      <c r="F1562" s="1">
        <v>0</v>
      </c>
      <c r="G1562" s="1">
        <v>-3133.038</v>
      </c>
      <c r="H1562" s="1">
        <v>0</v>
      </c>
      <c r="I1562" s="1">
        <v>1519.049</v>
      </c>
    </row>
    <row r="1563" spans="1:9" hidden="1" x14ac:dyDescent="0.25">
      <c r="A1563" s="1" t="s">
        <v>16</v>
      </c>
      <c r="B1563" s="1" t="s">
        <v>180</v>
      </c>
      <c r="C1563" s="1" t="s">
        <v>10</v>
      </c>
      <c r="D1563" s="1">
        <v>0</v>
      </c>
      <c r="E1563" s="1">
        <v>189.88</v>
      </c>
      <c r="F1563" s="1">
        <v>0</v>
      </c>
      <c r="G1563" s="1">
        <v>-3133.038</v>
      </c>
      <c r="H1563" s="1">
        <v>0</v>
      </c>
      <c r="I1563" s="1">
        <v>2278.5729999999999</v>
      </c>
    </row>
    <row r="1564" spans="1:9" hidden="1" x14ac:dyDescent="0.25">
      <c r="A1564" s="1" t="s">
        <v>16</v>
      </c>
      <c r="B1564" s="1" t="s">
        <v>181</v>
      </c>
      <c r="C1564" s="1" t="s">
        <v>25</v>
      </c>
      <c r="D1564" s="1">
        <v>0</v>
      </c>
      <c r="E1564" s="1">
        <v>189.88</v>
      </c>
      <c r="F1564" s="1">
        <v>0</v>
      </c>
      <c r="G1564" s="1">
        <v>-2563.395</v>
      </c>
      <c r="H1564" s="1">
        <v>0</v>
      </c>
      <c r="I1564" s="1">
        <v>1519.049</v>
      </c>
    </row>
    <row r="1565" spans="1:9" hidden="1" x14ac:dyDescent="0.25">
      <c r="A1565" s="1" t="s">
        <v>16</v>
      </c>
      <c r="B1565" s="1" t="s">
        <v>181</v>
      </c>
      <c r="C1565" s="1" t="s">
        <v>10</v>
      </c>
      <c r="D1565" s="1">
        <v>0</v>
      </c>
      <c r="E1565" s="1">
        <v>189.88</v>
      </c>
      <c r="F1565" s="1">
        <v>0</v>
      </c>
      <c r="G1565" s="1">
        <v>-2563.395</v>
      </c>
      <c r="H1565" s="1">
        <v>0</v>
      </c>
      <c r="I1565" s="1">
        <v>2278.5729999999999</v>
      </c>
    </row>
    <row r="1566" spans="1:9" hidden="1" x14ac:dyDescent="0.25">
      <c r="A1566" s="1" t="s">
        <v>16</v>
      </c>
      <c r="B1566" s="1" t="s">
        <v>182</v>
      </c>
      <c r="C1566" s="1" t="s">
        <v>25</v>
      </c>
      <c r="D1566" s="1">
        <v>0</v>
      </c>
      <c r="E1566" s="1">
        <v>0</v>
      </c>
      <c r="F1566" s="1">
        <v>-229.52</v>
      </c>
      <c r="G1566" s="1">
        <v>-4544.4960000000001</v>
      </c>
      <c r="H1566" s="1">
        <v>1836.16</v>
      </c>
      <c r="I1566" s="1">
        <v>0</v>
      </c>
    </row>
    <row r="1567" spans="1:9" hidden="1" x14ac:dyDescent="0.25">
      <c r="A1567" s="1" t="s">
        <v>16</v>
      </c>
      <c r="B1567" s="1" t="s">
        <v>182</v>
      </c>
      <c r="C1567" s="1" t="s">
        <v>10</v>
      </c>
      <c r="D1567" s="1">
        <v>0</v>
      </c>
      <c r="E1567" s="1">
        <v>0</v>
      </c>
      <c r="F1567" s="1">
        <v>-229.52</v>
      </c>
      <c r="G1567" s="1">
        <v>-4544.4960000000001</v>
      </c>
      <c r="H1567" s="1">
        <v>2754.24</v>
      </c>
      <c r="I1567" s="1">
        <v>0</v>
      </c>
    </row>
    <row r="1568" spans="1:9" hidden="1" x14ac:dyDescent="0.25">
      <c r="A1568" s="1" t="s">
        <v>16</v>
      </c>
      <c r="B1568" s="1" t="s">
        <v>183</v>
      </c>
      <c r="C1568" s="1" t="s">
        <v>25</v>
      </c>
      <c r="D1568" s="1">
        <v>0</v>
      </c>
      <c r="E1568" s="1">
        <v>0</v>
      </c>
      <c r="F1568" s="1">
        <v>-229.52</v>
      </c>
      <c r="G1568" s="1">
        <v>-3718.2240000000002</v>
      </c>
      <c r="H1568" s="1">
        <v>1836.16</v>
      </c>
      <c r="I1568" s="1">
        <v>0</v>
      </c>
    </row>
    <row r="1569" spans="1:9" hidden="1" x14ac:dyDescent="0.25">
      <c r="A1569" s="1" t="s">
        <v>16</v>
      </c>
      <c r="B1569" s="1" t="s">
        <v>183</v>
      </c>
      <c r="C1569" s="1" t="s">
        <v>10</v>
      </c>
      <c r="D1569" s="1">
        <v>0</v>
      </c>
      <c r="E1569" s="1">
        <v>0</v>
      </c>
      <c r="F1569" s="1">
        <v>-229.52</v>
      </c>
      <c r="G1569" s="1">
        <v>-3718.2240000000002</v>
      </c>
      <c r="H1569" s="1">
        <v>2754.24</v>
      </c>
      <c r="I1569" s="1">
        <v>0</v>
      </c>
    </row>
    <row r="1570" spans="1:9" hidden="1" x14ac:dyDescent="0.25">
      <c r="A1570" s="1" t="s">
        <v>16</v>
      </c>
      <c r="B1570" s="1" t="s">
        <v>184</v>
      </c>
      <c r="C1570" s="1" t="s">
        <v>25</v>
      </c>
      <c r="D1570" s="1">
        <v>0</v>
      </c>
      <c r="E1570" s="1">
        <v>0</v>
      </c>
      <c r="F1570" s="1">
        <v>229.52</v>
      </c>
      <c r="G1570" s="1">
        <v>4544.4960000000001</v>
      </c>
      <c r="H1570" s="1">
        <v>-1836.16</v>
      </c>
      <c r="I1570" s="1">
        <v>0</v>
      </c>
    </row>
    <row r="1571" spans="1:9" hidden="1" x14ac:dyDescent="0.25">
      <c r="A1571" s="1" t="s">
        <v>16</v>
      </c>
      <c r="B1571" s="1" t="s">
        <v>184</v>
      </c>
      <c r="C1571" s="1" t="s">
        <v>10</v>
      </c>
      <c r="D1571" s="1">
        <v>0</v>
      </c>
      <c r="E1571" s="1">
        <v>0</v>
      </c>
      <c r="F1571" s="1">
        <v>229.52</v>
      </c>
      <c r="G1571" s="1">
        <v>4544.4960000000001</v>
      </c>
      <c r="H1571" s="1">
        <v>-2754.24</v>
      </c>
      <c r="I1571" s="1">
        <v>0</v>
      </c>
    </row>
    <row r="1572" spans="1:9" hidden="1" x14ac:dyDescent="0.25">
      <c r="A1572" s="1" t="s">
        <v>16</v>
      </c>
      <c r="B1572" s="1" t="s">
        <v>185</v>
      </c>
      <c r="C1572" s="1" t="s">
        <v>25</v>
      </c>
      <c r="D1572" s="1">
        <v>0</v>
      </c>
      <c r="E1572" s="1">
        <v>0</v>
      </c>
      <c r="F1572" s="1">
        <v>229.52</v>
      </c>
      <c r="G1572" s="1">
        <v>3718.2240000000002</v>
      </c>
      <c r="H1572" s="1">
        <v>-1836.16</v>
      </c>
      <c r="I1572" s="1">
        <v>0</v>
      </c>
    </row>
    <row r="1573" spans="1:9" hidden="1" x14ac:dyDescent="0.25">
      <c r="A1573" s="1" t="s">
        <v>16</v>
      </c>
      <c r="B1573" s="1" t="s">
        <v>185</v>
      </c>
      <c r="C1573" s="1" t="s">
        <v>10</v>
      </c>
      <c r="D1573" s="1">
        <v>0</v>
      </c>
      <c r="E1573" s="1">
        <v>0</v>
      </c>
      <c r="F1573" s="1">
        <v>229.52</v>
      </c>
      <c r="G1573" s="1">
        <v>3718.2240000000002</v>
      </c>
      <c r="H1573" s="1">
        <v>-2754.24</v>
      </c>
      <c r="I1573" s="1">
        <v>0</v>
      </c>
    </row>
    <row r="1574" spans="1:9" hidden="1" x14ac:dyDescent="0.25">
      <c r="A1574" s="1" t="s">
        <v>16</v>
      </c>
      <c r="B1574" s="1" t="s">
        <v>186</v>
      </c>
      <c r="C1574" s="1" t="s">
        <v>25</v>
      </c>
      <c r="D1574" s="1">
        <v>0</v>
      </c>
      <c r="E1574" s="1">
        <v>-189.88</v>
      </c>
      <c r="F1574" s="1">
        <v>0</v>
      </c>
      <c r="G1574" s="1">
        <v>3133.038</v>
      </c>
      <c r="H1574" s="1">
        <v>0</v>
      </c>
      <c r="I1574" s="1">
        <v>-1519.049</v>
      </c>
    </row>
    <row r="1575" spans="1:9" hidden="1" x14ac:dyDescent="0.25">
      <c r="A1575" s="1" t="s">
        <v>16</v>
      </c>
      <c r="B1575" s="1" t="s">
        <v>186</v>
      </c>
      <c r="C1575" s="1" t="s">
        <v>10</v>
      </c>
      <c r="D1575" s="1">
        <v>0</v>
      </c>
      <c r="E1575" s="1">
        <v>-189.88</v>
      </c>
      <c r="F1575" s="1">
        <v>0</v>
      </c>
      <c r="G1575" s="1">
        <v>3133.038</v>
      </c>
      <c r="H1575" s="1">
        <v>0</v>
      </c>
      <c r="I1575" s="1">
        <v>-2278.5729999999999</v>
      </c>
    </row>
    <row r="1576" spans="1:9" hidden="1" x14ac:dyDescent="0.25">
      <c r="A1576" s="1" t="s">
        <v>16</v>
      </c>
      <c r="B1576" s="1" t="s">
        <v>187</v>
      </c>
      <c r="C1576" s="1" t="s">
        <v>25</v>
      </c>
      <c r="D1576" s="1">
        <v>0</v>
      </c>
      <c r="E1576" s="1">
        <v>-189.88</v>
      </c>
      <c r="F1576" s="1">
        <v>0</v>
      </c>
      <c r="G1576" s="1">
        <v>2563.395</v>
      </c>
      <c r="H1576" s="1">
        <v>0</v>
      </c>
      <c r="I1576" s="1">
        <v>-1519.049</v>
      </c>
    </row>
    <row r="1577" spans="1:9" hidden="1" x14ac:dyDescent="0.25">
      <c r="A1577" s="1" t="s">
        <v>16</v>
      </c>
      <c r="B1577" s="1" t="s">
        <v>187</v>
      </c>
      <c r="C1577" s="1" t="s">
        <v>10</v>
      </c>
      <c r="D1577" s="1">
        <v>0</v>
      </c>
      <c r="E1577" s="1">
        <v>-189.88</v>
      </c>
      <c r="F1577" s="1">
        <v>0</v>
      </c>
      <c r="G1577" s="1">
        <v>2563.395</v>
      </c>
      <c r="H1577" s="1">
        <v>0</v>
      </c>
      <c r="I1577" s="1">
        <v>-2278.5729999999999</v>
      </c>
    </row>
    <row r="1578" spans="1:9" hidden="1" x14ac:dyDescent="0.25">
      <c r="A1578" s="1" t="s">
        <v>16</v>
      </c>
      <c r="B1578" s="1" t="s">
        <v>188</v>
      </c>
      <c r="C1578" s="1" t="s">
        <v>25</v>
      </c>
      <c r="D1578" s="1">
        <v>0</v>
      </c>
      <c r="E1578" s="1">
        <v>189.88</v>
      </c>
      <c r="F1578" s="1">
        <v>0</v>
      </c>
      <c r="G1578" s="1">
        <v>-3133.038</v>
      </c>
      <c r="H1578" s="1">
        <v>0</v>
      </c>
      <c r="I1578" s="1">
        <v>1519.049</v>
      </c>
    </row>
    <row r="1579" spans="1:9" hidden="1" x14ac:dyDescent="0.25">
      <c r="A1579" s="1" t="s">
        <v>16</v>
      </c>
      <c r="B1579" s="1" t="s">
        <v>188</v>
      </c>
      <c r="C1579" s="1" t="s">
        <v>10</v>
      </c>
      <c r="D1579" s="1">
        <v>0</v>
      </c>
      <c r="E1579" s="1">
        <v>189.88</v>
      </c>
      <c r="F1579" s="1">
        <v>0</v>
      </c>
      <c r="G1579" s="1">
        <v>-3133.038</v>
      </c>
      <c r="H1579" s="1">
        <v>0</v>
      </c>
      <c r="I1579" s="1">
        <v>2278.5729999999999</v>
      </c>
    </row>
    <row r="1580" spans="1:9" hidden="1" x14ac:dyDescent="0.25">
      <c r="A1580" s="1" t="s">
        <v>16</v>
      </c>
      <c r="B1580" s="1" t="s">
        <v>189</v>
      </c>
      <c r="C1580" s="1" t="s">
        <v>25</v>
      </c>
      <c r="D1580" s="1">
        <v>0</v>
      </c>
      <c r="E1580" s="1">
        <v>189.88</v>
      </c>
      <c r="F1580" s="1">
        <v>0</v>
      </c>
      <c r="G1580" s="1">
        <v>-2563.395</v>
      </c>
      <c r="H1580" s="1">
        <v>0</v>
      </c>
      <c r="I1580" s="1">
        <v>1519.049</v>
      </c>
    </row>
    <row r="1581" spans="1:9" hidden="1" x14ac:dyDescent="0.25">
      <c r="A1581" s="1" t="s">
        <v>16</v>
      </c>
      <c r="B1581" s="1" t="s">
        <v>189</v>
      </c>
      <c r="C1581" s="1" t="s">
        <v>10</v>
      </c>
      <c r="D1581" s="1">
        <v>0</v>
      </c>
      <c r="E1581" s="1">
        <v>189.88</v>
      </c>
      <c r="F1581" s="1">
        <v>0</v>
      </c>
      <c r="G1581" s="1">
        <v>-2563.395</v>
      </c>
      <c r="H1581" s="1">
        <v>0</v>
      </c>
      <c r="I1581" s="1">
        <v>2278.5729999999999</v>
      </c>
    </row>
    <row r="1582" spans="1:9" hidden="1" x14ac:dyDescent="0.25">
      <c r="A1582" s="1" t="s">
        <v>16</v>
      </c>
      <c r="B1582" s="1" t="s">
        <v>190</v>
      </c>
      <c r="C1582" s="1" t="s">
        <v>25</v>
      </c>
      <c r="D1582" s="1">
        <v>0</v>
      </c>
      <c r="E1582" s="1">
        <v>0</v>
      </c>
      <c r="F1582" s="1">
        <v>-229.52</v>
      </c>
      <c r="G1582" s="1">
        <v>-4544.4960000000001</v>
      </c>
      <c r="H1582" s="1">
        <v>1836.16</v>
      </c>
      <c r="I1582" s="1">
        <v>0</v>
      </c>
    </row>
    <row r="1583" spans="1:9" hidden="1" x14ac:dyDescent="0.25">
      <c r="A1583" s="1" t="s">
        <v>16</v>
      </c>
      <c r="B1583" s="1" t="s">
        <v>190</v>
      </c>
      <c r="C1583" s="1" t="s">
        <v>10</v>
      </c>
      <c r="D1583" s="1">
        <v>0</v>
      </c>
      <c r="E1583" s="1">
        <v>0</v>
      </c>
      <c r="F1583" s="1">
        <v>-229.52</v>
      </c>
      <c r="G1583" s="1">
        <v>-4544.4960000000001</v>
      </c>
      <c r="H1583" s="1">
        <v>2754.24</v>
      </c>
      <c r="I1583" s="1">
        <v>0</v>
      </c>
    </row>
    <row r="1584" spans="1:9" hidden="1" x14ac:dyDescent="0.25">
      <c r="A1584" s="1" t="s">
        <v>16</v>
      </c>
      <c r="B1584" s="1" t="s">
        <v>191</v>
      </c>
      <c r="C1584" s="1" t="s">
        <v>25</v>
      </c>
      <c r="D1584" s="1">
        <v>0</v>
      </c>
      <c r="E1584" s="1">
        <v>0</v>
      </c>
      <c r="F1584" s="1">
        <v>-229.52</v>
      </c>
      <c r="G1584" s="1">
        <v>-3718.2240000000002</v>
      </c>
      <c r="H1584" s="1">
        <v>1836.16</v>
      </c>
      <c r="I1584" s="1">
        <v>0</v>
      </c>
    </row>
    <row r="1585" spans="1:9" hidden="1" x14ac:dyDescent="0.25">
      <c r="A1585" s="1" t="s">
        <v>16</v>
      </c>
      <c r="B1585" s="1" t="s">
        <v>191</v>
      </c>
      <c r="C1585" s="1" t="s">
        <v>10</v>
      </c>
      <c r="D1585" s="1">
        <v>0</v>
      </c>
      <c r="E1585" s="1">
        <v>0</v>
      </c>
      <c r="F1585" s="1">
        <v>-229.52</v>
      </c>
      <c r="G1585" s="1">
        <v>-3718.2240000000002</v>
      </c>
      <c r="H1585" s="1">
        <v>2754.24</v>
      </c>
      <c r="I1585" s="1">
        <v>0</v>
      </c>
    </row>
    <row r="1586" spans="1:9" hidden="1" x14ac:dyDescent="0.25">
      <c r="A1586" s="1" t="s">
        <v>16</v>
      </c>
      <c r="B1586" s="1" t="s">
        <v>192</v>
      </c>
      <c r="C1586" s="1" t="s">
        <v>25</v>
      </c>
      <c r="D1586" s="1">
        <v>0</v>
      </c>
      <c r="E1586" s="1">
        <v>0</v>
      </c>
      <c r="F1586" s="1">
        <v>229.52</v>
      </c>
      <c r="G1586" s="1">
        <v>4544.4960000000001</v>
      </c>
      <c r="H1586" s="1">
        <v>-1836.16</v>
      </c>
      <c r="I1586" s="1">
        <v>0</v>
      </c>
    </row>
    <row r="1587" spans="1:9" hidden="1" x14ac:dyDescent="0.25">
      <c r="A1587" s="1" t="s">
        <v>16</v>
      </c>
      <c r="B1587" s="1" t="s">
        <v>192</v>
      </c>
      <c r="C1587" s="1" t="s">
        <v>10</v>
      </c>
      <c r="D1587" s="1">
        <v>0</v>
      </c>
      <c r="E1587" s="1">
        <v>0</v>
      </c>
      <c r="F1587" s="1">
        <v>229.52</v>
      </c>
      <c r="G1587" s="1">
        <v>4544.4960000000001</v>
      </c>
      <c r="H1587" s="1">
        <v>-2754.24</v>
      </c>
      <c r="I1587" s="1">
        <v>0</v>
      </c>
    </row>
    <row r="1588" spans="1:9" hidden="1" x14ac:dyDescent="0.25">
      <c r="A1588" s="1" t="s">
        <v>16</v>
      </c>
      <c r="B1588" s="1" t="s">
        <v>193</v>
      </c>
      <c r="C1588" s="1" t="s">
        <v>25</v>
      </c>
      <c r="D1588" s="1">
        <v>0</v>
      </c>
      <c r="E1588" s="1">
        <v>0</v>
      </c>
      <c r="F1588" s="1">
        <v>229.52</v>
      </c>
      <c r="G1588" s="1">
        <v>3718.2240000000002</v>
      </c>
      <c r="H1588" s="1">
        <v>-1836.16</v>
      </c>
      <c r="I1588" s="1">
        <v>0</v>
      </c>
    </row>
    <row r="1589" spans="1:9" hidden="1" x14ac:dyDescent="0.25">
      <c r="A1589" s="1" t="s">
        <v>16</v>
      </c>
      <c r="B1589" s="1" t="s">
        <v>193</v>
      </c>
      <c r="C1589" s="1" t="s">
        <v>10</v>
      </c>
      <c r="D1589" s="1">
        <v>0</v>
      </c>
      <c r="E1589" s="1">
        <v>0</v>
      </c>
      <c r="F1589" s="1">
        <v>229.52</v>
      </c>
      <c r="G1589" s="1">
        <v>3718.2240000000002</v>
      </c>
      <c r="H1589" s="1">
        <v>-2754.24</v>
      </c>
      <c r="I1589" s="1">
        <v>0</v>
      </c>
    </row>
    <row r="1590" spans="1:9" hidden="1" x14ac:dyDescent="0.25">
      <c r="A1590" s="1" t="s">
        <v>16</v>
      </c>
      <c r="B1590" s="1" t="s">
        <v>194</v>
      </c>
      <c r="C1590" s="1" t="s">
        <v>25</v>
      </c>
      <c r="D1590" s="1">
        <v>0</v>
      </c>
      <c r="E1590" s="1">
        <v>-632.94000000000005</v>
      </c>
      <c r="F1590" s="1">
        <v>0</v>
      </c>
      <c r="G1590" s="1">
        <v>10443.460999999999</v>
      </c>
      <c r="H1590" s="1">
        <v>0</v>
      </c>
      <c r="I1590" s="1">
        <v>-5063.4960000000001</v>
      </c>
    </row>
    <row r="1591" spans="1:9" hidden="1" x14ac:dyDescent="0.25">
      <c r="A1591" s="1" t="s">
        <v>16</v>
      </c>
      <c r="B1591" s="1" t="s">
        <v>194</v>
      </c>
      <c r="C1591" s="1" t="s">
        <v>10</v>
      </c>
      <c r="D1591" s="1">
        <v>0</v>
      </c>
      <c r="E1591" s="1">
        <v>-632.94000000000005</v>
      </c>
      <c r="F1591" s="1">
        <v>0</v>
      </c>
      <c r="G1591" s="1">
        <v>10443.460999999999</v>
      </c>
      <c r="H1591" s="1">
        <v>0</v>
      </c>
      <c r="I1591" s="1">
        <v>-7595.2439999999997</v>
      </c>
    </row>
    <row r="1592" spans="1:9" hidden="1" x14ac:dyDescent="0.25">
      <c r="A1592" s="1" t="s">
        <v>16</v>
      </c>
      <c r="B1592" s="1" t="s">
        <v>195</v>
      </c>
      <c r="C1592" s="1" t="s">
        <v>25</v>
      </c>
      <c r="D1592" s="1">
        <v>0</v>
      </c>
      <c r="E1592" s="1">
        <v>-632.94000000000005</v>
      </c>
      <c r="F1592" s="1">
        <v>0</v>
      </c>
      <c r="G1592" s="1">
        <v>8544.65</v>
      </c>
      <c r="H1592" s="1">
        <v>0</v>
      </c>
      <c r="I1592" s="1">
        <v>-5063.4960000000001</v>
      </c>
    </row>
    <row r="1593" spans="1:9" hidden="1" x14ac:dyDescent="0.25">
      <c r="A1593" s="1" t="s">
        <v>16</v>
      </c>
      <c r="B1593" s="1" t="s">
        <v>195</v>
      </c>
      <c r="C1593" s="1" t="s">
        <v>10</v>
      </c>
      <c r="D1593" s="1">
        <v>0</v>
      </c>
      <c r="E1593" s="1">
        <v>-632.94000000000005</v>
      </c>
      <c r="F1593" s="1">
        <v>0</v>
      </c>
      <c r="G1593" s="1">
        <v>8544.65</v>
      </c>
      <c r="H1593" s="1">
        <v>0</v>
      </c>
      <c r="I1593" s="1">
        <v>-7595.2439999999997</v>
      </c>
    </row>
    <row r="1594" spans="1:9" hidden="1" x14ac:dyDescent="0.25">
      <c r="A1594" s="1" t="s">
        <v>16</v>
      </c>
      <c r="B1594" s="1" t="s">
        <v>196</v>
      </c>
      <c r="C1594" s="1" t="s">
        <v>25</v>
      </c>
      <c r="D1594" s="1">
        <v>0</v>
      </c>
      <c r="E1594" s="1">
        <v>632.94000000000005</v>
      </c>
      <c r="F1594" s="1">
        <v>0</v>
      </c>
      <c r="G1594" s="1">
        <v>-10443.460999999999</v>
      </c>
      <c r="H1594" s="1">
        <v>0</v>
      </c>
      <c r="I1594" s="1">
        <v>5063.4960000000001</v>
      </c>
    </row>
    <row r="1595" spans="1:9" hidden="1" x14ac:dyDescent="0.25">
      <c r="A1595" s="1" t="s">
        <v>16</v>
      </c>
      <c r="B1595" s="1" t="s">
        <v>196</v>
      </c>
      <c r="C1595" s="1" t="s">
        <v>10</v>
      </c>
      <c r="D1595" s="1">
        <v>0</v>
      </c>
      <c r="E1595" s="1">
        <v>632.94000000000005</v>
      </c>
      <c r="F1595" s="1">
        <v>0</v>
      </c>
      <c r="G1595" s="1">
        <v>-10443.460999999999</v>
      </c>
      <c r="H1595" s="1">
        <v>0</v>
      </c>
      <c r="I1595" s="1">
        <v>7595.2439999999997</v>
      </c>
    </row>
    <row r="1596" spans="1:9" hidden="1" x14ac:dyDescent="0.25">
      <c r="A1596" s="1" t="s">
        <v>16</v>
      </c>
      <c r="B1596" s="1" t="s">
        <v>197</v>
      </c>
      <c r="C1596" s="1" t="s">
        <v>25</v>
      </c>
      <c r="D1596" s="1">
        <v>0</v>
      </c>
      <c r="E1596" s="1">
        <v>632.94000000000005</v>
      </c>
      <c r="F1596" s="1">
        <v>0</v>
      </c>
      <c r="G1596" s="1">
        <v>-8544.65</v>
      </c>
      <c r="H1596" s="1">
        <v>0</v>
      </c>
      <c r="I1596" s="1">
        <v>5063.4960000000001</v>
      </c>
    </row>
    <row r="1597" spans="1:9" hidden="1" x14ac:dyDescent="0.25">
      <c r="A1597" s="1" t="s">
        <v>16</v>
      </c>
      <c r="B1597" s="1" t="s">
        <v>197</v>
      </c>
      <c r="C1597" s="1" t="s">
        <v>10</v>
      </c>
      <c r="D1597" s="1">
        <v>0</v>
      </c>
      <c r="E1597" s="1">
        <v>632.94000000000005</v>
      </c>
      <c r="F1597" s="1">
        <v>0</v>
      </c>
      <c r="G1597" s="1">
        <v>-8544.65</v>
      </c>
      <c r="H1597" s="1">
        <v>0</v>
      </c>
      <c r="I1597" s="1">
        <v>7595.2439999999997</v>
      </c>
    </row>
    <row r="1598" spans="1:9" hidden="1" x14ac:dyDescent="0.25">
      <c r="A1598" s="1" t="s">
        <v>16</v>
      </c>
      <c r="B1598" s="1" t="s">
        <v>198</v>
      </c>
      <c r="C1598" s="1" t="s">
        <v>25</v>
      </c>
      <c r="D1598" s="1">
        <v>0</v>
      </c>
      <c r="E1598" s="1">
        <v>0</v>
      </c>
      <c r="F1598" s="1">
        <v>-765.07</v>
      </c>
      <c r="G1598" s="1">
        <v>-15148.319</v>
      </c>
      <c r="H1598" s="1">
        <v>6120.5330000000004</v>
      </c>
      <c r="I1598" s="1">
        <v>0</v>
      </c>
    </row>
    <row r="1599" spans="1:9" hidden="1" x14ac:dyDescent="0.25">
      <c r="A1599" s="1" t="s">
        <v>16</v>
      </c>
      <c r="B1599" s="1" t="s">
        <v>198</v>
      </c>
      <c r="C1599" s="1" t="s">
        <v>10</v>
      </c>
      <c r="D1599" s="1">
        <v>0</v>
      </c>
      <c r="E1599" s="1">
        <v>0</v>
      </c>
      <c r="F1599" s="1">
        <v>-765.07</v>
      </c>
      <c r="G1599" s="1">
        <v>-15148.319</v>
      </c>
      <c r="H1599" s="1">
        <v>9180.7999999999993</v>
      </c>
      <c r="I1599" s="1">
        <v>0</v>
      </c>
    </row>
    <row r="1600" spans="1:9" hidden="1" x14ac:dyDescent="0.25">
      <c r="A1600" s="1" t="s">
        <v>16</v>
      </c>
      <c r="B1600" s="1" t="s">
        <v>199</v>
      </c>
      <c r="C1600" s="1" t="s">
        <v>25</v>
      </c>
      <c r="D1600" s="1">
        <v>0</v>
      </c>
      <c r="E1600" s="1">
        <v>0</v>
      </c>
      <c r="F1600" s="1">
        <v>-765.07</v>
      </c>
      <c r="G1600" s="1">
        <v>-12394.08</v>
      </c>
      <c r="H1600" s="1">
        <v>6120.5330000000004</v>
      </c>
      <c r="I1600" s="1">
        <v>0</v>
      </c>
    </row>
    <row r="1601" spans="1:9" hidden="1" x14ac:dyDescent="0.25">
      <c r="A1601" s="1" t="s">
        <v>16</v>
      </c>
      <c r="B1601" s="1" t="s">
        <v>199</v>
      </c>
      <c r="C1601" s="1" t="s">
        <v>10</v>
      </c>
      <c r="D1601" s="1">
        <v>0</v>
      </c>
      <c r="E1601" s="1">
        <v>0</v>
      </c>
      <c r="F1601" s="1">
        <v>-765.07</v>
      </c>
      <c r="G1601" s="1">
        <v>-12394.08</v>
      </c>
      <c r="H1601" s="1">
        <v>9180.7999999999993</v>
      </c>
      <c r="I1601" s="1">
        <v>0</v>
      </c>
    </row>
    <row r="1602" spans="1:9" hidden="1" x14ac:dyDescent="0.25">
      <c r="A1602" s="1" t="s">
        <v>16</v>
      </c>
      <c r="B1602" s="1" t="s">
        <v>200</v>
      </c>
      <c r="C1602" s="1" t="s">
        <v>25</v>
      </c>
      <c r="D1602" s="1">
        <v>0</v>
      </c>
      <c r="E1602" s="1">
        <v>0</v>
      </c>
      <c r="F1602" s="1">
        <v>765.07</v>
      </c>
      <c r="G1602" s="1">
        <v>15148.319</v>
      </c>
      <c r="H1602" s="1">
        <v>-6120.5330000000004</v>
      </c>
      <c r="I1602" s="1">
        <v>0</v>
      </c>
    </row>
    <row r="1603" spans="1:9" hidden="1" x14ac:dyDescent="0.25">
      <c r="A1603" s="1" t="s">
        <v>16</v>
      </c>
      <c r="B1603" s="1" t="s">
        <v>200</v>
      </c>
      <c r="C1603" s="1" t="s">
        <v>10</v>
      </c>
      <c r="D1603" s="1">
        <v>0</v>
      </c>
      <c r="E1603" s="1">
        <v>0</v>
      </c>
      <c r="F1603" s="1">
        <v>765.07</v>
      </c>
      <c r="G1603" s="1">
        <v>15148.319</v>
      </c>
      <c r="H1603" s="1">
        <v>-9180.7999999999993</v>
      </c>
      <c r="I1603" s="1">
        <v>0</v>
      </c>
    </row>
    <row r="1604" spans="1:9" hidden="1" x14ac:dyDescent="0.25">
      <c r="A1604" s="1" t="s">
        <v>16</v>
      </c>
      <c r="B1604" s="1" t="s">
        <v>201</v>
      </c>
      <c r="C1604" s="1" t="s">
        <v>25</v>
      </c>
      <c r="D1604" s="1">
        <v>0</v>
      </c>
      <c r="E1604" s="1">
        <v>0</v>
      </c>
      <c r="F1604" s="1">
        <v>765.07</v>
      </c>
      <c r="G1604" s="1">
        <v>12394.08</v>
      </c>
      <c r="H1604" s="1">
        <v>-6120.5330000000004</v>
      </c>
      <c r="I1604" s="1">
        <v>0</v>
      </c>
    </row>
    <row r="1605" spans="1:9" hidden="1" x14ac:dyDescent="0.25">
      <c r="A1605" s="1" t="s">
        <v>16</v>
      </c>
      <c r="B1605" s="1" t="s">
        <v>201</v>
      </c>
      <c r="C1605" s="1" t="s">
        <v>10</v>
      </c>
      <c r="D1605" s="1">
        <v>0</v>
      </c>
      <c r="E1605" s="1">
        <v>0</v>
      </c>
      <c r="F1605" s="1">
        <v>765.07</v>
      </c>
      <c r="G1605" s="1">
        <v>12394.08</v>
      </c>
      <c r="H1605" s="1">
        <v>-9180.7999999999993</v>
      </c>
      <c r="I1605" s="1">
        <v>0</v>
      </c>
    </row>
    <row r="1606" spans="1:9" hidden="1" x14ac:dyDescent="0.25">
      <c r="A1606" s="1" t="s">
        <v>16</v>
      </c>
      <c r="B1606" s="1" t="s">
        <v>202</v>
      </c>
      <c r="C1606" s="1" t="s">
        <v>25</v>
      </c>
      <c r="D1606" s="1">
        <v>0</v>
      </c>
      <c r="E1606" s="1">
        <v>-632.94000000000005</v>
      </c>
      <c r="F1606" s="1">
        <v>0</v>
      </c>
      <c r="G1606" s="1">
        <v>10443.460999999999</v>
      </c>
      <c r="H1606" s="1">
        <v>0</v>
      </c>
      <c r="I1606" s="1">
        <v>-5063.4960000000001</v>
      </c>
    </row>
    <row r="1607" spans="1:9" hidden="1" x14ac:dyDescent="0.25">
      <c r="A1607" s="1" t="s">
        <v>16</v>
      </c>
      <c r="B1607" s="1" t="s">
        <v>202</v>
      </c>
      <c r="C1607" s="1" t="s">
        <v>10</v>
      </c>
      <c r="D1607" s="1">
        <v>0</v>
      </c>
      <c r="E1607" s="1">
        <v>-632.94000000000005</v>
      </c>
      <c r="F1607" s="1">
        <v>0</v>
      </c>
      <c r="G1607" s="1">
        <v>10443.460999999999</v>
      </c>
      <c r="H1607" s="1">
        <v>0</v>
      </c>
      <c r="I1607" s="1">
        <v>-7595.2439999999997</v>
      </c>
    </row>
    <row r="1608" spans="1:9" hidden="1" x14ac:dyDescent="0.25">
      <c r="A1608" s="1" t="s">
        <v>16</v>
      </c>
      <c r="B1608" s="1" t="s">
        <v>203</v>
      </c>
      <c r="C1608" s="1" t="s">
        <v>25</v>
      </c>
      <c r="D1608" s="1">
        <v>0</v>
      </c>
      <c r="E1608" s="1">
        <v>-632.94000000000005</v>
      </c>
      <c r="F1608" s="1">
        <v>0</v>
      </c>
      <c r="G1608" s="1">
        <v>8544.65</v>
      </c>
      <c r="H1608" s="1">
        <v>0</v>
      </c>
      <c r="I1608" s="1">
        <v>-5063.4960000000001</v>
      </c>
    </row>
    <row r="1609" spans="1:9" hidden="1" x14ac:dyDescent="0.25">
      <c r="A1609" s="1" t="s">
        <v>16</v>
      </c>
      <c r="B1609" s="1" t="s">
        <v>203</v>
      </c>
      <c r="C1609" s="1" t="s">
        <v>10</v>
      </c>
      <c r="D1609" s="1">
        <v>0</v>
      </c>
      <c r="E1609" s="1">
        <v>-632.94000000000005</v>
      </c>
      <c r="F1609" s="1">
        <v>0</v>
      </c>
      <c r="G1609" s="1">
        <v>8544.65</v>
      </c>
      <c r="H1609" s="1">
        <v>0</v>
      </c>
      <c r="I1609" s="1">
        <v>-7595.2439999999997</v>
      </c>
    </row>
    <row r="1610" spans="1:9" hidden="1" x14ac:dyDescent="0.25">
      <c r="A1610" s="1" t="s">
        <v>16</v>
      </c>
      <c r="B1610" s="1" t="s">
        <v>204</v>
      </c>
      <c r="C1610" s="1" t="s">
        <v>25</v>
      </c>
      <c r="D1610" s="1">
        <v>0</v>
      </c>
      <c r="E1610" s="1">
        <v>632.94000000000005</v>
      </c>
      <c r="F1610" s="1">
        <v>0</v>
      </c>
      <c r="G1610" s="1">
        <v>-10443.460999999999</v>
      </c>
      <c r="H1610" s="1">
        <v>0</v>
      </c>
      <c r="I1610" s="1">
        <v>5063.4960000000001</v>
      </c>
    </row>
    <row r="1611" spans="1:9" hidden="1" x14ac:dyDescent="0.25">
      <c r="A1611" s="1" t="s">
        <v>16</v>
      </c>
      <c r="B1611" s="1" t="s">
        <v>204</v>
      </c>
      <c r="C1611" s="1" t="s">
        <v>10</v>
      </c>
      <c r="D1611" s="1">
        <v>0</v>
      </c>
      <c r="E1611" s="1">
        <v>632.94000000000005</v>
      </c>
      <c r="F1611" s="1">
        <v>0</v>
      </c>
      <c r="G1611" s="1">
        <v>-10443.460999999999</v>
      </c>
      <c r="H1611" s="1">
        <v>0</v>
      </c>
      <c r="I1611" s="1">
        <v>7595.2439999999997</v>
      </c>
    </row>
    <row r="1612" spans="1:9" hidden="1" x14ac:dyDescent="0.25">
      <c r="A1612" s="1" t="s">
        <v>16</v>
      </c>
      <c r="B1612" s="1" t="s">
        <v>205</v>
      </c>
      <c r="C1612" s="1" t="s">
        <v>25</v>
      </c>
      <c r="D1612" s="1">
        <v>0</v>
      </c>
      <c r="E1612" s="1">
        <v>632.94000000000005</v>
      </c>
      <c r="F1612" s="1">
        <v>0</v>
      </c>
      <c r="G1612" s="1">
        <v>-8544.65</v>
      </c>
      <c r="H1612" s="1">
        <v>0</v>
      </c>
      <c r="I1612" s="1">
        <v>5063.4960000000001</v>
      </c>
    </row>
    <row r="1613" spans="1:9" hidden="1" x14ac:dyDescent="0.25">
      <c r="A1613" s="1" t="s">
        <v>16</v>
      </c>
      <c r="B1613" s="1" t="s">
        <v>205</v>
      </c>
      <c r="C1613" s="1" t="s">
        <v>10</v>
      </c>
      <c r="D1613" s="1">
        <v>0</v>
      </c>
      <c r="E1613" s="1">
        <v>632.94000000000005</v>
      </c>
      <c r="F1613" s="1">
        <v>0</v>
      </c>
      <c r="G1613" s="1">
        <v>-8544.65</v>
      </c>
      <c r="H1613" s="1">
        <v>0</v>
      </c>
      <c r="I1613" s="1">
        <v>7595.2439999999997</v>
      </c>
    </row>
    <row r="1614" spans="1:9" hidden="1" x14ac:dyDescent="0.25">
      <c r="A1614" s="1" t="s">
        <v>16</v>
      </c>
      <c r="B1614" s="1" t="s">
        <v>206</v>
      </c>
      <c r="C1614" s="1" t="s">
        <v>25</v>
      </c>
      <c r="D1614" s="1">
        <v>0</v>
      </c>
      <c r="E1614" s="1">
        <v>0</v>
      </c>
      <c r="F1614" s="1">
        <v>-765.07</v>
      </c>
      <c r="G1614" s="1">
        <v>-15148.319</v>
      </c>
      <c r="H1614" s="1">
        <v>6120.5330000000004</v>
      </c>
      <c r="I1614" s="1">
        <v>0</v>
      </c>
    </row>
    <row r="1615" spans="1:9" hidden="1" x14ac:dyDescent="0.25">
      <c r="A1615" s="1" t="s">
        <v>16</v>
      </c>
      <c r="B1615" s="1" t="s">
        <v>206</v>
      </c>
      <c r="C1615" s="1" t="s">
        <v>10</v>
      </c>
      <c r="D1615" s="1">
        <v>0</v>
      </c>
      <c r="E1615" s="1">
        <v>0</v>
      </c>
      <c r="F1615" s="1">
        <v>-765.07</v>
      </c>
      <c r="G1615" s="1">
        <v>-15148.319</v>
      </c>
      <c r="H1615" s="1">
        <v>9180.7999999999993</v>
      </c>
      <c r="I1615" s="1">
        <v>0</v>
      </c>
    </row>
    <row r="1616" spans="1:9" hidden="1" x14ac:dyDescent="0.25">
      <c r="A1616" s="1" t="s">
        <v>16</v>
      </c>
      <c r="B1616" s="1" t="s">
        <v>207</v>
      </c>
      <c r="C1616" s="1" t="s">
        <v>25</v>
      </c>
      <c r="D1616" s="1">
        <v>0</v>
      </c>
      <c r="E1616" s="1">
        <v>0</v>
      </c>
      <c r="F1616" s="1">
        <v>-765.07</v>
      </c>
      <c r="G1616" s="1">
        <v>-12394.08</v>
      </c>
      <c r="H1616" s="1">
        <v>6120.5330000000004</v>
      </c>
      <c r="I1616" s="1">
        <v>0</v>
      </c>
    </row>
    <row r="1617" spans="1:9" hidden="1" x14ac:dyDescent="0.25">
      <c r="A1617" s="1" t="s">
        <v>16</v>
      </c>
      <c r="B1617" s="1" t="s">
        <v>207</v>
      </c>
      <c r="C1617" s="1" t="s">
        <v>10</v>
      </c>
      <c r="D1617" s="1">
        <v>0</v>
      </c>
      <c r="E1617" s="1">
        <v>0</v>
      </c>
      <c r="F1617" s="1">
        <v>-765.07</v>
      </c>
      <c r="G1617" s="1">
        <v>-12394.08</v>
      </c>
      <c r="H1617" s="1">
        <v>9180.7999999999993</v>
      </c>
      <c r="I1617" s="1">
        <v>0</v>
      </c>
    </row>
    <row r="1618" spans="1:9" hidden="1" x14ac:dyDescent="0.25">
      <c r="A1618" s="1" t="s">
        <v>16</v>
      </c>
      <c r="B1618" s="1" t="s">
        <v>208</v>
      </c>
      <c r="C1618" s="1" t="s">
        <v>25</v>
      </c>
      <c r="D1618" s="1">
        <v>0</v>
      </c>
      <c r="E1618" s="1">
        <v>0</v>
      </c>
      <c r="F1618" s="1">
        <v>765.07</v>
      </c>
      <c r="G1618" s="1">
        <v>15148.319</v>
      </c>
      <c r="H1618" s="1">
        <v>-6120.5330000000004</v>
      </c>
      <c r="I1618" s="1">
        <v>0</v>
      </c>
    </row>
    <row r="1619" spans="1:9" hidden="1" x14ac:dyDescent="0.25">
      <c r="A1619" s="1" t="s">
        <v>16</v>
      </c>
      <c r="B1619" s="1" t="s">
        <v>208</v>
      </c>
      <c r="C1619" s="1" t="s">
        <v>10</v>
      </c>
      <c r="D1619" s="1">
        <v>0</v>
      </c>
      <c r="E1619" s="1">
        <v>0</v>
      </c>
      <c r="F1619" s="1">
        <v>765.07</v>
      </c>
      <c r="G1619" s="1">
        <v>15148.319</v>
      </c>
      <c r="H1619" s="1">
        <v>-9180.7999999999993</v>
      </c>
      <c r="I1619" s="1">
        <v>0</v>
      </c>
    </row>
    <row r="1620" spans="1:9" hidden="1" x14ac:dyDescent="0.25">
      <c r="A1620" s="1" t="s">
        <v>16</v>
      </c>
      <c r="B1620" s="1" t="s">
        <v>209</v>
      </c>
      <c r="C1620" s="1" t="s">
        <v>25</v>
      </c>
      <c r="D1620" s="1">
        <v>0</v>
      </c>
      <c r="E1620" s="1">
        <v>0</v>
      </c>
      <c r="F1620" s="1">
        <v>765.07</v>
      </c>
      <c r="G1620" s="1">
        <v>12394.08</v>
      </c>
      <c r="H1620" s="1">
        <v>-6120.5330000000004</v>
      </c>
      <c r="I1620" s="1">
        <v>0</v>
      </c>
    </row>
    <row r="1621" spans="1:9" hidden="1" x14ac:dyDescent="0.25">
      <c r="A1621" s="1" t="s">
        <v>16</v>
      </c>
      <c r="B1621" s="1" t="s">
        <v>209</v>
      </c>
      <c r="C1621" s="1" t="s">
        <v>10</v>
      </c>
      <c r="D1621" s="1">
        <v>0</v>
      </c>
      <c r="E1621" s="1">
        <v>0</v>
      </c>
      <c r="F1621" s="1">
        <v>765.07</v>
      </c>
      <c r="G1621" s="1">
        <v>12394.08</v>
      </c>
      <c r="H1621" s="1">
        <v>-9180.7999999999993</v>
      </c>
      <c r="I1621" s="1">
        <v>0</v>
      </c>
    </row>
    <row r="1622" spans="1:9" hidden="1" x14ac:dyDescent="0.25">
      <c r="A1622" s="1" t="s">
        <v>16</v>
      </c>
      <c r="B1622" s="1" t="s">
        <v>210</v>
      </c>
      <c r="C1622" s="1" t="s">
        <v>25</v>
      </c>
      <c r="D1622" s="1">
        <v>0</v>
      </c>
      <c r="E1622" s="1">
        <v>-189.88</v>
      </c>
      <c r="F1622" s="1">
        <v>0</v>
      </c>
      <c r="G1622" s="1">
        <v>3133.038</v>
      </c>
      <c r="H1622" s="1">
        <v>0</v>
      </c>
      <c r="I1622" s="1">
        <v>-1519.049</v>
      </c>
    </row>
    <row r="1623" spans="1:9" hidden="1" x14ac:dyDescent="0.25">
      <c r="A1623" s="1" t="s">
        <v>16</v>
      </c>
      <c r="B1623" s="1" t="s">
        <v>210</v>
      </c>
      <c r="C1623" s="1" t="s">
        <v>10</v>
      </c>
      <c r="D1623" s="1">
        <v>0</v>
      </c>
      <c r="E1623" s="1">
        <v>-189.88</v>
      </c>
      <c r="F1623" s="1">
        <v>0</v>
      </c>
      <c r="G1623" s="1">
        <v>3133.038</v>
      </c>
      <c r="H1623" s="1">
        <v>0</v>
      </c>
      <c r="I1623" s="1">
        <v>-2278.5729999999999</v>
      </c>
    </row>
    <row r="1624" spans="1:9" hidden="1" x14ac:dyDescent="0.25">
      <c r="A1624" s="1" t="s">
        <v>16</v>
      </c>
      <c r="B1624" s="1" t="s">
        <v>211</v>
      </c>
      <c r="C1624" s="1" t="s">
        <v>25</v>
      </c>
      <c r="D1624" s="1">
        <v>0</v>
      </c>
      <c r="E1624" s="1">
        <v>-189.88</v>
      </c>
      <c r="F1624" s="1">
        <v>0</v>
      </c>
      <c r="G1624" s="1">
        <v>2563.395</v>
      </c>
      <c r="H1624" s="1">
        <v>0</v>
      </c>
      <c r="I1624" s="1">
        <v>-1519.049</v>
      </c>
    </row>
    <row r="1625" spans="1:9" hidden="1" x14ac:dyDescent="0.25">
      <c r="A1625" s="1" t="s">
        <v>16</v>
      </c>
      <c r="B1625" s="1" t="s">
        <v>211</v>
      </c>
      <c r="C1625" s="1" t="s">
        <v>10</v>
      </c>
      <c r="D1625" s="1">
        <v>0</v>
      </c>
      <c r="E1625" s="1">
        <v>-189.88</v>
      </c>
      <c r="F1625" s="1">
        <v>0</v>
      </c>
      <c r="G1625" s="1">
        <v>2563.395</v>
      </c>
      <c r="H1625" s="1">
        <v>0</v>
      </c>
      <c r="I1625" s="1">
        <v>-2278.5729999999999</v>
      </c>
    </row>
    <row r="1626" spans="1:9" hidden="1" x14ac:dyDescent="0.25">
      <c r="A1626" s="1" t="s">
        <v>16</v>
      </c>
      <c r="B1626" s="1" t="s">
        <v>212</v>
      </c>
      <c r="C1626" s="1" t="s">
        <v>25</v>
      </c>
      <c r="D1626" s="1">
        <v>0</v>
      </c>
      <c r="E1626" s="1">
        <v>189.88</v>
      </c>
      <c r="F1626" s="1">
        <v>0</v>
      </c>
      <c r="G1626" s="1">
        <v>-3133.038</v>
      </c>
      <c r="H1626" s="1">
        <v>0</v>
      </c>
      <c r="I1626" s="1">
        <v>1519.049</v>
      </c>
    </row>
    <row r="1627" spans="1:9" hidden="1" x14ac:dyDescent="0.25">
      <c r="A1627" s="1" t="s">
        <v>16</v>
      </c>
      <c r="B1627" s="1" t="s">
        <v>212</v>
      </c>
      <c r="C1627" s="1" t="s">
        <v>10</v>
      </c>
      <c r="D1627" s="1">
        <v>0</v>
      </c>
      <c r="E1627" s="1">
        <v>189.88</v>
      </c>
      <c r="F1627" s="1">
        <v>0</v>
      </c>
      <c r="G1627" s="1">
        <v>-3133.038</v>
      </c>
      <c r="H1627" s="1">
        <v>0</v>
      </c>
      <c r="I1627" s="1">
        <v>2278.5729999999999</v>
      </c>
    </row>
    <row r="1628" spans="1:9" hidden="1" x14ac:dyDescent="0.25">
      <c r="A1628" s="1" t="s">
        <v>16</v>
      </c>
      <c r="B1628" s="1" t="s">
        <v>213</v>
      </c>
      <c r="C1628" s="1" t="s">
        <v>25</v>
      </c>
      <c r="D1628" s="1">
        <v>0</v>
      </c>
      <c r="E1628" s="1">
        <v>189.88</v>
      </c>
      <c r="F1628" s="1">
        <v>0</v>
      </c>
      <c r="G1628" s="1">
        <v>-2563.395</v>
      </c>
      <c r="H1628" s="1">
        <v>0</v>
      </c>
      <c r="I1628" s="1">
        <v>1519.049</v>
      </c>
    </row>
    <row r="1629" spans="1:9" hidden="1" x14ac:dyDescent="0.25">
      <c r="A1629" s="1" t="s">
        <v>16</v>
      </c>
      <c r="B1629" s="1" t="s">
        <v>213</v>
      </c>
      <c r="C1629" s="1" t="s">
        <v>10</v>
      </c>
      <c r="D1629" s="1">
        <v>0</v>
      </c>
      <c r="E1629" s="1">
        <v>189.88</v>
      </c>
      <c r="F1629" s="1">
        <v>0</v>
      </c>
      <c r="G1629" s="1">
        <v>-2563.395</v>
      </c>
      <c r="H1629" s="1">
        <v>0</v>
      </c>
      <c r="I1629" s="1">
        <v>2278.5729999999999</v>
      </c>
    </row>
    <row r="1630" spans="1:9" hidden="1" x14ac:dyDescent="0.25">
      <c r="A1630" s="1" t="s">
        <v>16</v>
      </c>
      <c r="B1630" s="1" t="s">
        <v>214</v>
      </c>
      <c r="C1630" s="1" t="s">
        <v>25</v>
      </c>
      <c r="D1630" s="1">
        <v>0</v>
      </c>
      <c r="E1630" s="1">
        <v>0</v>
      </c>
      <c r="F1630" s="1">
        <v>-229.52</v>
      </c>
      <c r="G1630" s="1">
        <v>-4544.4960000000001</v>
      </c>
      <c r="H1630" s="1">
        <v>1836.16</v>
      </c>
      <c r="I1630" s="1">
        <v>0</v>
      </c>
    </row>
    <row r="1631" spans="1:9" hidden="1" x14ac:dyDescent="0.25">
      <c r="A1631" s="1" t="s">
        <v>16</v>
      </c>
      <c r="B1631" s="1" t="s">
        <v>214</v>
      </c>
      <c r="C1631" s="1" t="s">
        <v>10</v>
      </c>
      <c r="D1631" s="1">
        <v>0</v>
      </c>
      <c r="E1631" s="1">
        <v>0</v>
      </c>
      <c r="F1631" s="1">
        <v>-229.52</v>
      </c>
      <c r="G1631" s="1">
        <v>-4544.4960000000001</v>
      </c>
      <c r="H1631" s="1">
        <v>2754.24</v>
      </c>
      <c r="I1631" s="1">
        <v>0</v>
      </c>
    </row>
    <row r="1632" spans="1:9" hidden="1" x14ac:dyDescent="0.25">
      <c r="A1632" s="1" t="s">
        <v>16</v>
      </c>
      <c r="B1632" s="1" t="s">
        <v>215</v>
      </c>
      <c r="C1632" s="1" t="s">
        <v>25</v>
      </c>
      <c r="D1632" s="1">
        <v>0</v>
      </c>
      <c r="E1632" s="1">
        <v>0</v>
      </c>
      <c r="F1632" s="1">
        <v>-229.52</v>
      </c>
      <c r="G1632" s="1">
        <v>-3718.2240000000002</v>
      </c>
      <c r="H1632" s="1">
        <v>1836.16</v>
      </c>
      <c r="I1632" s="1">
        <v>0</v>
      </c>
    </row>
    <row r="1633" spans="1:9" hidden="1" x14ac:dyDescent="0.25">
      <c r="A1633" s="1" t="s">
        <v>16</v>
      </c>
      <c r="B1633" s="1" t="s">
        <v>215</v>
      </c>
      <c r="C1633" s="1" t="s">
        <v>10</v>
      </c>
      <c r="D1633" s="1">
        <v>0</v>
      </c>
      <c r="E1633" s="1">
        <v>0</v>
      </c>
      <c r="F1633" s="1">
        <v>-229.52</v>
      </c>
      <c r="G1633" s="1">
        <v>-3718.2240000000002</v>
      </c>
      <c r="H1633" s="1">
        <v>2754.24</v>
      </c>
      <c r="I1633" s="1">
        <v>0</v>
      </c>
    </row>
    <row r="1634" spans="1:9" hidden="1" x14ac:dyDescent="0.25">
      <c r="A1634" s="1" t="s">
        <v>16</v>
      </c>
      <c r="B1634" s="1" t="s">
        <v>216</v>
      </c>
      <c r="C1634" s="1" t="s">
        <v>25</v>
      </c>
      <c r="D1634" s="1">
        <v>0</v>
      </c>
      <c r="E1634" s="1">
        <v>0</v>
      </c>
      <c r="F1634" s="1">
        <v>229.52</v>
      </c>
      <c r="G1634" s="1">
        <v>4544.4960000000001</v>
      </c>
      <c r="H1634" s="1">
        <v>-1836.16</v>
      </c>
      <c r="I1634" s="1">
        <v>0</v>
      </c>
    </row>
    <row r="1635" spans="1:9" hidden="1" x14ac:dyDescent="0.25">
      <c r="A1635" s="1" t="s">
        <v>16</v>
      </c>
      <c r="B1635" s="1" t="s">
        <v>216</v>
      </c>
      <c r="C1635" s="1" t="s">
        <v>10</v>
      </c>
      <c r="D1635" s="1">
        <v>0</v>
      </c>
      <c r="E1635" s="1">
        <v>0</v>
      </c>
      <c r="F1635" s="1">
        <v>229.52</v>
      </c>
      <c r="G1635" s="1">
        <v>4544.4960000000001</v>
      </c>
      <c r="H1635" s="1">
        <v>-2754.24</v>
      </c>
      <c r="I1635" s="1">
        <v>0</v>
      </c>
    </row>
    <row r="1636" spans="1:9" hidden="1" x14ac:dyDescent="0.25">
      <c r="A1636" s="1" t="s">
        <v>16</v>
      </c>
      <c r="B1636" s="1" t="s">
        <v>217</v>
      </c>
      <c r="C1636" s="1" t="s">
        <v>25</v>
      </c>
      <c r="D1636" s="1">
        <v>0</v>
      </c>
      <c r="E1636" s="1">
        <v>0</v>
      </c>
      <c r="F1636" s="1">
        <v>229.52</v>
      </c>
      <c r="G1636" s="1">
        <v>3718.2240000000002</v>
      </c>
      <c r="H1636" s="1">
        <v>-1836.16</v>
      </c>
      <c r="I1636" s="1">
        <v>0</v>
      </c>
    </row>
    <row r="1637" spans="1:9" hidden="1" x14ac:dyDescent="0.25">
      <c r="A1637" s="1" t="s">
        <v>16</v>
      </c>
      <c r="B1637" s="1" t="s">
        <v>217</v>
      </c>
      <c r="C1637" s="1" t="s">
        <v>10</v>
      </c>
      <c r="D1637" s="1">
        <v>0</v>
      </c>
      <c r="E1637" s="1">
        <v>0</v>
      </c>
      <c r="F1637" s="1">
        <v>229.52</v>
      </c>
      <c r="G1637" s="1">
        <v>3718.2240000000002</v>
      </c>
      <c r="H1637" s="1">
        <v>-2754.24</v>
      </c>
      <c r="I1637" s="1">
        <v>0</v>
      </c>
    </row>
    <row r="1638" spans="1:9" hidden="1" x14ac:dyDescent="0.25">
      <c r="A1638" s="1" t="s">
        <v>16</v>
      </c>
      <c r="B1638" s="1" t="s">
        <v>218</v>
      </c>
      <c r="C1638" s="1" t="s">
        <v>25</v>
      </c>
      <c r="D1638" s="1">
        <v>0</v>
      </c>
      <c r="E1638" s="1">
        <v>-189.88</v>
      </c>
      <c r="F1638" s="1">
        <v>0</v>
      </c>
      <c r="G1638" s="1">
        <v>3133.038</v>
      </c>
      <c r="H1638" s="1">
        <v>0</v>
      </c>
      <c r="I1638" s="1">
        <v>-1519.049</v>
      </c>
    </row>
    <row r="1639" spans="1:9" hidden="1" x14ac:dyDescent="0.25">
      <c r="A1639" s="1" t="s">
        <v>16</v>
      </c>
      <c r="B1639" s="1" t="s">
        <v>218</v>
      </c>
      <c r="C1639" s="1" t="s">
        <v>10</v>
      </c>
      <c r="D1639" s="1">
        <v>0</v>
      </c>
      <c r="E1639" s="1">
        <v>-189.88</v>
      </c>
      <c r="F1639" s="1">
        <v>0</v>
      </c>
      <c r="G1639" s="1">
        <v>3133.038</v>
      </c>
      <c r="H1639" s="1">
        <v>0</v>
      </c>
      <c r="I1639" s="1">
        <v>-2278.5729999999999</v>
      </c>
    </row>
    <row r="1640" spans="1:9" hidden="1" x14ac:dyDescent="0.25">
      <c r="A1640" s="1" t="s">
        <v>16</v>
      </c>
      <c r="B1640" s="1" t="s">
        <v>219</v>
      </c>
      <c r="C1640" s="1" t="s">
        <v>25</v>
      </c>
      <c r="D1640" s="1">
        <v>0</v>
      </c>
      <c r="E1640" s="1">
        <v>-189.88</v>
      </c>
      <c r="F1640" s="1">
        <v>0</v>
      </c>
      <c r="G1640" s="1">
        <v>2563.395</v>
      </c>
      <c r="H1640" s="1">
        <v>0</v>
      </c>
      <c r="I1640" s="1">
        <v>-1519.049</v>
      </c>
    </row>
    <row r="1641" spans="1:9" hidden="1" x14ac:dyDescent="0.25">
      <c r="A1641" s="1" t="s">
        <v>16</v>
      </c>
      <c r="B1641" s="1" t="s">
        <v>219</v>
      </c>
      <c r="C1641" s="1" t="s">
        <v>10</v>
      </c>
      <c r="D1641" s="1">
        <v>0</v>
      </c>
      <c r="E1641" s="1">
        <v>-189.88</v>
      </c>
      <c r="F1641" s="1">
        <v>0</v>
      </c>
      <c r="G1641" s="1">
        <v>2563.395</v>
      </c>
      <c r="H1641" s="1">
        <v>0</v>
      </c>
      <c r="I1641" s="1">
        <v>-2278.5729999999999</v>
      </c>
    </row>
    <row r="1642" spans="1:9" hidden="1" x14ac:dyDescent="0.25">
      <c r="A1642" s="1" t="s">
        <v>16</v>
      </c>
      <c r="B1642" s="1" t="s">
        <v>220</v>
      </c>
      <c r="C1642" s="1" t="s">
        <v>25</v>
      </c>
      <c r="D1642" s="1">
        <v>0</v>
      </c>
      <c r="E1642" s="1">
        <v>189.88</v>
      </c>
      <c r="F1642" s="1">
        <v>0</v>
      </c>
      <c r="G1642" s="1">
        <v>-3133.038</v>
      </c>
      <c r="H1642" s="1">
        <v>0</v>
      </c>
      <c r="I1642" s="1">
        <v>1519.049</v>
      </c>
    </row>
    <row r="1643" spans="1:9" hidden="1" x14ac:dyDescent="0.25">
      <c r="A1643" s="1" t="s">
        <v>16</v>
      </c>
      <c r="B1643" s="1" t="s">
        <v>220</v>
      </c>
      <c r="C1643" s="1" t="s">
        <v>10</v>
      </c>
      <c r="D1643" s="1">
        <v>0</v>
      </c>
      <c r="E1643" s="1">
        <v>189.88</v>
      </c>
      <c r="F1643" s="1">
        <v>0</v>
      </c>
      <c r="G1643" s="1">
        <v>-3133.038</v>
      </c>
      <c r="H1643" s="1">
        <v>0</v>
      </c>
      <c r="I1643" s="1">
        <v>2278.5729999999999</v>
      </c>
    </row>
    <row r="1644" spans="1:9" hidden="1" x14ac:dyDescent="0.25">
      <c r="A1644" s="1" t="s">
        <v>16</v>
      </c>
      <c r="B1644" s="1" t="s">
        <v>221</v>
      </c>
      <c r="C1644" s="1" t="s">
        <v>25</v>
      </c>
      <c r="D1644" s="1">
        <v>0</v>
      </c>
      <c r="E1644" s="1">
        <v>189.88</v>
      </c>
      <c r="F1644" s="1">
        <v>0</v>
      </c>
      <c r="G1644" s="1">
        <v>-2563.395</v>
      </c>
      <c r="H1644" s="1">
        <v>0</v>
      </c>
      <c r="I1644" s="1">
        <v>1519.049</v>
      </c>
    </row>
    <row r="1645" spans="1:9" hidden="1" x14ac:dyDescent="0.25">
      <c r="A1645" s="1" t="s">
        <v>16</v>
      </c>
      <c r="B1645" s="1" t="s">
        <v>221</v>
      </c>
      <c r="C1645" s="1" t="s">
        <v>10</v>
      </c>
      <c r="D1645" s="1">
        <v>0</v>
      </c>
      <c r="E1645" s="1">
        <v>189.88</v>
      </c>
      <c r="F1645" s="1">
        <v>0</v>
      </c>
      <c r="G1645" s="1">
        <v>-2563.395</v>
      </c>
      <c r="H1645" s="1">
        <v>0</v>
      </c>
      <c r="I1645" s="1">
        <v>2278.5729999999999</v>
      </c>
    </row>
    <row r="1646" spans="1:9" hidden="1" x14ac:dyDescent="0.25">
      <c r="A1646" s="1" t="s">
        <v>16</v>
      </c>
      <c r="B1646" s="1" t="s">
        <v>222</v>
      </c>
      <c r="C1646" s="1" t="s">
        <v>25</v>
      </c>
      <c r="D1646" s="1">
        <v>0</v>
      </c>
      <c r="E1646" s="1">
        <v>0</v>
      </c>
      <c r="F1646" s="1">
        <v>-229.52</v>
      </c>
      <c r="G1646" s="1">
        <v>-4544.4960000000001</v>
      </c>
      <c r="H1646" s="1">
        <v>1836.16</v>
      </c>
      <c r="I1646" s="1">
        <v>0</v>
      </c>
    </row>
    <row r="1647" spans="1:9" hidden="1" x14ac:dyDescent="0.25">
      <c r="A1647" s="1" t="s">
        <v>16</v>
      </c>
      <c r="B1647" s="1" t="s">
        <v>222</v>
      </c>
      <c r="C1647" s="1" t="s">
        <v>10</v>
      </c>
      <c r="D1647" s="1">
        <v>0</v>
      </c>
      <c r="E1647" s="1">
        <v>0</v>
      </c>
      <c r="F1647" s="1">
        <v>-229.52</v>
      </c>
      <c r="G1647" s="1">
        <v>-4544.4960000000001</v>
      </c>
      <c r="H1647" s="1">
        <v>2754.24</v>
      </c>
      <c r="I1647" s="1">
        <v>0</v>
      </c>
    </row>
    <row r="1648" spans="1:9" hidden="1" x14ac:dyDescent="0.25">
      <c r="A1648" s="1" t="s">
        <v>16</v>
      </c>
      <c r="B1648" s="1" t="s">
        <v>223</v>
      </c>
      <c r="C1648" s="1" t="s">
        <v>25</v>
      </c>
      <c r="D1648" s="1">
        <v>0</v>
      </c>
      <c r="E1648" s="1">
        <v>0</v>
      </c>
      <c r="F1648" s="1">
        <v>-229.52</v>
      </c>
      <c r="G1648" s="1">
        <v>-3718.2240000000002</v>
      </c>
      <c r="H1648" s="1">
        <v>1836.16</v>
      </c>
      <c r="I1648" s="1">
        <v>0</v>
      </c>
    </row>
    <row r="1649" spans="1:9" hidden="1" x14ac:dyDescent="0.25">
      <c r="A1649" s="1" t="s">
        <v>16</v>
      </c>
      <c r="B1649" s="1" t="s">
        <v>223</v>
      </c>
      <c r="C1649" s="1" t="s">
        <v>10</v>
      </c>
      <c r="D1649" s="1">
        <v>0</v>
      </c>
      <c r="E1649" s="1">
        <v>0</v>
      </c>
      <c r="F1649" s="1">
        <v>-229.52</v>
      </c>
      <c r="G1649" s="1">
        <v>-3718.2240000000002</v>
      </c>
      <c r="H1649" s="1">
        <v>2754.24</v>
      </c>
      <c r="I1649" s="1">
        <v>0</v>
      </c>
    </row>
    <row r="1650" spans="1:9" hidden="1" x14ac:dyDescent="0.25">
      <c r="A1650" s="1" t="s">
        <v>16</v>
      </c>
      <c r="B1650" s="1" t="s">
        <v>224</v>
      </c>
      <c r="C1650" s="1" t="s">
        <v>25</v>
      </c>
      <c r="D1650" s="1">
        <v>0</v>
      </c>
      <c r="E1650" s="1">
        <v>0</v>
      </c>
      <c r="F1650" s="1">
        <v>229.52</v>
      </c>
      <c r="G1650" s="1">
        <v>4544.4960000000001</v>
      </c>
      <c r="H1650" s="1">
        <v>-1836.16</v>
      </c>
      <c r="I1650" s="1">
        <v>0</v>
      </c>
    </row>
    <row r="1651" spans="1:9" hidden="1" x14ac:dyDescent="0.25">
      <c r="A1651" s="1" t="s">
        <v>16</v>
      </c>
      <c r="B1651" s="1" t="s">
        <v>224</v>
      </c>
      <c r="C1651" s="1" t="s">
        <v>10</v>
      </c>
      <c r="D1651" s="1">
        <v>0</v>
      </c>
      <c r="E1651" s="1">
        <v>0</v>
      </c>
      <c r="F1651" s="1">
        <v>229.52</v>
      </c>
      <c r="G1651" s="1">
        <v>4544.4960000000001</v>
      </c>
      <c r="H1651" s="1">
        <v>-2754.24</v>
      </c>
      <c r="I1651" s="1">
        <v>0</v>
      </c>
    </row>
    <row r="1652" spans="1:9" hidden="1" x14ac:dyDescent="0.25">
      <c r="A1652" s="1" t="s">
        <v>16</v>
      </c>
      <c r="B1652" s="1" t="s">
        <v>225</v>
      </c>
      <c r="C1652" s="1" t="s">
        <v>25</v>
      </c>
      <c r="D1652" s="1">
        <v>0</v>
      </c>
      <c r="E1652" s="1">
        <v>0</v>
      </c>
      <c r="F1652" s="1">
        <v>229.52</v>
      </c>
      <c r="G1652" s="1">
        <v>3718.2240000000002</v>
      </c>
      <c r="H1652" s="1">
        <v>-1836.16</v>
      </c>
      <c r="I1652" s="1">
        <v>0</v>
      </c>
    </row>
    <row r="1653" spans="1:9" hidden="1" x14ac:dyDescent="0.25">
      <c r="A1653" s="1" t="s">
        <v>16</v>
      </c>
      <c r="B1653" s="1" t="s">
        <v>225</v>
      </c>
      <c r="C1653" s="1" t="s">
        <v>10</v>
      </c>
      <c r="D1653" s="1">
        <v>0</v>
      </c>
      <c r="E1653" s="1">
        <v>0</v>
      </c>
      <c r="F1653" s="1">
        <v>229.52</v>
      </c>
      <c r="G1653" s="1">
        <v>3718.2240000000002</v>
      </c>
      <c r="H1653" s="1">
        <v>-2754.24</v>
      </c>
      <c r="I1653" s="1">
        <v>0</v>
      </c>
    </row>
    <row r="1654" spans="1:9" hidden="1" x14ac:dyDescent="0.25">
      <c r="A1654" s="1" t="s">
        <v>16</v>
      </c>
      <c r="B1654" s="1" t="s">
        <v>327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16</v>
      </c>
      <c r="B1655" s="1" t="s">
        <v>327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16</v>
      </c>
      <c r="B1656" s="1" t="s">
        <v>328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16</v>
      </c>
      <c r="B1657" s="1" t="s">
        <v>328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9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9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26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26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20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20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21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21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22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22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23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23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321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321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322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322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323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323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324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324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325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325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326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326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27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27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28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28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29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29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30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30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11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11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12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12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13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13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31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31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32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32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33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33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34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34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35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35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36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36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37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37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38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38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39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39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40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40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41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41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42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42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43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43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44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44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45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45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46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46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47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47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48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48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49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49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50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50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51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51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  <row r="1738" spans="1:9" hidden="1" x14ac:dyDescent="0.25">
      <c r="A1738" s="1" t="s">
        <v>17</v>
      </c>
      <c r="B1738" s="1" t="s">
        <v>52</v>
      </c>
      <c r="C1738" s="1" t="s">
        <v>25</v>
      </c>
      <c r="D1738" s="1">
        <v>0</v>
      </c>
      <c r="E1738" s="1">
        <v>0</v>
      </c>
      <c r="F1738" s="1">
        <v>0</v>
      </c>
      <c r="G1738" s="1">
        <v>0</v>
      </c>
      <c r="H1738" s="1">
        <v>0</v>
      </c>
      <c r="I1738" s="1">
        <v>0</v>
      </c>
    </row>
    <row r="1739" spans="1:9" hidden="1" x14ac:dyDescent="0.25">
      <c r="A1739" s="1" t="s">
        <v>17</v>
      </c>
      <c r="B1739" s="1" t="s">
        <v>52</v>
      </c>
      <c r="C1739" s="1" t="s">
        <v>10</v>
      </c>
      <c r="D1739" s="1">
        <v>0</v>
      </c>
      <c r="E1739" s="1">
        <v>0</v>
      </c>
      <c r="F1739" s="1">
        <v>0</v>
      </c>
      <c r="G1739" s="1">
        <v>0</v>
      </c>
      <c r="H1739" s="1">
        <v>0</v>
      </c>
      <c r="I1739" s="1">
        <v>0</v>
      </c>
    </row>
    <row r="1740" spans="1:9" hidden="1" x14ac:dyDescent="0.25">
      <c r="A1740" s="1" t="s">
        <v>17</v>
      </c>
      <c r="B1740" s="1" t="s">
        <v>53</v>
      </c>
      <c r="C1740" s="1" t="s">
        <v>25</v>
      </c>
      <c r="D1740" s="1">
        <v>0</v>
      </c>
      <c r="E1740" s="1">
        <v>0</v>
      </c>
      <c r="F1740" s="1">
        <v>0</v>
      </c>
      <c r="G1740" s="1">
        <v>0</v>
      </c>
      <c r="H1740" s="1">
        <v>0</v>
      </c>
      <c r="I1740" s="1">
        <v>0</v>
      </c>
    </row>
    <row r="1741" spans="1:9" hidden="1" x14ac:dyDescent="0.25">
      <c r="A1741" s="1" t="s">
        <v>17</v>
      </c>
      <c r="B1741" s="1" t="s">
        <v>53</v>
      </c>
      <c r="C1741" s="1" t="s">
        <v>10</v>
      </c>
      <c r="D1741" s="1">
        <v>0</v>
      </c>
      <c r="E1741" s="1">
        <v>0</v>
      </c>
      <c r="F1741" s="1">
        <v>0</v>
      </c>
      <c r="G1741" s="1">
        <v>0</v>
      </c>
      <c r="H1741" s="1">
        <v>0</v>
      </c>
      <c r="I1741" s="1">
        <v>0</v>
      </c>
    </row>
    <row r="1742" spans="1:9" hidden="1" x14ac:dyDescent="0.25">
      <c r="A1742" s="1" t="s">
        <v>17</v>
      </c>
      <c r="B1742" s="1" t="s">
        <v>54</v>
      </c>
      <c r="C1742" s="1" t="s">
        <v>25</v>
      </c>
      <c r="D1742" s="1">
        <v>0</v>
      </c>
      <c r="E1742" s="1">
        <v>0</v>
      </c>
      <c r="F1742" s="1">
        <v>0</v>
      </c>
      <c r="G1742" s="1">
        <v>0</v>
      </c>
      <c r="H1742" s="1">
        <v>0</v>
      </c>
      <c r="I1742" s="1">
        <v>0</v>
      </c>
    </row>
    <row r="1743" spans="1:9" hidden="1" x14ac:dyDescent="0.25">
      <c r="A1743" s="1" t="s">
        <v>17</v>
      </c>
      <c r="B1743" s="1" t="s">
        <v>54</v>
      </c>
      <c r="C1743" s="1" t="s">
        <v>10</v>
      </c>
      <c r="D1743" s="1">
        <v>0</v>
      </c>
      <c r="E1743" s="1">
        <v>0</v>
      </c>
      <c r="F1743" s="1">
        <v>0</v>
      </c>
      <c r="G1743" s="1">
        <v>0</v>
      </c>
      <c r="H1743" s="1">
        <v>0</v>
      </c>
      <c r="I1743" s="1">
        <v>0</v>
      </c>
    </row>
    <row r="1744" spans="1:9" hidden="1" x14ac:dyDescent="0.25">
      <c r="A1744" s="1" t="s">
        <v>17</v>
      </c>
      <c r="B1744" s="1" t="s">
        <v>55</v>
      </c>
      <c r="C1744" s="1" t="s">
        <v>25</v>
      </c>
      <c r="D1744" s="1">
        <v>0</v>
      </c>
      <c r="E1744" s="1">
        <v>0</v>
      </c>
      <c r="F1744" s="1">
        <v>0</v>
      </c>
      <c r="G1744" s="1">
        <v>0</v>
      </c>
      <c r="H1744" s="1">
        <v>0</v>
      </c>
      <c r="I1744" s="1">
        <v>0</v>
      </c>
    </row>
    <row r="1745" spans="1:9" hidden="1" x14ac:dyDescent="0.25">
      <c r="A1745" s="1" t="s">
        <v>17</v>
      </c>
      <c r="B1745" s="1" t="s">
        <v>55</v>
      </c>
      <c r="C1745" s="1" t="s">
        <v>10</v>
      </c>
      <c r="D1745" s="1">
        <v>0</v>
      </c>
      <c r="E1745" s="1">
        <v>0</v>
      </c>
      <c r="F1745" s="1">
        <v>0</v>
      </c>
      <c r="G1745" s="1">
        <v>0</v>
      </c>
      <c r="H1745" s="1">
        <v>0</v>
      </c>
      <c r="I1745" s="1">
        <v>0</v>
      </c>
    </row>
    <row r="1746" spans="1:9" hidden="1" x14ac:dyDescent="0.25">
      <c r="A1746" s="1" t="s">
        <v>17</v>
      </c>
      <c r="B1746" s="1" t="s">
        <v>56</v>
      </c>
      <c r="C1746" s="1" t="s">
        <v>25</v>
      </c>
      <c r="D1746" s="1">
        <v>0</v>
      </c>
      <c r="E1746" s="1">
        <v>0</v>
      </c>
      <c r="F1746" s="1">
        <v>0</v>
      </c>
      <c r="G1746" s="1">
        <v>0</v>
      </c>
      <c r="H1746" s="1">
        <v>0</v>
      </c>
      <c r="I1746" s="1">
        <v>0</v>
      </c>
    </row>
    <row r="1747" spans="1:9" hidden="1" x14ac:dyDescent="0.25">
      <c r="A1747" s="1" t="s">
        <v>17</v>
      </c>
      <c r="B1747" s="1" t="s">
        <v>56</v>
      </c>
      <c r="C1747" s="1" t="s">
        <v>10</v>
      </c>
      <c r="D1747" s="1">
        <v>0</v>
      </c>
      <c r="E1747" s="1">
        <v>0</v>
      </c>
      <c r="F1747" s="1">
        <v>0</v>
      </c>
      <c r="G1747" s="1">
        <v>0</v>
      </c>
      <c r="H1747" s="1">
        <v>0</v>
      </c>
      <c r="I1747" s="1">
        <v>0</v>
      </c>
    </row>
    <row r="1748" spans="1:9" hidden="1" x14ac:dyDescent="0.25">
      <c r="A1748" s="1" t="s">
        <v>17</v>
      </c>
      <c r="B1748" s="1" t="s">
        <v>57</v>
      </c>
      <c r="C1748" s="1" t="s">
        <v>25</v>
      </c>
      <c r="D1748" s="1">
        <v>0</v>
      </c>
      <c r="E1748" s="1">
        <v>0</v>
      </c>
      <c r="F1748" s="1">
        <v>0</v>
      </c>
      <c r="G1748" s="1">
        <v>0</v>
      </c>
      <c r="H1748" s="1">
        <v>0</v>
      </c>
      <c r="I1748" s="1">
        <v>0</v>
      </c>
    </row>
    <row r="1749" spans="1:9" hidden="1" x14ac:dyDescent="0.25">
      <c r="A1749" s="1" t="s">
        <v>17</v>
      </c>
      <c r="B1749" s="1" t="s">
        <v>57</v>
      </c>
      <c r="C1749" s="1" t="s">
        <v>10</v>
      </c>
      <c r="D1749" s="1">
        <v>0</v>
      </c>
      <c r="E1749" s="1">
        <v>0</v>
      </c>
      <c r="F1749" s="1">
        <v>0</v>
      </c>
      <c r="G1749" s="1">
        <v>0</v>
      </c>
      <c r="H1749" s="1">
        <v>0</v>
      </c>
      <c r="I1749" s="1">
        <v>0</v>
      </c>
    </row>
    <row r="1750" spans="1:9" hidden="1" x14ac:dyDescent="0.25">
      <c r="A1750" s="1" t="s">
        <v>17</v>
      </c>
      <c r="B1750" s="1" t="s">
        <v>58</v>
      </c>
      <c r="C1750" s="1" t="s">
        <v>25</v>
      </c>
      <c r="D1750" s="1">
        <v>0</v>
      </c>
      <c r="E1750" s="1">
        <v>0</v>
      </c>
      <c r="F1750" s="1">
        <v>0</v>
      </c>
      <c r="G1750" s="1">
        <v>0</v>
      </c>
      <c r="H1750" s="1">
        <v>0</v>
      </c>
      <c r="I1750" s="1">
        <v>0</v>
      </c>
    </row>
    <row r="1751" spans="1:9" hidden="1" x14ac:dyDescent="0.25">
      <c r="A1751" s="1" t="s">
        <v>17</v>
      </c>
      <c r="B1751" s="1" t="s">
        <v>58</v>
      </c>
      <c r="C1751" s="1" t="s">
        <v>10</v>
      </c>
      <c r="D1751" s="1">
        <v>0</v>
      </c>
      <c r="E1751" s="1">
        <v>0</v>
      </c>
      <c r="F1751" s="1">
        <v>0</v>
      </c>
      <c r="G1751" s="1">
        <v>0</v>
      </c>
      <c r="H1751" s="1">
        <v>0</v>
      </c>
      <c r="I1751" s="1">
        <v>0</v>
      </c>
    </row>
    <row r="1752" spans="1:9" hidden="1" x14ac:dyDescent="0.25">
      <c r="A1752" s="1" t="s">
        <v>17</v>
      </c>
      <c r="B1752" s="1" t="s">
        <v>59</v>
      </c>
      <c r="C1752" s="1" t="s">
        <v>25</v>
      </c>
      <c r="D1752" s="1">
        <v>0</v>
      </c>
      <c r="E1752" s="1">
        <v>0</v>
      </c>
      <c r="F1752" s="1">
        <v>0</v>
      </c>
      <c r="G1752" s="1">
        <v>0</v>
      </c>
      <c r="H1752" s="1">
        <v>0</v>
      </c>
      <c r="I1752" s="1">
        <v>0</v>
      </c>
    </row>
    <row r="1753" spans="1:9" hidden="1" x14ac:dyDescent="0.25">
      <c r="A1753" s="1" t="s">
        <v>17</v>
      </c>
      <c r="B1753" s="1" t="s">
        <v>59</v>
      </c>
      <c r="C1753" s="1" t="s">
        <v>10</v>
      </c>
      <c r="D1753" s="1">
        <v>0</v>
      </c>
      <c r="E1753" s="1">
        <v>0</v>
      </c>
      <c r="F1753" s="1">
        <v>0</v>
      </c>
      <c r="G1753" s="1">
        <v>0</v>
      </c>
      <c r="H1753" s="1">
        <v>0</v>
      </c>
      <c r="I1753" s="1">
        <v>0</v>
      </c>
    </row>
    <row r="1754" spans="1:9" hidden="1" x14ac:dyDescent="0.25">
      <c r="A1754" s="1" t="s">
        <v>17</v>
      </c>
      <c r="B1754" s="1" t="s">
        <v>60</v>
      </c>
      <c r="C1754" s="1" t="s">
        <v>25</v>
      </c>
      <c r="D1754" s="1">
        <v>0</v>
      </c>
      <c r="E1754" s="1">
        <v>0</v>
      </c>
      <c r="F1754" s="1">
        <v>0</v>
      </c>
      <c r="G1754" s="1">
        <v>0</v>
      </c>
      <c r="H1754" s="1">
        <v>0</v>
      </c>
      <c r="I1754" s="1">
        <v>0</v>
      </c>
    </row>
    <row r="1755" spans="1:9" hidden="1" x14ac:dyDescent="0.25">
      <c r="A1755" s="1" t="s">
        <v>17</v>
      </c>
      <c r="B1755" s="1" t="s">
        <v>60</v>
      </c>
      <c r="C1755" s="1" t="s">
        <v>10</v>
      </c>
      <c r="D1755" s="1">
        <v>0</v>
      </c>
      <c r="E1755" s="1">
        <v>0</v>
      </c>
      <c r="F1755" s="1">
        <v>0</v>
      </c>
      <c r="G1755" s="1">
        <v>0</v>
      </c>
      <c r="H1755" s="1">
        <v>0</v>
      </c>
      <c r="I1755" s="1">
        <v>0</v>
      </c>
    </row>
    <row r="1756" spans="1:9" hidden="1" x14ac:dyDescent="0.25">
      <c r="A1756" s="1" t="s">
        <v>17</v>
      </c>
      <c r="B1756" s="1" t="s">
        <v>61</v>
      </c>
      <c r="C1756" s="1" t="s">
        <v>25</v>
      </c>
      <c r="D1756" s="1">
        <v>0</v>
      </c>
      <c r="E1756" s="1">
        <v>0</v>
      </c>
      <c r="F1756" s="1">
        <v>0</v>
      </c>
      <c r="G1756" s="1">
        <v>0</v>
      </c>
      <c r="H1756" s="1">
        <v>0</v>
      </c>
      <c r="I1756" s="1">
        <v>0</v>
      </c>
    </row>
    <row r="1757" spans="1:9" hidden="1" x14ac:dyDescent="0.25">
      <c r="A1757" s="1" t="s">
        <v>17</v>
      </c>
      <c r="B1757" s="1" t="s">
        <v>61</v>
      </c>
      <c r="C1757" s="1" t="s">
        <v>10</v>
      </c>
      <c r="D1757" s="1">
        <v>0</v>
      </c>
      <c r="E1757" s="1">
        <v>0</v>
      </c>
      <c r="F1757" s="1">
        <v>0</v>
      </c>
      <c r="G1757" s="1">
        <v>0</v>
      </c>
      <c r="H1757" s="1">
        <v>0</v>
      </c>
      <c r="I1757" s="1">
        <v>0</v>
      </c>
    </row>
    <row r="1758" spans="1:9" hidden="1" x14ac:dyDescent="0.25">
      <c r="A1758" s="1" t="s">
        <v>17</v>
      </c>
      <c r="B1758" s="1" t="s">
        <v>62</v>
      </c>
      <c r="C1758" s="1" t="s">
        <v>25</v>
      </c>
      <c r="D1758" s="1">
        <v>0</v>
      </c>
      <c r="E1758" s="1">
        <v>0</v>
      </c>
      <c r="F1758" s="1">
        <v>0</v>
      </c>
      <c r="G1758" s="1">
        <v>0</v>
      </c>
      <c r="H1758" s="1">
        <v>0</v>
      </c>
      <c r="I1758" s="1">
        <v>0</v>
      </c>
    </row>
    <row r="1759" spans="1:9" hidden="1" x14ac:dyDescent="0.25">
      <c r="A1759" s="1" t="s">
        <v>17</v>
      </c>
      <c r="B1759" s="1" t="s">
        <v>62</v>
      </c>
      <c r="C1759" s="1" t="s">
        <v>10</v>
      </c>
      <c r="D1759" s="1">
        <v>0</v>
      </c>
      <c r="E1759" s="1">
        <v>0</v>
      </c>
      <c r="F1759" s="1">
        <v>0</v>
      </c>
      <c r="G1759" s="1">
        <v>0</v>
      </c>
      <c r="H1759" s="1">
        <v>0</v>
      </c>
      <c r="I1759" s="1">
        <v>0</v>
      </c>
    </row>
    <row r="1760" spans="1:9" hidden="1" x14ac:dyDescent="0.25">
      <c r="A1760" s="1" t="s">
        <v>17</v>
      </c>
      <c r="B1760" s="1" t="s">
        <v>63</v>
      </c>
      <c r="C1760" s="1" t="s">
        <v>25</v>
      </c>
      <c r="D1760" s="1">
        <v>0</v>
      </c>
      <c r="E1760" s="1">
        <v>0</v>
      </c>
      <c r="F1760" s="1">
        <v>0</v>
      </c>
      <c r="G1760" s="1">
        <v>0</v>
      </c>
      <c r="H1760" s="1">
        <v>0</v>
      </c>
      <c r="I1760" s="1">
        <v>0</v>
      </c>
    </row>
    <row r="1761" spans="1:9" hidden="1" x14ac:dyDescent="0.25">
      <c r="A1761" s="1" t="s">
        <v>17</v>
      </c>
      <c r="B1761" s="1" t="s">
        <v>63</v>
      </c>
      <c r="C1761" s="1" t="s">
        <v>10</v>
      </c>
      <c r="D1761" s="1">
        <v>0</v>
      </c>
      <c r="E1761" s="1">
        <v>0</v>
      </c>
      <c r="F1761" s="1">
        <v>0</v>
      </c>
      <c r="G1761" s="1">
        <v>0</v>
      </c>
      <c r="H1761" s="1">
        <v>0</v>
      </c>
      <c r="I1761" s="1">
        <v>0</v>
      </c>
    </row>
    <row r="1762" spans="1:9" hidden="1" x14ac:dyDescent="0.25">
      <c r="A1762" s="1" t="s">
        <v>17</v>
      </c>
      <c r="B1762" s="1" t="s">
        <v>64</v>
      </c>
      <c r="C1762" s="1" t="s">
        <v>25</v>
      </c>
      <c r="D1762" s="1">
        <v>0</v>
      </c>
      <c r="E1762" s="1">
        <v>0</v>
      </c>
      <c r="F1762" s="1">
        <v>0</v>
      </c>
      <c r="G1762" s="1">
        <v>0</v>
      </c>
      <c r="H1762" s="1">
        <v>0</v>
      </c>
      <c r="I1762" s="1">
        <v>0</v>
      </c>
    </row>
    <row r="1763" spans="1:9" hidden="1" x14ac:dyDescent="0.25">
      <c r="A1763" s="1" t="s">
        <v>17</v>
      </c>
      <c r="B1763" s="1" t="s">
        <v>64</v>
      </c>
      <c r="C1763" s="1" t="s">
        <v>10</v>
      </c>
      <c r="D1763" s="1">
        <v>0</v>
      </c>
      <c r="E1763" s="1">
        <v>0</v>
      </c>
      <c r="F1763" s="1">
        <v>0</v>
      </c>
      <c r="G1763" s="1">
        <v>0</v>
      </c>
      <c r="H1763" s="1">
        <v>0</v>
      </c>
      <c r="I1763" s="1">
        <v>0</v>
      </c>
    </row>
    <row r="1764" spans="1:9" hidden="1" x14ac:dyDescent="0.25">
      <c r="A1764" s="1" t="s">
        <v>17</v>
      </c>
      <c r="B1764" s="1" t="s">
        <v>65</v>
      </c>
      <c r="C1764" s="1" t="s">
        <v>25</v>
      </c>
      <c r="D1764" s="1">
        <v>0</v>
      </c>
      <c r="E1764" s="1">
        <v>0</v>
      </c>
      <c r="F1764" s="1">
        <v>0</v>
      </c>
      <c r="G1764" s="1">
        <v>0</v>
      </c>
      <c r="H1764" s="1">
        <v>0</v>
      </c>
      <c r="I1764" s="1">
        <v>0</v>
      </c>
    </row>
    <row r="1765" spans="1:9" hidden="1" x14ac:dyDescent="0.25">
      <c r="A1765" s="1" t="s">
        <v>17</v>
      </c>
      <c r="B1765" s="1" t="s">
        <v>65</v>
      </c>
      <c r="C1765" s="1" t="s">
        <v>10</v>
      </c>
      <c r="D1765" s="1">
        <v>0</v>
      </c>
      <c r="E1765" s="1">
        <v>0</v>
      </c>
      <c r="F1765" s="1">
        <v>0</v>
      </c>
      <c r="G1765" s="1">
        <v>0</v>
      </c>
      <c r="H1765" s="1">
        <v>0</v>
      </c>
      <c r="I1765" s="1">
        <v>0</v>
      </c>
    </row>
    <row r="1766" spans="1:9" hidden="1" x14ac:dyDescent="0.25">
      <c r="A1766" s="1" t="s">
        <v>17</v>
      </c>
      <c r="B1766" s="1" t="s">
        <v>66</v>
      </c>
      <c r="C1766" s="1" t="s">
        <v>25</v>
      </c>
      <c r="D1766" s="1">
        <v>0</v>
      </c>
      <c r="E1766" s="1">
        <v>0</v>
      </c>
      <c r="F1766" s="1">
        <v>0</v>
      </c>
      <c r="G1766" s="1">
        <v>0</v>
      </c>
      <c r="H1766" s="1">
        <v>0</v>
      </c>
      <c r="I1766" s="1">
        <v>0</v>
      </c>
    </row>
    <row r="1767" spans="1:9" hidden="1" x14ac:dyDescent="0.25">
      <c r="A1767" s="1" t="s">
        <v>17</v>
      </c>
      <c r="B1767" s="1" t="s">
        <v>66</v>
      </c>
      <c r="C1767" s="1" t="s">
        <v>10</v>
      </c>
      <c r="D1767" s="1">
        <v>0</v>
      </c>
      <c r="E1767" s="1">
        <v>0</v>
      </c>
      <c r="F1767" s="1">
        <v>0</v>
      </c>
      <c r="G1767" s="1">
        <v>0</v>
      </c>
      <c r="H1767" s="1">
        <v>0</v>
      </c>
      <c r="I1767" s="1">
        <v>0</v>
      </c>
    </row>
    <row r="1768" spans="1:9" hidden="1" x14ac:dyDescent="0.25">
      <c r="A1768" s="1" t="s">
        <v>17</v>
      </c>
      <c r="B1768" s="1" t="s">
        <v>67</v>
      </c>
      <c r="C1768" s="1" t="s">
        <v>25</v>
      </c>
      <c r="D1768" s="1">
        <v>0</v>
      </c>
      <c r="E1768" s="1">
        <v>0</v>
      </c>
      <c r="F1768" s="1">
        <v>0</v>
      </c>
      <c r="G1768" s="1">
        <v>0</v>
      </c>
      <c r="H1768" s="1">
        <v>0</v>
      </c>
      <c r="I1768" s="1">
        <v>0</v>
      </c>
    </row>
    <row r="1769" spans="1:9" hidden="1" x14ac:dyDescent="0.25">
      <c r="A1769" s="1" t="s">
        <v>17</v>
      </c>
      <c r="B1769" s="1" t="s">
        <v>67</v>
      </c>
      <c r="C1769" s="1" t="s">
        <v>10</v>
      </c>
      <c r="D1769" s="1">
        <v>0</v>
      </c>
      <c r="E1769" s="1">
        <v>0</v>
      </c>
      <c r="F1769" s="1">
        <v>0</v>
      </c>
      <c r="G1769" s="1">
        <v>0</v>
      </c>
      <c r="H1769" s="1">
        <v>0</v>
      </c>
      <c r="I1769" s="1">
        <v>0</v>
      </c>
    </row>
    <row r="1770" spans="1:9" hidden="1" x14ac:dyDescent="0.25">
      <c r="A1770" s="1" t="s">
        <v>17</v>
      </c>
      <c r="B1770" s="1" t="s">
        <v>68</v>
      </c>
      <c r="C1770" s="1" t="s">
        <v>25</v>
      </c>
      <c r="D1770" s="1">
        <v>0</v>
      </c>
      <c r="E1770" s="1">
        <v>0</v>
      </c>
      <c r="F1770" s="1">
        <v>0</v>
      </c>
      <c r="G1770" s="1">
        <v>0</v>
      </c>
      <c r="H1770" s="1">
        <v>0</v>
      </c>
      <c r="I1770" s="1">
        <v>0</v>
      </c>
    </row>
    <row r="1771" spans="1:9" hidden="1" x14ac:dyDescent="0.25">
      <c r="A1771" s="1" t="s">
        <v>17</v>
      </c>
      <c r="B1771" s="1" t="s">
        <v>68</v>
      </c>
      <c r="C1771" s="1" t="s">
        <v>10</v>
      </c>
      <c r="D1771" s="1">
        <v>0</v>
      </c>
      <c r="E1771" s="1">
        <v>0</v>
      </c>
      <c r="F1771" s="1">
        <v>0</v>
      </c>
      <c r="G1771" s="1">
        <v>0</v>
      </c>
      <c r="H1771" s="1">
        <v>0</v>
      </c>
      <c r="I1771" s="1">
        <v>0</v>
      </c>
    </row>
    <row r="1772" spans="1:9" hidden="1" x14ac:dyDescent="0.25">
      <c r="A1772" s="1" t="s">
        <v>17</v>
      </c>
      <c r="B1772" s="1" t="s">
        <v>69</v>
      </c>
      <c r="C1772" s="1" t="s">
        <v>25</v>
      </c>
      <c r="D1772" s="1">
        <v>0</v>
      </c>
      <c r="E1772" s="1">
        <v>0</v>
      </c>
      <c r="F1772" s="1">
        <v>0</v>
      </c>
      <c r="G1772" s="1">
        <v>0</v>
      </c>
      <c r="H1772" s="1">
        <v>0</v>
      </c>
      <c r="I1772" s="1">
        <v>0</v>
      </c>
    </row>
    <row r="1773" spans="1:9" hidden="1" x14ac:dyDescent="0.25">
      <c r="A1773" s="1" t="s">
        <v>17</v>
      </c>
      <c r="B1773" s="1" t="s">
        <v>69</v>
      </c>
      <c r="C1773" s="1" t="s">
        <v>10</v>
      </c>
      <c r="D1773" s="1">
        <v>0</v>
      </c>
      <c r="E1773" s="1">
        <v>0</v>
      </c>
      <c r="F1773" s="1">
        <v>0</v>
      </c>
      <c r="G1773" s="1">
        <v>0</v>
      </c>
      <c r="H1773" s="1">
        <v>0</v>
      </c>
      <c r="I1773" s="1">
        <v>0</v>
      </c>
    </row>
    <row r="1774" spans="1:9" hidden="1" x14ac:dyDescent="0.25">
      <c r="A1774" s="1" t="s">
        <v>17</v>
      </c>
      <c r="B1774" s="1" t="s">
        <v>70</v>
      </c>
      <c r="C1774" s="1" t="s">
        <v>25</v>
      </c>
      <c r="D1774" s="1">
        <v>0</v>
      </c>
      <c r="E1774" s="1">
        <v>0</v>
      </c>
      <c r="F1774" s="1">
        <v>0</v>
      </c>
      <c r="G1774" s="1">
        <v>0</v>
      </c>
      <c r="H1774" s="1">
        <v>0</v>
      </c>
      <c r="I1774" s="1">
        <v>0</v>
      </c>
    </row>
    <row r="1775" spans="1:9" hidden="1" x14ac:dyDescent="0.25">
      <c r="A1775" s="1" t="s">
        <v>17</v>
      </c>
      <c r="B1775" s="1" t="s">
        <v>70</v>
      </c>
      <c r="C1775" s="1" t="s">
        <v>10</v>
      </c>
      <c r="D1775" s="1">
        <v>0</v>
      </c>
      <c r="E1775" s="1">
        <v>0</v>
      </c>
      <c r="F1775" s="1">
        <v>0</v>
      </c>
      <c r="G1775" s="1">
        <v>0</v>
      </c>
      <c r="H1775" s="1">
        <v>0</v>
      </c>
      <c r="I1775" s="1">
        <v>0</v>
      </c>
    </row>
    <row r="1776" spans="1:9" hidden="1" x14ac:dyDescent="0.25">
      <c r="A1776" s="1" t="s">
        <v>17</v>
      </c>
      <c r="B1776" s="1" t="s">
        <v>71</v>
      </c>
      <c r="C1776" s="1" t="s">
        <v>25</v>
      </c>
      <c r="D1776" s="1">
        <v>0</v>
      </c>
      <c r="E1776" s="1">
        <v>0</v>
      </c>
      <c r="F1776" s="1">
        <v>0</v>
      </c>
      <c r="G1776" s="1">
        <v>0</v>
      </c>
      <c r="H1776" s="1">
        <v>0</v>
      </c>
      <c r="I1776" s="1">
        <v>0</v>
      </c>
    </row>
    <row r="1777" spans="1:9" hidden="1" x14ac:dyDescent="0.25">
      <c r="A1777" s="1" t="s">
        <v>17</v>
      </c>
      <c r="B1777" s="1" t="s">
        <v>71</v>
      </c>
      <c r="C1777" s="1" t="s">
        <v>10</v>
      </c>
      <c r="D1777" s="1">
        <v>0</v>
      </c>
      <c r="E1777" s="1">
        <v>0</v>
      </c>
      <c r="F1777" s="1">
        <v>0</v>
      </c>
      <c r="G1777" s="1">
        <v>0</v>
      </c>
      <c r="H1777" s="1">
        <v>0</v>
      </c>
      <c r="I1777" s="1">
        <v>0</v>
      </c>
    </row>
    <row r="1778" spans="1:9" hidden="1" x14ac:dyDescent="0.25">
      <c r="A1778" s="1" t="s">
        <v>17</v>
      </c>
      <c r="B1778" s="1" t="s">
        <v>72</v>
      </c>
      <c r="C1778" s="1" t="s">
        <v>25</v>
      </c>
      <c r="D1778" s="1">
        <v>0</v>
      </c>
      <c r="E1778" s="1">
        <v>0</v>
      </c>
      <c r="F1778" s="1">
        <v>0</v>
      </c>
      <c r="G1778" s="1">
        <v>0</v>
      </c>
      <c r="H1778" s="1">
        <v>0</v>
      </c>
      <c r="I1778" s="1">
        <v>0</v>
      </c>
    </row>
    <row r="1779" spans="1:9" hidden="1" x14ac:dyDescent="0.25">
      <c r="A1779" s="1" t="s">
        <v>17</v>
      </c>
      <c r="B1779" s="1" t="s">
        <v>72</v>
      </c>
      <c r="C1779" s="1" t="s">
        <v>10</v>
      </c>
      <c r="D1779" s="1">
        <v>0</v>
      </c>
      <c r="E1779" s="1">
        <v>0</v>
      </c>
      <c r="F1779" s="1">
        <v>0</v>
      </c>
      <c r="G1779" s="1">
        <v>0</v>
      </c>
      <c r="H1779" s="1">
        <v>0</v>
      </c>
      <c r="I1779" s="1">
        <v>0</v>
      </c>
    </row>
    <row r="1780" spans="1:9" hidden="1" x14ac:dyDescent="0.25">
      <c r="A1780" s="1" t="s">
        <v>17</v>
      </c>
      <c r="B1780" s="1" t="s">
        <v>73</v>
      </c>
      <c r="C1780" s="1" t="s">
        <v>25</v>
      </c>
      <c r="D1780" s="1">
        <v>0</v>
      </c>
      <c r="E1780" s="1">
        <v>0</v>
      </c>
      <c r="F1780" s="1">
        <v>0</v>
      </c>
      <c r="G1780" s="1">
        <v>0</v>
      </c>
      <c r="H1780" s="1">
        <v>0</v>
      </c>
      <c r="I1780" s="1">
        <v>0</v>
      </c>
    </row>
    <row r="1781" spans="1:9" hidden="1" x14ac:dyDescent="0.25">
      <c r="A1781" s="1" t="s">
        <v>17</v>
      </c>
      <c r="B1781" s="1" t="s">
        <v>73</v>
      </c>
      <c r="C1781" s="1" t="s">
        <v>10</v>
      </c>
      <c r="D1781" s="1">
        <v>0</v>
      </c>
      <c r="E1781" s="1">
        <v>0</v>
      </c>
      <c r="F1781" s="1">
        <v>0</v>
      </c>
      <c r="G1781" s="1">
        <v>0</v>
      </c>
      <c r="H1781" s="1">
        <v>0</v>
      </c>
      <c r="I1781" s="1">
        <v>0</v>
      </c>
    </row>
    <row r="1782" spans="1:9" hidden="1" x14ac:dyDescent="0.25">
      <c r="A1782" s="1" t="s">
        <v>17</v>
      </c>
      <c r="B1782" s="1" t="s">
        <v>74</v>
      </c>
      <c r="C1782" s="1" t="s">
        <v>25</v>
      </c>
      <c r="D1782" s="1">
        <v>0</v>
      </c>
      <c r="E1782" s="1">
        <v>0</v>
      </c>
      <c r="F1782" s="1">
        <v>0</v>
      </c>
      <c r="G1782" s="1">
        <v>0</v>
      </c>
      <c r="H1782" s="1">
        <v>0</v>
      </c>
      <c r="I1782" s="1">
        <v>0</v>
      </c>
    </row>
    <row r="1783" spans="1:9" hidden="1" x14ac:dyDescent="0.25">
      <c r="A1783" s="1" t="s">
        <v>17</v>
      </c>
      <c r="B1783" s="1" t="s">
        <v>74</v>
      </c>
      <c r="C1783" s="1" t="s">
        <v>10</v>
      </c>
      <c r="D1783" s="1">
        <v>0</v>
      </c>
      <c r="E1783" s="1">
        <v>0</v>
      </c>
      <c r="F1783" s="1">
        <v>0</v>
      </c>
      <c r="G1783" s="1">
        <v>0</v>
      </c>
      <c r="H1783" s="1">
        <v>0</v>
      </c>
      <c r="I1783" s="1">
        <v>0</v>
      </c>
    </row>
    <row r="1784" spans="1:9" hidden="1" x14ac:dyDescent="0.25">
      <c r="A1784" s="1" t="s">
        <v>17</v>
      </c>
      <c r="B1784" s="1" t="s">
        <v>75</v>
      </c>
      <c r="C1784" s="1" t="s">
        <v>25</v>
      </c>
      <c r="D1784" s="1">
        <v>0</v>
      </c>
      <c r="E1784" s="1">
        <v>0</v>
      </c>
      <c r="F1784" s="1">
        <v>0</v>
      </c>
      <c r="G1784" s="1">
        <v>0</v>
      </c>
      <c r="H1784" s="1">
        <v>0</v>
      </c>
      <c r="I1784" s="1">
        <v>0</v>
      </c>
    </row>
    <row r="1785" spans="1:9" hidden="1" x14ac:dyDescent="0.25">
      <c r="A1785" s="1" t="s">
        <v>17</v>
      </c>
      <c r="B1785" s="1" t="s">
        <v>75</v>
      </c>
      <c r="C1785" s="1" t="s">
        <v>10</v>
      </c>
      <c r="D1785" s="1">
        <v>0</v>
      </c>
      <c r="E1785" s="1">
        <v>0</v>
      </c>
      <c r="F1785" s="1">
        <v>0</v>
      </c>
      <c r="G1785" s="1">
        <v>0</v>
      </c>
      <c r="H1785" s="1">
        <v>0</v>
      </c>
      <c r="I1785" s="1">
        <v>0</v>
      </c>
    </row>
    <row r="1786" spans="1:9" hidden="1" x14ac:dyDescent="0.25">
      <c r="A1786" s="1" t="s">
        <v>17</v>
      </c>
      <c r="B1786" s="1" t="s">
        <v>76</v>
      </c>
      <c r="C1786" s="1" t="s">
        <v>25</v>
      </c>
      <c r="D1786" s="1">
        <v>0</v>
      </c>
      <c r="E1786" s="1">
        <v>0</v>
      </c>
      <c r="F1786" s="1">
        <v>0</v>
      </c>
      <c r="G1786" s="1">
        <v>0</v>
      </c>
      <c r="H1786" s="1">
        <v>0</v>
      </c>
      <c r="I1786" s="1">
        <v>0</v>
      </c>
    </row>
    <row r="1787" spans="1:9" hidden="1" x14ac:dyDescent="0.25">
      <c r="A1787" s="1" t="s">
        <v>17</v>
      </c>
      <c r="B1787" s="1" t="s">
        <v>76</v>
      </c>
      <c r="C1787" s="1" t="s">
        <v>10</v>
      </c>
      <c r="D1787" s="1">
        <v>0</v>
      </c>
      <c r="E1787" s="1">
        <v>0</v>
      </c>
      <c r="F1787" s="1">
        <v>0</v>
      </c>
      <c r="G1787" s="1">
        <v>0</v>
      </c>
      <c r="H1787" s="1">
        <v>0</v>
      </c>
      <c r="I1787" s="1">
        <v>0</v>
      </c>
    </row>
    <row r="1788" spans="1:9" hidden="1" x14ac:dyDescent="0.25">
      <c r="A1788" s="1" t="s">
        <v>17</v>
      </c>
      <c r="B1788" s="1" t="s">
        <v>77</v>
      </c>
      <c r="C1788" s="1" t="s">
        <v>25</v>
      </c>
      <c r="D1788" s="1">
        <v>0</v>
      </c>
      <c r="E1788" s="1">
        <v>0</v>
      </c>
      <c r="F1788" s="1">
        <v>0</v>
      </c>
      <c r="G1788" s="1">
        <v>0</v>
      </c>
      <c r="H1788" s="1">
        <v>0</v>
      </c>
      <c r="I1788" s="1">
        <v>0</v>
      </c>
    </row>
    <row r="1789" spans="1:9" hidden="1" x14ac:dyDescent="0.25">
      <c r="A1789" s="1" t="s">
        <v>17</v>
      </c>
      <c r="B1789" s="1" t="s">
        <v>77</v>
      </c>
      <c r="C1789" s="1" t="s">
        <v>10</v>
      </c>
      <c r="D1789" s="1">
        <v>0</v>
      </c>
      <c r="E1789" s="1">
        <v>0</v>
      </c>
      <c r="F1789" s="1">
        <v>0</v>
      </c>
      <c r="G1789" s="1">
        <v>0</v>
      </c>
      <c r="H1789" s="1">
        <v>0</v>
      </c>
      <c r="I1789" s="1">
        <v>0</v>
      </c>
    </row>
    <row r="1790" spans="1:9" hidden="1" x14ac:dyDescent="0.25">
      <c r="A1790" s="1" t="s">
        <v>17</v>
      </c>
      <c r="B1790" s="1" t="s">
        <v>78</v>
      </c>
      <c r="C1790" s="1" t="s">
        <v>25</v>
      </c>
      <c r="D1790" s="1">
        <v>0</v>
      </c>
      <c r="E1790" s="1">
        <v>0</v>
      </c>
      <c r="F1790" s="1">
        <v>0</v>
      </c>
      <c r="G1790" s="1">
        <v>0</v>
      </c>
      <c r="H1790" s="1">
        <v>0</v>
      </c>
      <c r="I1790" s="1">
        <v>0</v>
      </c>
    </row>
    <row r="1791" spans="1:9" hidden="1" x14ac:dyDescent="0.25">
      <c r="A1791" s="1" t="s">
        <v>17</v>
      </c>
      <c r="B1791" s="1" t="s">
        <v>78</v>
      </c>
      <c r="C1791" s="1" t="s">
        <v>10</v>
      </c>
      <c r="D1791" s="1">
        <v>0</v>
      </c>
      <c r="E1791" s="1">
        <v>0</v>
      </c>
      <c r="F1791" s="1">
        <v>0</v>
      </c>
      <c r="G1791" s="1">
        <v>0</v>
      </c>
      <c r="H1791" s="1">
        <v>0</v>
      </c>
      <c r="I1791" s="1">
        <v>0</v>
      </c>
    </row>
    <row r="1792" spans="1:9" hidden="1" x14ac:dyDescent="0.25">
      <c r="A1792" s="1" t="s">
        <v>17</v>
      </c>
      <c r="B1792" s="1" t="s">
        <v>79</v>
      </c>
      <c r="C1792" s="1" t="s">
        <v>25</v>
      </c>
      <c r="D1792" s="1">
        <v>0</v>
      </c>
      <c r="E1792" s="1">
        <v>0</v>
      </c>
      <c r="F1792" s="1">
        <v>0</v>
      </c>
      <c r="G1792" s="1">
        <v>0</v>
      </c>
      <c r="H1792" s="1">
        <v>0</v>
      </c>
      <c r="I1792" s="1">
        <v>0</v>
      </c>
    </row>
    <row r="1793" spans="1:9" hidden="1" x14ac:dyDescent="0.25">
      <c r="A1793" s="1" t="s">
        <v>17</v>
      </c>
      <c r="B1793" s="1" t="s">
        <v>79</v>
      </c>
      <c r="C1793" s="1" t="s">
        <v>10</v>
      </c>
      <c r="D1793" s="1">
        <v>0</v>
      </c>
      <c r="E1793" s="1">
        <v>0</v>
      </c>
      <c r="F1793" s="1">
        <v>0</v>
      </c>
      <c r="G1793" s="1">
        <v>0</v>
      </c>
      <c r="H1793" s="1">
        <v>0</v>
      </c>
      <c r="I1793" s="1">
        <v>0</v>
      </c>
    </row>
    <row r="1794" spans="1:9" hidden="1" x14ac:dyDescent="0.25">
      <c r="A1794" s="1" t="s">
        <v>17</v>
      </c>
      <c r="B1794" s="1" t="s">
        <v>80</v>
      </c>
      <c r="C1794" s="1" t="s">
        <v>25</v>
      </c>
      <c r="D1794" s="1">
        <v>0</v>
      </c>
      <c r="E1794" s="1">
        <v>0</v>
      </c>
      <c r="F1794" s="1">
        <v>0</v>
      </c>
      <c r="G1794" s="1">
        <v>0</v>
      </c>
      <c r="H1794" s="1">
        <v>0</v>
      </c>
      <c r="I1794" s="1">
        <v>0</v>
      </c>
    </row>
    <row r="1795" spans="1:9" hidden="1" x14ac:dyDescent="0.25">
      <c r="A1795" s="1" t="s">
        <v>17</v>
      </c>
      <c r="B1795" s="1" t="s">
        <v>80</v>
      </c>
      <c r="C1795" s="1" t="s">
        <v>10</v>
      </c>
      <c r="D1795" s="1">
        <v>0</v>
      </c>
      <c r="E1795" s="1">
        <v>0</v>
      </c>
      <c r="F1795" s="1">
        <v>0</v>
      </c>
      <c r="G1795" s="1">
        <v>0</v>
      </c>
      <c r="H1795" s="1">
        <v>0</v>
      </c>
      <c r="I1795" s="1">
        <v>0</v>
      </c>
    </row>
    <row r="1796" spans="1:9" hidden="1" x14ac:dyDescent="0.25">
      <c r="A1796" s="1" t="s">
        <v>17</v>
      </c>
      <c r="B1796" s="1" t="s">
        <v>81</v>
      </c>
      <c r="C1796" s="1" t="s">
        <v>25</v>
      </c>
      <c r="D1796" s="1">
        <v>0</v>
      </c>
      <c r="E1796" s="1">
        <v>0</v>
      </c>
      <c r="F1796" s="1">
        <v>0</v>
      </c>
      <c r="G1796" s="1">
        <v>0</v>
      </c>
      <c r="H1796" s="1">
        <v>0</v>
      </c>
      <c r="I1796" s="1">
        <v>0</v>
      </c>
    </row>
    <row r="1797" spans="1:9" hidden="1" x14ac:dyDescent="0.25">
      <c r="A1797" s="1" t="s">
        <v>17</v>
      </c>
      <c r="B1797" s="1" t="s">
        <v>81</v>
      </c>
      <c r="C1797" s="1" t="s">
        <v>10</v>
      </c>
      <c r="D1797" s="1">
        <v>0</v>
      </c>
      <c r="E1797" s="1">
        <v>0</v>
      </c>
      <c r="F1797" s="1">
        <v>0</v>
      </c>
      <c r="G1797" s="1">
        <v>0</v>
      </c>
      <c r="H1797" s="1">
        <v>0</v>
      </c>
      <c r="I1797" s="1">
        <v>0</v>
      </c>
    </row>
    <row r="1798" spans="1:9" hidden="1" x14ac:dyDescent="0.25">
      <c r="A1798" s="1" t="s">
        <v>17</v>
      </c>
      <c r="B1798" s="1" t="s">
        <v>82</v>
      </c>
      <c r="C1798" s="1" t="s">
        <v>25</v>
      </c>
      <c r="D1798" s="1">
        <v>0</v>
      </c>
      <c r="E1798" s="1">
        <v>0</v>
      </c>
      <c r="F1798" s="1">
        <v>0</v>
      </c>
      <c r="G1798" s="1">
        <v>0</v>
      </c>
      <c r="H1798" s="1">
        <v>0</v>
      </c>
      <c r="I1798" s="1">
        <v>0</v>
      </c>
    </row>
    <row r="1799" spans="1:9" hidden="1" x14ac:dyDescent="0.25">
      <c r="A1799" s="1" t="s">
        <v>17</v>
      </c>
      <c r="B1799" s="1" t="s">
        <v>82</v>
      </c>
      <c r="C1799" s="1" t="s">
        <v>10</v>
      </c>
      <c r="D1799" s="1">
        <v>0</v>
      </c>
      <c r="E1799" s="1">
        <v>0</v>
      </c>
      <c r="F1799" s="1">
        <v>0</v>
      </c>
      <c r="G1799" s="1">
        <v>0</v>
      </c>
      <c r="H1799" s="1">
        <v>0</v>
      </c>
      <c r="I1799" s="1">
        <v>0</v>
      </c>
    </row>
    <row r="1800" spans="1:9" hidden="1" x14ac:dyDescent="0.25">
      <c r="A1800" s="1" t="s">
        <v>17</v>
      </c>
      <c r="B1800" s="1" t="s">
        <v>83</v>
      </c>
      <c r="C1800" s="1" t="s">
        <v>25</v>
      </c>
      <c r="D1800" s="1">
        <v>0</v>
      </c>
      <c r="E1800" s="1">
        <v>0</v>
      </c>
      <c r="F1800" s="1">
        <v>0</v>
      </c>
      <c r="G1800" s="1">
        <v>0</v>
      </c>
      <c r="H1800" s="1">
        <v>0</v>
      </c>
      <c r="I1800" s="1">
        <v>0</v>
      </c>
    </row>
    <row r="1801" spans="1:9" hidden="1" x14ac:dyDescent="0.25">
      <c r="A1801" s="1" t="s">
        <v>17</v>
      </c>
      <c r="B1801" s="1" t="s">
        <v>83</v>
      </c>
      <c r="C1801" s="1" t="s">
        <v>10</v>
      </c>
      <c r="D1801" s="1">
        <v>0</v>
      </c>
      <c r="E1801" s="1">
        <v>0</v>
      </c>
      <c r="F1801" s="1">
        <v>0</v>
      </c>
      <c r="G1801" s="1">
        <v>0</v>
      </c>
      <c r="H1801" s="1">
        <v>0</v>
      </c>
      <c r="I1801" s="1">
        <v>0</v>
      </c>
    </row>
    <row r="1802" spans="1:9" hidden="1" x14ac:dyDescent="0.25">
      <c r="A1802" s="1" t="s">
        <v>17</v>
      </c>
      <c r="B1802" s="1" t="s">
        <v>84</v>
      </c>
      <c r="C1802" s="1" t="s">
        <v>25</v>
      </c>
      <c r="D1802" s="1">
        <v>0</v>
      </c>
      <c r="E1802" s="1">
        <v>0</v>
      </c>
      <c r="F1802" s="1">
        <v>0</v>
      </c>
      <c r="G1802" s="1">
        <v>0</v>
      </c>
      <c r="H1802" s="1">
        <v>0</v>
      </c>
      <c r="I1802" s="1">
        <v>0</v>
      </c>
    </row>
    <row r="1803" spans="1:9" hidden="1" x14ac:dyDescent="0.25">
      <c r="A1803" s="1" t="s">
        <v>17</v>
      </c>
      <c r="B1803" s="1" t="s">
        <v>84</v>
      </c>
      <c r="C1803" s="1" t="s">
        <v>10</v>
      </c>
      <c r="D1803" s="1">
        <v>0</v>
      </c>
      <c r="E1803" s="1">
        <v>0</v>
      </c>
      <c r="F1803" s="1">
        <v>0</v>
      </c>
      <c r="G1803" s="1">
        <v>0</v>
      </c>
      <c r="H1803" s="1">
        <v>0</v>
      </c>
      <c r="I1803" s="1">
        <v>0</v>
      </c>
    </row>
    <row r="1804" spans="1:9" hidden="1" x14ac:dyDescent="0.25">
      <c r="A1804" s="1" t="s">
        <v>17</v>
      </c>
      <c r="B1804" s="1" t="s">
        <v>85</v>
      </c>
      <c r="C1804" s="1" t="s">
        <v>25</v>
      </c>
      <c r="D1804" s="1">
        <v>0</v>
      </c>
      <c r="E1804" s="1">
        <v>0</v>
      </c>
      <c r="F1804" s="1">
        <v>0</v>
      </c>
      <c r="G1804" s="1">
        <v>0</v>
      </c>
      <c r="H1804" s="1">
        <v>0</v>
      </c>
      <c r="I1804" s="1">
        <v>0</v>
      </c>
    </row>
    <row r="1805" spans="1:9" hidden="1" x14ac:dyDescent="0.25">
      <c r="A1805" s="1" t="s">
        <v>17</v>
      </c>
      <c r="B1805" s="1" t="s">
        <v>85</v>
      </c>
      <c r="C1805" s="1" t="s">
        <v>10</v>
      </c>
      <c r="D1805" s="1">
        <v>0</v>
      </c>
      <c r="E1805" s="1">
        <v>0</v>
      </c>
      <c r="F1805" s="1">
        <v>0</v>
      </c>
      <c r="G1805" s="1">
        <v>0</v>
      </c>
      <c r="H1805" s="1">
        <v>0</v>
      </c>
      <c r="I1805" s="1">
        <v>0</v>
      </c>
    </row>
    <row r="1806" spans="1:9" hidden="1" x14ac:dyDescent="0.25">
      <c r="A1806" s="1" t="s">
        <v>17</v>
      </c>
      <c r="B1806" s="1" t="s">
        <v>86</v>
      </c>
      <c r="C1806" s="1" t="s">
        <v>25</v>
      </c>
      <c r="D1806" s="1">
        <v>0</v>
      </c>
      <c r="E1806" s="1">
        <v>0</v>
      </c>
      <c r="F1806" s="1">
        <v>0</v>
      </c>
      <c r="G1806" s="1">
        <v>0</v>
      </c>
      <c r="H1806" s="1">
        <v>0</v>
      </c>
      <c r="I1806" s="1">
        <v>0</v>
      </c>
    </row>
    <row r="1807" spans="1:9" hidden="1" x14ac:dyDescent="0.25">
      <c r="A1807" s="1" t="s">
        <v>17</v>
      </c>
      <c r="B1807" s="1" t="s">
        <v>86</v>
      </c>
      <c r="C1807" s="1" t="s">
        <v>10</v>
      </c>
      <c r="D1807" s="1">
        <v>0</v>
      </c>
      <c r="E1807" s="1">
        <v>0</v>
      </c>
      <c r="F1807" s="1">
        <v>0</v>
      </c>
      <c r="G1807" s="1">
        <v>0</v>
      </c>
      <c r="H1807" s="1">
        <v>0</v>
      </c>
      <c r="I1807" s="1">
        <v>0</v>
      </c>
    </row>
    <row r="1808" spans="1:9" hidden="1" x14ac:dyDescent="0.25">
      <c r="A1808" s="1" t="s">
        <v>17</v>
      </c>
      <c r="B1808" s="1" t="s">
        <v>87</v>
      </c>
      <c r="C1808" s="1" t="s">
        <v>25</v>
      </c>
      <c r="D1808" s="1">
        <v>0</v>
      </c>
      <c r="E1808" s="1">
        <v>0</v>
      </c>
      <c r="F1808" s="1">
        <v>0</v>
      </c>
      <c r="G1808" s="1">
        <v>0</v>
      </c>
      <c r="H1808" s="1">
        <v>0</v>
      </c>
      <c r="I1808" s="1">
        <v>0</v>
      </c>
    </row>
    <row r="1809" spans="1:9" hidden="1" x14ac:dyDescent="0.25">
      <c r="A1809" s="1" t="s">
        <v>17</v>
      </c>
      <c r="B1809" s="1" t="s">
        <v>87</v>
      </c>
      <c r="C1809" s="1" t="s">
        <v>10</v>
      </c>
      <c r="D1809" s="1">
        <v>0</v>
      </c>
      <c r="E1809" s="1">
        <v>0</v>
      </c>
      <c r="F1809" s="1">
        <v>0</v>
      </c>
      <c r="G1809" s="1">
        <v>0</v>
      </c>
      <c r="H1809" s="1">
        <v>0</v>
      </c>
      <c r="I1809" s="1">
        <v>0</v>
      </c>
    </row>
    <row r="1810" spans="1:9" hidden="1" x14ac:dyDescent="0.25">
      <c r="A1810" s="1" t="s">
        <v>17</v>
      </c>
      <c r="B1810" s="1" t="s">
        <v>88</v>
      </c>
      <c r="C1810" s="1" t="s">
        <v>25</v>
      </c>
      <c r="D1810" s="1">
        <v>0</v>
      </c>
      <c r="E1810" s="1">
        <v>0</v>
      </c>
      <c r="F1810" s="1">
        <v>0</v>
      </c>
      <c r="G1810" s="1">
        <v>0</v>
      </c>
      <c r="H1810" s="1">
        <v>0</v>
      </c>
      <c r="I1810" s="1">
        <v>0</v>
      </c>
    </row>
    <row r="1811" spans="1:9" hidden="1" x14ac:dyDescent="0.25">
      <c r="A1811" s="1" t="s">
        <v>17</v>
      </c>
      <c r="B1811" s="1" t="s">
        <v>88</v>
      </c>
      <c r="C1811" s="1" t="s">
        <v>10</v>
      </c>
      <c r="D1811" s="1">
        <v>0</v>
      </c>
      <c r="E1811" s="1">
        <v>0</v>
      </c>
      <c r="F1811" s="1">
        <v>0</v>
      </c>
      <c r="G1811" s="1">
        <v>0</v>
      </c>
      <c r="H1811" s="1">
        <v>0</v>
      </c>
      <c r="I1811" s="1">
        <v>0</v>
      </c>
    </row>
    <row r="1812" spans="1:9" hidden="1" x14ac:dyDescent="0.25">
      <c r="A1812" s="1" t="s">
        <v>17</v>
      </c>
      <c r="B1812" s="1" t="s">
        <v>89</v>
      </c>
      <c r="C1812" s="1" t="s">
        <v>25</v>
      </c>
      <c r="D1812" s="1">
        <v>0</v>
      </c>
      <c r="E1812" s="1">
        <v>0</v>
      </c>
      <c r="F1812" s="1">
        <v>0</v>
      </c>
      <c r="G1812" s="1">
        <v>0</v>
      </c>
      <c r="H1812" s="1">
        <v>0</v>
      </c>
      <c r="I1812" s="1">
        <v>0</v>
      </c>
    </row>
    <row r="1813" spans="1:9" hidden="1" x14ac:dyDescent="0.25">
      <c r="A1813" s="1" t="s">
        <v>17</v>
      </c>
      <c r="B1813" s="1" t="s">
        <v>89</v>
      </c>
      <c r="C1813" s="1" t="s">
        <v>10</v>
      </c>
      <c r="D1813" s="1">
        <v>0</v>
      </c>
      <c r="E1813" s="1">
        <v>0</v>
      </c>
      <c r="F1813" s="1">
        <v>0</v>
      </c>
      <c r="G1813" s="1">
        <v>0</v>
      </c>
      <c r="H1813" s="1">
        <v>0</v>
      </c>
      <c r="I1813" s="1">
        <v>0</v>
      </c>
    </row>
    <row r="1814" spans="1:9" hidden="1" x14ac:dyDescent="0.25">
      <c r="A1814" s="1" t="s">
        <v>17</v>
      </c>
      <c r="B1814" s="1" t="s">
        <v>90</v>
      </c>
      <c r="C1814" s="1" t="s">
        <v>25</v>
      </c>
      <c r="D1814" s="1">
        <v>0</v>
      </c>
      <c r="E1814" s="1">
        <v>0</v>
      </c>
      <c r="F1814" s="1">
        <v>0</v>
      </c>
      <c r="G1814" s="1">
        <v>0</v>
      </c>
      <c r="H1814" s="1">
        <v>0</v>
      </c>
      <c r="I1814" s="1">
        <v>0</v>
      </c>
    </row>
    <row r="1815" spans="1:9" hidden="1" x14ac:dyDescent="0.25">
      <c r="A1815" s="1" t="s">
        <v>17</v>
      </c>
      <c r="B1815" s="1" t="s">
        <v>90</v>
      </c>
      <c r="C1815" s="1" t="s">
        <v>10</v>
      </c>
      <c r="D1815" s="1">
        <v>0</v>
      </c>
      <c r="E1815" s="1">
        <v>0</v>
      </c>
      <c r="F1815" s="1">
        <v>0</v>
      </c>
      <c r="G1815" s="1">
        <v>0</v>
      </c>
      <c r="H1815" s="1">
        <v>0</v>
      </c>
      <c r="I1815" s="1">
        <v>0</v>
      </c>
    </row>
    <row r="1816" spans="1:9" hidden="1" x14ac:dyDescent="0.25">
      <c r="A1816" s="1" t="s">
        <v>17</v>
      </c>
      <c r="B1816" s="1" t="s">
        <v>91</v>
      </c>
      <c r="C1816" s="1" t="s">
        <v>25</v>
      </c>
      <c r="D1816" s="1">
        <v>0</v>
      </c>
      <c r="E1816" s="1">
        <v>0</v>
      </c>
      <c r="F1816" s="1">
        <v>0</v>
      </c>
      <c r="G1816" s="1">
        <v>0</v>
      </c>
      <c r="H1816" s="1">
        <v>0</v>
      </c>
      <c r="I1816" s="1">
        <v>0</v>
      </c>
    </row>
    <row r="1817" spans="1:9" hidden="1" x14ac:dyDescent="0.25">
      <c r="A1817" s="1" t="s">
        <v>17</v>
      </c>
      <c r="B1817" s="1" t="s">
        <v>91</v>
      </c>
      <c r="C1817" s="1" t="s">
        <v>10</v>
      </c>
      <c r="D1817" s="1">
        <v>0</v>
      </c>
      <c r="E1817" s="1">
        <v>0</v>
      </c>
      <c r="F1817" s="1">
        <v>0</v>
      </c>
      <c r="G1817" s="1">
        <v>0</v>
      </c>
      <c r="H1817" s="1">
        <v>0</v>
      </c>
      <c r="I1817" s="1">
        <v>0</v>
      </c>
    </row>
    <row r="1818" spans="1:9" hidden="1" x14ac:dyDescent="0.25">
      <c r="A1818" s="1" t="s">
        <v>17</v>
      </c>
      <c r="B1818" s="1" t="s">
        <v>92</v>
      </c>
      <c r="C1818" s="1" t="s">
        <v>25</v>
      </c>
      <c r="D1818" s="1">
        <v>0</v>
      </c>
      <c r="E1818" s="1">
        <v>0</v>
      </c>
      <c r="F1818" s="1">
        <v>0</v>
      </c>
      <c r="G1818" s="1">
        <v>0</v>
      </c>
      <c r="H1818" s="1">
        <v>0</v>
      </c>
      <c r="I1818" s="1">
        <v>0</v>
      </c>
    </row>
    <row r="1819" spans="1:9" hidden="1" x14ac:dyDescent="0.25">
      <c r="A1819" s="1" t="s">
        <v>17</v>
      </c>
      <c r="B1819" s="1" t="s">
        <v>92</v>
      </c>
      <c r="C1819" s="1" t="s">
        <v>10</v>
      </c>
      <c r="D1819" s="1">
        <v>0</v>
      </c>
      <c r="E1819" s="1">
        <v>0</v>
      </c>
      <c r="F1819" s="1">
        <v>0</v>
      </c>
      <c r="G1819" s="1">
        <v>0</v>
      </c>
      <c r="H1819" s="1">
        <v>0</v>
      </c>
      <c r="I1819" s="1">
        <v>0</v>
      </c>
    </row>
    <row r="1820" spans="1:9" hidden="1" x14ac:dyDescent="0.25">
      <c r="A1820" s="1" t="s">
        <v>17</v>
      </c>
      <c r="B1820" s="1" t="s">
        <v>93</v>
      </c>
      <c r="C1820" s="1" t="s">
        <v>25</v>
      </c>
      <c r="D1820" s="1">
        <v>0</v>
      </c>
      <c r="E1820" s="1">
        <v>0</v>
      </c>
      <c r="F1820" s="1">
        <v>0</v>
      </c>
      <c r="G1820" s="1">
        <v>0</v>
      </c>
      <c r="H1820" s="1">
        <v>0</v>
      </c>
      <c r="I1820" s="1">
        <v>0</v>
      </c>
    </row>
    <row r="1821" spans="1:9" hidden="1" x14ac:dyDescent="0.25">
      <c r="A1821" s="1" t="s">
        <v>17</v>
      </c>
      <c r="B1821" s="1" t="s">
        <v>93</v>
      </c>
      <c r="C1821" s="1" t="s">
        <v>10</v>
      </c>
      <c r="D1821" s="1">
        <v>0</v>
      </c>
      <c r="E1821" s="1">
        <v>0</v>
      </c>
      <c r="F1821" s="1">
        <v>0</v>
      </c>
      <c r="G1821" s="1">
        <v>0</v>
      </c>
      <c r="H1821" s="1">
        <v>0</v>
      </c>
      <c r="I1821" s="1">
        <v>0</v>
      </c>
    </row>
    <row r="1822" spans="1:9" hidden="1" x14ac:dyDescent="0.25">
      <c r="A1822" s="1" t="s">
        <v>17</v>
      </c>
      <c r="B1822" s="1" t="s">
        <v>94</v>
      </c>
      <c r="C1822" s="1" t="s">
        <v>25</v>
      </c>
      <c r="D1822" s="1">
        <v>0</v>
      </c>
      <c r="E1822" s="1">
        <v>0</v>
      </c>
      <c r="F1822" s="1">
        <v>0</v>
      </c>
      <c r="G1822" s="1">
        <v>0</v>
      </c>
      <c r="H1822" s="1">
        <v>0</v>
      </c>
      <c r="I1822" s="1">
        <v>0</v>
      </c>
    </row>
    <row r="1823" spans="1:9" hidden="1" x14ac:dyDescent="0.25">
      <c r="A1823" s="1" t="s">
        <v>17</v>
      </c>
      <c r="B1823" s="1" t="s">
        <v>94</v>
      </c>
      <c r="C1823" s="1" t="s">
        <v>10</v>
      </c>
      <c r="D1823" s="1">
        <v>0</v>
      </c>
      <c r="E1823" s="1">
        <v>0</v>
      </c>
      <c r="F1823" s="1">
        <v>0</v>
      </c>
      <c r="G1823" s="1">
        <v>0</v>
      </c>
      <c r="H1823" s="1">
        <v>0</v>
      </c>
      <c r="I1823" s="1">
        <v>0</v>
      </c>
    </row>
    <row r="1824" spans="1:9" hidden="1" x14ac:dyDescent="0.25">
      <c r="A1824" s="1" t="s">
        <v>17</v>
      </c>
      <c r="B1824" s="1" t="s">
        <v>95</v>
      </c>
      <c r="C1824" s="1" t="s">
        <v>25</v>
      </c>
      <c r="D1824" s="1">
        <v>0</v>
      </c>
      <c r="E1824" s="1">
        <v>0</v>
      </c>
      <c r="F1824" s="1">
        <v>0</v>
      </c>
      <c r="G1824" s="1">
        <v>0</v>
      </c>
      <c r="H1824" s="1">
        <v>0</v>
      </c>
      <c r="I1824" s="1">
        <v>0</v>
      </c>
    </row>
    <row r="1825" spans="1:9" hidden="1" x14ac:dyDescent="0.25">
      <c r="A1825" s="1" t="s">
        <v>17</v>
      </c>
      <c r="B1825" s="1" t="s">
        <v>95</v>
      </c>
      <c r="C1825" s="1" t="s">
        <v>10</v>
      </c>
      <c r="D1825" s="1">
        <v>0</v>
      </c>
      <c r="E1825" s="1">
        <v>0</v>
      </c>
      <c r="F1825" s="1">
        <v>0</v>
      </c>
      <c r="G1825" s="1">
        <v>0</v>
      </c>
      <c r="H1825" s="1">
        <v>0</v>
      </c>
      <c r="I1825" s="1">
        <v>0</v>
      </c>
    </row>
    <row r="1826" spans="1:9" hidden="1" x14ac:dyDescent="0.25">
      <c r="A1826" s="1" t="s">
        <v>17</v>
      </c>
      <c r="B1826" s="1" t="s">
        <v>96</v>
      </c>
      <c r="C1826" s="1" t="s">
        <v>25</v>
      </c>
      <c r="D1826" s="1">
        <v>0</v>
      </c>
      <c r="E1826" s="1">
        <v>0</v>
      </c>
      <c r="F1826" s="1">
        <v>0</v>
      </c>
      <c r="G1826" s="1">
        <v>0</v>
      </c>
      <c r="H1826" s="1">
        <v>0</v>
      </c>
      <c r="I1826" s="1">
        <v>0</v>
      </c>
    </row>
    <row r="1827" spans="1:9" hidden="1" x14ac:dyDescent="0.25">
      <c r="A1827" s="1" t="s">
        <v>17</v>
      </c>
      <c r="B1827" s="1" t="s">
        <v>96</v>
      </c>
      <c r="C1827" s="1" t="s">
        <v>10</v>
      </c>
      <c r="D1827" s="1">
        <v>0</v>
      </c>
      <c r="E1827" s="1">
        <v>0</v>
      </c>
      <c r="F1827" s="1">
        <v>0</v>
      </c>
      <c r="G1827" s="1">
        <v>0</v>
      </c>
      <c r="H1827" s="1">
        <v>0</v>
      </c>
      <c r="I1827" s="1">
        <v>0</v>
      </c>
    </row>
    <row r="1828" spans="1:9" hidden="1" x14ac:dyDescent="0.25">
      <c r="A1828" s="1" t="s">
        <v>17</v>
      </c>
      <c r="B1828" s="1" t="s">
        <v>97</v>
      </c>
      <c r="C1828" s="1" t="s">
        <v>25</v>
      </c>
      <c r="D1828" s="1">
        <v>0</v>
      </c>
      <c r="E1828" s="1">
        <v>0</v>
      </c>
      <c r="F1828" s="1">
        <v>0</v>
      </c>
      <c r="G1828" s="1">
        <v>0</v>
      </c>
      <c r="H1828" s="1">
        <v>0</v>
      </c>
      <c r="I1828" s="1">
        <v>0</v>
      </c>
    </row>
    <row r="1829" spans="1:9" hidden="1" x14ac:dyDescent="0.25">
      <c r="A1829" s="1" t="s">
        <v>17</v>
      </c>
      <c r="B1829" s="1" t="s">
        <v>97</v>
      </c>
      <c r="C1829" s="1" t="s">
        <v>10</v>
      </c>
      <c r="D1829" s="1">
        <v>0</v>
      </c>
      <c r="E1829" s="1">
        <v>0</v>
      </c>
      <c r="F1829" s="1">
        <v>0</v>
      </c>
      <c r="G1829" s="1">
        <v>0</v>
      </c>
      <c r="H1829" s="1">
        <v>0</v>
      </c>
      <c r="I1829" s="1">
        <v>0</v>
      </c>
    </row>
    <row r="1830" spans="1:9" hidden="1" x14ac:dyDescent="0.25">
      <c r="A1830" s="1" t="s">
        <v>17</v>
      </c>
      <c r="B1830" s="1" t="s">
        <v>14</v>
      </c>
      <c r="C1830" s="1" t="s">
        <v>25</v>
      </c>
      <c r="D1830" s="1">
        <v>0</v>
      </c>
      <c r="E1830" s="1">
        <v>0</v>
      </c>
      <c r="F1830" s="1">
        <v>0</v>
      </c>
      <c r="G1830" s="1">
        <v>0</v>
      </c>
      <c r="H1830" s="1">
        <v>0</v>
      </c>
      <c r="I1830" s="1">
        <v>0</v>
      </c>
    </row>
    <row r="1831" spans="1:9" hidden="1" x14ac:dyDescent="0.25">
      <c r="A1831" s="1" t="s">
        <v>17</v>
      </c>
      <c r="B1831" s="1" t="s">
        <v>14</v>
      </c>
      <c r="C1831" s="1" t="s">
        <v>10</v>
      </c>
      <c r="D1831" s="1">
        <v>0</v>
      </c>
      <c r="E1831" s="1">
        <v>0</v>
      </c>
      <c r="F1831" s="1">
        <v>0</v>
      </c>
      <c r="G1831" s="1">
        <v>0</v>
      </c>
      <c r="H1831" s="1">
        <v>0</v>
      </c>
      <c r="I1831" s="1">
        <v>0</v>
      </c>
    </row>
    <row r="1832" spans="1:9" hidden="1" x14ac:dyDescent="0.25">
      <c r="A1832" s="1" t="s">
        <v>17</v>
      </c>
      <c r="B1832" s="1" t="s">
        <v>98</v>
      </c>
      <c r="C1832" s="1" t="s">
        <v>25</v>
      </c>
      <c r="D1832" s="1">
        <v>0</v>
      </c>
      <c r="E1832" s="1">
        <v>0</v>
      </c>
      <c r="F1832" s="1">
        <v>0</v>
      </c>
      <c r="G1832" s="1">
        <v>0</v>
      </c>
      <c r="H1832" s="1">
        <v>0</v>
      </c>
      <c r="I1832" s="1">
        <v>0</v>
      </c>
    </row>
    <row r="1833" spans="1:9" hidden="1" x14ac:dyDescent="0.25">
      <c r="A1833" s="1" t="s">
        <v>17</v>
      </c>
      <c r="B1833" s="1" t="s">
        <v>98</v>
      </c>
      <c r="C1833" s="1" t="s">
        <v>10</v>
      </c>
      <c r="D1833" s="1">
        <v>0</v>
      </c>
      <c r="E1833" s="1">
        <v>0</v>
      </c>
      <c r="F1833" s="1">
        <v>0</v>
      </c>
      <c r="G1833" s="1">
        <v>0</v>
      </c>
      <c r="H1833" s="1">
        <v>0</v>
      </c>
      <c r="I1833" s="1">
        <v>0</v>
      </c>
    </row>
    <row r="1834" spans="1:9" hidden="1" x14ac:dyDescent="0.25">
      <c r="A1834" s="1" t="s">
        <v>17</v>
      </c>
      <c r="B1834" s="1" t="s">
        <v>15</v>
      </c>
      <c r="C1834" s="1" t="s">
        <v>25</v>
      </c>
      <c r="D1834" s="1">
        <v>0</v>
      </c>
      <c r="E1834" s="1">
        <v>0</v>
      </c>
      <c r="F1834" s="1">
        <v>0</v>
      </c>
      <c r="G1834" s="1">
        <v>0</v>
      </c>
      <c r="H1834" s="1">
        <v>0</v>
      </c>
      <c r="I1834" s="1">
        <v>0</v>
      </c>
    </row>
    <row r="1835" spans="1:9" hidden="1" x14ac:dyDescent="0.25">
      <c r="A1835" s="1" t="s">
        <v>17</v>
      </c>
      <c r="B1835" s="1" t="s">
        <v>15</v>
      </c>
      <c r="C1835" s="1" t="s">
        <v>10</v>
      </c>
      <c r="D1835" s="1">
        <v>0</v>
      </c>
      <c r="E1835" s="1">
        <v>0</v>
      </c>
      <c r="F1835" s="1">
        <v>0</v>
      </c>
      <c r="G1835" s="1">
        <v>0</v>
      </c>
      <c r="H1835" s="1">
        <v>0</v>
      </c>
      <c r="I1835" s="1">
        <v>0</v>
      </c>
    </row>
    <row r="1836" spans="1:9" hidden="1" x14ac:dyDescent="0.25">
      <c r="A1836" s="1" t="s">
        <v>17</v>
      </c>
      <c r="B1836" s="1" t="s">
        <v>99</v>
      </c>
      <c r="C1836" s="1" t="s">
        <v>25</v>
      </c>
      <c r="D1836" s="1">
        <v>0</v>
      </c>
      <c r="E1836" s="1">
        <v>0</v>
      </c>
      <c r="F1836" s="1">
        <v>0</v>
      </c>
      <c r="G1836" s="1">
        <v>0</v>
      </c>
      <c r="H1836" s="1">
        <v>0</v>
      </c>
      <c r="I1836" s="1">
        <v>0</v>
      </c>
    </row>
    <row r="1837" spans="1:9" hidden="1" x14ac:dyDescent="0.25">
      <c r="A1837" s="1" t="s">
        <v>17</v>
      </c>
      <c r="B1837" s="1" t="s">
        <v>99</v>
      </c>
      <c r="C1837" s="1" t="s">
        <v>10</v>
      </c>
      <c r="D1837" s="1">
        <v>0</v>
      </c>
      <c r="E1837" s="1">
        <v>0</v>
      </c>
      <c r="F1837" s="1">
        <v>0</v>
      </c>
      <c r="G1837" s="1">
        <v>0</v>
      </c>
      <c r="H1837" s="1">
        <v>0</v>
      </c>
      <c r="I1837" s="1">
        <v>0</v>
      </c>
    </row>
    <row r="1838" spans="1:9" hidden="1" x14ac:dyDescent="0.25">
      <c r="A1838" s="1" t="s">
        <v>17</v>
      </c>
      <c r="B1838" s="1" t="s">
        <v>100</v>
      </c>
      <c r="C1838" s="1" t="s">
        <v>25</v>
      </c>
      <c r="D1838" s="1">
        <v>0</v>
      </c>
      <c r="E1838" s="1">
        <v>0</v>
      </c>
      <c r="F1838" s="1">
        <v>0</v>
      </c>
      <c r="G1838" s="1">
        <v>0</v>
      </c>
      <c r="H1838" s="1">
        <v>0</v>
      </c>
      <c r="I1838" s="1">
        <v>0</v>
      </c>
    </row>
    <row r="1839" spans="1:9" hidden="1" x14ac:dyDescent="0.25">
      <c r="A1839" s="1" t="s">
        <v>17</v>
      </c>
      <c r="B1839" s="1" t="s">
        <v>100</v>
      </c>
      <c r="C1839" s="1" t="s">
        <v>10</v>
      </c>
      <c r="D1839" s="1">
        <v>0</v>
      </c>
      <c r="E1839" s="1">
        <v>0</v>
      </c>
      <c r="F1839" s="1">
        <v>0</v>
      </c>
      <c r="G1839" s="1">
        <v>0</v>
      </c>
      <c r="H1839" s="1">
        <v>0</v>
      </c>
      <c r="I1839" s="1">
        <v>0</v>
      </c>
    </row>
    <row r="1840" spans="1:9" hidden="1" x14ac:dyDescent="0.25">
      <c r="A1840" s="1" t="s">
        <v>17</v>
      </c>
      <c r="B1840" s="1" t="s">
        <v>101</v>
      </c>
      <c r="C1840" s="1" t="s">
        <v>25</v>
      </c>
      <c r="D1840" s="1">
        <v>0</v>
      </c>
      <c r="E1840" s="1">
        <v>0</v>
      </c>
      <c r="F1840" s="1">
        <v>0</v>
      </c>
      <c r="G1840" s="1">
        <v>0</v>
      </c>
      <c r="H1840" s="1">
        <v>0</v>
      </c>
      <c r="I1840" s="1">
        <v>0</v>
      </c>
    </row>
    <row r="1841" spans="1:9" hidden="1" x14ac:dyDescent="0.25">
      <c r="A1841" s="1" t="s">
        <v>17</v>
      </c>
      <c r="B1841" s="1" t="s">
        <v>101</v>
      </c>
      <c r="C1841" s="1" t="s">
        <v>10</v>
      </c>
      <c r="D1841" s="1">
        <v>0</v>
      </c>
      <c r="E1841" s="1">
        <v>0</v>
      </c>
      <c r="F1841" s="1">
        <v>0</v>
      </c>
      <c r="G1841" s="1">
        <v>0</v>
      </c>
      <c r="H1841" s="1">
        <v>0</v>
      </c>
      <c r="I1841" s="1">
        <v>0</v>
      </c>
    </row>
    <row r="1842" spans="1:9" hidden="1" x14ac:dyDescent="0.25">
      <c r="A1842" s="1" t="s">
        <v>17</v>
      </c>
      <c r="B1842" s="1" t="s">
        <v>102</v>
      </c>
      <c r="C1842" s="1" t="s">
        <v>25</v>
      </c>
      <c r="D1842" s="1">
        <v>0</v>
      </c>
      <c r="E1842" s="1">
        <v>0</v>
      </c>
      <c r="F1842" s="1">
        <v>0</v>
      </c>
      <c r="G1842" s="1">
        <v>0</v>
      </c>
      <c r="H1842" s="1">
        <v>0</v>
      </c>
      <c r="I1842" s="1">
        <v>0</v>
      </c>
    </row>
    <row r="1843" spans="1:9" hidden="1" x14ac:dyDescent="0.25">
      <c r="A1843" s="1" t="s">
        <v>17</v>
      </c>
      <c r="B1843" s="1" t="s">
        <v>102</v>
      </c>
      <c r="C1843" s="1" t="s">
        <v>10</v>
      </c>
      <c r="D1843" s="1">
        <v>0</v>
      </c>
      <c r="E1843" s="1">
        <v>0</v>
      </c>
      <c r="F1843" s="1">
        <v>0</v>
      </c>
      <c r="G1843" s="1">
        <v>0</v>
      </c>
      <c r="H1843" s="1">
        <v>0</v>
      </c>
      <c r="I1843" s="1">
        <v>0</v>
      </c>
    </row>
    <row r="1844" spans="1:9" hidden="1" x14ac:dyDescent="0.25">
      <c r="A1844" s="1" t="s">
        <v>17</v>
      </c>
      <c r="B1844" s="1" t="s">
        <v>103</v>
      </c>
      <c r="C1844" s="1" t="s">
        <v>25</v>
      </c>
      <c r="D1844" s="1">
        <v>0</v>
      </c>
      <c r="E1844" s="1">
        <v>0</v>
      </c>
      <c r="F1844" s="1">
        <v>0</v>
      </c>
      <c r="G1844" s="1">
        <v>0</v>
      </c>
      <c r="H1844" s="1">
        <v>0</v>
      </c>
      <c r="I1844" s="1">
        <v>0</v>
      </c>
    </row>
    <row r="1845" spans="1:9" hidden="1" x14ac:dyDescent="0.25">
      <c r="A1845" s="1" t="s">
        <v>17</v>
      </c>
      <c r="B1845" s="1" t="s">
        <v>103</v>
      </c>
      <c r="C1845" s="1" t="s">
        <v>10</v>
      </c>
      <c r="D1845" s="1">
        <v>0</v>
      </c>
      <c r="E1845" s="1">
        <v>0</v>
      </c>
      <c r="F1845" s="1">
        <v>0</v>
      </c>
      <c r="G1845" s="1">
        <v>0</v>
      </c>
      <c r="H1845" s="1">
        <v>0</v>
      </c>
      <c r="I1845" s="1">
        <v>0</v>
      </c>
    </row>
    <row r="1846" spans="1:9" hidden="1" x14ac:dyDescent="0.25">
      <c r="A1846" s="1" t="s">
        <v>17</v>
      </c>
      <c r="B1846" s="1" t="s">
        <v>104</v>
      </c>
      <c r="C1846" s="1" t="s">
        <v>25</v>
      </c>
      <c r="D1846" s="1">
        <v>0</v>
      </c>
      <c r="E1846" s="1">
        <v>0</v>
      </c>
      <c r="F1846" s="1">
        <v>0</v>
      </c>
      <c r="G1846" s="1">
        <v>0</v>
      </c>
      <c r="H1846" s="1">
        <v>0</v>
      </c>
      <c r="I1846" s="1">
        <v>0</v>
      </c>
    </row>
    <row r="1847" spans="1:9" hidden="1" x14ac:dyDescent="0.25">
      <c r="A1847" s="1" t="s">
        <v>17</v>
      </c>
      <c r="B1847" s="1" t="s">
        <v>104</v>
      </c>
      <c r="C1847" s="1" t="s">
        <v>10</v>
      </c>
      <c r="D1847" s="1">
        <v>0</v>
      </c>
      <c r="E1847" s="1">
        <v>0</v>
      </c>
      <c r="F1847" s="1">
        <v>0</v>
      </c>
      <c r="G1847" s="1">
        <v>0</v>
      </c>
      <c r="H1847" s="1">
        <v>0</v>
      </c>
      <c r="I1847" s="1">
        <v>0</v>
      </c>
    </row>
    <row r="1848" spans="1:9" hidden="1" x14ac:dyDescent="0.25">
      <c r="A1848" s="1" t="s">
        <v>17</v>
      </c>
      <c r="B1848" s="1" t="s">
        <v>105</v>
      </c>
      <c r="C1848" s="1" t="s">
        <v>25</v>
      </c>
      <c r="D1848" s="1">
        <v>0</v>
      </c>
      <c r="E1848" s="1">
        <v>0</v>
      </c>
      <c r="F1848" s="1">
        <v>0</v>
      </c>
      <c r="G1848" s="1">
        <v>0</v>
      </c>
      <c r="H1848" s="1">
        <v>0</v>
      </c>
      <c r="I1848" s="1">
        <v>0</v>
      </c>
    </row>
    <row r="1849" spans="1:9" hidden="1" x14ac:dyDescent="0.25">
      <c r="A1849" s="1" t="s">
        <v>17</v>
      </c>
      <c r="B1849" s="1" t="s">
        <v>105</v>
      </c>
      <c r="C1849" s="1" t="s">
        <v>10</v>
      </c>
      <c r="D1849" s="1">
        <v>0</v>
      </c>
      <c r="E1849" s="1">
        <v>0</v>
      </c>
      <c r="F1849" s="1">
        <v>0</v>
      </c>
      <c r="G1849" s="1">
        <v>0</v>
      </c>
      <c r="H1849" s="1">
        <v>0</v>
      </c>
      <c r="I1849" s="1">
        <v>0</v>
      </c>
    </row>
    <row r="1850" spans="1:9" hidden="1" x14ac:dyDescent="0.25">
      <c r="A1850" s="1" t="s">
        <v>17</v>
      </c>
      <c r="B1850" s="1" t="s">
        <v>106</v>
      </c>
      <c r="C1850" s="1" t="s">
        <v>25</v>
      </c>
      <c r="D1850" s="1">
        <v>0</v>
      </c>
      <c r="E1850" s="1">
        <v>0</v>
      </c>
      <c r="F1850" s="1">
        <v>0</v>
      </c>
      <c r="G1850" s="1">
        <v>0</v>
      </c>
      <c r="H1850" s="1">
        <v>0</v>
      </c>
      <c r="I1850" s="1">
        <v>0</v>
      </c>
    </row>
    <row r="1851" spans="1:9" hidden="1" x14ac:dyDescent="0.25">
      <c r="A1851" s="1" t="s">
        <v>17</v>
      </c>
      <c r="B1851" s="1" t="s">
        <v>106</v>
      </c>
      <c r="C1851" s="1" t="s">
        <v>10</v>
      </c>
      <c r="D1851" s="1">
        <v>0</v>
      </c>
      <c r="E1851" s="1">
        <v>0</v>
      </c>
      <c r="F1851" s="1">
        <v>0</v>
      </c>
      <c r="G1851" s="1">
        <v>0</v>
      </c>
      <c r="H1851" s="1">
        <v>0</v>
      </c>
      <c r="I1851" s="1">
        <v>0</v>
      </c>
    </row>
    <row r="1852" spans="1:9" hidden="1" x14ac:dyDescent="0.25">
      <c r="A1852" s="1" t="s">
        <v>17</v>
      </c>
      <c r="B1852" s="1" t="s">
        <v>107</v>
      </c>
      <c r="C1852" s="1" t="s">
        <v>25</v>
      </c>
      <c r="D1852" s="1">
        <v>0</v>
      </c>
      <c r="E1852" s="1">
        <v>0</v>
      </c>
      <c r="F1852" s="1">
        <v>0</v>
      </c>
      <c r="G1852" s="1">
        <v>0</v>
      </c>
      <c r="H1852" s="1">
        <v>0</v>
      </c>
      <c r="I1852" s="1">
        <v>0</v>
      </c>
    </row>
    <row r="1853" spans="1:9" hidden="1" x14ac:dyDescent="0.25">
      <c r="A1853" s="1" t="s">
        <v>17</v>
      </c>
      <c r="B1853" s="1" t="s">
        <v>107</v>
      </c>
      <c r="C1853" s="1" t="s">
        <v>10</v>
      </c>
      <c r="D1853" s="1">
        <v>0</v>
      </c>
      <c r="E1853" s="1">
        <v>0</v>
      </c>
      <c r="F1853" s="1">
        <v>0</v>
      </c>
      <c r="G1853" s="1">
        <v>0</v>
      </c>
      <c r="H1853" s="1">
        <v>0</v>
      </c>
      <c r="I1853" s="1">
        <v>0</v>
      </c>
    </row>
    <row r="1854" spans="1:9" hidden="1" x14ac:dyDescent="0.25">
      <c r="A1854" s="1" t="s">
        <v>17</v>
      </c>
      <c r="B1854" s="1" t="s">
        <v>108</v>
      </c>
      <c r="C1854" s="1" t="s">
        <v>25</v>
      </c>
      <c r="D1854" s="1">
        <v>0</v>
      </c>
      <c r="E1854" s="1">
        <v>0</v>
      </c>
      <c r="F1854" s="1">
        <v>0</v>
      </c>
      <c r="G1854" s="1">
        <v>0</v>
      </c>
      <c r="H1854" s="1">
        <v>0</v>
      </c>
      <c r="I1854" s="1">
        <v>0</v>
      </c>
    </row>
    <row r="1855" spans="1:9" hidden="1" x14ac:dyDescent="0.25">
      <c r="A1855" s="1" t="s">
        <v>17</v>
      </c>
      <c r="B1855" s="1" t="s">
        <v>108</v>
      </c>
      <c r="C1855" s="1" t="s">
        <v>10</v>
      </c>
      <c r="D1855" s="1">
        <v>0</v>
      </c>
      <c r="E1855" s="1">
        <v>0</v>
      </c>
      <c r="F1855" s="1">
        <v>0</v>
      </c>
      <c r="G1855" s="1">
        <v>0</v>
      </c>
      <c r="H1855" s="1">
        <v>0</v>
      </c>
      <c r="I1855" s="1">
        <v>0</v>
      </c>
    </row>
    <row r="1856" spans="1:9" hidden="1" x14ac:dyDescent="0.25">
      <c r="A1856" s="1" t="s">
        <v>17</v>
      </c>
      <c r="B1856" s="1" t="s">
        <v>109</v>
      </c>
      <c r="C1856" s="1" t="s">
        <v>25</v>
      </c>
      <c r="D1856" s="1">
        <v>0</v>
      </c>
      <c r="E1856" s="1">
        <v>0</v>
      </c>
      <c r="F1856" s="1">
        <v>0</v>
      </c>
      <c r="G1856" s="1">
        <v>0</v>
      </c>
      <c r="H1856" s="1">
        <v>0</v>
      </c>
      <c r="I1856" s="1">
        <v>0</v>
      </c>
    </row>
    <row r="1857" spans="1:9" hidden="1" x14ac:dyDescent="0.25">
      <c r="A1857" s="1" t="s">
        <v>17</v>
      </c>
      <c r="B1857" s="1" t="s">
        <v>109</v>
      </c>
      <c r="C1857" s="1" t="s">
        <v>10</v>
      </c>
      <c r="D1857" s="1">
        <v>0</v>
      </c>
      <c r="E1857" s="1">
        <v>0</v>
      </c>
      <c r="F1857" s="1">
        <v>0</v>
      </c>
      <c r="G1857" s="1">
        <v>0</v>
      </c>
      <c r="H1857" s="1">
        <v>0</v>
      </c>
      <c r="I1857" s="1">
        <v>0</v>
      </c>
    </row>
    <row r="1858" spans="1:9" hidden="1" x14ac:dyDescent="0.25">
      <c r="A1858" s="1" t="s">
        <v>17</v>
      </c>
      <c r="B1858" s="1" t="s">
        <v>110</v>
      </c>
      <c r="C1858" s="1" t="s">
        <v>25</v>
      </c>
      <c r="D1858" s="1">
        <v>0</v>
      </c>
      <c r="E1858" s="1">
        <v>0</v>
      </c>
      <c r="F1858" s="1">
        <v>0</v>
      </c>
      <c r="G1858" s="1">
        <v>0</v>
      </c>
      <c r="H1858" s="1">
        <v>0</v>
      </c>
      <c r="I1858" s="1">
        <v>0</v>
      </c>
    </row>
    <row r="1859" spans="1:9" hidden="1" x14ac:dyDescent="0.25">
      <c r="A1859" s="1" t="s">
        <v>17</v>
      </c>
      <c r="B1859" s="1" t="s">
        <v>110</v>
      </c>
      <c r="C1859" s="1" t="s">
        <v>10</v>
      </c>
      <c r="D1859" s="1">
        <v>0</v>
      </c>
      <c r="E1859" s="1">
        <v>0</v>
      </c>
      <c r="F1859" s="1">
        <v>0</v>
      </c>
      <c r="G1859" s="1">
        <v>0</v>
      </c>
      <c r="H1859" s="1">
        <v>0</v>
      </c>
      <c r="I1859" s="1">
        <v>0</v>
      </c>
    </row>
    <row r="1860" spans="1:9" hidden="1" x14ac:dyDescent="0.25">
      <c r="A1860" s="1" t="s">
        <v>17</v>
      </c>
      <c r="B1860" s="1" t="s">
        <v>111</v>
      </c>
      <c r="C1860" s="1" t="s">
        <v>25</v>
      </c>
      <c r="D1860" s="1">
        <v>0</v>
      </c>
      <c r="E1860" s="1">
        <v>0</v>
      </c>
      <c r="F1860" s="1">
        <v>0</v>
      </c>
      <c r="G1860" s="1">
        <v>0</v>
      </c>
      <c r="H1860" s="1">
        <v>0</v>
      </c>
      <c r="I1860" s="1">
        <v>0</v>
      </c>
    </row>
    <row r="1861" spans="1:9" hidden="1" x14ac:dyDescent="0.25">
      <c r="A1861" s="1" t="s">
        <v>17</v>
      </c>
      <c r="B1861" s="1" t="s">
        <v>111</v>
      </c>
      <c r="C1861" s="1" t="s">
        <v>10</v>
      </c>
      <c r="D1861" s="1">
        <v>0</v>
      </c>
      <c r="E1861" s="1">
        <v>0</v>
      </c>
      <c r="F1861" s="1">
        <v>0</v>
      </c>
      <c r="G1861" s="1">
        <v>0</v>
      </c>
      <c r="H1861" s="1">
        <v>0</v>
      </c>
      <c r="I1861" s="1">
        <v>0</v>
      </c>
    </row>
    <row r="1862" spans="1:9" hidden="1" x14ac:dyDescent="0.25">
      <c r="A1862" s="1" t="s">
        <v>17</v>
      </c>
      <c r="B1862" s="1" t="s">
        <v>112</v>
      </c>
      <c r="C1862" s="1" t="s">
        <v>25</v>
      </c>
      <c r="D1862" s="1">
        <v>0</v>
      </c>
      <c r="E1862" s="1">
        <v>0</v>
      </c>
      <c r="F1862" s="1">
        <v>0</v>
      </c>
      <c r="G1862" s="1">
        <v>0</v>
      </c>
      <c r="H1862" s="1">
        <v>0</v>
      </c>
      <c r="I1862" s="1">
        <v>0</v>
      </c>
    </row>
    <row r="1863" spans="1:9" hidden="1" x14ac:dyDescent="0.25">
      <c r="A1863" s="1" t="s">
        <v>17</v>
      </c>
      <c r="B1863" s="1" t="s">
        <v>112</v>
      </c>
      <c r="C1863" s="1" t="s">
        <v>10</v>
      </c>
      <c r="D1863" s="1">
        <v>0</v>
      </c>
      <c r="E1863" s="1">
        <v>0</v>
      </c>
      <c r="F1863" s="1">
        <v>0</v>
      </c>
      <c r="G1863" s="1">
        <v>0</v>
      </c>
      <c r="H1863" s="1">
        <v>0</v>
      </c>
      <c r="I1863" s="1">
        <v>0</v>
      </c>
    </row>
    <row r="1864" spans="1:9" hidden="1" x14ac:dyDescent="0.25">
      <c r="A1864" s="1" t="s">
        <v>17</v>
      </c>
      <c r="B1864" s="1" t="s">
        <v>113</v>
      </c>
      <c r="C1864" s="1" t="s">
        <v>25</v>
      </c>
      <c r="D1864" s="1">
        <v>0</v>
      </c>
      <c r="E1864" s="1">
        <v>0</v>
      </c>
      <c r="F1864" s="1">
        <v>0</v>
      </c>
      <c r="G1864" s="1">
        <v>0</v>
      </c>
      <c r="H1864" s="1">
        <v>0</v>
      </c>
      <c r="I1864" s="1">
        <v>0</v>
      </c>
    </row>
    <row r="1865" spans="1:9" hidden="1" x14ac:dyDescent="0.25">
      <c r="A1865" s="1" t="s">
        <v>17</v>
      </c>
      <c r="B1865" s="1" t="s">
        <v>113</v>
      </c>
      <c r="C1865" s="1" t="s">
        <v>10</v>
      </c>
      <c r="D1865" s="1">
        <v>0</v>
      </c>
      <c r="E1865" s="1">
        <v>0</v>
      </c>
      <c r="F1865" s="1">
        <v>0</v>
      </c>
      <c r="G1865" s="1">
        <v>0</v>
      </c>
      <c r="H1865" s="1">
        <v>0</v>
      </c>
      <c r="I1865" s="1">
        <v>0</v>
      </c>
    </row>
    <row r="1866" spans="1:9" hidden="1" x14ac:dyDescent="0.25">
      <c r="A1866" s="1" t="s">
        <v>17</v>
      </c>
      <c r="B1866" s="1" t="s">
        <v>114</v>
      </c>
      <c r="C1866" s="1" t="s">
        <v>25</v>
      </c>
      <c r="D1866" s="1">
        <v>0</v>
      </c>
      <c r="E1866" s="1">
        <v>0</v>
      </c>
      <c r="F1866" s="1">
        <v>0</v>
      </c>
      <c r="G1866" s="1">
        <v>0</v>
      </c>
      <c r="H1866" s="1">
        <v>0</v>
      </c>
      <c r="I1866" s="1">
        <v>0</v>
      </c>
    </row>
    <row r="1867" spans="1:9" hidden="1" x14ac:dyDescent="0.25">
      <c r="A1867" s="1" t="s">
        <v>17</v>
      </c>
      <c r="B1867" s="1" t="s">
        <v>114</v>
      </c>
      <c r="C1867" s="1" t="s">
        <v>10</v>
      </c>
      <c r="D1867" s="1">
        <v>0</v>
      </c>
      <c r="E1867" s="1">
        <v>0</v>
      </c>
      <c r="F1867" s="1">
        <v>0</v>
      </c>
      <c r="G1867" s="1">
        <v>0</v>
      </c>
      <c r="H1867" s="1">
        <v>0</v>
      </c>
      <c r="I1867" s="1">
        <v>0</v>
      </c>
    </row>
    <row r="1868" spans="1:9" hidden="1" x14ac:dyDescent="0.25">
      <c r="A1868" s="1" t="s">
        <v>17</v>
      </c>
      <c r="B1868" s="1" t="s">
        <v>115</v>
      </c>
      <c r="C1868" s="1" t="s">
        <v>25</v>
      </c>
      <c r="D1868" s="1">
        <v>0</v>
      </c>
      <c r="E1868" s="1">
        <v>0</v>
      </c>
      <c r="F1868" s="1">
        <v>0</v>
      </c>
      <c r="G1868" s="1">
        <v>0</v>
      </c>
      <c r="H1868" s="1">
        <v>0</v>
      </c>
      <c r="I1868" s="1">
        <v>0</v>
      </c>
    </row>
    <row r="1869" spans="1:9" hidden="1" x14ac:dyDescent="0.25">
      <c r="A1869" s="1" t="s">
        <v>17</v>
      </c>
      <c r="B1869" s="1" t="s">
        <v>115</v>
      </c>
      <c r="C1869" s="1" t="s">
        <v>10</v>
      </c>
      <c r="D1869" s="1">
        <v>0</v>
      </c>
      <c r="E1869" s="1">
        <v>0</v>
      </c>
      <c r="F1869" s="1">
        <v>0</v>
      </c>
      <c r="G1869" s="1">
        <v>0</v>
      </c>
      <c r="H1869" s="1">
        <v>0</v>
      </c>
      <c r="I1869" s="1">
        <v>0</v>
      </c>
    </row>
    <row r="1870" spans="1:9" hidden="1" x14ac:dyDescent="0.25">
      <c r="A1870" s="1" t="s">
        <v>17</v>
      </c>
      <c r="B1870" s="1" t="s">
        <v>116</v>
      </c>
      <c r="C1870" s="1" t="s">
        <v>25</v>
      </c>
      <c r="D1870" s="1">
        <v>0</v>
      </c>
      <c r="E1870" s="1">
        <v>0</v>
      </c>
      <c r="F1870" s="1">
        <v>0</v>
      </c>
      <c r="G1870" s="1">
        <v>0</v>
      </c>
      <c r="H1870" s="1">
        <v>0</v>
      </c>
      <c r="I1870" s="1">
        <v>0</v>
      </c>
    </row>
    <row r="1871" spans="1:9" hidden="1" x14ac:dyDescent="0.25">
      <c r="A1871" s="1" t="s">
        <v>17</v>
      </c>
      <c r="B1871" s="1" t="s">
        <v>116</v>
      </c>
      <c r="C1871" s="1" t="s">
        <v>10</v>
      </c>
      <c r="D1871" s="1">
        <v>0</v>
      </c>
      <c r="E1871" s="1">
        <v>0</v>
      </c>
      <c r="F1871" s="1">
        <v>0</v>
      </c>
      <c r="G1871" s="1">
        <v>0</v>
      </c>
      <c r="H1871" s="1">
        <v>0</v>
      </c>
      <c r="I1871" s="1">
        <v>0</v>
      </c>
    </row>
    <row r="1872" spans="1:9" hidden="1" x14ac:dyDescent="0.25">
      <c r="A1872" s="1" t="s">
        <v>17</v>
      </c>
      <c r="B1872" s="1" t="s">
        <v>117</v>
      </c>
      <c r="C1872" s="1" t="s">
        <v>25</v>
      </c>
      <c r="D1872" s="1">
        <v>0</v>
      </c>
      <c r="E1872" s="1">
        <v>0</v>
      </c>
      <c r="F1872" s="1">
        <v>0</v>
      </c>
      <c r="G1872" s="1">
        <v>0</v>
      </c>
      <c r="H1872" s="1">
        <v>0</v>
      </c>
      <c r="I1872" s="1">
        <v>0</v>
      </c>
    </row>
    <row r="1873" spans="1:9" hidden="1" x14ac:dyDescent="0.25">
      <c r="A1873" s="1" t="s">
        <v>17</v>
      </c>
      <c r="B1873" s="1" t="s">
        <v>117</v>
      </c>
      <c r="C1873" s="1" t="s">
        <v>10</v>
      </c>
      <c r="D1873" s="1">
        <v>0</v>
      </c>
      <c r="E1873" s="1">
        <v>0</v>
      </c>
      <c r="F1873" s="1">
        <v>0</v>
      </c>
      <c r="G1873" s="1">
        <v>0</v>
      </c>
      <c r="H1873" s="1">
        <v>0</v>
      </c>
      <c r="I1873" s="1">
        <v>0</v>
      </c>
    </row>
    <row r="1874" spans="1:9" hidden="1" x14ac:dyDescent="0.25">
      <c r="A1874" s="1" t="s">
        <v>17</v>
      </c>
      <c r="B1874" s="1" t="s">
        <v>118</v>
      </c>
      <c r="C1874" s="1" t="s">
        <v>25</v>
      </c>
      <c r="D1874" s="1">
        <v>0</v>
      </c>
      <c r="E1874" s="1">
        <v>0</v>
      </c>
      <c r="F1874" s="1">
        <v>0</v>
      </c>
      <c r="G1874" s="1">
        <v>0</v>
      </c>
      <c r="H1874" s="1">
        <v>0</v>
      </c>
      <c r="I1874" s="1">
        <v>0</v>
      </c>
    </row>
    <row r="1875" spans="1:9" hidden="1" x14ac:dyDescent="0.25">
      <c r="A1875" s="1" t="s">
        <v>17</v>
      </c>
      <c r="B1875" s="1" t="s">
        <v>118</v>
      </c>
      <c r="C1875" s="1" t="s">
        <v>10</v>
      </c>
      <c r="D1875" s="1">
        <v>0</v>
      </c>
      <c r="E1875" s="1">
        <v>0</v>
      </c>
      <c r="F1875" s="1">
        <v>0</v>
      </c>
      <c r="G1875" s="1">
        <v>0</v>
      </c>
      <c r="H1875" s="1">
        <v>0</v>
      </c>
      <c r="I1875" s="1">
        <v>0</v>
      </c>
    </row>
    <row r="1876" spans="1:9" hidden="1" x14ac:dyDescent="0.25">
      <c r="A1876" s="1" t="s">
        <v>17</v>
      </c>
      <c r="B1876" s="1" t="s">
        <v>119</v>
      </c>
      <c r="C1876" s="1" t="s">
        <v>25</v>
      </c>
      <c r="D1876" s="1">
        <v>0</v>
      </c>
      <c r="E1876" s="1">
        <v>0</v>
      </c>
      <c r="F1876" s="1">
        <v>0</v>
      </c>
      <c r="G1876" s="1">
        <v>0</v>
      </c>
      <c r="H1876" s="1">
        <v>0</v>
      </c>
      <c r="I1876" s="1">
        <v>0</v>
      </c>
    </row>
    <row r="1877" spans="1:9" hidden="1" x14ac:dyDescent="0.25">
      <c r="A1877" s="1" t="s">
        <v>17</v>
      </c>
      <c r="B1877" s="1" t="s">
        <v>119</v>
      </c>
      <c r="C1877" s="1" t="s">
        <v>10</v>
      </c>
      <c r="D1877" s="1">
        <v>0</v>
      </c>
      <c r="E1877" s="1">
        <v>0</v>
      </c>
      <c r="F1877" s="1">
        <v>0</v>
      </c>
      <c r="G1877" s="1">
        <v>0</v>
      </c>
      <c r="H1877" s="1">
        <v>0</v>
      </c>
      <c r="I1877" s="1">
        <v>0</v>
      </c>
    </row>
    <row r="1878" spans="1:9" hidden="1" x14ac:dyDescent="0.25">
      <c r="A1878" s="1" t="s">
        <v>17</v>
      </c>
      <c r="B1878" s="1" t="s">
        <v>120</v>
      </c>
      <c r="C1878" s="1" t="s">
        <v>25</v>
      </c>
      <c r="D1878" s="1">
        <v>0</v>
      </c>
      <c r="E1878" s="1">
        <v>0</v>
      </c>
      <c r="F1878" s="1">
        <v>0</v>
      </c>
      <c r="G1878" s="1">
        <v>0</v>
      </c>
      <c r="H1878" s="1">
        <v>0</v>
      </c>
      <c r="I1878" s="1">
        <v>0</v>
      </c>
    </row>
    <row r="1879" spans="1:9" hidden="1" x14ac:dyDescent="0.25">
      <c r="A1879" s="1" t="s">
        <v>17</v>
      </c>
      <c r="B1879" s="1" t="s">
        <v>120</v>
      </c>
      <c r="C1879" s="1" t="s">
        <v>10</v>
      </c>
      <c r="D1879" s="1">
        <v>0</v>
      </c>
      <c r="E1879" s="1">
        <v>0</v>
      </c>
      <c r="F1879" s="1">
        <v>0</v>
      </c>
      <c r="G1879" s="1">
        <v>0</v>
      </c>
      <c r="H1879" s="1">
        <v>0</v>
      </c>
      <c r="I1879" s="1">
        <v>0</v>
      </c>
    </row>
    <row r="1880" spans="1:9" hidden="1" x14ac:dyDescent="0.25">
      <c r="A1880" s="1" t="s">
        <v>17</v>
      </c>
      <c r="B1880" s="1" t="s">
        <v>121</v>
      </c>
      <c r="C1880" s="1" t="s">
        <v>25</v>
      </c>
      <c r="D1880" s="1">
        <v>0</v>
      </c>
      <c r="E1880" s="1">
        <v>0</v>
      </c>
      <c r="F1880" s="1">
        <v>0</v>
      </c>
      <c r="G1880" s="1">
        <v>0</v>
      </c>
      <c r="H1880" s="1">
        <v>0</v>
      </c>
      <c r="I1880" s="1">
        <v>0</v>
      </c>
    </row>
    <row r="1881" spans="1:9" hidden="1" x14ac:dyDescent="0.25">
      <c r="A1881" s="1" t="s">
        <v>17</v>
      </c>
      <c r="B1881" s="1" t="s">
        <v>121</v>
      </c>
      <c r="C1881" s="1" t="s">
        <v>10</v>
      </c>
      <c r="D1881" s="1">
        <v>0</v>
      </c>
      <c r="E1881" s="1">
        <v>0</v>
      </c>
      <c r="F1881" s="1">
        <v>0</v>
      </c>
      <c r="G1881" s="1">
        <v>0</v>
      </c>
      <c r="H1881" s="1">
        <v>0</v>
      </c>
      <c r="I1881" s="1">
        <v>0</v>
      </c>
    </row>
    <row r="1882" spans="1:9" hidden="1" x14ac:dyDescent="0.25">
      <c r="A1882" s="1" t="s">
        <v>17</v>
      </c>
      <c r="B1882" s="1" t="s">
        <v>122</v>
      </c>
      <c r="C1882" s="1" t="s">
        <v>25</v>
      </c>
      <c r="D1882" s="1">
        <v>0</v>
      </c>
      <c r="E1882" s="1">
        <v>0</v>
      </c>
      <c r="F1882" s="1">
        <v>0</v>
      </c>
      <c r="G1882" s="1">
        <v>0</v>
      </c>
      <c r="H1882" s="1">
        <v>0</v>
      </c>
      <c r="I1882" s="1">
        <v>0</v>
      </c>
    </row>
    <row r="1883" spans="1:9" hidden="1" x14ac:dyDescent="0.25">
      <c r="A1883" s="1" t="s">
        <v>17</v>
      </c>
      <c r="B1883" s="1" t="s">
        <v>122</v>
      </c>
      <c r="C1883" s="1" t="s">
        <v>10</v>
      </c>
      <c r="D1883" s="1">
        <v>0</v>
      </c>
      <c r="E1883" s="1">
        <v>0</v>
      </c>
      <c r="F1883" s="1">
        <v>0</v>
      </c>
      <c r="G1883" s="1">
        <v>0</v>
      </c>
      <c r="H1883" s="1">
        <v>0</v>
      </c>
      <c r="I1883" s="1">
        <v>0</v>
      </c>
    </row>
    <row r="1884" spans="1:9" hidden="1" x14ac:dyDescent="0.25">
      <c r="A1884" s="1" t="s">
        <v>17</v>
      </c>
      <c r="B1884" s="1" t="s">
        <v>123</v>
      </c>
      <c r="C1884" s="1" t="s">
        <v>25</v>
      </c>
      <c r="D1884" s="1">
        <v>0</v>
      </c>
      <c r="E1884" s="1">
        <v>0</v>
      </c>
      <c r="F1884" s="1">
        <v>0</v>
      </c>
      <c r="G1884" s="1">
        <v>0</v>
      </c>
      <c r="H1884" s="1">
        <v>0</v>
      </c>
      <c r="I1884" s="1">
        <v>0</v>
      </c>
    </row>
    <row r="1885" spans="1:9" hidden="1" x14ac:dyDescent="0.25">
      <c r="A1885" s="1" t="s">
        <v>17</v>
      </c>
      <c r="B1885" s="1" t="s">
        <v>123</v>
      </c>
      <c r="C1885" s="1" t="s">
        <v>10</v>
      </c>
      <c r="D1885" s="1">
        <v>0</v>
      </c>
      <c r="E1885" s="1">
        <v>0</v>
      </c>
      <c r="F1885" s="1">
        <v>0</v>
      </c>
      <c r="G1885" s="1">
        <v>0</v>
      </c>
      <c r="H1885" s="1">
        <v>0</v>
      </c>
      <c r="I1885" s="1">
        <v>0</v>
      </c>
    </row>
    <row r="1886" spans="1:9" hidden="1" x14ac:dyDescent="0.25">
      <c r="A1886" s="1" t="s">
        <v>17</v>
      </c>
      <c r="B1886" s="1" t="s">
        <v>124</v>
      </c>
      <c r="C1886" s="1" t="s">
        <v>25</v>
      </c>
      <c r="D1886" s="1">
        <v>0</v>
      </c>
      <c r="E1886" s="1">
        <v>0</v>
      </c>
      <c r="F1886" s="1">
        <v>0</v>
      </c>
      <c r="G1886" s="1">
        <v>0</v>
      </c>
      <c r="H1886" s="1">
        <v>0</v>
      </c>
      <c r="I1886" s="1">
        <v>0</v>
      </c>
    </row>
    <row r="1887" spans="1:9" hidden="1" x14ac:dyDescent="0.25">
      <c r="A1887" s="1" t="s">
        <v>17</v>
      </c>
      <c r="B1887" s="1" t="s">
        <v>124</v>
      </c>
      <c r="C1887" s="1" t="s">
        <v>10</v>
      </c>
      <c r="D1887" s="1">
        <v>0</v>
      </c>
      <c r="E1887" s="1">
        <v>0</v>
      </c>
      <c r="F1887" s="1">
        <v>0</v>
      </c>
      <c r="G1887" s="1">
        <v>0</v>
      </c>
      <c r="H1887" s="1">
        <v>0</v>
      </c>
      <c r="I1887" s="1">
        <v>0</v>
      </c>
    </row>
    <row r="1888" spans="1:9" hidden="1" x14ac:dyDescent="0.25">
      <c r="A1888" s="1" t="s">
        <v>17</v>
      </c>
      <c r="B1888" s="1" t="s">
        <v>125</v>
      </c>
      <c r="C1888" s="1" t="s">
        <v>25</v>
      </c>
      <c r="D1888" s="1">
        <v>0</v>
      </c>
      <c r="E1888" s="1">
        <v>0</v>
      </c>
      <c r="F1888" s="1">
        <v>0</v>
      </c>
      <c r="G1888" s="1">
        <v>0</v>
      </c>
      <c r="H1888" s="1">
        <v>0</v>
      </c>
      <c r="I1888" s="1">
        <v>0</v>
      </c>
    </row>
    <row r="1889" spans="1:9" hidden="1" x14ac:dyDescent="0.25">
      <c r="A1889" s="1" t="s">
        <v>17</v>
      </c>
      <c r="B1889" s="1" t="s">
        <v>125</v>
      </c>
      <c r="C1889" s="1" t="s">
        <v>10</v>
      </c>
      <c r="D1889" s="1">
        <v>0</v>
      </c>
      <c r="E1889" s="1">
        <v>0</v>
      </c>
      <c r="F1889" s="1">
        <v>0</v>
      </c>
      <c r="G1889" s="1">
        <v>0</v>
      </c>
      <c r="H1889" s="1">
        <v>0</v>
      </c>
      <c r="I1889" s="1">
        <v>0</v>
      </c>
    </row>
    <row r="1890" spans="1:9" hidden="1" x14ac:dyDescent="0.25">
      <c r="A1890" s="1" t="s">
        <v>17</v>
      </c>
      <c r="B1890" s="1" t="s">
        <v>126</v>
      </c>
      <c r="C1890" s="1" t="s">
        <v>25</v>
      </c>
      <c r="D1890" s="1">
        <v>0</v>
      </c>
      <c r="E1890" s="1">
        <v>0</v>
      </c>
      <c r="F1890" s="1">
        <v>0</v>
      </c>
      <c r="G1890" s="1">
        <v>0</v>
      </c>
      <c r="H1890" s="1">
        <v>0</v>
      </c>
      <c r="I1890" s="1">
        <v>0</v>
      </c>
    </row>
    <row r="1891" spans="1:9" hidden="1" x14ac:dyDescent="0.25">
      <c r="A1891" s="1" t="s">
        <v>17</v>
      </c>
      <c r="B1891" s="1" t="s">
        <v>126</v>
      </c>
      <c r="C1891" s="1" t="s">
        <v>10</v>
      </c>
      <c r="D1891" s="1">
        <v>0</v>
      </c>
      <c r="E1891" s="1">
        <v>0</v>
      </c>
      <c r="F1891" s="1">
        <v>0</v>
      </c>
      <c r="G1891" s="1">
        <v>0</v>
      </c>
      <c r="H1891" s="1">
        <v>0</v>
      </c>
      <c r="I1891" s="1">
        <v>0</v>
      </c>
    </row>
    <row r="1892" spans="1:9" hidden="1" x14ac:dyDescent="0.25">
      <c r="A1892" s="1" t="s">
        <v>17</v>
      </c>
      <c r="B1892" s="1" t="s">
        <v>127</v>
      </c>
      <c r="C1892" s="1" t="s">
        <v>25</v>
      </c>
      <c r="D1892" s="1">
        <v>0</v>
      </c>
      <c r="E1892" s="1">
        <v>0</v>
      </c>
      <c r="F1892" s="1">
        <v>0</v>
      </c>
      <c r="G1892" s="1">
        <v>0</v>
      </c>
      <c r="H1892" s="1">
        <v>0</v>
      </c>
      <c r="I1892" s="1">
        <v>0</v>
      </c>
    </row>
    <row r="1893" spans="1:9" hidden="1" x14ac:dyDescent="0.25">
      <c r="A1893" s="1" t="s">
        <v>17</v>
      </c>
      <c r="B1893" s="1" t="s">
        <v>127</v>
      </c>
      <c r="C1893" s="1" t="s">
        <v>10</v>
      </c>
      <c r="D1893" s="1">
        <v>0</v>
      </c>
      <c r="E1893" s="1">
        <v>0</v>
      </c>
      <c r="F1893" s="1">
        <v>0</v>
      </c>
      <c r="G1893" s="1">
        <v>0</v>
      </c>
      <c r="H1893" s="1">
        <v>0</v>
      </c>
      <c r="I1893" s="1">
        <v>0</v>
      </c>
    </row>
    <row r="1894" spans="1:9" hidden="1" x14ac:dyDescent="0.25">
      <c r="A1894" s="1" t="s">
        <v>17</v>
      </c>
      <c r="B1894" s="1" t="s">
        <v>128</v>
      </c>
      <c r="C1894" s="1" t="s">
        <v>25</v>
      </c>
      <c r="D1894" s="1">
        <v>0</v>
      </c>
      <c r="E1894" s="1">
        <v>0</v>
      </c>
      <c r="F1894" s="1">
        <v>0</v>
      </c>
      <c r="G1894" s="1">
        <v>0</v>
      </c>
      <c r="H1894" s="1">
        <v>0</v>
      </c>
      <c r="I1894" s="1">
        <v>0</v>
      </c>
    </row>
    <row r="1895" spans="1:9" hidden="1" x14ac:dyDescent="0.25">
      <c r="A1895" s="1" t="s">
        <v>17</v>
      </c>
      <c r="B1895" s="1" t="s">
        <v>128</v>
      </c>
      <c r="C1895" s="1" t="s">
        <v>10</v>
      </c>
      <c r="D1895" s="1">
        <v>0</v>
      </c>
      <c r="E1895" s="1">
        <v>0</v>
      </c>
      <c r="F1895" s="1">
        <v>0</v>
      </c>
      <c r="G1895" s="1">
        <v>0</v>
      </c>
      <c r="H1895" s="1">
        <v>0</v>
      </c>
      <c r="I1895" s="1">
        <v>0</v>
      </c>
    </row>
    <row r="1896" spans="1:9" hidden="1" x14ac:dyDescent="0.25">
      <c r="A1896" s="1" t="s">
        <v>17</v>
      </c>
      <c r="B1896" s="1" t="s">
        <v>129</v>
      </c>
      <c r="C1896" s="1" t="s">
        <v>25</v>
      </c>
      <c r="D1896" s="1">
        <v>0</v>
      </c>
      <c r="E1896" s="1">
        <v>0</v>
      </c>
      <c r="F1896" s="1">
        <v>0</v>
      </c>
      <c r="G1896" s="1">
        <v>0</v>
      </c>
      <c r="H1896" s="1">
        <v>0</v>
      </c>
      <c r="I1896" s="1">
        <v>0</v>
      </c>
    </row>
    <row r="1897" spans="1:9" hidden="1" x14ac:dyDescent="0.25">
      <c r="A1897" s="1" t="s">
        <v>17</v>
      </c>
      <c r="B1897" s="1" t="s">
        <v>129</v>
      </c>
      <c r="C1897" s="1" t="s">
        <v>10</v>
      </c>
      <c r="D1897" s="1">
        <v>0</v>
      </c>
      <c r="E1897" s="1">
        <v>0</v>
      </c>
      <c r="F1897" s="1">
        <v>0</v>
      </c>
      <c r="G1897" s="1">
        <v>0</v>
      </c>
      <c r="H1897" s="1">
        <v>0</v>
      </c>
      <c r="I1897" s="1">
        <v>0</v>
      </c>
    </row>
    <row r="1898" spans="1:9" hidden="1" x14ac:dyDescent="0.25">
      <c r="A1898" s="1" t="s">
        <v>17</v>
      </c>
      <c r="B1898" s="1" t="s">
        <v>130</v>
      </c>
      <c r="C1898" s="1" t="s">
        <v>25</v>
      </c>
      <c r="D1898" s="1">
        <v>0</v>
      </c>
      <c r="E1898" s="1">
        <v>0</v>
      </c>
      <c r="F1898" s="1">
        <v>0</v>
      </c>
      <c r="G1898" s="1">
        <v>0</v>
      </c>
      <c r="H1898" s="1">
        <v>0</v>
      </c>
      <c r="I1898" s="1">
        <v>0</v>
      </c>
    </row>
    <row r="1899" spans="1:9" hidden="1" x14ac:dyDescent="0.25">
      <c r="A1899" s="1" t="s">
        <v>17</v>
      </c>
      <c r="B1899" s="1" t="s">
        <v>130</v>
      </c>
      <c r="C1899" s="1" t="s">
        <v>10</v>
      </c>
      <c r="D1899" s="1">
        <v>0</v>
      </c>
      <c r="E1899" s="1">
        <v>0</v>
      </c>
      <c r="F1899" s="1">
        <v>0</v>
      </c>
      <c r="G1899" s="1">
        <v>0</v>
      </c>
      <c r="H1899" s="1">
        <v>0</v>
      </c>
      <c r="I1899" s="1">
        <v>0</v>
      </c>
    </row>
    <row r="1900" spans="1:9" hidden="1" x14ac:dyDescent="0.25">
      <c r="A1900" s="1" t="s">
        <v>17</v>
      </c>
      <c r="B1900" s="1" t="s">
        <v>131</v>
      </c>
      <c r="C1900" s="1" t="s">
        <v>25</v>
      </c>
      <c r="D1900" s="1">
        <v>0</v>
      </c>
      <c r="E1900" s="1">
        <v>0</v>
      </c>
      <c r="F1900" s="1">
        <v>0</v>
      </c>
      <c r="G1900" s="1">
        <v>0</v>
      </c>
      <c r="H1900" s="1">
        <v>0</v>
      </c>
      <c r="I1900" s="1">
        <v>0</v>
      </c>
    </row>
    <row r="1901" spans="1:9" hidden="1" x14ac:dyDescent="0.25">
      <c r="A1901" s="1" t="s">
        <v>17</v>
      </c>
      <c r="B1901" s="1" t="s">
        <v>131</v>
      </c>
      <c r="C1901" s="1" t="s">
        <v>10</v>
      </c>
      <c r="D1901" s="1">
        <v>0</v>
      </c>
      <c r="E1901" s="1">
        <v>0</v>
      </c>
      <c r="F1901" s="1">
        <v>0</v>
      </c>
      <c r="G1901" s="1">
        <v>0</v>
      </c>
      <c r="H1901" s="1">
        <v>0</v>
      </c>
      <c r="I1901" s="1">
        <v>0</v>
      </c>
    </row>
    <row r="1902" spans="1:9" hidden="1" x14ac:dyDescent="0.25">
      <c r="A1902" s="1" t="s">
        <v>17</v>
      </c>
      <c r="B1902" s="1" t="s">
        <v>132</v>
      </c>
      <c r="C1902" s="1" t="s">
        <v>25</v>
      </c>
      <c r="D1902" s="1">
        <v>0</v>
      </c>
      <c r="E1902" s="1">
        <v>0</v>
      </c>
      <c r="F1902" s="1">
        <v>0</v>
      </c>
      <c r="G1902" s="1">
        <v>0</v>
      </c>
      <c r="H1902" s="1">
        <v>0</v>
      </c>
      <c r="I1902" s="1">
        <v>0</v>
      </c>
    </row>
    <row r="1903" spans="1:9" hidden="1" x14ac:dyDescent="0.25">
      <c r="A1903" s="1" t="s">
        <v>17</v>
      </c>
      <c r="B1903" s="1" t="s">
        <v>132</v>
      </c>
      <c r="C1903" s="1" t="s">
        <v>10</v>
      </c>
      <c r="D1903" s="1">
        <v>0</v>
      </c>
      <c r="E1903" s="1">
        <v>0</v>
      </c>
      <c r="F1903" s="1">
        <v>0</v>
      </c>
      <c r="G1903" s="1">
        <v>0</v>
      </c>
      <c r="H1903" s="1">
        <v>0</v>
      </c>
      <c r="I1903" s="1">
        <v>0</v>
      </c>
    </row>
    <row r="1904" spans="1:9" hidden="1" x14ac:dyDescent="0.25">
      <c r="A1904" s="1" t="s">
        <v>17</v>
      </c>
      <c r="B1904" s="1" t="s">
        <v>133</v>
      </c>
      <c r="C1904" s="1" t="s">
        <v>25</v>
      </c>
      <c r="D1904" s="1">
        <v>0</v>
      </c>
      <c r="E1904" s="1">
        <v>0</v>
      </c>
      <c r="F1904" s="1">
        <v>0</v>
      </c>
      <c r="G1904" s="1">
        <v>0</v>
      </c>
      <c r="H1904" s="1">
        <v>0</v>
      </c>
      <c r="I1904" s="1">
        <v>0</v>
      </c>
    </row>
    <row r="1905" spans="1:9" hidden="1" x14ac:dyDescent="0.25">
      <c r="A1905" s="1" t="s">
        <v>17</v>
      </c>
      <c r="B1905" s="1" t="s">
        <v>133</v>
      </c>
      <c r="C1905" s="1" t="s">
        <v>10</v>
      </c>
      <c r="D1905" s="1">
        <v>0</v>
      </c>
      <c r="E1905" s="1">
        <v>0</v>
      </c>
      <c r="F1905" s="1">
        <v>0</v>
      </c>
      <c r="G1905" s="1">
        <v>0</v>
      </c>
      <c r="H1905" s="1">
        <v>0</v>
      </c>
      <c r="I1905" s="1">
        <v>0</v>
      </c>
    </row>
    <row r="1906" spans="1:9" hidden="1" x14ac:dyDescent="0.25">
      <c r="A1906" s="1" t="s">
        <v>17</v>
      </c>
      <c r="B1906" s="1" t="s">
        <v>134</v>
      </c>
      <c r="C1906" s="1" t="s">
        <v>25</v>
      </c>
      <c r="D1906" s="1">
        <v>0</v>
      </c>
      <c r="E1906" s="1">
        <v>0</v>
      </c>
      <c r="F1906" s="1">
        <v>0</v>
      </c>
      <c r="G1906" s="1">
        <v>0</v>
      </c>
      <c r="H1906" s="1">
        <v>0</v>
      </c>
      <c r="I1906" s="1">
        <v>0</v>
      </c>
    </row>
    <row r="1907" spans="1:9" hidden="1" x14ac:dyDescent="0.25">
      <c r="A1907" s="1" t="s">
        <v>17</v>
      </c>
      <c r="B1907" s="1" t="s">
        <v>134</v>
      </c>
      <c r="C1907" s="1" t="s">
        <v>10</v>
      </c>
      <c r="D1907" s="1">
        <v>0</v>
      </c>
      <c r="E1907" s="1">
        <v>0</v>
      </c>
      <c r="F1907" s="1">
        <v>0</v>
      </c>
      <c r="G1907" s="1">
        <v>0</v>
      </c>
      <c r="H1907" s="1">
        <v>0</v>
      </c>
      <c r="I1907" s="1">
        <v>0</v>
      </c>
    </row>
    <row r="1908" spans="1:9" hidden="1" x14ac:dyDescent="0.25">
      <c r="A1908" s="1" t="s">
        <v>17</v>
      </c>
      <c r="B1908" s="1" t="s">
        <v>135</v>
      </c>
      <c r="C1908" s="1" t="s">
        <v>25</v>
      </c>
      <c r="D1908" s="1">
        <v>0</v>
      </c>
      <c r="E1908" s="1">
        <v>0</v>
      </c>
      <c r="F1908" s="1">
        <v>0</v>
      </c>
      <c r="G1908" s="1">
        <v>0</v>
      </c>
      <c r="H1908" s="1">
        <v>0</v>
      </c>
      <c r="I1908" s="1">
        <v>0</v>
      </c>
    </row>
    <row r="1909" spans="1:9" hidden="1" x14ac:dyDescent="0.25">
      <c r="A1909" s="1" t="s">
        <v>17</v>
      </c>
      <c r="B1909" s="1" t="s">
        <v>135</v>
      </c>
      <c r="C1909" s="1" t="s">
        <v>10</v>
      </c>
      <c r="D1909" s="1">
        <v>0</v>
      </c>
      <c r="E1909" s="1">
        <v>0</v>
      </c>
      <c r="F1909" s="1">
        <v>0</v>
      </c>
      <c r="G1909" s="1">
        <v>0</v>
      </c>
      <c r="H1909" s="1">
        <v>0</v>
      </c>
      <c r="I1909" s="1">
        <v>0</v>
      </c>
    </row>
    <row r="1910" spans="1:9" hidden="1" x14ac:dyDescent="0.25">
      <c r="A1910" s="1" t="s">
        <v>17</v>
      </c>
      <c r="B1910" s="1" t="s">
        <v>136</v>
      </c>
      <c r="C1910" s="1" t="s">
        <v>25</v>
      </c>
      <c r="D1910" s="1">
        <v>0</v>
      </c>
      <c r="E1910" s="1">
        <v>0</v>
      </c>
      <c r="F1910" s="1">
        <v>0</v>
      </c>
      <c r="G1910" s="1">
        <v>0</v>
      </c>
      <c r="H1910" s="1">
        <v>0</v>
      </c>
      <c r="I1910" s="1">
        <v>0</v>
      </c>
    </row>
    <row r="1911" spans="1:9" hidden="1" x14ac:dyDescent="0.25">
      <c r="A1911" s="1" t="s">
        <v>17</v>
      </c>
      <c r="B1911" s="1" t="s">
        <v>136</v>
      </c>
      <c r="C1911" s="1" t="s">
        <v>10</v>
      </c>
      <c r="D1911" s="1">
        <v>0</v>
      </c>
      <c r="E1911" s="1">
        <v>0</v>
      </c>
      <c r="F1911" s="1">
        <v>0</v>
      </c>
      <c r="G1911" s="1">
        <v>0</v>
      </c>
      <c r="H1911" s="1">
        <v>0</v>
      </c>
      <c r="I1911" s="1">
        <v>0</v>
      </c>
    </row>
    <row r="1912" spans="1:9" hidden="1" x14ac:dyDescent="0.25">
      <c r="A1912" s="1" t="s">
        <v>17</v>
      </c>
      <c r="B1912" s="1" t="s">
        <v>137</v>
      </c>
      <c r="C1912" s="1" t="s">
        <v>25</v>
      </c>
      <c r="D1912" s="1">
        <v>0</v>
      </c>
      <c r="E1912" s="1">
        <v>0</v>
      </c>
      <c r="F1912" s="1">
        <v>0</v>
      </c>
      <c r="G1912" s="1">
        <v>0</v>
      </c>
      <c r="H1912" s="1">
        <v>0</v>
      </c>
      <c r="I1912" s="1">
        <v>0</v>
      </c>
    </row>
    <row r="1913" spans="1:9" hidden="1" x14ac:dyDescent="0.25">
      <c r="A1913" s="1" t="s">
        <v>17</v>
      </c>
      <c r="B1913" s="1" t="s">
        <v>137</v>
      </c>
      <c r="C1913" s="1" t="s">
        <v>10</v>
      </c>
      <c r="D1913" s="1">
        <v>0</v>
      </c>
      <c r="E1913" s="1">
        <v>0</v>
      </c>
      <c r="F1913" s="1">
        <v>0</v>
      </c>
      <c r="G1913" s="1">
        <v>0</v>
      </c>
      <c r="H1913" s="1">
        <v>0</v>
      </c>
      <c r="I1913" s="1">
        <v>0</v>
      </c>
    </row>
    <row r="1914" spans="1:9" hidden="1" x14ac:dyDescent="0.25">
      <c r="A1914" s="1" t="s">
        <v>17</v>
      </c>
      <c r="B1914" s="1" t="s">
        <v>138</v>
      </c>
      <c r="C1914" s="1" t="s">
        <v>25</v>
      </c>
      <c r="D1914" s="1">
        <v>0</v>
      </c>
      <c r="E1914" s="1">
        <v>0</v>
      </c>
      <c r="F1914" s="1">
        <v>0</v>
      </c>
      <c r="G1914" s="1">
        <v>0</v>
      </c>
      <c r="H1914" s="1">
        <v>0</v>
      </c>
      <c r="I1914" s="1">
        <v>0</v>
      </c>
    </row>
    <row r="1915" spans="1:9" hidden="1" x14ac:dyDescent="0.25">
      <c r="A1915" s="1" t="s">
        <v>17</v>
      </c>
      <c r="B1915" s="1" t="s">
        <v>138</v>
      </c>
      <c r="C1915" s="1" t="s">
        <v>10</v>
      </c>
      <c r="D1915" s="1">
        <v>0</v>
      </c>
      <c r="E1915" s="1">
        <v>0</v>
      </c>
      <c r="F1915" s="1">
        <v>0</v>
      </c>
      <c r="G1915" s="1">
        <v>0</v>
      </c>
      <c r="H1915" s="1">
        <v>0</v>
      </c>
      <c r="I1915" s="1">
        <v>0</v>
      </c>
    </row>
    <row r="1916" spans="1:9" hidden="1" x14ac:dyDescent="0.25">
      <c r="A1916" s="1" t="s">
        <v>17</v>
      </c>
      <c r="B1916" s="1" t="s">
        <v>139</v>
      </c>
      <c r="C1916" s="1" t="s">
        <v>25</v>
      </c>
      <c r="D1916" s="1">
        <v>0</v>
      </c>
      <c r="E1916" s="1">
        <v>0</v>
      </c>
      <c r="F1916" s="1">
        <v>0</v>
      </c>
      <c r="G1916" s="1">
        <v>0</v>
      </c>
      <c r="H1916" s="1">
        <v>0</v>
      </c>
      <c r="I1916" s="1">
        <v>0</v>
      </c>
    </row>
    <row r="1917" spans="1:9" hidden="1" x14ac:dyDescent="0.25">
      <c r="A1917" s="1" t="s">
        <v>17</v>
      </c>
      <c r="B1917" s="1" t="s">
        <v>139</v>
      </c>
      <c r="C1917" s="1" t="s">
        <v>10</v>
      </c>
      <c r="D1917" s="1">
        <v>0</v>
      </c>
      <c r="E1917" s="1">
        <v>0</v>
      </c>
      <c r="F1917" s="1">
        <v>0</v>
      </c>
      <c r="G1917" s="1">
        <v>0</v>
      </c>
      <c r="H1917" s="1">
        <v>0</v>
      </c>
      <c r="I1917" s="1">
        <v>0</v>
      </c>
    </row>
    <row r="1918" spans="1:9" hidden="1" x14ac:dyDescent="0.25">
      <c r="A1918" s="1" t="s">
        <v>17</v>
      </c>
      <c r="B1918" s="1" t="s">
        <v>140</v>
      </c>
      <c r="C1918" s="1" t="s">
        <v>25</v>
      </c>
      <c r="D1918" s="1">
        <v>0</v>
      </c>
      <c r="E1918" s="1">
        <v>0</v>
      </c>
      <c r="F1918" s="1">
        <v>0</v>
      </c>
      <c r="G1918" s="1">
        <v>0</v>
      </c>
      <c r="H1918" s="1">
        <v>0</v>
      </c>
      <c r="I1918" s="1">
        <v>0</v>
      </c>
    </row>
    <row r="1919" spans="1:9" hidden="1" x14ac:dyDescent="0.25">
      <c r="A1919" s="1" t="s">
        <v>17</v>
      </c>
      <c r="B1919" s="1" t="s">
        <v>140</v>
      </c>
      <c r="C1919" s="1" t="s">
        <v>10</v>
      </c>
      <c r="D1919" s="1">
        <v>0</v>
      </c>
      <c r="E1919" s="1">
        <v>0</v>
      </c>
      <c r="F1919" s="1">
        <v>0</v>
      </c>
      <c r="G1919" s="1">
        <v>0</v>
      </c>
      <c r="H1919" s="1">
        <v>0</v>
      </c>
      <c r="I1919" s="1">
        <v>0</v>
      </c>
    </row>
    <row r="1920" spans="1:9" hidden="1" x14ac:dyDescent="0.25">
      <c r="A1920" s="1" t="s">
        <v>17</v>
      </c>
      <c r="B1920" s="1" t="s">
        <v>141</v>
      </c>
      <c r="C1920" s="1" t="s">
        <v>25</v>
      </c>
      <c r="D1920" s="1">
        <v>0</v>
      </c>
      <c r="E1920" s="1">
        <v>0</v>
      </c>
      <c r="F1920" s="1">
        <v>0</v>
      </c>
      <c r="G1920" s="1">
        <v>0</v>
      </c>
      <c r="H1920" s="1">
        <v>0</v>
      </c>
      <c r="I1920" s="1">
        <v>0</v>
      </c>
    </row>
    <row r="1921" spans="1:9" hidden="1" x14ac:dyDescent="0.25">
      <c r="A1921" s="1" t="s">
        <v>17</v>
      </c>
      <c r="B1921" s="1" t="s">
        <v>141</v>
      </c>
      <c r="C1921" s="1" t="s">
        <v>10</v>
      </c>
      <c r="D1921" s="1">
        <v>0</v>
      </c>
      <c r="E1921" s="1">
        <v>0</v>
      </c>
      <c r="F1921" s="1">
        <v>0</v>
      </c>
      <c r="G1921" s="1">
        <v>0</v>
      </c>
      <c r="H1921" s="1">
        <v>0</v>
      </c>
      <c r="I1921" s="1">
        <v>0</v>
      </c>
    </row>
    <row r="1922" spans="1:9" hidden="1" x14ac:dyDescent="0.25">
      <c r="A1922" s="1" t="s">
        <v>17</v>
      </c>
      <c r="B1922" s="1" t="s">
        <v>142</v>
      </c>
      <c r="C1922" s="1" t="s">
        <v>25</v>
      </c>
      <c r="D1922" s="1">
        <v>0</v>
      </c>
      <c r="E1922" s="1">
        <v>0</v>
      </c>
      <c r="F1922" s="1">
        <v>0</v>
      </c>
      <c r="G1922" s="1">
        <v>0</v>
      </c>
      <c r="H1922" s="1">
        <v>0</v>
      </c>
      <c r="I1922" s="1">
        <v>0</v>
      </c>
    </row>
    <row r="1923" spans="1:9" hidden="1" x14ac:dyDescent="0.25">
      <c r="A1923" s="1" t="s">
        <v>17</v>
      </c>
      <c r="B1923" s="1" t="s">
        <v>142</v>
      </c>
      <c r="C1923" s="1" t="s">
        <v>10</v>
      </c>
      <c r="D1923" s="1">
        <v>0</v>
      </c>
      <c r="E1923" s="1">
        <v>0</v>
      </c>
      <c r="F1923" s="1">
        <v>0</v>
      </c>
      <c r="G1923" s="1">
        <v>0</v>
      </c>
      <c r="H1923" s="1">
        <v>0</v>
      </c>
      <c r="I1923" s="1">
        <v>0</v>
      </c>
    </row>
    <row r="1924" spans="1:9" hidden="1" x14ac:dyDescent="0.25">
      <c r="A1924" s="1" t="s">
        <v>17</v>
      </c>
      <c r="B1924" s="1" t="s">
        <v>143</v>
      </c>
      <c r="C1924" s="1" t="s">
        <v>25</v>
      </c>
      <c r="D1924" s="1">
        <v>0</v>
      </c>
      <c r="E1924" s="1">
        <v>0</v>
      </c>
      <c r="F1924" s="1">
        <v>0</v>
      </c>
      <c r="G1924" s="1">
        <v>0</v>
      </c>
      <c r="H1924" s="1">
        <v>0</v>
      </c>
      <c r="I1924" s="1">
        <v>0</v>
      </c>
    </row>
    <row r="1925" spans="1:9" hidden="1" x14ac:dyDescent="0.25">
      <c r="A1925" s="1" t="s">
        <v>17</v>
      </c>
      <c r="B1925" s="1" t="s">
        <v>143</v>
      </c>
      <c r="C1925" s="1" t="s">
        <v>10</v>
      </c>
      <c r="D1925" s="1">
        <v>0</v>
      </c>
      <c r="E1925" s="1">
        <v>0</v>
      </c>
      <c r="F1925" s="1">
        <v>0</v>
      </c>
      <c r="G1925" s="1">
        <v>0</v>
      </c>
      <c r="H1925" s="1">
        <v>0</v>
      </c>
      <c r="I1925" s="1">
        <v>0</v>
      </c>
    </row>
    <row r="1926" spans="1:9" hidden="1" x14ac:dyDescent="0.25">
      <c r="A1926" s="1" t="s">
        <v>17</v>
      </c>
      <c r="B1926" s="1" t="s">
        <v>144</v>
      </c>
      <c r="C1926" s="1" t="s">
        <v>25</v>
      </c>
      <c r="D1926" s="1">
        <v>0</v>
      </c>
      <c r="E1926" s="1">
        <v>0</v>
      </c>
      <c r="F1926" s="1">
        <v>0</v>
      </c>
      <c r="G1926" s="1">
        <v>0</v>
      </c>
      <c r="H1926" s="1">
        <v>0</v>
      </c>
      <c r="I1926" s="1">
        <v>0</v>
      </c>
    </row>
    <row r="1927" spans="1:9" hidden="1" x14ac:dyDescent="0.25">
      <c r="A1927" s="1" t="s">
        <v>17</v>
      </c>
      <c r="B1927" s="1" t="s">
        <v>144</v>
      </c>
      <c r="C1927" s="1" t="s">
        <v>10</v>
      </c>
      <c r="D1927" s="1">
        <v>0</v>
      </c>
      <c r="E1927" s="1">
        <v>0</v>
      </c>
      <c r="F1927" s="1">
        <v>0</v>
      </c>
      <c r="G1927" s="1">
        <v>0</v>
      </c>
      <c r="H1927" s="1">
        <v>0</v>
      </c>
      <c r="I1927" s="1">
        <v>0</v>
      </c>
    </row>
    <row r="1928" spans="1:9" hidden="1" x14ac:dyDescent="0.25">
      <c r="A1928" s="1" t="s">
        <v>17</v>
      </c>
      <c r="B1928" s="1" t="s">
        <v>145</v>
      </c>
      <c r="C1928" s="1" t="s">
        <v>25</v>
      </c>
      <c r="D1928" s="1">
        <v>0</v>
      </c>
      <c r="E1928" s="1">
        <v>0</v>
      </c>
      <c r="F1928" s="1">
        <v>0</v>
      </c>
      <c r="G1928" s="1">
        <v>0</v>
      </c>
      <c r="H1928" s="1">
        <v>0</v>
      </c>
      <c r="I1928" s="1">
        <v>0</v>
      </c>
    </row>
    <row r="1929" spans="1:9" hidden="1" x14ac:dyDescent="0.25">
      <c r="A1929" s="1" t="s">
        <v>17</v>
      </c>
      <c r="B1929" s="1" t="s">
        <v>145</v>
      </c>
      <c r="C1929" s="1" t="s">
        <v>10</v>
      </c>
      <c r="D1929" s="1">
        <v>0</v>
      </c>
      <c r="E1929" s="1">
        <v>0</v>
      </c>
      <c r="F1929" s="1">
        <v>0</v>
      </c>
      <c r="G1929" s="1">
        <v>0</v>
      </c>
      <c r="H1929" s="1">
        <v>0</v>
      </c>
      <c r="I1929" s="1">
        <v>0</v>
      </c>
    </row>
    <row r="1930" spans="1:9" hidden="1" x14ac:dyDescent="0.25">
      <c r="A1930" s="1" t="s">
        <v>17</v>
      </c>
      <c r="B1930" s="1" t="s">
        <v>146</v>
      </c>
      <c r="C1930" s="1" t="s">
        <v>25</v>
      </c>
      <c r="D1930" s="1">
        <v>0</v>
      </c>
      <c r="E1930" s="1">
        <v>0</v>
      </c>
      <c r="F1930" s="1">
        <v>0</v>
      </c>
      <c r="G1930" s="1">
        <v>0</v>
      </c>
      <c r="H1930" s="1">
        <v>0</v>
      </c>
      <c r="I1930" s="1">
        <v>0</v>
      </c>
    </row>
    <row r="1931" spans="1:9" hidden="1" x14ac:dyDescent="0.25">
      <c r="A1931" s="1" t="s">
        <v>17</v>
      </c>
      <c r="B1931" s="1" t="s">
        <v>146</v>
      </c>
      <c r="C1931" s="1" t="s">
        <v>10</v>
      </c>
      <c r="D1931" s="1">
        <v>0</v>
      </c>
      <c r="E1931" s="1">
        <v>0</v>
      </c>
      <c r="F1931" s="1">
        <v>0</v>
      </c>
      <c r="G1931" s="1">
        <v>0</v>
      </c>
      <c r="H1931" s="1">
        <v>0</v>
      </c>
      <c r="I1931" s="1">
        <v>0</v>
      </c>
    </row>
    <row r="1932" spans="1:9" hidden="1" x14ac:dyDescent="0.25">
      <c r="A1932" s="1" t="s">
        <v>17</v>
      </c>
      <c r="B1932" s="1" t="s">
        <v>147</v>
      </c>
      <c r="C1932" s="1" t="s">
        <v>25</v>
      </c>
      <c r="D1932" s="1">
        <v>0</v>
      </c>
      <c r="E1932" s="1">
        <v>0</v>
      </c>
      <c r="F1932" s="1">
        <v>0</v>
      </c>
      <c r="G1932" s="1">
        <v>0</v>
      </c>
      <c r="H1932" s="1">
        <v>0</v>
      </c>
      <c r="I1932" s="1">
        <v>0</v>
      </c>
    </row>
    <row r="1933" spans="1:9" hidden="1" x14ac:dyDescent="0.25">
      <c r="A1933" s="1" t="s">
        <v>17</v>
      </c>
      <c r="B1933" s="1" t="s">
        <v>147</v>
      </c>
      <c r="C1933" s="1" t="s">
        <v>10</v>
      </c>
      <c r="D1933" s="1">
        <v>0</v>
      </c>
      <c r="E1933" s="1">
        <v>0</v>
      </c>
      <c r="F1933" s="1">
        <v>0</v>
      </c>
      <c r="G1933" s="1">
        <v>0</v>
      </c>
      <c r="H1933" s="1">
        <v>0</v>
      </c>
      <c r="I1933" s="1">
        <v>0</v>
      </c>
    </row>
    <row r="1934" spans="1:9" hidden="1" x14ac:dyDescent="0.25">
      <c r="A1934" s="1" t="s">
        <v>17</v>
      </c>
      <c r="B1934" s="1" t="s">
        <v>159</v>
      </c>
      <c r="C1934" s="1" t="s">
        <v>25</v>
      </c>
      <c r="D1934" s="1">
        <v>0</v>
      </c>
      <c r="E1934" s="1">
        <v>0</v>
      </c>
      <c r="F1934" s="1">
        <v>0</v>
      </c>
      <c r="G1934" s="1">
        <v>0</v>
      </c>
      <c r="H1934" s="1">
        <v>0</v>
      </c>
      <c r="I1934" s="1">
        <v>0</v>
      </c>
    </row>
    <row r="1935" spans="1:9" hidden="1" x14ac:dyDescent="0.25">
      <c r="A1935" s="1" t="s">
        <v>17</v>
      </c>
      <c r="B1935" s="1" t="s">
        <v>159</v>
      </c>
      <c r="C1935" s="1" t="s">
        <v>10</v>
      </c>
      <c r="D1935" s="1">
        <v>0</v>
      </c>
      <c r="E1935" s="1">
        <v>0</v>
      </c>
      <c r="F1935" s="1">
        <v>0</v>
      </c>
      <c r="G1935" s="1">
        <v>0</v>
      </c>
      <c r="H1935" s="1">
        <v>0</v>
      </c>
      <c r="I1935" s="1">
        <v>0</v>
      </c>
    </row>
    <row r="1936" spans="1:9" hidden="1" x14ac:dyDescent="0.25">
      <c r="A1936" s="1" t="s">
        <v>17</v>
      </c>
      <c r="B1936" s="1" t="s">
        <v>160</v>
      </c>
      <c r="C1936" s="1" t="s">
        <v>25</v>
      </c>
      <c r="D1936" s="1">
        <v>0</v>
      </c>
      <c r="E1936" s="1">
        <v>0</v>
      </c>
      <c r="F1936" s="1">
        <v>0</v>
      </c>
      <c r="G1936" s="1">
        <v>0</v>
      </c>
      <c r="H1936" s="1">
        <v>0</v>
      </c>
      <c r="I1936" s="1">
        <v>0</v>
      </c>
    </row>
    <row r="1937" spans="1:9" hidden="1" x14ac:dyDescent="0.25">
      <c r="A1937" s="1" t="s">
        <v>17</v>
      </c>
      <c r="B1937" s="1" t="s">
        <v>160</v>
      </c>
      <c r="C1937" s="1" t="s">
        <v>10</v>
      </c>
      <c r="D1937" s="1">
        <v>0</v>
      </c>
      <c r="E1937" s="1">
        <v>0</v>
      </c>
      <c r="F1937" s="1">
        <v>0</v>
      </c>
      <c r="G1937" s="1">
        <v>0</v>
      </c>
      <c r="H1937" s="1">
        <v>0</v>
      </c>
      <c r="I1937" s="1">
        <v>0</v>
      </c>
    </row>
    <row r="1938" spans="1:9" hidden="1" x14ac:dyDescent="0.25">
      <c r="A1938" s="1" t="s">
        <v>17</v>
      </c>
      <c r="B1938" s="1" t="s">
        <v>161</v>
      </c>
      <c r="C1938" s="1" t="s">
        <v>25</v>
      </c>
      <c r="D1938" s="1">
        <v>0</v>
      </c>
      <c r="E1938" s="1">
        <v>0</v>
      </c>
      <c r="F1938" s="1">
        <v>0</v>
      </c>
      <c r="G1938" s="1">
        <v>0</v>
      </c>
      <c r="H1938" s="1">
        <v>0</v>
      </c>
      <c r="I1938" s="1">
        <v>0</v>
      </c>
    </row>
    <row r="1939" spans="1:9" hidden="1" x14ac:dyDescent="0.25">
      <c r="A1939" s="1" t="s">
        <v>17</v>
      </c>
      <c r="B1939" s="1" t="s">
        <v>161</v>
      </c>
      <c r="C1939" s="1" t="s">
        <v>10</v>
      </c>
      <c r="D1939" s="1">
        <v>0</v>
      </c>
      <c r="E1939" s="1">
        <v>0</v>
      </c>
      <c r="F1939" s="1">
        <v>0</v>
      </c>
      <c r="G1939" s="1">
        <v>0</v>
      </c>
      <c r="H1939" s="1">
        <v>0</v>
      </c>
      <c r="I1939" s="1">
        <v>0</v>
      </c>
    </row>
    <row r="1940" spans="1:9" hidden="1" x14ac:dyDescent="0.25">
      <c r="A1940" s="1" t="s">
        <v>17</v>
      </c>
      <c r="B1940" s="1" t="s">
        <v>162</v>
      </c>
      <c r="C1940" s="1" t="s">
        <v>25</v>
      </c>
      <c r="D1940" s="1">
        <v>0</v>
      </c>
      <c r="E1940" s="1">
        <v>0</v>
      </c>
      <c r="F1940" s="1">
        <v>0</v>
      </c>
      <c r="G1940" s="1">
        <v>0</v>
      </c>
      <c r="H1940" s="1">
        <v>0</v>
      </c>
      <c r="I1940" s="1">
        <v>0</v>
      </c>
    </row>
    <row r="1941" spans="1:9" hidden="1" x14ac:dyDescent="0.25">
      <c r="A1941" s="1" t="s">
        <v>17</v>
      </c>
      <c r="B1941" s="1" t="s">
        <v>162</v>
      </c>
      <c r="C1941" s="1" t="s">
        <v>10</v>
      </c>
      <c r="D1941" s="1">
        <v>0</v>
      </c>
      <c r="E1941" s="1">
        <v>0</v>
      </c>
      <c r="F1941" s="1">
        <v>0</v>
      </c>
      <c r="G1941" s="1">
        <v>0</v>
      </c>
      <c r="H1941" s="1">
        <v>0</v>
      </c>
      <c r="I1941" s="1">
        <v>0</v>
      </c>
    </row>
    <row r="1942" spans="1:9" hidden="1" x14ac:dyDescent="0.25">
      <c r="A1942" s="1" t="s">
        <v>17</v>
      </c>
      <c r="B1942" s="1" t="s">
        <v>163</v>
      </c>
      <c r="C1942" s="1" t="s">
        <v>25</v>
      </c>
      <c r="D1942" s="1">
        <v>0</v>
      </c>
      <c r="E1942" s="1">
        <v>0</v>
      </c>
      <c r="F1942" s="1">
        <v>0</v>
      </c>
      <c r="G1942" s="1">
        <v>0</v>
      </c>
      <c r="H1942" s="1">
        <v>0</v>
      </c>
      <c r="I1942" s="1">
        <v>0</v>
      </c>
    </row>
    <row r="1943" spans="1:9" hidden="1" x14ac:dyDescent="0.25">
      <c r="A1943" s="1" t="s">
        <v>17</v>
      </c>
      <c r="B1943" s="1" t="s">
        <v>163</v>
      </c>
      <c r="C1943" s="1" t="s">
        <v>10</v>
      </c>
      <c r="D1943" s="1">
        <v>0</v>
      </c>
      <c r="E1943" s="1">
        <v>0</v>
      </c>
      <c r="F1943" s="1">
        <v>0</v>
      </c>
      <c r="G1943" s="1">
        <v>0</v>
      </c>
      <c r="H1943" s="1">
        <v>0</v>
      </c>
      <c r="I1943" s="1">
        <v>0</v>
      </c>
    </row>
    <row r="1944" spans="1:9" hidden="1" x14ac:dyDescent="0.25">
      <c r="A1944" s="1" t="s">
        <v>17</v>
      </c>
      <c r="B1944" s="1" t="s">
        <v>164</v>
      </c>
      <c r="C1944" s="1" t="s">
        <v>25</v>
      </c>
      <c r="D1944" s="1">
        <v>0</v>
      </c>
      <c r="E1944" s="1">
        <v>0</v>
      </c>
      <c r="F1944" s="1">
        <v>0</v>
      </c>
      <c r="G1944" s="1">
        <v>0</v>
      </c>
      <c r="H1944" s="1">
        <v>0</v>
      </c>
      <c r="I1944" s="1">
        <v>0</v>
      </c>
    </row>
    <row r="1945" spans="1:9" hidden="1" x14ac:dyDescent="0.25">
      <c r="A1945" s="1" t="s">
        <v>17</v>
      </c>
      <c r="B1945" s="1" t="s">
        <v>164</v>
      </c>
      <c r="C1945" s="1" t="s">
        <v>10</v>
      </c>
      <c r="D1945" s="1">
        <v>0</v>
      </c>
      <c r="E1945" s="1">
        <v>0</v>
      </c>
      <c r="F1945" s="1">
        <v>0</v>
      </c>
      <c r="G1945" s="1">
        <v>0</v>
      </c>
      <c r="H1945" s="1">
        <v>0</v>
      </c>
      <c r="I1945" s="1">
        <v>0</v>
      </c>
    </row>
    <row r="1946" spans="1:9" hidden="1" x14ac:dyDescent="0.25">
      <c r="A1946" s="1" t="s">
        <v>17</v>
      </c>
      <c r="B1946" s="1" t="s">
        <v>165</v>
      </c>
      <c r="C1946" s="1" t="s">
        <v>25</v>
      </c>
      <c r="D1946" s="1">
        <v>0</v>
      </c>
      <c r="E1946" s="1">
        <v>0</v>
      </c>
      <c r="F1946" s="1">
        <v>0</v>
      </c>
      <c r="G1946" s="1">
        <v>0</v>
      </c>
      <c r="H1946" s="1">
        <v>0</v>
      </c>
      <c r="I1946" s="1">
        <v>0</v>
      </c>
    </row>
    <row r="1947" spans="1:9" hidden="1" x14ac:dyDescent="0.25">
      <c r="A1947" s="1" t="s">
        <v>17</v>
      </c>
      <c r="B1947" s="1" t="s">
        <v>165</v>
      </c>
      <c r="C1947" s="1" t="s">
        <v>10</v>
      </c>
      <c r="D1947" s="1">
        <v>0</v>
      </c>
      <c r="E1947" s="1">
        <v>0</v>
      </c>
      <c r="F1947" s="1">
        <v>0</v>
      </c>
      <c r="G1947" s="1">
        <v>0</v>
      </c>
      <c r="H1947" s="1">
        <v>0</v>
      </c>
      <c r="I1947" s="1">
        <v>0</v>
      </c>
    </row>
    <row r="1948" spans="1:9" hidden="1" x14ac:dyDescent="0.25">
      <c r="A1948" s="1" t="s">
        <v>17</v>
      </c>
      <c r="B1948" s="1" t="s">
        <v>166</v>
      </c>
      <c r="C1948" s="1" t="s">
        <v>25</v>
      </c>
      <c r="D1948" s="1">
        <v>0</v>
      </c>
      <c r="E1948" s="1">
        <v>0</v>
      </c>
      <c r="F1948" s="1">
        <v>0</v>
      </c>
      <c r="G1948" s="1">
        <v>0</v>
      </c>
      <c r="H1948" s="1">
        <v>0</v>
      </c>
      <c r="I1948" s="1">
        <v>0</v>
      </c>
    </row>
    <row r="1949" spans="1:9" hidden="1" x14ac:dyDescent="0.25">
      <c r="A1949" s="1" t="s">
        <v>17</v>
      </c>
      <c r="B1949" s="1" t="s">
        <v>166</v>
      </c>
      <c r="C1949" s="1" t="s">
        <v>10</v>
      </c>
      <c r="D1949" s="1">
        <v>0</v>
      </c>
      <c r="E1949" s="1">
        <v>0</v>
      </c>
      <c r="F1949" s="1">
        <v>0</v>
      </c>
      <c r="G1949" s="1">
        <v>0</v>
      </c>
      <c r="H1949" s="1">
        <v>0</v>
      </c>
      <c r="I1949" s="1">
        <v>0</v>
      </c>
    </row>
    <row r="1950" spans="1:9" hidden="1" x14ac:dyDescent="0.25">
      <c r="A1950" s="1" t="s">
        <v>17</v>
      </c>
      <c r="B1950" s="1" t="s">
        <v>167</v>
      </c>
      <c r="C1950" s="1" t="s">
        <v>25</v>
      </c>
      <c r="D1950" s="1">
        <v>0</v>
      </c>
      <c r="E1950" s="1">
        <v>0</v>
      </c>
      <c r="F1950" s="1">
        <v>0</v>
      </c>
      <c r="G1950" s="1">
        <v>0</v>
      </c>
      <c r="H1950" s="1">
        <v>0</v>
      </c>
      <c r="I1950" s="1">
        <v>0</v>
      </c>
    </row>
    <row r="1951" spans="1:9" hidden="1" x14ac:dyDescent="0.25">
      <c r="A1951" s="1" t="s">
        <v>17</v>
      </c>
      <c r="B1951" s="1" t="s">
        <v>167</v>
      </c>
      <c r="C1951" s="1" t="s">
        <v>10</v>
      </c>
      <c r="D1951" s="1">
        <v>0</v>
      </c>
      <c r="E1951" s="1">
        <v>0</v>
      </c>
      <c r="F1951" s="1">
        <v>0</v>
      </c>
      <c r="G1951" s="1">
        <v>0</v>
      </c>
      <c r="H1951" s="1">
        <v>0</v>
      </c>
      <c r="I1951" s="1">
        <v>0</v>
      </c>
    </row>
    <row r="1952" spans="1:9" hidden="1" x14ac:dyDescent="0.25">
      <c r="A1952" s="1" t="s">
        <v>17</v>
      </c>
      <c r="B1952" s="1" t="s">
        <v>168</v>
      </c>
      <c r="C1952" s="1" t="s">
        <v>25</v>
      </c>
      <c r="D1952" s="1">
        <v>0</v>
      </c>
      <c r="E1952" s="1">
        <v>0</v>
      </c>
      <c r="F1952" s="1">
        <v>0</v>
      </c>
      <c r="G1952" s="1">
        <v>0</v>
      </c>
      <c r="H1952" s="1">
        <v>0</v>
      </c>
      <c r="I1952" s="1">
        <v>0</v>
      </c>
    </row>
    <row r="1953" spans="1:9" hidden="1" x14ac:dyDescent="0.25">
      <c r="A1953" s="1" t="s">
        <v>17</v>
      </c>
      <c r="B1953" s="1" t="s">
        <v>168</v>
      </c>
      <c r="C1953" s="1" t="s">
        <v>10</v>
      </c>
      <c r="D1953" s="1">
        <v>0</v>
      </c>
      <c r="E1953" s="1">
        <v>0</v>
      </c>
      <c r="F1953" s="1">
        <v>0</v>
      </c>
      <c r="G1953" s="1">
        <v>0</v>
      </c>
      <c r="H1953" s="1">
        <v>0</v>
      </c>
      <c r="I1953" s="1">
        <v>0</v>
      </c>
    </row>
    <row r="1954" spans="1:9" hidden="1" x14ac:dyDescent="0.25">
      <c r="A1954" s="1" t="s">
        <v>17</v>
      </c>
      <c r="B1954" s="1" t="s">
        <v>169</v>
      </c>
      <c r="C1954" s="1" t="s">
        <v>25</v>
      </c>
      <c r="D1954" s="1">
        <v>0</v>
      </c>
      <c r="E1954" s="1">
        <v>0</v>
      </c>
      <c r="F1954" s="1">
        <v>0</v>
      </c>
      <c r="G1954" s="1">
        <v>0</v>
      </c>
      <c r="H1954" s="1">
        <v>0</v>
      </c>
      <c r="I1954" s="1">
        <v>0</v>
      </c>
    </row>
    <row r="1955" spans="1:9" hidden="1" x14ac:dyDescent="0.25">
      <c r="A1955" s="1" t="s">
        <v>17</v>
      </c>
      <c r="B1955" s="1" t="s">
        <v>169</v>
      </c>
      <c r="C1955" s="1" t="s">
        <v>10</v>
      </c>
      <c r="D1955" s="1">
        <v>0</v>
      </c>
      <c r="E1955" s="1">
        <v>0</v>
      </c>
      <c r="F1955" s="1">
        <v>0</v>
      </c>
      <c r="G1955" s="1">
        <v>0</v>
      </c>
      <c r="H1955" s="1">
        <v>0</v>
      </c>
      <c r="I1955" s="1">
        <v>0</v>
      </c>
    </row>
    <row r="1956" spans="1:9" hidden="1" x14ac:dyDescent="0.25">
      <c r="A1956" s="1" t="s">
        <v>17</v>
      </c>
      <c r="B1956" s="1" t="s">
        <v>170</v>
      </c>
      <c r="C1956" s="1" t="s">
        <v>25</v>
      </c>
      <c r="D1956" s="1">
        <v>0</v>
      </c>
      <c r="E1956" s="1">
        <v>0</v>
      </c>
      <c r="F1956" s="1">
        <v>0</v>
      </c>
      <c r="G1956" s="1">
        <v>0</v>
      </c>
      <c r="H1956" s="1">
        <v>0</v>
      </c>
      <c r="I1956" s="1">
        <v>0</v>
      </c>
    </row>
    <row r="1957" spans="1:9" hidden="1" x14ac:dyDescent="0.25">
      <c r="A1957" s="1" t="s">
        <v>17</v>
      </c>
      <c r="B1957" s="1" t="s">
        <v>170</v>
      </c>
      <c r="C1957" s="1" t="s">
        <v>10</v>
      </c>
      <c r="D1957" s="1">
        <v>0</v>
      </c>
      <c r="E1957" s="1">
        <v>0</v>
      </c>
      <c r="F1957" s="1">
        <v>0</v>
      </c>
      <c r="G1957" s="1">
        <v>0</v>
      </c>
      <c r="H1957" s="1">
        <v>0</v>
      </c>
      <c r="I1957" s="1">
        <v>0</v>
      </c>
    </row>
    <row r="1958" spans="1:9" hidden="1" x14ac:dyDescent="0.25">
      <c r="A1958" s="1" t="s">
        <v>17</v>
      </c>
      <c r="B1958" s="1" t="s">
        <v>171</v>
      </c>
      <c r="C1958" s="1" t="s">
        <v>25</v>
      </c>
      <c r="D1958" s="1">
        <v>0</v>
      </c>
      <c r="E1958" s="1">
        <v>0</v>
      </c>
      <c r="F1958" s="1">
        <v>0</v>
      </c>
      <c r="G1958" s="1">
        <v>0</v>
      </c>
      <c r="H1958" s="1">
        <v>0</v>
      </c>
      <c r="I1958" s="1">
        <v>0</v>
      </c>
    </row>
    <row r="1959" spans="1:9" hidden="1" x14ac:dyDescent="0.25">
      <c r="A1959" s="1" t="s">
        <v>17</v>
      </c>
      <c r="B1959" s="1" t="s">
        <v>171</v>
      </c>
      <c r="C1959" s="1" t="s">
        <v>10</v>
      </c>
      <c r="D1959" s="1">
        <v>0</v>
      </c>
      <c r="E1959" s="1">
        <v>0</v>
      </c>
      <c r="F1959" s="1">
        <v>0</v>
      </c>
      <c r="G1959" s="1">
        <v>0</v>
      </c>
      <c r="H1959" s="1">
        <v>0</v>
      </c>
      <c r="I1959" s="1">
        <v>0</v>
      </c>
    </row>
    <row r="1960" spans="1:9" hidden="1" x14ac:dyDescent="0.25">
      <c r="A1960" s="1" t="s">
        <v>17</v>
      </c>
      <c r="B1960" s="1" t="s">
        <v>172</v>
      </c>
      <c r="C1960" s="1" t="s">
        <v>25</v>
      </c>
      <c r="D1960" s="1">
        <v>0</v>
      </c>
      <c r="E1960" s="1">
        <v>0</v>
      </c>
      <c r="F1960" s="1">
        <v>0</v>
      </c>
      <c r="G1960" s="1">
        <v>0</v>
      </c>
      <c r="H1960" s="1">
        <v>0</v>
      </c>
      <c r="I1960" s="1">
        <v>0</v>
      </c>
    </row>
    <row r="1961" spans="1:9" hidden="1" x14ac:dyDescent="0.25">
      <c r="A1961" s="1" t="s">
        <v>17</v>
      </c>
      <c r="B1961" s="1" t="s">
        <v>172</v>
      </c>
      <c r="C1961" s="1" t="s">
        <v>10</v>
      </c>
      <c r="D1961" s="1">
        <v>0</v>
      </c>
      <c r="E1961" s="1">
        <v>0</v>
      </c>
      <c r="F1961" s="1">
        <v>0</v>
      </c>
      <c r="G1961" s="1">
        <v>0</v>
      </c>
      <c r="H1961" s="1">
        <v>0</v>
      </c>
      <c r="I1961" s="1">
        <v>0</v>
      </c>
    </row>
    <row r="1962" spans="1:9" hidden="1" x14ac:dyDescent="0.25">
      <c r="A1962" s="1" t="s">
        <v>17</v>
      </c>
      <c r="B1962" s="1" t="s">
        <v>173</v>
      </c>
      <c r="C1962" s="1" t="s">
        <v>25</v>
      </c>
      <c r="D1962" s="1">
        <v>0</v>
      </c>
      <c r="E1962" s="1">
        <v>0</v>
      </c>
      <c r="F1962" s="1">
        <v>0</v>
      </c>
      <c r="G1962" s="1">
        <v>0</v>
      </c>
      <c r="H1962" s="1">
        <v>0</v>
      </c>
      <c r="I1962" s="1">
        <v>0</v>
      </c>
    </row>
    <row r="1963" spans="1:9" hidden="1" x14ac:dyDescent="0.25">
      <c r="A1963" s="1" t="s">
        <v>17</v>
      </c>
      <c r="B1963" s="1" t="s">
        <v>173</v>
      </c>
      <c r="C1963" s="1" t="s">
        <v>10</v>
      </c>
      <c r="D1963" s="1">
        <v>0</v>
      </c>
      <c r="E1963" s="1">
        <v>0</v>
      </c>
      <c r="F1963" s="1">
        <v>0</v>
      </c>
      <c r="G1963" s="1">
        <v>0</v>
      </c>
      <c r="H1963" s="1">
        <v>0</v>
      </c>
      <c r="I1963" s="1">
        <v>0</v>
      </c>
    </row>
    <row r="1964" spans="1:9" hidden="1" x14ac:dyDescent="0.25">
      <c r="A1964" s="1" t="s">
        <v>17</v>
      </c>
      <c r="B1964" s="1" t="s">
        <v>174</v>
      </c>
      <c r="C1964" s="1" t="s">
        <v>25</v>
      </c>
      <c r="D1964" s="1">
        <v>0</v>
      </c>
      <c r="E1964" s="1">
        <v>0</v>
      </c>
      <c r="F1964" s="1">
        <v>0</v>
      </c>
      <c r="G1964" s="1">
        <v>0</v>
      </c>
      <c r="H1964" s="1">
        <v>0</v>
      </c>
      <c r="I1964" s="1">
        <v>0</v>
      </c>
    </row>
    <row r="1965" spans="1:9" hidden="1" x14ac:dyDescent="0.25">
      <c r="A1965" s="1" t="s">
        <v>17</v>
      </c>
      <c r="B1965" s="1" t="s">
        <v>174</v>
      </c>
      <c r="C1965" s="1" t="s">
        <v>10</v>
      </c>
      <c r="D1965" s="1">
        <v>0</v>
      </c>
      <c r="E1965" s="1">
        <v>0</v>
      </c>
      <c r="F1965" s="1">
        <v>0</v>
      </c>
      <c r="G1965" s="1">
        <v>0</v>
      </c>
      <c r="H1965" s="1">
        <v>0</v>
      </c>
      <c r="I1965" s="1">
        <v>0</v>
      </c>
    </row>
    <row r="1966" spans="1:9" hidden="1" x14ac:dyDescent="0.25">
      <c r="A1966" s="1" t="s">
        <v>17</v>
      </c>
      <c r="B1966" s="1" t="s">
        <v>175</v>
      </c>
      <c r="C1966" s="1" t="s">
        <v>25</v>
      </c>
      <c r="D1966" s="1">
        <v>0</v>
      </c>
      <c r="E1966" s="1">
        <v>0</v>
      </c>
      <c r="F1966" s="1">
        <v>0</v>
      </c>
      <c r="G1966" s="1">
        <v>0</v>
      </c>
      <c r="H1966" s="1">
        <v>0</v>
      </c>
      <c r="I1966" s="1">
        <v>0</v>
      </c>
    </row>
    <row r="1967" spans="1:9" hidden="1" x14ac:dyDescent="0.25">
      <c r="A1967" s="1" t="s">
        <v>17</v>
      </c>
      <c r="B1967" s="1" t="s">
        <v>175</v>
      </c>
      <c r="C1967" s="1" t="s">
        <v>10</v>
      </c>
      <c r="D1967" s="1">
        <v>0</v>
      </c>
      <c r="E1967" s="1">
        <v>0</v>
      </c>
      <c r="F1967" s="1">
        <v>0</v>
      </c>
      <c r="G1967" s="1">
        <v>0</v>
      </c>
      <c r="H1967" s="1">
        <v>0</v>
      </c>
      <c r="I1967" s="1">
        <v>0</v>
      </c>
    </row>
    <row r="1968" spans="1:9" hidden="1" x14ac:dyDescent="0.25">
      <c r="A1968" s="1" t="s">
        <v>17</v>
      </c>
      <c r="B1968" s="1" t="s">
        <v>176</v>
      </c>
      <c r="C1968" s="1" t="s">
        <v>25</v>
      </c>
      <c r="D1968" s="1">
        <v>0</v>
      </c>
      <c r="E1968" s="1">
        <v>0</v>
      </c>
      <c r="F1968" s="1">
        <v>0</v>
      </c>
      <c r="G1968" s="1">
        <v>0</v>
      </c>
      <c r="H1968" s="1">
        <v>0</v>
      </c>
      <c r="I1968" s="1">
        <v>0</v>
      </c>
    </row>
    <row r="1969" spans="1:9" hidden="1" x14ac:dyDescent="0.25">
      <c r="A1969" s="1" t="s">
        <v>17</v>
      </c>
      <c r="B1969" s="1" t="s">
        <v>176</v>
      </c>
      <c r="C1969" s="1" t="s">
        <v>10</v>
      </c>
      <c r="D1969" s="1">
        <v>0</v>
      </c>
      <c r="E1969" s="1">
        <v>0</v>
      </c>
      <c r="F1969" s="1">
        <v>0</v>
      </c>
      <c r="G1969" s="1">
        <v>0</v>
      </c>
      <c r="H1969" s="1">
        <v>0</v>
      </c>
      <c r="I1969" s="1">
        <v>0</v>
      </c>
    </row>
    <row r="1970" spans="1:9" hidden="1" x14ac:dyDescent="0.25">
      <c r="A1970" s="1" t="s">
        <v>17</v>
      </c>
      <c r="B1970" s="1" t="s">
        <v>177</v>
      </c>
      <c r="C1970" s="1" t="s">
        <v>25</v>
      </c>
      <c r="D1970" s="1">
        <v>0</v>
      </c>
      <c r="E1970" s="1">
        <v>0</v>
      </c>
      <c r="F1970" s="1">
        <v>0</v>
      </c>
      <c r="G1970" s="1">
        <v>0</v>
      </c>
      <c r="H1970" s="1">
        <v>0</v>
      </c>
      <c r="I1970" s="1">
        <v>0</v>
      </c>
    </row>
    <row r="1971" spans="1:9" hidden="1" x14ac:dyDescent="0.25">
      <c r="A1971" s="1" t="s">
        <v>17</v>
      </c>
      <c r="B1971" s="1" t="s">
        <v>177</v>
      </c>
      <c r="C1971" s="1" t="s">
        <v>10</v>
      </c>
      <c r="D1971" s="1">
        <v>0</v>
      </c>
      <c r="E1971" s="1">
        <v>0</v>
      </c>
      <c r="F1971" s="1">
        <v>0</v>
      </c>
      <c r="G1971" s="1">
        <v>0</v>
      </c>
      <c r="H1971" s="1">
        <v>0</v>
      </c>
      <c r="I1971" s="1">
        <v>0</v>
      </c>
    </row>
    <row r="1972" spans="1:9" hidden="1" x14ac:dyDescent="0.25">
      <c r="A1972" s="1" t="s">
        <v>17</v>
      </c>
      <c r="B1972" s="1" t="s">
        <v>178</v>
      </c>
      <c r="C1972" s="1" t="s">
        <v>25</v>
      </c>
      <c r="D1972" s="1">
        <v>0</v>
      </c>
      <c r="E1972" s="1">
        <v>0</v>
      </c>
      <c r="F1972" s="1">
        <v>0</v>
      </c>
      <c r="G1972" s="1">
        <v>0</v>
      </c>
      <c r="H1972" s="1">
        <v>0</v>
      </c>
      <c r="I1972" s="1">
        <v>0</v>
      </c>
    </row>
    <row r="1973" spans="1:9" hidden="1" x14ac:dyDescent="0.25">
      <c r="A1973" s="1" t="s">
        <v>17</v>
      </c>
      <c r="B1973" s="1" t="s">
        <v>178</v>
      </c>
      <c r="C1973" s="1" t="s">
        <v>10</v>
      </c>
      <c r="D1973" s="1">
        <v>0</v>
      </c>
      <c r="E1973" s="1">
        <v>0</v>
      </c>
      <c r="F1973" s="1">
        <v>0</v>
      </c>
      <c r="G1973" s="1">
        <v>0</v>
      </c>
      <c r="H1973" s="1">
        <v>0</v>
      </c>
      <c r="I1973" s="1">
        <v>0</v>
      </c>
    </row>
    <row r="1974" spans="1:9" hidden="1" x14ac:dyDescent="0.25">
      <c r="A1974" s="1" t="s">
        <v>17</v>
      </c>
      <c r="B1974" s="1" t="s">
        <v>179</v>
      </c>
      <c r="C1974" s="1" t="s">
        <v>25</v>
      </c>
      <c r="D1974" s="1">
        <v>0</v>
      </c>
      <c r="E1974" s="1">
        <v>0</v>
      </c>
      <c r="F1974" s="1">
        <v>0</v>
      </c>
      <c r="G1974" s="1">
        <v>0</v>
      </c>
      <c r="H1974" s="1">
        <v>0</v>
      </c>
      <c r="I1974" s="1">
        <v>0</v>
      </c>
    </row>
    <row r="1975" spans="1:9" hidden="1" x14ac:dyDescent="0.25">
      <c r="A1975" s="1" t="s">
        <v>17</v>
      </c>
      <c r="B1975" s="1" t="s">
        <v>179</v>
      </c>
      <c r="C1975" s="1" t="s">
        <v>10</v>
      </c>
      <c r="D1975" s="1">
        <v>0</v>
      </c>
      <c r="E1975" s="1">
        <v>0</v>
      </c>
      <c r="F1975" s="1">
        <v>0</v>
      </c>
      <c r="G1975" s="1">
        <v>0</v>
      </c>
      <c r="H1975" s="1">
        <v>0</v>
      </c>
      <c r="I1975" s="1">
        <v>0</v>
      </c>
    </row>
    <row r="1976" spans="1:9" hidden="1" x14ac:dyDescent="0.25">
      <c r="A1976" s="1" t="s">
        <v>17</v>
      </c>
      <c r="B1976" s="1" t="s">
        <v>180</v>
      </c>
      <c r="C1976" s="1" t="s">
        <v>25</v>
      </c>
      <c r="D1976" s="1">
        <v>0</v>
      </c>
      <c r="E1976" s="1">
        <v>0</v>
      </c>
      <c r="F1976" s="1">
        <v>0</v>
      </c>
      <c r="G1976" s="1">
        <v>0</v>
      </c>
      <c r="H1976" s="1">
        <v>0</v>
      </c>
      <c r="I1976" s="1">
        <v>0</v>
      </c>
    </row>
    <row r="1977" spans="1:9" hidden="1" x14ac:dyDescent="0.25">
      <c r="A1977" s="1" t="s">
        <v>17</v>
      </c>
      <c r="B1977" s="1" t="s">
        <v>180</v>
      </c>
      <c r="C1977" s="1" t="s">
        <v>10</v>
      </c>
      <c r="D1977" s="1">
        <v>0</v>
      </c>
      <c r="E1977" s="1">
        <v>0</v>
      </c>
      <c r="F1977" s="1">
        <v>0</v>
      </c>
      <c r="G1977" s="1">
        <v>0</v>
      </c>
      <c r="H1977" s="1">
        <v>0</v>
      </c>
      <c r="I1977" s="1">
        <v>0</v>
      </c>
    </row>
    <row r="1978" spans="1:9" hidden="1" x14ac:dyDescent="0.25">
      <c r="A1978" s="1" t="s">
        <v>17</v>
      </c>
      <c r="B1978" s="1" t="s">
        <v>181</v>
      </c>
      <c r="C1978" s="1" t="s">
        <v>25</v>
      </c>
      <c r="D1978" s="1">
        <v>0</v>
      </c>
      <c r="E1978" s="1">
        <v>0</v>
      </c>
      <c r="F1978" s="1">
        <v>0</v>
      </c>
      <c r="G1978" s="1">
        <v>0</v>
      </c>
      <c r="H1978" s="1">
        <v>0</v>
      </c>
      <c r="I1978" s="1">
        <v>0</v>
      </c>
    </row>
    <row r="1979" spans="1:9" hidden="1" x14ac:dyDescent="0.25">
      <c r="A1979" s="1" t="s">
        <v>17</v>
      </c>
      <c r="B1979" s="1" t="s">
        <v>181</v>
      </c>
      <c r="C1979" s="1" t="s">
        <v>10</v>
      </c>
      <c r="D1979" s="1">
        <v>0</v>
      </c>
      <c r="E1979" s="1">
        <v>0</v>
      </c>
      <c r="F1979" s="1">
        <v>0</v>
      </c>
      <c r="G1979" s="1">
        <v>0</v>
      </c>
      <c r="H1979" s="1">
        <v>0</v>
      </c>
      <c r="I1979" s="1">
        <v>0</v>
      </c>
    </row>
    <row r="1980" spans="1:9" hidden="1" x14ac:dyDescent="0.25">
      <c r="A1980" s="1" t="s">
        <v>17</v>
      </c>
      <c r="B1980" s="1" t="s">
        <v>182</v>
      </c>
      <c r="C1980" s="1" t="s">
        <v>25</v>
      </c>
      <c r="D1980" s="1">
        <v>0</v>
      </c>
      <c r="E1980" s="1">
        <v>0</v>
      </c>
      <c r="F1980" s="1">
        <v>0</v>
      </c>
      <c r="G1980" s="1">
        <v>0</v>
      </c>
      <c r="H1980" s="1">
        <v>0</v>
      </c>
      <c r="I1980" s="1">
        <v>0</v>
      </c>
    </row>
    <row r="1981" spans="1:9" hidden="1" x14ac:dyDescent="0.25">
      <c r="A1981" s="1" t="s">
        <v>17</v>
      </c>
      <c r="B1981" s="1" t="s">
        <v>182</v>
      </c>
      <c r="C1981" s="1" t="s">
        <v>10</v>
      </c>
      <c r="D1981" s="1">
        <v>0</v>
      </c>
      <c r="E1981" s="1">
        <v>0</v>
      </c>
      <c r="F1981" s="1">
        <v>0</v>
      </c>
      <c r="G1981" s="1">
        <v>0</v>
      </c>
      <c r="H1981" s="1">
        <v>0</v>
      </c>
      <c r="I1981" s="1">
        <v>0</v>
      </c>
    </row>
    <row r="1982" spans="1:9" hidden="1" x14ac:dyDescent="0.25">
      <c r="A1982" s="1" t="s">
        <v>17</v>
      </c>
      <c r="B1982" s="1" t="s">
        <v>183</v>
      </c>
      <c r="C1982" s="1" t="s">
        <v>25</v>
      </c>
      <c r="D1982" s="1">
        <v>0</v>
      </c>
      <c r="E1982" s="1">
        <v>0</v>
      </c>
      <c r="F1982" s="1">
        <v>0</v>
      </c>
      <c r="G1982" s="1">
        <v>0</v>
      </c>
      <c r="H1982" s="1">
        <v>0</v>
      </c>
      <c r="I1982" s="1">
        <v>0</v>
      </c>
    </row>
    <row r="1983" spans="1:9" hidden="1" x14ac:dyDescent="0.25">
      <c r="A1983" s="1" t="s">
        <v>17</v>
      </c>
      <c r="B1983" s="1" t="s">
        <v>183</v>
      </c>
      <c r="C1983" s="1" t="s">
        <v>10</v>
      </c>
      <c r="D1983" s="1">
        <v>0</v>
      </c>
      <c r="E1983" s="1">
        <v>0</v>
      </c>
      <c r="F1983" s="1">
        <v>0</v>
      </c>
      <c r="G1983" s="1">
        <v>0</v>
      </c>
      <c r="H1983" s="1">
        <v>0</v>
      </c>
      <c r="I1983" s="1">
        <v>0</v>
      </c>
    </row>
    <row r="1984" spans="1:9" hidden="1" x14ac:dyDescent="0.25">
      <c r="A1984" s="1" t="s">
        <v>17</v>
      </c>
      <c r="B1984" s="1" t="s">
        <v>184</v>
      </c>
      <c r="C1984" s="1" t="s">
        <v>25</v>
      </c>
      <c r="D1984" s="1">
        <v>0</v>
      </c>
      <c r="E1984" s="1">
        <v>0</v>
      </c>
      <c r="F1984" s="1">
        <v>0</v>
      </c>
      <c r="G1984" s="1">
        <v>0</v>
      </c>
      <c r="H1984" s="1">
        <v>0</v>
      </c>
      <c r="I1984" s="1">
        <v>0</v>
      </c>
    </row>
    <row r="1985" spans="1:9" hidden="1" x14ac:dyDescent="0.25">
      <c r="A1985" s="1" t="s">
        <v>17</v>
      </c>
      <c r="B1985" s="1" t="s">
        <v>184</v>
      </c>
      <c r="C1985" s="1" t="s">
        <v>10</v>
      </c>
      <c r="D1985" s="1">
        <v>0</v>
      </c>
      <c r="E1985" s="1">
        <v>0</v>
      </c>
      <c r="F1985" s="1">
        <v>0</v>
      </c>
      <c r="G1985" s="1">
        <v>0</v>
      </c>
      <c r="H1985" s="1">
        <v>0</v>
      </c>
      <c r="I1985" s="1">
        <v>0</v>
      </c>
    </row>
    <row r="1986" spans="1:9" hidden="1" x14ac:dyDescent="0.25">
      <c r="A1986" s="1" t="s">
        <v>17</v>
      </c>
      <c r="B1986" s="1" t="s">
        <v>185</v>
      </c>
      <c r="C1986" s="1" t="s">
        <v>25</v>
      </c>
      <c r="D1986" s="1">
        <v>0</v>
      </c>
      <c r="E1986" s="1">
        <v>0</v>
      </c>
      <c r="F1986" s="1">
        <v>0</v>
      </c>
      <c r="G1986" s="1">
        <v>0</v>
      </c>
      <c r="H1986" s="1">
        <v>0</v>
      </c>
      <c r="I1986" s="1">
        <v>0</v>
      </c>
    </row>
    <row r="1987" spans="1:9" hidden="1" x14ac:dyDescent="0.25">
      <c r="A1987" s="1" t="s">
        <v>17</v>
      </c>
      <c r="B1987" s="1" t="s">
        <v>185</v>
      </c>
      <c r="C1987" s="1" t="s">
        <v>10</v>
      </c>
      <c r="D1987" s="1">
        <v>0</v>
      </c>
      <c r="E1987" s="1">
        <v>0</v>
      </c>
      <c r="F1987" s="1">
        <v>0</v>
      </c>
      <c r="G1987" s="1">
        <v>0</v>
      </c>
      <c r="H1987" s="1">
        <v>0</v>
      </c>
      <c r="I1987" s="1">
        <v>0</v>
      </c>
    </row>
    <row r="1988" spans="1:9" hidden="1" x14ac:dyDescent="0.25">
      <c r="A1988" s="1" t="s">
        <v>17</v>
      </c>
      <c r="B1988" s="1" t="s">
        <v>186</v>
      </c>
      <c r="C1988" s="1" t="s">
        <v>25</v>
      </c>
      <c r="D1988" s="1">
        <v>0</v>
      </c>
      <c r="E1988" s="1">
        <v>0</v>
      </c>
      <c r="F1988" s="1">
        <v>0</v>
      </c>
      <c r="G1988" s="1">
        <v>0</v>
      </c>
      <c r="H1988" s="1">
        <v>0</v>
      </c>
      <c r="I1988" s="1">
        <v>0</v>
      </c>
    </row>
    <row r="1989" spans="1:9" hidden="1" x14ac:dyDescent="0.25">
      <c r="A1989" s="1" t="s">
        <v>17</v>
      </c>
      <c r="B1989" s="1" t="s">
        <v>186</v>
      </c>
      <c r="C1989" s="1" t="s">
        <v>10</v>
      </c>
      <c r="D1989" s="1">
        <v>0</v>
      </c>
      <c r="E1989" s="1">
        <v>0</v>
      </c>
      <c r="F1989" s="1">
        <v>0</v>
      </c>
      <c r="G1989" s="1">
        <v>0</v>
      </c>
      <c r="H1989" s="1">
        <v>0</v>
      </c>
      <c r="I1989" s="1">
        <v>0</v>
      </c>
    </row>
    <row r="1990" spans="1:9" hidden="1" x14ac:dyDescent="0.25">
      <c r="A1990" s="1" t="s">
        <v>17</v>
      </c>
      <c r="B1990" s="1" t="s">
        <v>187</v>
      </c>
      <c r="C1990" s="1" t="s">
        <v>25</v>
      </c>
      <c r="D1990" s="1">
        <v>0</v>
      </c>
      <c r="E1990" s="1">
        <v>0</v>
      </c>
      <c r="F1990" s="1">
        <v>0</v>
      </c>
      <c r="G1990" s="1">
        <v>0</v>
      </c>
      <c r="H1990" s="1">
        <v>0</v>
      </c>
      <c r="I1990" s="1">
        <v>0</v>
      </c>
    </row>
    <row r="1991" spans="1:9" hidden="1" x14ac:dyDescent="0.25">
      <c r="A1991" s="1" t="s">
        <v>17</v>
      </c>
      <c r="B1991" s="1" t="s">
        <v>187</v>
      </c>
      <c r="C1991" s="1" t="s">
        <v>10</v>
      </c>
      <c r="D1991" s="1">
        <v>0</v>
      </c>
      <c r="E1991" s="1">
        <v>0</v>
      </c>
      <c r="F1991" s="1">
        <v>0</v>
      </c>
      <c r="G1991" s="1">
        <v>0</v>
      </c>
      <c r="H1991" s="1">
        <v>0</v>
      </c>
      <c r="I1991" s="1">
        <v>0</v>
      </c>
    </row>
    <row r="1992" spans="1:9" hidden="1" x14ac:dyDescent="0.25">
      <c r="A1992" s="1" t="s">
        <v>17</v>
      </c>
      <c r="B1992" s="1" t="s">
        <v>188</v>
      </c>
      <c r="C1992" s="1" t="s">
        <v>25</v>
      </c>
      <c r="D1992" s="1">
        <v>0</v>
      </c>
      <c r="E1992" s="1">
        <v>0</v>
      </c>
      <c r="F1992" s="1">
        <v>0</v>
      </c>
      <c r="G1992" s="1">
        <v>0</v>
      </c>
      <c r="H1992" s="1">
        <v>0</v>
      </c>
      <c r="I1992" s="1">
        <v>0</v>
      </c>
    </row>
    <row r="1993" spans="1:9" hidden="1" x14ac:dyDescent="0.25">
      <c r="A1993" s="1" t="s">
        <v>17</v>
      </c>
      <c r="B1993" s="1" t="s">
        <v>188</v>
      </c>
      <c r="C1993" s="1" t="s">
        <v>10</v>
      </c>
      <c r="D1993" s="1">
        <v>0</v>
      </c>
      <c r="E1993" s="1">
        <v>0</v>
      </c>
      <c r="F1993" s="1">
        <v>0</v>
      </c>
      <c r="G1993" s="1">
        <v>0</v>
      </c>
      <c r="H1993" s="1">
        <v>0</v>
      </c>
      <c r="I1993" s="1">
        <v>0</v>
      </c>
    </row>
    <row r="1994" spans="1:9" hidden="1" x14ac:dyDescent="0.25">
      <c r="A1994" s="1" t="s">
        <v>17</v>
      </c>
      <c r="B1994" s="1" t="s">
        <v>189</v>
      </c>
      <c r="C1994" s="1" t="s">
        <v>25</v>
      </c>
      <c r="D1994" s="1">
        <v>0</v>
      </c>
      <c r="E1994" s="1">
        <v>0</v>
      </c>
      <c r="F1994" s="1">
        <v>0</v>
      </c>
      <c r="G1994" s="1">
        <v>0</v>
      </c>
      <c r="H1994" s="1">
        <v>0</v>
      </c>
      <c r="I1994" s="1">
        <v>0</v>
      </c>
    </row>
    <row r="1995" spans="1:9" hidden="1" x14ac:dyDescent="0.25">
      <c r="A1995" s="1" t="s">
        <v>17</v>
      </c>
      <c r="B1995" s="1" t="s">
        <v>189</v>
      </c>
      <c r="C1995" s="1" t="s">
        <v>10</v>
      </c>
      <c r="D1995" s="1">
        <v>0</v>
      </c>
      <c r="E1995" s="1">
        <v>0</v>
      </c>
      <c r="F1995" s="1">
        <v>0</v>
      </c>
      <c r="G1995" s="1">
        <v>0</v>
      </c>
      <c r="H1995" s="1">
        <v>0</v>
      </c>
      <c r="I1995" s="1">
        <v>0</v>
      </c>
    </row>
    <row r="1996" spans="1:9" hidden="1" x14ac:dyDescent="0.25">
      <c r="A1996" s="1" t="s">
        <v>17</v>
      </c>
      <c r="B1996" s="1" t="s">
        <v>190</v>
      </c>
      <c r="C1996" s="1" t="s">
        <v>25</v>
      </c>
      <c r="D1996" s="1">
        <v>0</v>
      </c>
      <c r="E1996" s="1">
        <v>0</v>
      </c>
      <c r="F1996" s="1">
        <v>0</v>
      </c>
      <c r="G1996" s="1">
        <v>0</v>
      </c>
      <c r="H1996" s="1">
        <v>0</v>
      </c>
      <c r="I1996" s="1">
        <v>0</v>
      </c>
    </row>
    <row r="1997" spans="1:9" hidden="1" x14ac:dyDescent="0.25">
      <c r="A1997" s="1" t="s">
        <v>17</v>
      </c>
      <c r="B1997" s="1" t="s">
        <v>190</v>
      </c>
      <c r="C1997" s="1" t="s">
        <v>10</v>
      </c>
      <c r="D1997" s="1">
        <v>0</v>
      </c>
      <c r="E1997" s="1">
        <v>0</v>
      </c>
      <c r="F1997" s="1">
        <v>0</v>
      </c>
      <c r="G1997" s="1">
        <v>0</v>
      </c>
      <c r="H1997" s="1">
        <v>0</v>
      </c>
      <c r="I1997" s="1">
        <v>0</v>
      </c>
    </row>
    <row r="1998" spans="1:9" hidden="1" x14ac:dyDescent="0.25">
      <c r="A1998" s="1" t="s">
        <v>17</v>
      </c>
      <c r="B1998" s="1" t="s">
        <v>191</v>
      </c>
      <c r="C1998" s="1" t="s">
        <v>25</v>
      </c>
      <c r="D1998" s="1">
        <v>0</v>
      </c>
      <c r="E1998" s="1">
        <v>0</v>
      </c>
      <c r="F1998" s="1">
        <v>0</v>
      </c>
      <c r="G1998" s="1">
        <v>0</v>
      </c>
      <c r="H1998" s="1">
        <v>0</v>
      </c>
      <c r="I1998" s="1">
        <v>0</v>
      </c>
    </row>
    <row r="1999" spans="1:9" hidden="1" x14ac:dyDescent="0.25">
      <c r="A1999" s="1" t="s">
        <v>17</v>
      </c>
      <c r="B1999" s="1" t="s">
        <v>191</v>
      </c>
      <c r="C1999" s="1" t="s">
        <v>10</v>
      </c>
      <c r="D1999" s="1">
        <v>0</v>
      </c>
      <c r="E1999" s="1">
        <v>0</v>
      </c>
      <c r="F1999" s="1">
        <v>0</v>
      </c>
      <c r="G1999" s="1">
        <v>0</v>
      </c>
      <c r="H1999" s="1">
        <v>0</v>
      </c>
      <c r="I1999" s="1">
        <v>0</v>
      </c>
    </row>
    <row r="2000" spans="1:9" hidden="1" x14ac:dyDescent="0.25">
      <c r="A2000" s="1" t="s">
        <v>17</v>
      </c>
      <c r="B2000" s="1" t="s">
        <v>192</v>
      </c>
      <c r="C2000" s="1" t="s">
        <v>25</v>
      </c>
      <c r="D2000" s="1">
        <v>0</v>
      </c>
      <c r="E2000" s="1">
        <v>0</v>
      </c>
      <c r="F2000" s="1">
        <v>0</v>
      </c>
      <c r="G2000" s="1">
        <v>0</v>
      </c>
      <c r="H2000" s="1">
        <v>0</v>
      </c>
      <c r="I2000" s="1">
        <v>0</v>
      </c>
    </row>
    <row r="2001" spans="1:9" hidden="1" x14ac:dyDescent="0.25">
      <c r="A2001" s="1" t="s">
        <v>17</v>
      </c>
      <c r="B2001" s="1" t="s">
        <v>192</v>
      </c>
      <c r="C2001" s="1" t="s">
        <v>10</v>
      </c>
      <c r="D2001" s="1">
        <v>0</v>
      </c>
      <c r="E2001" s="1">
        <v>0</v>
      </c>
      <c r="F2001" s="1">
        <v>0</v>
      </c>
      <c r="G2001" s="1">
        <v>0</v>
      </c>
      <c r="H2001" s="1">
        <v>0</v>
      </c>
      <c r="I2001" s="1">
        <v>0</v>
      </c>
    </row>
    <row r="2002" spans="1:9" hidden="1" x14ac:dyDescent="0.25">
      <c r="A2002" s="1" t="s">
        <v>17</v>
      </c>
      <c r="B2002" s="1" t="s">
        <v>193</v>
      </c>
      <c r="C2002" s="1" t="s">
        <v>25</v>
      </c>
      <c r="D2002" s="1">
        <v>0</v>
      </c>
      <c r="E2002" s="1">
        <v>0</v>
      </c>
      <c r="F2002" s="1">
        <v>0</v>
      </c>
      <c r="G2002" s="1">
        <v>0</v>
      </c>
      <c r="H2002" s="1">
        <v>0</v>
      </c>
      <c r="I2002" s="1">
        <v>0</v>
      </c>
    </row>
    <row r="2003" spans="1:9" hidden="1" x14ac:dyDescent="0.25">
      <c r="A2003" s="1" t="s">
        <v>17</v>
      </c>
      <c r="B2003" s="1" t="s">
        <v>193</v>
      </c>
      <c r="C2003" s="1" t="s">
        <v>10</v>
      </c>
      <c r="D2003" s="1">
        <v>0</v>
      </c>
      <c r="E2003" s="1">
        <v>0</v>
      </c>
      <c r="F2003" s="1">
        <v>0</v>
      </c>
      <c r="G2003" s="1">
        <v>0</v>
      </c>
      <c r="H2003" s="1">
        <v>0</v>
      </c>
      <c r="I2003" s="1">
        <v>0</v>
      </c>
    </row>
    <row r="2004" spans="1:9" hidden="1" x14ac:dyDescent="0.25">
      <c r="A2004" s="1" t="s">
        <v>17</v>
      </c>
      <c r="B2004" s="1" t="s">
        <v>194</v>
      </c>
      <c r="C2004" s="1" t="s">
        <v>25</v>
      </c>
      <c r="D2004" s="1">
        <v>0</v>
      </c>
      <c r="E2004" s="1">
        <v>0</v>
      </c>
      <c r="F2004" s="1">
        <v>0</v>
      </c>
      <c r="G2004" s="1">
        <v>0</v>
      </c>
      <c r="H2004" s="1">
        <v>0</v>
      </c>
      <c r="I2004" s="1">
        <v>0</v>
      </c>
    </row>
    <row r="2005" spans="1:9" hidden="1" x14ac:dyDescent="0.25">
      <c r="A2005" s="1" t="s">
        <v>17</v>
      </c>
      <c r="B2005" s="1" t="s">
        <v>194</v>
      </c>
      <c r="C2005" s="1" t="s">
        <v>10</v>
      </c>
      <c r="D2005" s="1">
        <v>0</v>
      </c>
      <c r="E2005" s="1">
        <v>0</v>
      </c>
      <c r="F2005" s="1">
        <v>0</v>
      </c>
      <c r="G2005" s="1">
        <v>0</v>
      </c>
      <c r="H2005" s="1">
        <v>0</v>
      </c>
      <c r="I2005" s="1">
        <v>0</v>
      </c>
    </row>
    <row r="2006" spans="1:9" hidden="1" x14ac:dyDescent="0.25">
      <c r="A2006" s="1" t="s">
        <v>17</v>
      </c>
      <c r="B2006" s="1" t="s">
        <v>195</v>
      </c>
      <c r="C2006" s="1" t="s">
        <v>25</v>
      </c>
      <c r="D2006" s="1">
        <v>0</v>
      </c>
      <c r="E2006" s="1">
        <v>0</v>
      </c>
      <c r="F2006" s="1">
        <v>0</v>
      </c>
      <c r="G2006" s="1">
        <v>0</v>
      </c>
      <c r="H2006" s="1">
        <v>0</v>
      </c>
      <c r="I2006" s="1">
        <v>0</v>
      </c>
    </row>
    <row r="2007" spans="1:9" hidden="1" x14ac:dyDescent="0.25">
      <c r="A2007" s="1" t="s">
        <v>17</v>
      </c>
      <c r="B2007" s="1" t="s">
        <v>195</v>
      </c>
      <c r="C2007" s="1" t="s">
        <v>10</v>
      </c>
      <c r="D2007" s="1">
        <v>0</v>
      </c>
      <c r="E2007" s="1">
        <v>0</v>
      </c>
      <c r="F2007" s="1">
        <v>0</v>
      </c>
      <c r="G2007" s="1">
        <v>0</v>
      </c>
      <c r="H2007" s="1">
        <v>0</v>
      </c>
      <c r="I2007" s="1">
        <v>0</v>
      </c>
    </row>
    <row r="2008" spans="1:9" hidden="1" x14ac:dyDescent="0.25">
      <c r="A2008" s="1" t="s">
        <v>17</v>
      </c>
      <c r="B2008" s="1" t="s">
        <v>196</v>
      </c>
      <c r="C2008" s="1" t="s">
        <v>25</v>
      </c>
      <c r="D2008" s="1">
        <v>0</v>
      </c>
      <c r="E2008" s="1">
        <v>0</v>
      </c>
      <c r="F2008" s="1">
        <v>0</v>
      </c>
      <c r="G2008" s="1">
        <v>0</v>
      </c>
      <c r="H2008" s="1">
        <v>0</v>
      </c>
      <c r="I2008" s="1">
        <v>0</v>
      </c>
    </row>
    <row r="2009" spans="1:9" hidden="1" x14ac:dyDescent="0.25">
      <c r="A2009" s="1" t="s">
        <v>17</v>
      </c>
      <c r="B2009" s="1" t="s">
        <v>196</v>
      </c>
      <c r="C2009" s="1" t="s">
        <v>10</v>
      </c>
      <c r="D2009" s="1">
        <v>0</v>
      </c>
      <c r="E2009" s="1">
        <v>0</v>
      </c>
      <c r="F2009" s="1">
        <v>0</v>
      </c>
      <c r="G2009" s="1">
        <v>0</v>
      </c>
      <c r="H2009" s="1">
        <v>0</v>
      </c>
      <c r="I2009" s="1">
        <v>0</v>
      </c>
    </row>
    <row r="2010" spans="1:9" hidden="1" x14ac:dyDescent="0.25">
      <c r="A2010" s="1" t="s">
        <v>17</v>
      </c>
      <c r="B2010" s="1" t="s">
        <v>197</v>
      </c>
      <c r="C2010" s="1" t="s">
        <v>25</v>
      </c>
      <c r="D2010" s="1">
        <v>0</v>
      </c>
      <c r="E2010" s="1">
        <v>0</v>
      </c>
      <c r="F2010" s="1">
        <v>0</v>
      </c>
      <c r="G2010" s="1">
        <v>0</v>
      </c>
      <c r="H2010" s="1">
        <v>0</v>
      </c>
      <c r="I2010" s="1">
        <v>0</v>
      </c>
    </row>
    <row r="2011" spans="1:9" hidden="1" x14ac:dyDescent="0.25">
      <c r="A2011" s="1" t="s">
        <v>17</v>
      </c>
      <c r="B2011" s="1" t="s">
        <v>197</v>
      </c>
      <c r="C2011" s="1" t="s">
        <v>10</v>
      </c>
      <c r="D2011" s="1">
        <v>0</v>
      </c>
      <c r="E2011" s="1">
        <v>0</v>
      </c>
      <c r="F2011" s="1">
        <v>0</v>
      </c>
      <c r="G2011" s="1">
        <v>0</v>
      </c>
      <c r="H2011" s="1">
        <v>0</v>
      </c>
      <c r="I2011" s="1">
        <v>0</v>
      </c>
    </row>
    <row r="2012" spans="1:9" hidden="1" x14ac:dyDescent="0.25">
      <c r="A2012" s="1" t="s">
        <v>17</v>
      </c>
      <c r="B2012" s="1" t="s">
        <v>198</v>
      </c>
      <c r="C2012" s="1" t="s">
        <v>25</v>
      </c>
      <c r="D2012" s="1">
        <v>0</v>
      </c>
      <c r="E2012" s="1">
        <v>0</v>
      </c>
      <c r="F2012" s="1">
        <v>0</v>
      </c>
      <c r="G2012" s="1">
        <v>0</v>
      </c>
      <c r="H2012" s="1">
        <v>0</v>
      </c>
      <c r="I2012" s="1">
        <v>0</v>
      </c>
    </row>
    <row r="2013" spans="1:9" hidden="1" x14ac:dyDescent="0.25">
      <c r="A2013" s="1" t="s">
        <v>17</v>
      </c>
      <c r="B2013" s="1" t="s">
        <v>198</v>
      </c>
      <c r="C2013" s="1" t="s">
        <v>10</v>
      </c>
      <c r="D2013" s="1">
        <v>0</v>
      </c>
      <c r="E2013" s="1">
        <v>0</v>
      </c>
      <c r="F2013" s="1">
        <v>0</v>
      </c>
      <c r="G2013" s="1">
        <v>0</v>
      </c>
      <c r="H2013" s="1">
        <v>0</v>
      </c>
      <c r="I2013" s="1">
        <v>0</v>
      </c>
    </row>
    <row r="2014" spans="1:9" hidden="1" x14ac:dyDescent="0.25">
      <c r="A2014" s="1" t="s">
        <v>17</v>
      </c>
      <c r="B2014" s="1" t="s">
        <v>199</v>
      </c>
      <c r="C2014" s="1" t="s">
        <v>25</v>
      </c>
      <c r="D2014" s="1">
        <v>0</v>
      </c>
      <c r="E2014" s="1">
        <v>0</v>
      </c>
      <c r="F2014" s="1">
        <v>0</v>
      </c>
      <c r="G2014" s="1">
        <v>0</v>
      </c>
      <c r="H2014" s="1">
        <v>0</v>
      </c>
      <c r="I2014" s="1">
        <v>0</v>
      </c>
    </row>
    <row r="2015" spans="1:9" hidden="1" x14ac:dyDescent="0.25">
      <c r="A2015" s="1" t="s">
        <v>17</v>
      </c>
      <c r="B2015" s="1" t="s">
        <v>199</v>
      </c>
      <c r="C2015" s="1" t="s">
        <v>10</v>
      </c>
      <c r="D2015" s="1">
        <v>0</v>
      </c>
      <c r="E2015" s="1">
        <v>0</v>
      </c>
      <c r="F2015" s="1">
        <v>0</v>
      </c>
      <c r="G2015" s="1">
        <v>0</v>
      </c>
      <c r="H2015" s="1">
        <v>0</v>
      </c>
      <c r="I2015" s="1">
        <v>0</v>
      </c>
    </row>
    <row r="2016" spans="1:9" hidden="1" x14ac:dyDescent="0.25">
      <c r="A2016" s="1" t="s">
        <v>17</v>
      </c>
      <c r="B2016" s="1" t="s">
        <v>200</v>
      </c>
      <c r="C2016" s="1" t="s">
        <v>25</v>
      </c>
      <c r="D2016" s="1">
        <v>0</v>
      </c>
      <c r="E2016" s="1">
        <v>0</v>
      </c>
      <c r="F2016" s="1">
        <v>0</v>
      </c>
      <c r="G2016" s="1">
        <v>0</v>
      </c>
      <c r="H2016" s="1">
        <v>0</v>
      </c>
      <c r="I2016" s="1">
        <v>0</v>
      </c>
    </row>
    <row r="2017" spans="1:9" hidden="1" x14ac:dyDescent="0.25">
      <c r="A2017" s="1" t="s">
        <v>17</v>
      </c>
      <c r="B2017" s="1" t="s">
        <v>200</v>
      </c>
      <c r="C2017" s="1" t="s">
        <v>10</v>
      </c>
      <c r="D2017" s="1">
        <v>0</v>
      </c>
      <c r="E2017" s="1">
        <v>0</v>
      </c>
      <c r="F2017" s="1">
        <v>0</v>
      </c>
      <c r="G2017" s="1">
        <v>0</v>
      </c>
      <c r="H2017" s="1">
        <v>0</v>
      </c>
      <c r="I2017" s="1">
        <v>0</v>
      </c>
    </row>
    <row r="2018" spans="1:9" hidden="1" x14ac:dyDescent="0.25">
      <c r="A2018" s="1" t="s">
        <v>17</v>
      </c>
      <c r="B2018" s="1" t="s">
        <v>201</v>
      </c>
      <c r="C2018" s="1" t="s">
        <v>25</v>
      </c>
      <c r="D2018" s="1">
        <v>0</v>
      </c>
      <c r="E2018" s="1">
        <v>0</v>
      </c>
      <c r="F2018" s="1">
        <v>0</v>
      </c>
      <c r="G2018" s="1">
        <v>0</v>
      </c>
      <c r="H2018" s="1">
        <v>0</v>
      </c>
      <c r="I2018" s="1">
        <v>0</v>
      </c>
    </row>
    <row r="2019" spans="1:9" hidden="1" x14ac:dyDescent="0.25">
      <c r="A2019" s="1" t="s">
        <v>17</v>
      </c>
      <c r="B2019" s="1" t="s">
        <v>201</v>
      </c>
      <c r="C2019" s="1" t="s">
        <v>10</v>
      </c>
      <c r="D2019" s="1">
        <v>0</v>
      </c>
      <c r="E2019" s="1">
        <v>0</v>
      </c>
      <c r="F2019" s="1">
        <v>0</v>
      </c>
      <c r="G2019" s="1">
        <v>0</v>
      </c>
      <c r="H2019" s="1">
        <v>0</v>
      </c>
      <c r="I2019" s="1">
        <v>0</v>
      </c>
    </row>
    <row r="2020" spans="1:9" hidden="1" x14ac:dyDescent="0.25">
      <c r="A2020" s="1" t="s">
        <v>17</v>
      </c>
      <c r="B2020" s="1" t="s">
        <v>202</v>
      </c>
      <c r="C2020" s="1" t="s">
        <v>25</v>
      </c>
      <c r="D2020" s="1">
        <v>0</v>
      </c>
      <c r="E2020" s="1">
        <v>0</v>
      </c>
      <c r="F2020" s="1">
        <v>0</v>
      </c>
      <c r="G2020" s="1">
        <v>0</v>
      </c>
      <c r="H2020" s="1">
        <v>0</v>
      </c>
      <c r="I2020" s="1">
        <v>0</v>
      </c>
    </row>
    <row r="2021" spans="1:9" hidden="1" x14ac:dyDescent="0.25">
      <c r="A2021" s="1" t="s">
        <v>17</v>
      </c>
      <c r="B2021" s="1" t="s">
        <v>202</v>
      </c>
      <c r="C2021" s="1" t="s">
        <v>10</v>
      </c>
      <c r="D2021" s="1">
        <v>0</v>
      </c>
      <c r="E2021" s="1">
        <v>0</v>
      </c>
      <c r="F2021" s="1">
        <v>0</v>
      </c>
      <c r="G2021" s="1">
        <v>0</v>
      </c>
      <c r="H2021" s="1">
        <v>0</v>
      </c>
      <c r="I2021" s="1">
        <v>0</v>
      </c>
    </row>
    <row r="2022" spans="1:9" hidden="1" x14ac:dyDescent="0.25">
      <c r="A2022" s="1" t="s">
        <v>17</v>
      </c>
      <c r="B2022" s="1" t="s">
        <v>203</v>
      </c>
      <c r="C2022" s="1" t="s">
        <v>25</v>
      </c>
      <c r="D2022" s="1">
        <v>0</v>
      </c>
      <c r="E2022" s="1">
        <v>0</v>
      </c>
      <c r="F2022" s="1">
        <v>0</v>
      </c>
      <c r="G2022" s="1">
        <v>0</v>
      </c>
      <c r="H2022" s="1">
        <v>0</v>
      </c>
      <c r="I2022" s="1">
        <v>0</v>
      </c>
    </row>
    <row r="2023" spans="1:9" hidden="1" x14ac:dyDescent="0.25">
      <c r="A2023" s="1" t="s">
        <v>17</v>
      </c>
      <c r="B2023" s="1" t="s">
        <v>203</v>
      </c>
      <c r="C2023" s="1" t="s">
        <v>10</v>
      </c>
      <c r="D2023" s="1">
        <v>0</v>
      </c>
      <c r="E2023" s="1">
        <v>0</v>
      </c>
      <c r="F2023" s="1">
        <v>0</v>
      </c>
      <c r="G2023" s="1">
        <v>0</v>
      </c>
      <c r="H2023" s="1">
        <v>0</v>
      </c>
      <c r="I2023" s="1">
        <v>0</v>
      </c>
    </row>
    <row r="2024" spans="1:9" hidden="1" x14ac:dyDescent="0.25">
      <c r="A2024" s="1" t="s">
        <v>17</v>
      </c>
      <c r="B2024" s="1" t="s">
        <v>204</v>
      </c>
      <c r="C2024" s="1" t="s">
        <v>25</v>
      </c>
      <c r="D2024" s="1">
        <v>0</v>
      </c>
      <c r="E2024" s="1">
        <v>0</v>
      </c>
      <c r="F2024" s="1">
        <v>0</v>
      </c>
      <c r="G2024" s="1">
        <v>0</v>
      </c>
      <c r="H2024" s="1">
        <v>0</v>
      </c>
      <c r="I2024" s="1">
        <v>0</v>
      </c>
    </row>
    <row r="2025" spans="1:9" hidden="1" x14ac:dyDescent="0.25">
      <c r="A2025" s="1" t="s">
        <v>17</v>
      </c>
      <c r="B2025" s="1" t="s">
        <v>204</v>
      </c>
      <c r="C2025" s="1" t="s">
        <v>10</v>
      </c>
      <c r="D2025" s="1">
        <v>0</v>
      </c>
      <c r="E2025" s="1">
        <v>0</v>
      </c>
      <c r="F2025" s="1">
        <v>0</v>
      </c>
      <c r="G2025" s="1">
        <v>0</v>
      </c>
      <c r="H2025" s="1">
        <v>0</v>
      </c>
      <c r="I2025" s="1">
        <v>0</v>
      </c>
    </row>
    <row r="2026" spans="1:9" hidden="1" x14ac:dyDescent="0.25">
      <c r="A2026" s="1" t="s">
        <v>17</v>
      </c>
      <c r="B2026" s="1" t="s">
        <v>205</v>
      </c>
      <c r="C2026" s="1" t="s">
        <v>25</v>
      </c>
      <c r="D2026" s="1">
        <v>0</v>
      </c>
      <c r="E2026" s="1">
        <v>0</v>
      </c>
      <c r="F2026" s="1">
        <v>0</v>
      </c>
      <c r="G2026" s="1">
        <v>0</v>
      </c>
      <c r="H2026" s="1">
        <v>0</v>
      </c>
      <c r="I2026" s="1">
        <v>0</v>
      </c>
    </row>
    <row r="2027" spans="1:9" hidden="1" x14ac:dyDescent="0.25">
      <c r="A2027" s="1" t="s">
        <v>17</v>
      </c>
      <c r="B2027" s="1" t="s">
        <v>205</v>
      </c>
      <c r="C2027" s="1" t="s">
        <v>10</v>
      </c>
      <c r="D2027" s="1">
        <v>0</v>
      </c>
      <c r="E2027" s="1">
        <v>0</v>
      </c>
      <c r="F2027" s="1">
        <v>0</v>
      </c>
      <c r="G2027" s="1">
        <v>0</v>
      </c>
      <c r="H2027" s="1">
        <v>0</v>
      </c>
      <c r="I2027" s="1">
        <v>0</v>
      </c>
    </row>
    <row r="2028" spans="1:9" hidden="1" x14ac:dyDescent="0.25">
      <c r="A2028" s="1" t="s">
        <v>17</v>
      </c>
      <c r="B2028" s="1" t="s">
        <v>206</v>
      </c>
      <c r="C2028" s="1" t="s">
        <v>25</v>
      </c>
      <c r="D2028" s="1">
        <v>0</v>
      </c>
      <c r="E2028" s="1">
        <v>0</v>
      </c>
      <c r="F2028" s="1">
        <v>0</v>
      </c>
      <c r="G2028" s="1">
        <v>0</v>
      </c>
      <c r="H2028" s="1">
        <v>0</v>
      </c>
      <c r="I2028" s="1">
        <v>0</v>
      </c>
    </row>
    <row r="2029" spans="1:9" hidden="1" x14ac:dyDescent="0.25">
      <c r="A2029" s="1" t="s">
        <v>17</v>
      </c>
      <c r="B2029" s="1" t="s">
        <v>206</v>
      </c>
      <c r="C2029" s="1" t="s">
        <v>10</v>
      </c>
      <c r="D2029" s="1">
        <v>0</v>
      </c>
      <c r="E2029" s="1">
        <v>0</v>
      </c>
      <c r="F2029" s="1">
        <v>0</v>
      </c>
      <c r="G2029" s="1">
        <v>0</v>
      </c>
      <c r="H2029" s="1">
        <v>0</v>
      </c>
      <c r="I2029" s="1">
        <v>0</v>
      </c>
    </row>
    <row r="2030" spans="1:9" hidden="1" x14ac:dyDescent="0.25">
      <c r="A2030" s="1" t="s">
        <v>17</v>
      </c>
      <c r="B2030" s="1" t="s">
        <v>207</v>
      </c>
      <c r="C2030" s="1" t="s">
        <v>25</v>
      </c>
      <c r="D2030" s="1">
        <v>0</v>
      </c>
      <c r="E2030" s="1">
        <v>0</v>
      </c>
      <c r="F2030" s="1">
        <v>0</v>
      </c>
      <c r="G2030" s="1">
        <v>0</v>
      </c>
      <c r="H2030" s="1">
        <v>0</v>
      </c>
      <c r="I2030" s="1">
        <v>0</v>
      </c>
    </row>
    <row r="2031" spans="1:9" hidden="1" x14ac:dyDescent="0.25">
      <c r="A2031" s="1" t="s">
        <v>17</v>
      </c>
      <c r="B2031" s="1" t="s">
        <v>207</v>
      </c>
      <c r="C2031" s="1" t="s">
        <v>10</v>
      </c>
      <c r="D2031" s="1">
        <v>0</v>
      </c>
      <c r="E2031" s="1">
        <v>0</v>
      </c>
      <c r="F2031" s="1">
        <v>0</v>
      </c>
      <c r="G2031" s="1">
        <v>0</v>
      </c>
      <c r="H2031" s="1">
        <v>0</v>
      </c>
      <c r="I2031" s="1">
        <v>0</v>
      </c>
    </row>
    <row r="2032" spans="1:9" hidden="1" x14ac:dyDescent="0.25">
      <c r="A2032" s="1" t="s">
        <v>17</v>
      </c>
      <c r="B2032" s="1" t="s">
        <v>208</v>
      </c>
      <c r="C2032" s="1" t="s">
        <v>25</v>
      </c>
      <c r="D2032" s="1">
        <v>0</v>
      </c>
      <c r="E2032" s="1">
        <v>0</v>
      </c>
      <c r="F2032" s="1">
        <v>0</v>
      </c>
      <c r="G2032" s="1">
        <v>0</v>
      </c>
      <c r="H2032" s="1">
        <v>0</v>
      </c>
      <c r="I2032" s="1">
        <v>0</v>
      </c>
    </row>
    <row r="2033" spans="1:9" hidden="1" x14ac:dyDescent="0.25">
      <c r="A2033" s="1" t="s">
        <v>17</v>
      </c>
      <c r="B2033" s="1" t="s">
        <v>208</v>
      </c>
      <c r="C2033" s="1" t="s">
        <v>10</v>
      </c>
      <c r="D2033" s="1">
        <v>0</v>
      </c>
      <c r="E2033" s="1">
        <v>0</v>
      </c>
      <c r="F2033" s="1">
        <v>0</v>
      </c>
      <c r="G2033" s="1">
        <v>0</v>
      </c>
      <c r="H2033" s="1">
        <v>0</v>
      </c>
      <c r="I2033" s="1">
        <v>0</v>
      </c>
    </row>
    <row r="2034" spans="1:9" hidden="1" x14ac:dyDescent="0.25">
      <c r="A2034" s="1" t="s">
        <v>17</v>
      </c>
      <c r="B2034" s="1" t="s">
        <v>209</v>
      </c>
      <c r="C2034" s="1" t="s">
        <v>25</v>
      </c>
      <c r="D2034" s="1">
        <v>0</v>
      </c>
      <c r="E2034" s="1">
        <v>0</v>
      </c>
      <c r="F2034" s="1">
        <v>0</v>
      </c>
      <c r="G2034" s="1">
        <v>0</v>
      </c>
      <c r="H2034" s="1">
        <v>0</v>
      </c>
      <c r="I2034" s="1">
        <v>0</v>
      </c>
    </row>
    <row r="2035" spans="1:9" hidden="1" x14ac:dyDescent="0.25">
      <c r="A2035" s="1" t="s">
        <v>17</v>
      </c>
      <c r="B2035" s="1" t="s">
        <v>209</v>
      </c>
      <c r="C2035" s="1" t="s">
        <v>10</v>
      </c>
      <c r="D2035" s="1">
        <v>0</v>
      </c>
      <c r="E2035" s="1">
        <v>0</v>
      </c>
      <c r="F2035" s="1">
        <v>0</v>
      </c>
      <c r="G2035" s="1">
        <v>0</v>
      </c>
      <c r="H2035" s="1">
        <v>0</v>
      </c>
      <c r="I2035" s="1">
        <v>0</v>
      </c>
    </row>
    <row r="2036" spans="1:9" hidden="1" x14ac:dyDescent="0.25">
      <c r="A2036" s="1" t="s">
        <v>17</v>
      </c>
      <c r="B2036" s="1" t="s">
        <v>210</v>
      </c>
      <c r="C2036" s="1" t="s">
        <v>25</v>
      </c>
      <c r="D2036" s="1">
        <v>0</v>
      </c>
      <c r="E2036" s="1">
        <v>0</v>
      </c>
      <c r="F2036" s="1">
        <v>0</v>
      </c>
      <c r="G2036" s="1">
        <v>0</v>
      </c>
      <c r="H2036" s="1">
        <v>0</v>
      </c>
      <c r="I2036" s="1">
        <v>0</v>
      </c>
    </row>
    <row r="2037" spans="1:9" hidden="1" x14ac:dyDescent="0.25">
      <c r="A2037" s="1" t="s">
        <v>17</v>
      </c>
      <c r="B2037" s="1" t="s">
        <v>210</v>
      </c>
      <c r="C2037" s="1" t="s">
        <v>10</v>
      </c>
      <c r="D2037" s="1">
        <v>0</v>
      </c>
      <c r="E2037" s="1">
        <v>0</v>
      </c>
      <c r="F2037" s="1">
        <v>0</v>
      </c>
      <c r="G2037" s="1">
        <v>0</v>
      </c>
      <c r="H2037" s="1">
        <v>0</v>
      </c>
      <c r="I2037" s="1">
        <v>0</v>
      </c>
    </row>
    <row r="2038" spans="1:9" hidden="1" x14ac:dyDescent="0.25">
      <c r="A2038" s="1" t="s">
        <v>17</v>
      </c>
      <c r="B2038" s="1" t="s">
        <v>211</v>
      </c>
      <c r="C2038" s="1" t="s">
        <v>25</v>
      </c>
      <c r="D2038" s="1">
        <v>0</v>
      </c>
      <c r="E2038" s="1">
        <v>0</v>
      </c>
      <c r="F2038" s="1">
        <v>0</v>
      </c>
      <c r="G2038" s="1">
        <v>0</v>
      </c>
      <c r="H2038" s="1">
        <v>0</v>
      </c>
      <c r="I2038" s="1">
        <v>0</v>
      </c>
    </row>
    <row r="2039" spans="1:9" hidden="1" x14ac:dyDescent="0.25">
      <c r="A2039" s="1" t="s">
        <v>17</v>
      </c>
      <c r="B2039" s="1" t="s">
        <v>211</v>
      </c>
      <c r="C2039" s="1" t="s">
        <v>10</v>
      </c>
      <c r="D2039" s="1">
        <v>0</v>
      </c>
      <c r="E2039" s="1">
        <v>0</v>
      </c>
      <c r="F2039" s="1">
        <v>0</v>
      </c>
      <c r="G2039" s="1">
        <v>0</v>
      </c>
      <c r="H2039" s="1">
        <v>0</v>
      </c>
      <c r="I2039" s="1">
        <v>0</v>
      </c>
    </row>
    <row r="2040" spans="1:9" hidden="1" x14ac:dyDescent="0.25">
      <c r="A2040" s="1" t="s">
        <v>17</v>
      </c>
      <c r="B2040" s="1" t="s">
        <v>212</v>
      </c>
      <c r="C2040" s="1" t="s">
        <v>25</v>
      </c>
      <c r="D2040" s="1">
        <v>0</v>
      </c>
      <c r="E2040" s="1">
        <v>0</v>
      </c>
      <c r="F2040" s="1">
        <v>0</v>
      </c>
      <c r="G2040" s="1">
        <v>0</v>
      </c>
      <c r="H2040" s="1">
        <v>0</v>
      </c>
      <c r="I2040" s="1">
        <v>0</v>
      </c>
    </row>
    <row r="2041" spans="1:9" hidden="1" x14ac:dyDescent="0.25">
      <c r="A2041" s="1" t="s">
        <v>17</v>
      </c>
      <c r="B2041" s="1" t="s">
        <v>212</v>
      </c>
      <c r="C2041" s="1" t="s">
        <v>10</v>
      </c>
      <c r="D2041" s="1">
        <v>0</v>
      </c>
      <c r="E2041" s="1">
        <v>0</v>
      </c>
      <c r="F2041" s="1">
        <v>0</v>
      </c>
      <c r="G2041" s="1">
        <v>0</v>
      </c>
      <c r="H2041" s="1">
        <v>0</v>
      </c>
      <c r="I2041" s="1">
        <v>0</v>
      </c>
    </row>
    <row r="2042" spans="1:9" hidden="1" x14ac:dyDescent="0.25">
      <c r="A2042" s="1" t="s">
        <v>17</v>
      </c>
      <c r="B2042" s="1" t="s">
        <v>213</v>
      </c>
      <c r="C2042" s="1" t="s">
        <v>25</v>
      </c>
      <c r="D2042" s="1">
        <v>0</v>
      </c>
      <c r="E2042" s="1">
        <v>0</v>
      </c>
      <c r="F2042" s="1">
        <v>0</v>
      </c>
      <c r="G2042" s="1">
        <v>0</v>
      </c>
      <c r="H2042" s="1">
        <v>0</v>
      </c>
      <c r="I2042" s="1">
        <v>0</v>
      </c>
    </row>
    <row r="2043" spans="1:9" hidden="1" x14ac:dyDescent="0.25">
      <c r="A2043" s="1" t="s">
        <v>17</v>
      </c>
      <c r="B2043" s="1" t="s">
        <v>213</v>
      </c>
      <c r="C2043" s="1" t="s">
        <v>10</v>
      </c>
      <c r="D2043" s="1">
        <v>0</v>
      </c>
      <c r="E2043" s="1">
        <v>0</v>
      </c>
      <c r="F2043" s="1">
        <v>0</v>
      </c>
      <c r="G2043" s="1">
        <v>0</v>
      </c>
      <c r="H2043" s="1">
        <v>0</v>
      </c>
      <c r="I2043" s="1">
        <v>0</v>
      </c>
    </row>
    <row r="2044" spans="1:9" hidden="1" x14ac:dyDescent="0.25">
      <c r="A2044" s="1" t="s">
        <v>17</v>
      </c>
      <c r="B2044" s="1" t="s">
        <v>214</v>
      </c>
      <c r="C2044" s="1" t="s">
        <v>25</v>
      </c>
      <c r="D2044" s="1">
        <v>0</v>
      </c>
      <c r="E2044" s="1">
        <v>0</v>
      </c>
      <c r="F2044" s="1">
        <v>0</v>
      </c>
      <c r="G2044" s="1">
        <v>0</v>
      </c>
      <c r="H2044" s="1">
        <v>0</v>
      </c>
      <c r="I2044" s="1">
        <v>0</v>
      </c>
    </row>
    <row r="2045" spans="1:9" hidden="1" x14ac:dyDescent="0.25">
      <c r="A2045" s="1" t="s">
        <v>17</v>
      </c>
      <c r="B2045" s="1" t="s">
        <v>214</v>
      </c>
      <c r="C2045" s="1" t="s">
        <v>10</v>
      </c>
      <c r="D2045" s="1">
        <v>0</v>
      </c>
      <c r="E2045" s="1">
        <v>0</v>
      </c>
      <c r="F2045" s="1">
        <v>0</v>
      </c>
      <c r="G2045" s="1">
        <v>0</v>
      </c>
      <c r="H2045" s="1">
        <v>0</v>
      </c>
      <c r="I2045" s="1">
        <v>0</v>
      </c>
    </row>
    <row r="2046" spans="1:9" hidden="1" x14ac:dyDescent="0.25">
      <c r="A2046" s="1" t="s">
        <v>17</v>
      </c>
      <c r="B2046" s="1" t="s">
        <v>215</v>
      </c>
      <c r="C2046" s="1" t="s">
        <v>25</v>
      </c>
      <c r="D2046" s="1">
        <v>0</v>
      </c>
      <c r="E2046" s="1">
        <v>0</v>
      </c>
      <c r="F2046" s="1">
        <v>0</v>
      </c>
      <c r="G2046" s="1">
        <v>0</v>
      </c>
      <c r="H2046" s="1">
        <v>0</v>
      </c>
      <c r="I2046" s="1">
        <v>0</v>
      </c>
    </row>
    <row r="2047" spans="1:9" hidden="1" x14ac:dyDescent="0.25">
      <c r="A2047" s="1" t="s">
        <v>17</v>
      </c>
      <c r="B2047" s="1" t="s">
        <v>215</v>
      </c>
      <c r="C2047" s="1" t="s">
        <v>10</v>
      </c>
      <c r="D2047" s="1">
        <v>0</v>
      </c>
      <c r="E2047" s="1">
        <v>0</v>
      </c>
      <c r="F2047" s="1">
        <v>0</v>
      </c>
      <c r="G2047" s="1">
        <v>0</v>
      </c>
      <c r="H2047" s="1">
        <v>0</v>
      </c>
      <c r="I2047" s="1">
        <v>0</v>
      </c>
    </row>
    <row r="2048" spans="1:9" hidden="1" x14ac:dyDescent="0.25">
      <c r="A2048" s="1" t="s">
        <v>17</v>
      </c>
      <c r="B2048" s="1" t="s">
        <v>216</v>
      </c>
      <c r="C2048" s="1" t="s">
        <v>25</v>
      </c>
      <c r="D2048" s="1">
        <v>0</v>
      </c>
      <c r="E2048" s="1">
        <v>0</v>
      </c>
      <c r="F2048" s="1">
        <v>0</v>
      </c>
      <c r="G2048" s="1">
        <v>0</v>
      </c>
      <c r="H2048" s="1">
        <v>0</v>
      </c>
      <c r="I2048" s="1">
        <v>0</v>
      </c>
    </row>
    <row r="2049" spans="1:9" hidden="1" x14ac:dyDescent="0.25">
      <c r="A2049" s="1" t="s">
        <v>17</v>
      </c>
      <c r="B2049" s="1" t="s">
        <v>216</v>
      </c>
      <c r="C2049" s="1" t="s">
        <v>10</v>
      </c>
      <c r="D2049" s="1">
        <v>0</v>
      </c>
      <c r="E2049" s="1">
        <v>0</v>
      </c>
      <c r="F2049" s="1">
        <v>0</v>
      </c>
      <c r="G2049" s="1">
        <v>0</v>
      </c>
      <c r="H2049" s="1">
        <v>0</v>
      </c>
      <c r="I2049" s="1">
        <v>0</v>
      </c>
    </row>
    <row r="2050" spans="1:9" hidden="1" x14ac:dyDescent="0.25">
      <c r="A2050" s="1" t="s">
        <v>17</v>
      </c>
      <c r="B2050" s="1" t="s">
        <v>217</v>
      </c>
      <c r="C2050" s="1" t="s">
        <v>25</v>
      </c>
      <c r="D2050" s="1">
        <v>0</v>
      </c>
      <c r="E2050" s="1">
        <v>0</v>
      </c>
      <c r="F2050" s="1">
        <v>0</v>
      </c>
      <c r="G2050" s="1">
        <v>0</v>
      </c>
      <c r="H2050" s="1">
        <v>0</v>
      </c>
      <c r="I2050" s="1">
        <v>0</v>
      </c>
    </row>
    <row r="2051" spans="1:9" hidden="1" x14ac:dyDescent="0.25">
      <c r="A2051" s="1" t="s">
        <v>17</v>
      </c>
      <c r="B2051" s="1" t="s">
        <v>217</v>
      </c>
      <c r="C2051" s="1" t="s">
        <v>10</v>
      </c>
      <c r="D2051" s="1">
        <v>0</v>
      </c>
      <c r="E2051" s="1">
        <v>0</v>
      </c>
      <c r="F2051" s="1">
        <v>0</v>
      </c>
      <c r="G2051" s="1">
        <v>0</v>
      </c>
      <c r="H2051" s="1">
        <v>0</v>
      </c>
      <c r="I2051" s="1">
        <v>0</v>
      </c>
    </row>
    <row r="2052" spans="1:9" hidden="1" x14ac:dyDescent="0.25">
      <c r="A2052" s="1" t="s">
        <v>17</v>
      </c>
      <c r="B2052" s="1" t="s">
        <v>218</v>
      </c>
      <c r="C2052" s="1" t="s">
        <v>25</v>
      </c>
      <c r="D2052" s="1">
        <v>0</v>
      </c>
      <c r="E2052" s="1">
        <v>0</v>
      </c>
      <c r="F2052" s="1">
        <v>0</v>
      </c>
      <c r="G2052" s="1">
        <v>0</v>
      </c>
      <c r="H2052" s="1">
        <v>0</v>
      </c>
      <c r="I2052" s="1">
        <v>0</v>
      </c>
    </row>
    <row r="2053" spans="1:9" hidden="1" x14ac:dyDescent="0.25">
      <c r="A2053" s="1" t="s">
        <v>17</v>
      </c>
      <c r="B2053" s="1" t="s">
        <v>218</v>
      </c>
      <c r="C2053" s="1" t="s">
        <v>10</v>
      </c>
      <c r="D2053" s="1">
        <v>0</v>
      </c>
      <c r="E2053" s="1">
        <v>0</v>
      </c>
      <c r="F2053" s="1">
        <v>0</v>
      </c>
      <c r="G2053" s="1">
        <v>0</v>
      </c>
      <c r="H2053" s="1">
        <v>0</v>
      </c>
      <c r="I2053" s="1">
        <v>0</v>
      </c>
    </row>
    <row r="2054" spans="1:9" hidden="1" x14ac:dyDescent="0.25">
      <c r="A2054" s="1" t="s">
        <v>17</v>
      </c>
      <c r="B2054" s="1" t="s">
        <v>219</v>
      </c>
      <c r="C2054" s="1" t="s">
        <v>25</v>
      </c>
      <c r="D2054" s="1">
        <v>0</v>
      </c>
      <c r="E2054" s="1">
        <v>0</v>
      </c>
      <c r="F2054" s="1">
        <v>0</v>
      </c>
      <c r="G2054" s="1">
        <v>0</v>
      </c>
      <c r="H2054" s="1">
        <v>0</v>
      </c>
      <c r="I2054" s="1">
        <v>0</v>
      </c>
    </row>
    <row r="2055" spans="1:9" hidden="1" x14ac:dyDescent="0.25">
      <c r="A2055" s="1" t="s">
        <v>17</v>
      </c>
      <c r="B2055" s="1" t="s">
        <v>219</v>
      </c>
      <c r="C2055" s="1" t="s">
        <v>10</v>
      </c>
      <c r="D2055" s="1">
        <v>0</v>
      </c>
      <c r="E2055" s="1">
        <v>0</v>
      </c>
      <c r="F2055" s="1">
        <v>0</v>
      </c>
      <c r="G2055" s="1">
        <v>0</v>
      </c>
      <c r="H2055" s="1">
        <v>0</v>
      </c>
      <c r="I2055" s="1">
        <v>0</v>
      </c>
    </row>
    <row r="2056" spans="1:9" hidden="1" x14ac:dyDescent="0.25">
      <c r="A2056" s="1" t="s">
        <v>17</v>
      </c>
      <c r="B2056" s="1" t="s">
        <v>220</v>
      </c>
      <c r="C2056" s="1" t="s">
        <v>25</v>
      </c>
      <c r="D2056" s="1">
        <v>0</v>
      </c>
      <c r="E2056" s="1">
        <v>0</v>
      </c>
      <c r="F2056" s="1">
        <v>0</v>
      </c>
      <c r="G2056" s="1">
        <v>0</v>
      </c>
      <c r="H2056" s="1">
        <v>0</v>
      </c>
      <c r="I2056" s="1">
        <v>0</v>
      </c>
    </row>
    <row r="2057" spans="1:9" hidden="1" x14ac:dyDescent="0.25">
      <c r="A2057" s="1" t="s">
        <v>17</v>
      </c>
      <c r="B2057" s="1" t="s">
        <v>220</v>
      </c>
      <c r="C2057" s="1" t="s">
        <v>10</v>
      </c>
      <c r="D2057" s="1">
        <v>0</v>
      </c>
      <c r="E2057" s="1">
        <v>0</v>
      </c>
      <c r="F2057" s="1">
        <v>0</v>
      </c>
      <c r="G2057" s="1">
        <v>0</v>
      </c>
      <c r="H2057" s="1">
        <v>0</v>
      </c>
      <c r="I2057" s="1">
        <v>0</v>
      </c>
    </row>
    <row r="2058" spans="1:9" hidden="1" x14ac:dyDescent="0.25">
      <c r="A2058" s="1" t="s">
        <v>17</v>
      </c>
      <c r="B2058" s="1" t="s">
        <v>221</v>
      </c>
      <c r="C2058" s="1" t="s">
        <v>25</v>
      </c>
      <c r="D2058" s="1">
        <v>0</v>
      </c>
      <c r="E2058" s="1">
        <v>0</v>
      </c>
      <c r="F2058" s="1">
        <v>0</v>
      </c>
      <c r="G2058" s="1">
        <v>0</v>
      </c>
      <c r="H2058" s="1">
        <v>0</v>
      </c>
      <c r="I2058" s="1">
        <v>0</v>
      </c>
    </row>
    <row r="2059" spans="1:9" hidden="1" x14ac:dyDescent="0.25">
      <c r="A2059" s="1" t="s">
        <v>17</v>
      </c>
      <c r="B2059" s="1" t="s">
        <v>221</v>
      </c>
      <c r="C2059" s="1" t="s">
        <v>10</v>
      </c>
      <c r="D2059" s="1">
        <v>0</v>
      </c>
      <c r="E2059" s="1">
        <v>0</v>
      </c>
      <c r="F2059" s="1">
        <v>0</v>
      </c>
      <c r="G2059" s="1">
        <v>0</v>
      </c>
      <c r="H2059" s="1">
        <v>0</v>
      </c>
      <c r="I2059" s="1">
        <v>0</v>
      </c>
    </row>
    <row r="2060" spans="1:9" hidden="1" x14ac:dyDescent="0.25">
      <c r="A2060" s="1" t="s">
        <v>17</v>
      </c>
      <c r="B2060" s="1" t="s">
        <v>222</v>
      </c>
      <c r="C2060" s="1" t="s">
        <v>25</v>
      </c>
      <c r="D2060" s="1">
        <v>0</v>
      </c>
      <c r="E2060" s="1">
        <v>0</v>
      </c>
      <c r="F2060" s="1">
        <v>0</v>
      </c>
      <c r="G2060" s="1">
        <v>0</v>
      </c>
      <c r="H2060" s="1">
        <v>0</v>
      </c>
      <c r="I2060" s="1">
        <v>0</v>
      </c>
    </row>
    <row r="2061" spans="1:9" hidden="1" x14ac:dyDescent="0.25">
      <c r="A2061" s="1" t="s">
        <v>17</v>
      </c>
      <c r="B2061" s="1" t="s">
        <v>222</v>
      </c>
      <c r="C2061" s="1" t="s">
        <v>10</v>
      </c>
      <c r="D2061" s="1">
        <v>0</v>
      </c>
      <c r="E2061" s="1">
        <v>0</v>
      </c>
      <c r="F2061" s="1">
        <v>0</v>
      </c>
      <c r="G2061" s="1">
        <v>0</v>
      </c>
      <c r="H2061" s="1">
        <v>0</v>
      </c>
      <c r="I2061" s="1">
        <v>0</v>
      </c>
    </row>
    <row r="2062" spans="1:9" hidden="1" x14ac:dyDescent="0.25">
      <c r="A2062" s="1" t="s">
        <v>17</v>
      </c>
      <c r="B2062" s="1" t="s">
        <v>223</v>
      </c>
      <c r="C2062" s="1" t="s">
        <v>25</v>
      </c>
      <c r="D2062" s="1">
        <v>0</v>
      </c>
      <c r="E2062" s="1">
        <v>0</v>
      </c>
      <c r="F2062" s="1">
        <v>0</v>
      </c>
      <c r="G2062" s="1">
        <v>0</v>
      </c>
      <c r="H2062" s="1">
        <v>0</v>
      </c>
      <c r="I2062" s="1">
        <v>0</v>
      </c>
    </row>
    <row r="2063" spans="1:9" hidden="1" x14ac:dyDescent="0.25">
      <c r="A2063" s="1" t="s">
        <v>17</v>
      </c>
      <c r="B2063" s="1" t="s">
        <v>223</v>
      </c>
      <c r="C2063" s="1" t="s">
        <v>10</v>
      </c>
      <c r="D2063" s="1">
        <v>0</v>
      </c>
      <c r="E2063" s="1">
        <v>0</v>
      </c>
      <c r="F2063" s="1">
        <v>0</v>
      </c>
      <c r="G2063" s="1">
        <v>0</v>
      </c>
      <c r="H2063" s="1">
        <v>0</v>
      </c>
      <c r="I2063" s="1">
        <v>0</v>
      </c>
    </row>
    <row r="2064" spans="1:9" hidden="1" x14ac:dyDescent="0.25">
      <c r="A2064" s="1" t="s">
        <v>17</v>
      </c>
      <c r="B2064" s="1" t="s">
        <v>224</v>
      </c>
      <c r="C2064" s="1" t="s">
        <v>25</v>
      </c>
      <c r="D2064" s="1">
        <v>0</v>
      </c>
      <c r="E2064" s="1">
        <v>0</v>
      </c>
      <c r="F2064" s="1">
        <v>0</v>
      </c>
      <c r="G2064" s="1">
        <v>0</v>
      </c>
      <c r="H2064" s="1">
        <v>0</v>
      </c>
      <c r="I2064" s="1">
        <v>0</v>
      </c>
    </row>
    <row r="2065" spans="1:9" hidden="1" x14ac:dyDescent="0.25">
      <c r="A2065" s="1" t="s">
        <v>17</v>
      </c>
      <c r="B2065" s="1" t="s">
        <v>224</v>
      </c>
      <c r="C2065" s="1" t="s">
        <v>10</v>
      </c>
      <c r="D2065" s="1">
        <v>0</v>
      </c>
      <c r="E2065" s="1">
        <v>0</v>
      </c>
      <c r="F2065" s="1">
        <v>0</v>
      </c>
      <c r="G2065" s="1">
        <v>0</v>
      </c>
      <c r="H2065" s="1">
        <v>0</v>
      </c>
      <c r="I2065" s="1">
        <v>0</v>
      </c>
    </row>
    <row r="2066" spans="1:9" hidden="1" x14ac:dyDescent="0.25">
      <c r="A2066" s="1" t="s">
        <v>17</v>
      </c>
      <c r="B2066" s="1" t="s">
        <v>225</v>
      </c>
      <c r="C2066" s="1" t="s">
        <v>25</v>
      </c>
      <c r="D2066" s="1">
        <v>0</v>
      </c>
      <c r="E2066" s="1">
        <v>0</v>
      </c>
      <c r="F2066" s="1">
        <v>0</v>
      </c>
      <c r="G2066" s="1">
        <v>0</v>
      </c>
      <c r="H2066" s="1">
        <v>0</v>
      </c>
      <c r="I2066" s="1">
        <v>0</v>
      </c>
    </row>
    <row r="2067" spans="1:9" hidden="1" x14ac:dyDescent="0.25">
      <c r="A2067" s="1" t="s">
        <v>17</v>
      </c>
      <c r="B2067" s="1" t="s">
        <v>225</v>
      </c>
      <c r="C2067" s="1" t="s">
        <v>10</v>
      </c>
      <c r="D2067" s="1">
        <v>0</v>
      </c>
      <c r="E2067" s="1">
        <v>0</v>
      </c>
      <c r="F2067" s="1">
        <v>0</v>
      </c>
      <c r="G2067" s="1">
        <v>0</v>
      </c>
      <c r="H2067" s="1">
        <v>0</v>
      </c>
      <c r="I2067" s="1">
        <v>0</v>
      </c>
    </row>
    <row r="2068" spans="1:9" hidden="1" x14ac:dyDescent="0.25">
      <c r="A2068" s="1" t="s">
        <v>17</v>
      </c>
      <c r="B2068" s="1" t="s">
        <v>327</v>
      </c>
      <c r="C2068" s="1" t="s">
        <v>25</v>
      </c>
      <c r="D2068" s="1">
        <v>0</v>
      </c>
      <c r="E2068" s="1">
        <v>0</v>
      </c>
      <c r="F2068" s="1">
        <v>0</v>
      </c>
      <c r="G2068" s="1">
        <v>0</v>
      </c>
      <c r="H2068" s="1">
        <v>0</v>
      </c>
      <c r="I2068" s="1">
        <v>0</v>
      </c>
    </row>
    <row r="2069" spans="1:9" hidden="1" x14ac:dyDescent="0.25">
      <c r="A2069" s="1" t="s">
        <v>17</v>
      </c>
      <c r="B2069" s="1" t="s">
        <v>327</v>
      </c>
      <c r="C2069" s="1" t="s">
        <v>10</v>
      </c>
      <c r="D2069" s="1">
        <v>0</v>
      </c>
      <c r="E2069" s="1">
        <v>0</v>
      </c>
      <c r="F2069" s="1">
        <v>0</v>
      </c>
      <c r="G2069" s="1">
        <v>0</v>
      </c>
      <c r="H2069" s="1">
        <v>0</v>
      </c>
      <c r="I2069" s="1">
        <v>0</v>
      </c>
    </row>
    <row r="2070" spans="1:9" hidden="1" x14ac:dyDescent="0.25">
      <c r="A2070" s="1" t="s">
        <v>17</v>
      </c>
      <c r="B2070" s="1" t="s">
        <v>328</v>
      </c>
      <c r="C2070" s="1" t="s">
        <v>25</v>
      </c>
      <c r="D2070" s="1">
        <v>0</v>
      </c>
      <c r="E2070" s="1">
        <v>0</v>
      </c>
      <c r="F2070" s="1">
        <v>0</v>
      </c>
      <c r="G2070" s="1">
        <v>0</v>
      </c>
      <c r="H2070" s="1">
        <v>0</v>
      </c>
      <c r="I2070" s="1">
        <v>0</v>
      </c>
    </row>
    <row r="2071" spans="1:9" hidden="1" x14ac:dyDescent="0.25">
      <c r="A2071" s="1" t="s">
        <v>17</v>
      </c>
      <c r="B2071" s="1" t="s">
        <v>328</v>
      </c>
      <c r="C2071" s="1" t="s">
        <v>10</v>
      </c>
      <c r="D2071" s="1">
        <v>0</v>
      </c>
      <c r="E2071" s="1">
        <v>0</v>
      </c>
      <c r="F2071" s="1">
        <v>0</v>
      </c>
      <c r="G2071" s="1">
        <v>0</v>
      </c>
      <c r="H2071" s="1">
        <v>0</v>
      </c>
      <c r="I2071" s="1">
        <v>0</v>
      </c>
    </row>
  </sheetData>
  <autoFilter ref="A1:I2071" xr:uid="{2CC24F61-2B7F-4AD4-B990-E9FA2B457C77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D14"/>
  <sheetViews>
    <sheetView workbookViewId="0">
      <selection activeCell="D17" sqref="D17"/>
    </sheetView>
  </sheetViews>
  <sheetFormatPr defaultRowHeight="18" customHeight="1" x14ac:dyDescent="0.25"/>
  <cols>
    <col min="1" max="1" width="12.75" style="4" bestFit="1" customWidth="1"/>
    <col min="2" max="2" width="9" style="4"/>
    <col min="3" max="3" width="2.875" style="4" bestFit="1" customWidth="1"/>
    <col min="4" max="16384" width="9" style="2"/>
  </cols>
  <sheetData>
    <row r="1" spans="1:4" ht="18" customHeight="1" x14ac:dyDescent="0.25">
      <c r="A1" s="10">
        <v>42592</v>
      </c>
      <c r="B1" s="4" t="s">
        <v>233</v>
      </c>
      <c r="C1" s="4">
        <v>1</v>
      </c>
      <c r="D1" s="2" t="s">
        <v>244</v>
      </c>
    </row>
    <row r="2" spans="1:4" ht="18" customHeight="1" x14ac:dyDescent="0.25">
      <c r="C2" s="4">
        <v>2</v>
      </c>
      <c r="D2" s="2" t="s">
        <v>236</v>
      </c>
    </row>
    <row r="3" spans="1:4" ht="18" customHeight="1" x14ac:dyDescent="0.25">
      <c r="C3" s="4">
        <v>3</v>
      </c>
      <c r="D3" s="2" t="s">
        <v>237</v>
      </c>
    </row>
    <row r="4" spans="1:4" ht="18" customHeight="1" x14ac:dyDescent="0.25">
      <c r="C4" s="4">
        <v>4</v>
      </c>
      <c r="D4" s="2" t="s">
        <v>240</v>
      </c>
    </row>
    <row r="5" spans="1:4" ht="18" customHeight="1" x14ac:dyDescent="0.25">
      <c r="C5" s="4">
        <v>5</v>
      </c>
      <c r="D5" s="2" t="s">
        <v>245</v>
      </c>
    </row>
    <row r="6" spans="1:4" ht="18" customHeight="1" x14ac:dyDescent="0.25">
      <c r="A6" s="10">
        <v>42606</v>
      </c>
      <c r="B6" s="4" t="s">
        <v>249</v>
      </c>
      <c r="C6" s="4">
        <v>1</v>
      </c>
      <c r="D6" s="2" t="s">
        <v>254</v>
      </c>
    </row>
    <row r="7" spans="1:4" ht="18" customHeight="1" x14ac:dyDescent="0.25">
      <c r="A7" s="10">
        <v>42607</v>
      </c>
      <c r="B7" s="4" t="s">
        <v>253</v>
      </c>
      <c r="C7" s="4">
        <v>1</v>
      </c>
      <c r="D7" s="2" t="s">
        <v>263</v>
      </c>
    </row>
    <row r="8" spans="1:4" ht="18" customHeight="1" x14ac:dyDescent="0.25">
      <c r="A8" s="10">
        <v>42611</v>
      </c>
      <c r="B8" s="4" t="s">
        <v>273</v>
      </c>
      <c r="C8" s="4">
        <v>1</v>
      </c>
      <c r="D8" s="2" t="s">
        <v>274</v>
      </c>
    </row>
    <row r="9" spans="1:4" ht="18" customHeight="1" x14ac:dyDescent="0.25">
      <c r="C9" s="4">
        <v>2</v>
      </c>
      <c r="D9" s="2" t="s">
        <v>276</v>
      </c>
    </row>
    <row r="10" spans="1:4" ht="18" customHeight="1" x14ac:dyDescent="0.25">
      <c r="A10" s="10">
        <v>42672</v>
      </c>
      <c r="B10" s="4" t="s">
        <v>285</v>
      </c>
      <c r="C10" s="4">
        <v>1</v>
      </c>
      <c r="D10" s="2" t="s">
        <v>286</v>
      </c>
    </row>
    <row r="11" spans="1:4" ht="18" customHeight="1" x14ac:dyDescent="0.25">
      <c r="C11" s="4">
        <v>2</v>
      </c>
      <c r="D11" s="2" t="s">
        <v>287</v>
      </c>
    </row>
    <row r="12" spans="1:4" ht="18" customHeight="1" x14ac:dyDescent="0.25">
      <c r="C12" s="4">
        <v>3</v>
      </c>
      <c r="D12" s="2" t="s">
        <v>288</v>
      </c>
    </row>
    <row r="13" spans="1:4" ht="18" customHeight="1" x14ac:dyDescent="0.25">
      <c r="C13" s="4">
        <v>4</v>
      </c>
      <c r="D13" s="2" t="s">
        <v>289</v>
      </c>
    </row>
    <row r="14" spans="1:4" ht="18" customHeight="1" x14ac:dyDescent="0.25">
      <c r="C14" s="4">
        <v>5</v>
      </c>
      <c r="D14" s="2" t="s">
        <v>291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EQXB.EQYB</vt:lpstr>
      <vt:lpstr>Material List By Story</vt:lpstr>
      <vt:lpstr>Story Shears</vt:lpstr>
      <vt:lpstr>Check</vt:lpstr>
      <vt:lpstr>DL</vt:lpstr>
      <vt:lpstr>LL</vt:lpstr>
      <vt:lpstr>靜態地震力</vt:lpstr>
      <vt:lpstr>動態地震力修正</vt:lpstr>
      <vt:lpstr>更新紀錄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TPEPC04</cp:lastModifiedBy>
  <dcterms:created xsi:type="dcterms:W3CDTF">2016-06-27T02:49:03Z</dcterms:created>
  <dcterms:modified xsi:type="dcterms:W3CDTF">2018-05-25T05:36:43Z</dcterms:modified>
</cp:coreProperties>
</file>